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NIOR FP&amp;A\Desktop\Finanzas\Flujo de Caja\"/>
    </mc:Choice>
  </mc:AlternateContent>
  <xr:revisionPtr revIDLastSave="0" documentId="13_ncr:1_{08508BB1-C21F-4D9A-B14B-8B0C8D919A4A}" xr6:coauthVersionLast="47" xr6:coauthVersionMax="47" xr10:uidLastSave="{00000000-0000-0000-0000-000000000000}"/>
  <bookViews>
    <workbookView xWindow="-108" yWindow="-108" windowWidth="23256" windowHeight="12456" tabRatio="500" firstSheet="7" activeTab="10" xr2:uid="{00000000-000D-0000-FFFF-FFFF00000000}"/>
  </bookViews>
  <sheets>
    <sheet name="Resumen" sheetId="1" r:id="rId1"/>
    <sheet name="Flujo Anual" sheetId="2" r:id="rId2"/>
    <sheet name="Flujo Mensual" sheetId="3" r:id="rId3"/>
    <sheet name="Motor Semanal" sheetId="9" r:id="rId4"/>
    <sheet name="Supuestos" sheetId="4" r:id="rId5"/>
    <sheet name="Inversiones" sheetId="5" r:id="rId6"/>
    <sheet name="Headcount" sheetId="6" state="hidden" r:id="rId7"/>
    <sheet name="Deuda Mensual" sheetId="7" r:id="rId8"/>
    <sheet name="Deuda Bancos" sheetId="8" r:id="rId9"/>
    <sheet name="Arch_Ferretería T1-26" sheetId="10" r:id="rId10"/>
    <sheet name="Arch_Contratista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20" i="8" l="1"/>
  <c r="I320" i="8"/>
  <c r="J320" i="8"/>
  <c r="K320" i="8"/>
  <c r="L320" i="8"/>
  <c r="M320" i="8"/>
  <c r="N320" i="8"/>
  <c r="N319" i="8"/>
  <c r="H319" i="8"/>
  <c r="M319" i="8"/>
  <c r="I319" i="8"/>
  <c r="E319" i="8"/>
  <c r="D319" i="8"/>
  <c r="C319" i="8"/>
  <c r="A319" i="8"/>
  <c r="N318" i="8"/>
  <c r="H318" i="8"/>
  <c r="M318" i="8"/>
  <c r="I318" i="8"/>
  <c r="E318" i="8"/>
  <c r="D318" i="8"/>
  <c r="C318" i="8"/>
  <c r="A318" i="8"/>
  <c r="N317" i="8"/>
  <c r="H317" i="8"/>
  <c r="M317" i="8"/>
  <c r="I317" i="8"/>
  <c r="E317" i="8"/>
  <c r="D317" i="8"/>
  <c r="C317" i="8"/>
  <c r="A317" i="8"/>
  <c r="N316" i="8"/>
  <c r="H316" i="8"/>
  <c r="M316" i="8"/>
  <c r="I316" i="8"/>
  <c r="E316" i="8"/>
  <c r="D316" i="8"/>
  <c r="C316" i="8"/>
  <c r="A316" i="8"/>
  <c r="N315" i="8"/>
  <c r="H315" i="8"/>
  <c r="M315" i="8"/>
  <c r="I315" i="8"/>
  <c r="E315" i="8"/>
  <c r="D315" i="8"/>
  <c r="C315" i="8"/>
  <c r="A315" i="8"/>
  <c r="N314" i="8"/>
  <c r="H314" i="8"/>
  <c r="M314" i="8"/>
  <c r="I314" i="8"/>
  <c r="E314" i="8"/>
  <c r="D314" i="8"/>
  <c r="C314" i="8"/>
  <c r="A314" i="8"/>
  <c r="N313" i="8"/>
  <c r="H313" i="8"/>
  <c r="M313" i="8"/>
  <c r="I313" i="8"/>
  <c r="E313" i="8"/>
  <c r="D313" i="8"/>
  <c r="C313" i="8"/>
  <c r="A313" i="8"/>
  <c r="N312" i="8"/>
  <c r="H312" i="8"/>
  <c r="M312" i="8"/>
  <c r="I312" i="8"/>
  <c r="E312" i="8"/>
  <c r="D312" i="8"/>
  <c r="C312" i="8"/>
  <c r="A312" i="8"/>
  <c r="N311" i="8"/>
  <c r="H311" i="8"/>
  <c r="M311" i="8"/>
  <c r="I311" i="8"/>
  <c r="E311" i="8"/>
  <c r="D311" i="8"/>
  <c r="C311" i="8"/>
  <c r="A311" i="8"/>
  <c r="N310" i="8"/>
  <c r="H310" i="8"/>
  <c r="M310" i="8"/>
  <c r="I310" i="8"/>
  <c r="E310" i="8"/>
  <c r="D310" i="8"/>
  <c r="C310" i="8"/>
  <c r="A310" i="8"/>
  <c r="N309" i="8"/>
  <c r="H309" i="8"/>
  <c r="M309" i="8"/>
  <c r="I309" i="8"/>
  <c r="E309" i="8"/>
  <c r="D309" i="8"/>
  <c r="C309" i="8"/>
  <c r="A309" i="8"/>
  <c r="N308" i="8"/>
  <c r="H308" i="8"/>
  <c r="M308" i="8"/>
  <c r="I308" i="8"/>
  <c r="E308" i="8"/>
  <c r="D308" i="8"/>
  <c r="C308" i="8"/>
  <c r="A308" i="8"/>
  <c r="N307" i="8"/>
  <c r="H307" i="8"/>
  <c r="M307" i="8"/>
  <c r="I307" i="8"/>
  <c r="E307" i="8"/>
  <c r="D307" i="8"/>
  <c r="C307" i="8"/>
  <c r="A307" i="8"/>
  <c r="N306" i="8"/>
  <c r="H306" i="8"/>
  <c r="M306" i="8"/>
  <c r="I306" i="8"/>
  <c r="E306" i="8"/>
  <c r="D306" i="8"/>
  <c r="C306" i="8"/>
  <c r="A306" i="8"/>
  <c r="N305" i="8"/>
  <c r="H305" i="8"/>
  <c r="M305" i="8"/>
  <c r="I305" i="8"/>
  <c r="E305" i="8"/>
  <c r="D305" i="8"/>
  <c r="C305" i="8"/>
  <c r="A305" i="8"/>
  <c r="N304" i="8"/>
  <c r="H304" i="8"/>
  <c r="M304" i="8"/>
  <c r="I304" i="8"/>
  <c r="E304" i="8"/>
  <c r="D304" i="8"/>
  <c r="C304" i="8"/>
  <c r="A304" i="8"/>
  <c r="N303" i="8"/>
  <c r="H303" i="8"/>
  <c r="M303" i="8"/>
  <c r="I303" i="8"/>
  <c r="E303" i="8"/>
  <c r="D303" i="8"/>
  <c r="C303" i="8"/>
  <c r="A303" i="8"/>
  <c r="N302" i="8"/>
  <c r="H302" i="8"/>
  <c r="M302" i="8"/>
  <c r="I302" i="8"/>
  <c r="E302" i="8"/>
  <c r="D302" i="8"/>
  <c r="C302" i="8"/>
  <c r="A302" i="8"/>
  <c r="N301" i="8"/>
  <c r="H301" i="8"/>
  <c r="M301" i="8"/>
  <c r="I301" i="8"/>
  <c r="E301" i="8"/>
  <c r="D301" i="8"/>
  <c r="C301" i="8"/>
  <c r="A301" i="8"/>
  <c r="N300" i="8"/>
  <c r="H300" i="8"/>
  <c r="M300" i="8"/>
  <c r="I300" i="8"/>
  <c r="E300" i="8"/>
  <c r="D300" i="8"/>
  <c r="C300" i="8"/>
  <c r="A300" i="8"/>
  <c r="N299" i="8"/>
  <c r="H299" i="8"/>
  <c r="M299" i="8"/>
  <c r="I299" i="8"/>
  <c r="E299" i="8"/>
  <c r="D299" i="8"/>
  <c r="C299" i="8"/>
  <c r="A299" i="8"/>
  <c r="N298" i="8"/>
  <c r="H298" i="8"/>
  <c r="M298" i="8"/>
  <c r="I298" i="8"/>
  <c r="E298" i="8"/>
  <c r="D298" i="8"/>
  <c r="C298" i="8"/>
  <c r="A298" i="8"/>
  <c r="N297" i="8"/>
  <c r="H297" i="8"/>
  <c r="M297" i="8"/>
  <c r="I297" i="8"/>
  <c r="E297" i="8"/>
  <c r="D297" i="8"/>
  <c r="C297" i="8"/>
  <c r="A297" i="8"/>
  <c r="N296" i="8"/>
  <c r="H296" i="8"/>
  <c r="M296" i="8"/>
  <c r="I296" i="8"/>
  <c r="E296" i="8"/>
  <c r="D296" i="8"/>
  <c r="C296" i="8"/>
  <c r="A296" i="8"/>
  <c r="N295" i="8"/>
  <c r="H295" i="8"/>
  <c r="M295" i="8"/>
  <c r="I295" i="8"/>
  <c r="E295" i="8"/>
  <c r="D295" i="8"/>
  <c r="C295" i="8"/>
  <c r="A295" i="8"/>
  <c r="N294" i="8"/>
  <c r="H294" i="8"/>
  <c r="M294" i="8"/>
  <c r="I294" i="8"/>
  <c r="E294" i="8"/>
  <c r="D294" i="8"/>
  <c r="C294" i="8"/>
  <c r="A294" i="8"/>
  <c r="N293" i="8"/>
  <c r="H293" i="8"/>
  <c r="M293" i="8"/>
  <c r="I293" i="8"/>
  <c r="E293" i="8"/>
  <c r="D293" i="8"/>
  <c r="C293" i="8"/>
  <c r="A293" i="8"/>
  <c r="N292" i="8"/>
  <c r="H292" i="8"/>
  <c r="M292" i="8"/>
  <c r="I292" i="8"/>
  <c r="E292" i="8"/>
  <c r="D292" i="8"/>
  <c r="C292" i="8"/>
  <c r="A292" i="8"/>
  <c r="N291" i="8"/>
  <c r="H291" i="8"/>
  <c r="M291" i="8"/>
  <c r="I291" i="8"/>
  <c r="E291" i="8"/>
  <c r="D291" i="8"/>
  <c r="C291" i="8"/>
  <c r="A291" i="8"/>
  <c r="N290" i="8"/>
  <c r="H290" i="8"/>
  <c r="M290" i="8"/>
  <c r="I290" i="8"/>
  <c r="E290" i="8"/>
  <c r="D290" i="8"/>
  <c r="C290" i="8"/>
  <c r="A290" i="8"/>
  <c r="N289" i="8"/>
  <c r="H289" i="8"/>
  <c r="M289" i="8"/>
  <c r="I289" i="8"/>
  <c r="E289" i="8"/>
  <c r="D289" i="8"/>
  <c r="C289" i="8"/>
  <c r="A289" i="8"/>
  <c r="N288" i="8"/>
  <c r="H288" i="8"/>
  <c r="M288" i="8"/>
  <c r="I288" i="8"/>
  <c r="E288" i="8"/>
  <c r="D288" i="8"/>
  <c r="C288" i="8"/>
  <c r="A288" i="8"/>
  <c r="N287" i="8"/>
  <c r="H287" i="8"/>
  <c r="M287" i="8"/>
  <c r="I287" i="8"/>
  <c r="E287" i="8"/>
  <c r="D287" i="8"/>
  <c r="C287" i="8"/>
  <c r="A287" i="8"/>
  <c r="N286" i="8"/>
  <c r="H286" i="8"/>
  <c r="M286" i="8"/>
  <c r="I286" i="8"/>
  <c r="E286" i="8"/>
  <c r="D286" i="8"/>
  <c r="C286" i="8"/>
  <c r="A286" i="8"/>
  <c r="N285" i="8"/>
  <c r="H285" i="8"/>
  <c r="M285" i="8"/>
  <c r="I285" i="8"/>
  <c r="E285" i="8"/>
  <c r="D285" i="8"/>
  <c r="C285" i="8"/>
  <c r="A285" i="8"/>
  <c r="N284" i="8"/>
  <c r="H284" i="8"/>
  <c r="M284" i="8"/>
  <c r="I284" i="8"/>
  <c r="E284" i="8"/>
  <c r="D284" i="8"/>
  <c r="C284" i="8"/>
  <c r="A284" i="8"/>
  <c r="H279" i="8"/>
  <c r="I279" i="8"/>
  <c r="J279" i="8"/>
  <c r="K279" i="8"/>
  <c r="L279" i="8"/>
  <c r="M279" i="8"/>
  <c r="N279" i="8"/>
  <c r="N278" i="8"/>
  <c r="H278" i="8"/>
  <c r="M278" i="8"/>
  <c r="I278" i="8"/>
  <c r="E278" i="8"/>
  <c r="D278" i="8"/>
  <c r="C278" i="8"/>
  <c r="A278" i="8"/>
  <c r="N277" i="8"/>
  <c r="H277" i="8"/>
  <c r="M277" i="8"/>
  <c r="I277" i="8"/>
  <c r="E277" i="8"/>
  <c r="D277" i="8"/>
  <c r="C277" i="8"/>
  <c r="A277" i="8"/>
  <c r="N276" i="8"/>
  <c r="H276" i="8"/>
  <c r="M276" i="8"/>
  <c r="I276" i="8"/>
  <c r="E276" i="8"/>
  <c r="D276" i="8"/>
  <c r="C276" i="8"/>
  <c r="A276" i="8"/>
  <c r="N275" i="8"/>
  <c r="H275" i="8"/>
  <c r="M275" i="8"/>
  <c r="I275" i="8"/>
  <c r="E275" i="8"/>
  <c r="D275" i="8"/>
  <c r="C275" i="8"/>
  <c r="A275" i="8"/>
  <c r="N274" i="8"/>
  <c r="H274" i="8"/>
  <c r="M274" i="8"/>
  <c r="I274" i="8"/>
  <c r="E274" i="8"/>
  <c r="D274" i="8"/>
  <c r="C274" i="8"/>
  <c r="A274" i="8"/>
  <c r="N273" i="8"/>
  <c r="H273" i="8"/>
  <c r="M273" i="8"/>
  <c r="I273" i="8"/>
  <c r="E273" i="8"/>
  <c r="D273" i="8"/>
  <c r="C273" i="8"/>
  <c r="A273" i="8"/>
  <c r="N272" i="8"/>
  <c r="H272" i="8"/>
  <c r="M272" i="8"/>
  <c r="I272" i="8"/>
  <c r="E272" i="8"/>
  <c r="D272" i="8"/>
  <c r="C272" i="8"/>
  <c r="A272" i="8"/>
  <c r="N271" i="8"/>
  <c r="H271" i="8"/>
  <c r="M271" i="8"/>
  <c r="I271" i="8"/>
  <c r="E271" i="8"/>
  <c r="D271" i="8"/>
  <c r="C271" i="8"/>
  <c r="A271" i="8"/>
  <c r="N270" i="8"/>
  <c r="H270" i="8"/>
  <c r="M270" i="8"/>
  <c r="I270" i="8"/>
  <c r="E270" i="8"/>
  <c r="D270" i="8"/>
  <c r="C270" i="8"/>
  <c r="A270" i="8"/>
  <c r="N269" i="8"/>
  <c r="H269" i="8"/>
  <c r="M269" i="8"/>
  <c r="I269" i="8"/>
  <c r="E269" i="8"/>
  <c r="D269" i="8"/>
  <c r="C269" i="8"/>
  <c r="A269" i="8"/>
  <c r="N268" i="8"/>
  <c r="H268" i="8"/>
  <c r="M268" i="8"/>
  <c r="I268" i="8"/>
  <c r="E268" i="8"/>
  <c r="D268" i="8"/>
  <c r="C268" i="8"/>
  <c r="A268" i="8"/>
  <c r="N267" i="8"/>
  <c r="H267" i="8"/>
  <c r="M267" i="8"/>
  <c r="I267" i="8"/>
  <c r="E267" i="8"/>
  <c r="D267" i="8"/>
  <c r="C267" i="8"/>
  <c r="A267" i="8"/>
  <c r="N266" i="8"/>
  <c r="H266" i="8"/>
  <c r="M266" i="8"/>
  <c r="I266" i="8"/>
  <c r="E266" i="8"/>
  <c r="D266" i="8"/>
  <c r="C266" i="8"/>
  <c r="A266" i="8"/>
  <c r="N265" i="8"/>
  <c r="H265" i="8"/>
  <c r="M265" i="8"/>
  <c r="I265" i="8"/>
  <c r="E265" i="8"/>
  <c r="D265" i="8"/>
  <c r="C265" i="8"/>
  <c r="A265" i="8"/>
  <c r="N264" i="8"/>
  <c r="H264" i="8"/>
  <c r="M264" i="8"/>
  <c r="I264" i="8"/>
  <c r="E264" i="8"/>
  <c r="D264" i="8"/>
  <c r="C264" i="8"/>
  <c r="A264" i="8"/>
  <c r="N263" i="8"/>
  <c r="H263" i="8"/>
  <c r="M263" i="8"/>
  <c r="I263" i="8"/>
  <c r="E263" i="8"/>
  <c r="D263" i="8"/>
  <c r="C263" i="8"/>
  <c r="A263" i="8"/>
  <c r="N262" i="8"/>
  <c r="H262" i="8"/>
  <c r="M262" i="8"/>
  <c r="I262" i="8"/>
  <c r="E262" i="8"/>
  <c r="D262" i="8"/>
  <c r="C262" i="8"/>
  <c r="A262" i="8"/>
  <c r="N261" i="8"/>
  <c r="H261" i="8"/>
  <c r="M261" i="8"/>
  <c r="I261" i="8"/>
  <c r="E261" i="8"/>
  <c r="D261" i="8"/>
  <c r="C261" i="8"/>
  <c r="A261" i="8"/>
  <c r="N260" i="8"/>
  <c r="H260" i="8"/>
  <c r="M260" i="8"/>
  <c r="I260" i="8"/>
  <c r="E260" i="8"/>
  <c r="D260" i="8"/>
  <c r="C260" i="8"/>
  <c r="A260" i="8"/>
  <c r="N259" i="8"/>
  <c r="H259" i="8"/>
  <c r="M259" i="8"/>
  <c r="I259" i="8"/>
  <c r="E259" i="8"/>
  <c r="D259" i="8"/>
  <c r="C259" i="8"/>
  <c r="A259" i="8"/>
  <c r="N258" i="8"/>
  <c r="H258" i="8"/>
  <c r="M258" i="8"/>
  <c r="I258" i="8"/>
  <c r="E258" i="8"/>
  <c r="D258" i="8"/>
  <c r="C258" i="8"/>
  <c r="A258" i="8"/>
  <c r="N257" i="8"/>
  <c r="H257" i="8"/>
  <c r="M257" i="8"/>
  <c r="I257" i="8"/>
  <c r="E257" i="8"/>
  <c r="D257" i="8"/>
  <c r="C257" i="8"/>
  <c r="A257" i="8"/>
  <c r="N256" i="8"/>
  <c r="H256" i="8"/>
  <c r="M256" i="8"/>
  <c r="I256" i="8"/>
  <c r="E256" i="8"/>
  <c r="D256" i="8"/>
  <c r="C256" i="8"/>
  <c r="A256" i="8"/>
  <c r="N255" i="8"/>
  <c r="H255" i="8"/>
  <c r="M255" i="8"/>
  <c r="I255" i="8"/>
  <c r="E255" i="8"/>
  <c r="D255" i="8"/>
  <c r="C255" i="8"/>
  <c r="A255" i="8"/>
  <c r="N254" i="8"/>
  <c r="H254" i="8"/>
  <c r="M254" i="8"/>
  <c r="I254" i="8"/>
  <c r="E254" i="8"/>
  <c r="D254" i="8"/>
  <c r="C254" i="8"/>
  <c r="A254" i="8"/>
  <c r="N253" i="8"/>
  <c r="H253" i="8"/>
  <c r="M253" i="8"/>
  <c r="I253" i="8"/>
  <c r="E253" i="8"/>
  <c r="D253" i="8"/>
  <c r="C253" i="8"/>
  <c r="A253" i="8"/>
  <c r="N252" i="8"/>
  <c r="H252" i="8"/>
  <c r="M252" i="8"/>
  <c r="I252" i="8"/>
  <c r="E252" i="8"/>
  <c r="D252" i="8"/>
  <c r="C252" i="8"/>
  <c r="A252" i="8"/>
  <c r="N251" i="8"/>
  <c r="H251" i="8"/>
  <c r="M251" i="8"/>
  <c r="I251" i="8"/>
  <c r="E251" i="8"/>
  <c r="D251" i="8"/>
  <c r="C251" i="8"/>
  <c r="A251" i="8"/>
  <c r="N250" i="8"/>
  <c r="H250" i="8"/>
  <c r="M250" i="8"/>
  <c r="I250" i="8"/>
  <c r="E250" i="8"/>
  <c r="D250" i="8"/>
  <c r="C250" i="8"/>
  <c r="A250" i="8"/>
  <c r="N249" i="8"/>
  <c r="H249" i="8"/>
  <c r="M249" i="8"/>
  <c r="I249" i="8"/>
  <c r="E249" i="8"/>
  <c r="D249" i="8"/>
  <c r="C249" i="8"/>
  <c r="A249" i="8"/>
  <c r="N248" i="8"/>
  <c r="H248" i="8"/>
  <c r="M248" i="8"/>
  <c r="I248" i="8"/>
  <c r="E248" i="8"/>
  <c r="D248" i="8"/>
  <c r="C248" i="8"/>
  <c r="A248" i="8"/>
  <c r="N247" i="8"/>
  <c r="H247" i="8"/>
  <c r="M247" i="8"/>
  <c r="I247" i="8"/>
  <c r="E247" i="8"/>
  <c r="D247" i="8"/>
  <c r="C247" i="8"/>
  <c r="A247" i="8"/>
  <c r="N246" i="8"/>
  <c r="H246" i="8"/>
  <c r="M246" i="8"/>
  <c r="I246" i="8"/>
  <c r="E246" i="8"/>
  <c r="D246" i="8"/>
  <c r="C246" i="8"/>
  <c r="A246" i="8"/>
  <c r="N245" i="8"/>
  <c r="H245" i="8"/>
  <c r="M245" i="8"/>
  <c r="I245" i="8"/>
  <c r="E245" i="8"/>
  <c r="D245" i="8"/>
  <c r="C245" i="8"/>
  <c r="A245" i="8"/>
  <c r="N244" i="8"/>
  <c r="H244" i="8"/>
  <c r="M244" i="8"/>
  <c r="I244" i="8"/>
  <c r="E244" i="8"/>
  <c r="D244" i="8"/>
  <c r="C244" i="8"/>
  <c r="A244" i="8"/>
  <c r="N243" i="8"/>
  <c r="H243" i="8"/>
  <c r="M243" i="8"/>
  <c r="I243" i="8"/>
  <c r="E243" i="8"/>
  <c r="D243" i="8"/>
  <c r="C243" i="8"/>
  <c r="A243" i="8"/>
  <c r="H238" i="8"/>
  <c r="I238" i="8"/>
  <c r="J238" i="8"/>
  <c r="K238" i="8"/>
  <c r="L238" i="8"/>
  <c r="M238" i="8"/>
  <c r="N238" i="8"/>
  <c r="N237" i="8"/>
  <c r="H237" i="8"/>
  <c r="M237" i="8"/>
  <c r="I237" i="8"/>
  <c r="E237" i="8"/>
  <c r="D237" i="8"/>
  <c r="C237" i="8"/>
  <c r="A237" i="8"/>
  <c r="N236" i="8"/>
  <c r="H236" i="8"/>
  <c r="M236" i="8"/>
  <c r="I236" i="8"/>
  <c r="E236" i="8"/>
  <c r="D236" i="8"/>
  <c r="C236" i="8"/>
  <c r="A236" i="8"/>
  <c r="N235" i="8"/>
  <c r="H235" i="8"/>
  <c r="M235" i="8"/>
  <c r="I235" i="8"/>
  <c r="E235" i="8"/>
  <c r="D235" i="8"/>
  <c r="C235" i="8"/>
  <c r="A235" i="8"/>
  <c r="N234" i="8"/>
  <c r="H234" i="8"/>
  <c r="M234" i="8"/>
  <c r="I234" i="8"/>
  <c r="E234" i="8"/>
  <c r="D234" i="8"/>
  <c r="C234" i="8"/>
  <c r="A234" i="8"/>
  <c r="N233" i="8"/>
  <c r="H233" i="8"/>
  <c r="M233" i="8"/>
  <c r="I233" i="8"/>
  <c r="E233" i="8"/>
  <c r="D233" i="8"/>
  <c r="C233" i="8"/>
  <c r="A233" i="8"/>
  <c r="N232" i="8"/>
  <c r="H232" i="8"/>
  <c r="M232" i="8"/>
  <c r="I232" i="8"/>
  <c r="E232" i="8"/>
  <c r="D232" i="8"/>
  <c r="C232" i="8"/>
  <c r="A232" i="8"/>
  <c r="N231" i="8"/>
  <c r="H231" i="8"/>
  <c r="M231" i="8"/>
  <c r="I231" i="8"/>
  <c r="E231" i="8"/>
  <c r="D231" i="8"/>
  <c r="C231" i="8"/>
  <c r="A231" i="8"/>
  <c r="N230" i="8"/>
  <c r="H230" i="8"/>
  <c r="M230" i="8"/>
  <c r="I230" i="8"/>
  <c r="E230" i="8"/>
  <c r="D230" i="8"/>
  <c r="C230" i="8"/>
  <c r="A230" i="8"/>
  <c r="N229" i="8"/>
  <c r="H229" i="8"/>
  <c r="M229" i="8"/>
  <c r="I229" i="8"/>
  <c r="E229" i="8"/>
  <c r="D229" i="8"/>
  <c r="C229" i="8"/>
  <c r="A229" i="8"/>
  <c r="N228" i="8"/>
  <c r="H228" i="8"/>
  <c r="M228" i="8"/>
  <c r="I228" i="8"/>
  <c r="E228" i="8"/>
  <c r="D228" i="8"/>
  <c r="C228" i="8"/>
  <c r="A228" i="8"/>
  <c r="N227" i="8"/>
  <c r="H227" i="8"/>
  <c r="M227" i="8"/>
  <c r="I227" i="8"/>
  <c r="E227" i="8"/>
  <c r="D227" i="8"/>
  <c r="C227" i="8"/>
  <c r="A227" i="8"/>
  <c r="N226" i="8"/>
  <c r="H226" i="8"/>
  <c r="M226" i="8"/>
  <c r="I226" i="8"/>
  <c r="E226" i="8"/>
  <c r="D226" i="8"/>
  <c r="C226" i="8"/>
  <c r="A226" i="8"/>
  <c r="N225" i="8"/>
  <c r="H225" i="8"/>
  <c r="M225" i="8"/>
  <c r="I225" i="8"/>
  <c r="E225" i="8"/>
  <c r="D225" i="8"/>
  <c r="C225" i="8"/>
  <c r="A225" i="8"/>
  <c r="N224" i="8"/>
  <c r="H224" i="8"/>
  <c r="M224" i="8"/>
  <c r="I224" i="8"/>
  <c r="E224" i="8"/>
  <c r="D224" i="8"/>
  <c r="C224" i="8"/>
  <c r="A224" i="8"/>
  <c r="N223" i="8"/>
  <c r="H223" i="8"/>
  <c r="M223" i="8"/>
  <c r="I223" i="8"/>
  <c r="E223" i="8"/>
  <c r="D223" i="8"/>
  <c r="C223" i="8"/>
  <c r="A223" i="8"/>
  <c r="N222" i="8"/>
  <c r="H222" i="8"/>
  <c r="M222" i="8"/>
  <c r="I222" i="8"/>
  <c r="E222" i="8"/>
  <c r="D222" i="8"/>
  <c r="C222" i="8"/>
  <c r="A222" i="8"/>
  <c r="N221" i="8"/>
  <c r="H221" i="8"/>
  <c r="M221" i="8"/>
  <c r="I221" i="8"/>
  <c r="E221" i="8"/>
  <c r="D221" i="8"/>
  <c r="C221" i="8"/>
  <c r="A221" i="8"/>
  <c r="N220" i="8"/>
  <c r="H220" i="8"/>
  <c r="M220" i="8"/>
  <c r="I220" i="8"/>
  <c r="E220" i="8"/>
  <c r="D220" i="8"/>
  <c r="C220" i="8"/>
  <c r="A220" i="8"/>
  <c r="N219" i="8"/>
  <c r="H219" i="8"/>
  <c r="M219" i="8"/>
  <c r="I219" i="8"/>
  <c r="E219" i="8"/>
  <c r="D219" i="8"/>
  <c r="C219" i="8"/>
  <c r="A219" i="8"/>
  <c r="N218" i="8"/>
  <c r="H218" i="8"/>
  <c r="M218" i="8"/>
  <c r="I218" i="8"/>
  <c r="E218" i="8"/>
  <c r="D218" i="8"/>
  <c r="C218" i="8"/>
  <c r="A218" i="8"/>
  <c r="N217" i="8"/>
  <c r="H217" i="8"/>
  <c r="M217" i="8"/>
  <c r="I217" i="8"/>
  <c r="E217" i="8"/>
  <c r="D217" i="8"/>
  <c r="C217" i="8"/>
  <c r="A217" i="8"/>
  <c r="N216" i="8"/>
  <c r="H216" i="8"/>
  <c r="M216" i="8"/>
  <c r="I216" i="8"/>
  <c r="E216" i="8"/>
  <c r="D216" i="8"/>
  <c r="C216" i="8"/>
  <c r="A216" i="8"/>
  <c r="N215" i="8"/>
  <c r="H215" i="8"/>
  <c r="M215" i="8"/>
  <c r="I215" i="8"/>
  <c r="E215" i="8"/>
  <c r="D215" i="8"/>
  <c r="C215" i="8"/>
  <c r="A215" i="8"/>
  <c r="N214" i="8"/>
  <c r="H214" i="8"/>
  <c r="M214" i="8"/>
  <c r="I214" i="8"/>
  <c r="E214" i="8"/>
  <c r="D214" i="8"/>
  <c r="C214" i="8"/>
  <c r="A214" i="8"/>
  <c r="N213" i="8"/>
  <c r="H213" i="8"/>
  <c r="M213" i="8"/>
  <c r="I213" i="8"/>
  <c r="E213" i="8"/>
  <c r="D213" i="8"/>
  <c r="C213" i="8"/>
  <c r="A213" i="8"/>
  <c r="N212" i="8"/>
  <c r="H212" i="8"/>
  <c r="M212" i="8"/>
  <c r="I212" i="8"/>
  <c r="E212" i="8"/>
  <c r="D212" i="8"/>
  <c r="C212" i="8"/>
  <c r="A212" i="8"/>
  <c r="N211" i="8"/>
  <c r="H211" i="8"/>
  <c r="M211" i="8"/>
  <c r="I211" i="8"/>
  <c r="E211" i="8"/>
  <c r="D211" i="8"/>
  <c r="C211" i="8"/>
  <c r="A211" i="8"/>
  <c r="N210" i="8"/>
  <c r="H210" i="8"/>
  <c r="M210" i="8"/>
  <c r="I210" i="8"/>
  <c r="E210" i="8"/>
  <c r="D210" i="8"/>
  <c r="C210" i="8"/>
  <c r="A210" i="8"/>
  <c r="N209" i="8"/>
  <c r="H209" i="8"/>
  <c r="M209" i="8"/>
  <c r="I209" i="8"/>
  <c r="E209" i="8"/>
  <c r="D209" i="8"/>
  <c r="C209" i="8"/>
  <c r="A209" i="8"/>
  <c r="N208" i="8"/>
  <c r="H208" i="8"/>
  <c r="M208" i="8"/>
  <c r="I208" i="8"/>
  <c r="E208" i="8"/>
  <c r="D208" i="8"/>
  <c r="C208" i="8"/>
  <c r="A208" i="8"/>
  <c r="N207" i="8"/>
  <c r="H207" i="8"/>
  <c r="M207" i="8"/>
  <c r="I207" i="8"/>
  <c r="E207" i="8"/>
  <c r="D207" i="8"/>
  <c r="C207" i="8"/>
  <c r="A207" i="8"/>
  <c r="N206" i="8"/>
  <c r="H206" i="8"/>
  <c r="M206" i="8"/>
  <c r="I206" i="8"/>
  <c r="E206" i="8"/>
  <c r="D206" i="8"/>
  <c r="C206" i="8"/>
  <c r="A206" i="8"/>
  <c r="N205" i="8"/>
  <c r="H205" i="8"/>
  <c r="M205" i="8"/>
  <c r="I205" i="8"/>
  <c r="E205" i="8"/>
  <c r="D205" i="8"/>
  <c r="C205" i="8"/>
  <c r="A205" i="8"/>
  <c r="N204" i="8"/>
  <c r="H204" i="8"/>
  <c r="M204" i="8"/>
  <c r="I204" i="8"/>
  <c r="E204" i="8"/>
  <c r="D204" i="8"/>
  <c r="C204" i="8"/>
  <c r="A204" i="8"/>
  <c r="N203" i="8"/>
  <c r="H203" i="8"/>
  <c r="M203" i="8"/>
  <c r="I203" i="8"/>
  <c r="E203" i="8"/>
  <c r="D203" i="8"/>
  <c r="C203" i="8"/>
  <c r="A203" i="8"/>
  <c r="N202" i="8"/>
  <c r="H202" i="8"/>
  <c r="M202" i="8"/>
  <c r="I202" i="8"/>
  <c r="E202" i="8"/>
  <c r="D202" i="8"/>
  <c r="C202" i="8"/>
  <c r="A202" i="8"/>
  <c r="H197" i="8"/>
  <c r="I197" i="8"/>
  <c r="J197" i="8"/>
  <c r="K197" i="8"/>
  <c r="L197" i="8"/>
  <c r="M197" i="8"/>
  <c r="N197" i="8"/>
  <c r="N196" i="8"/>
  <c r="H196" i="8"/>
  <c r="M196" i="8"/>
  <c r="I196" i="8"/>
  <c r="E196" i="8"/>
  <c r="D196" i="8"/>
  <c r="C196" i="8"/>
  <c r="A196" i="8"/>
  <c r="N195" i="8"/>
  <c r="H195" i="8"/>
  <c r="M195" i="8"/>
  <c r="I195" i="8"/>
  <c r="E195" i="8"/>
  <c r="D195" i="8"/>
  <c r="C195" i="8"/>
  <c r="A195" i="8"/>
  <c r="N194" i="8"/>
  <c r="H194" i="8"/>
  <c r="M194" i="8"/>
  <c r="I194" i="8"/>
  <c r="E194" i="8"/>
  <c r="D194" i="8"/>
  <c r="C194" i="8"/>
  <c r="A194" i="8"/>
  <c r="N193" i="8"/>
  <c r="H193" i="8"/>
  <c r="M193" i="8"/>
  <c r="I193" i="8"/>
  <c r="E193" i="8"/>
  <c r="D193" i="8"/>
  <c r="C193" i="8"/>
  <c r="A193" i="8"/>
  <c r="N192" i="8"/>
  <c r="H192" i="8"/>
  <c r="M192" i="8"/>
  <c r="I192" i="8"/>
  <c r="E192" i="8"/>
  <c r="D192" i="8"/>
  <c r="C192" i="8"/>
  <c r="A192" i="8"/>
  <c r="N191" i="8"/>
  <c r="H191" i="8"/>
  <c r="M191" i="8"/>
  <c r="I191" i="8"/>
  <c r="E191" i="8"/>
  <c r="D191" i="8"/>
  <c r="C191" i="8"/>
  <c r="A191" i="8"/>
  <c r="N190" i="8"/>
  <c r="H190" i="8"/>
  <c r="M190" i="8"/>
  <c r="I190" i="8"/>
  <c r="E190" i="8"/>
  <c r="D190" i="8"/>
  <c r="C190" i="8"/>
  <c r="A190" i="8"/>
  <c r="N189" i="8"/>
  <c r="H189" i="8"/>
  <c r="M189" i="8"/>
  <c r="I189" i="8"/>
  <c r="E189" i="8"/>
  <c r="D189" i="8"/>
  <c r="C189" i="8"/>
  <c r="A189" i="8"/>
  <c r="N188" i="8"/>
  <c r="H188" i="8"/>
  <c r="M188" i="8"/>
  <c r="I188" i="8"/>
  <c r="E188" i="8"/>
  <c r="D188" i="8"/>
  <c r="C188" i="8"/>
  <c r="A188" i="8"/>
  <c r="N187" i="8"/>
  <c r="H187" i="8"/>
  <c r="M187" i="8"/>
  <c r="I187" i="8"/>
  <c r="E187" i="8"/>
  <c r="D187" i="8"/>
  <c r="C187" i="8"/>
  <c r="A187" i="8"/>
  <c r="N186" i="8"/>
  <c r="H186" i="8"/>
  <c r="M186" i="8"/>
  <c r="I186" i="8"/>
  <c r="E186" i="8"/>
  <c r="D186" i="8"/>
  <c r="C186" i="8"/>
  <c r="A186" i="8"/>
  <c r="N185" i="8"/>
  <c r="H185" i="8"/>
  <c r="M185" i="8"/>
  <c r="I185" i="8"/>
  <c r="E185" i="8"/>
  <c r="D185" i="8"/>
  <c r="C185" i="8"/>
  <c r="A185" i="8"/>
  <c r="N184" i="8"/>
  <c r="H184" i="8"/>
  <c r="M184" i="8"/>
  <c r="I184" i="8"/>
  <c r="E184" i="8"/>
  <c r="D184" i="8"/>
  <c r="C184" i="8"/>
  <c r="A184" i="8"/>
  <c r="N183" i="8"/>
  <c r="H183" i="8"/>
  <c r="M183" i="8"/>
  <c r="I183" i="8"/>
  <c r="E183" i="8"/>
  <c r="D183" i="8"/>
  <c r="C183" i="8"/>
  <c r="A183" i="8"/>
  <c r="N182" i="8"/>
  <c r="H182" i="8"/>
  <c r="M182" i="8"/>
  <c r="I182" i="8"/>
  <c r="E182" i="8"/>
  <c r="D182" i="8"/>
  <c r="C182" i="8"/>
  <c r="A182" i="8"/>
  <c r="N181" i="8"/>
  <c r="H181" i="8"/>
  <c r="M181" i="8"/>
  <c r="I181" i="8"/>
  <c r="E181" i="8"/>
  <c r="D181" i="8"/>
  <c r="C181" i="8"/>
  <c r="A181" i="8"/>
  <c r="N180" i="8"/>
  <c r="H180" i="8"/>
  <c r="M180" i="8"/>
  <c r="I180" i="8"/>
  <c r="E180" i="8"/>
  <c r="D180" i="8"/>
  <c r="C180" i="8"/>
  <c r="A180" i="8"/>
  <c r="N179" i="8"/>
  <c r="H179" i="8"/>
  <c r="M179" i="8"/>
  <c r="I179" i="8"/>
  <c r="E179" i="8"/>
  <c r="D179" i="8"/>
  <c r="C179" i="8"/>
  <c r="A179" i="8"/>
  <c r="N178" i="8"/>
  <c r="H178" i="8"/>
  <c r="M178" i="8"/>
  <c r="I178" i="8"/>
  <c r="E178" i="8"/>
  <c r="D178" i="8"/>
  <c r="C178" i="8"/>
  <c r="A178" i="8"/>
  <c r="N177" i="8"/>
  <c r="H177" i="8"/>
  <c r="M177" i="8"/>
  <c r="I177" i="8"/>
  <c r="E177" i="8"/>
  <c r="D177" i="8"/>
  <c r="C177" i="8"/>
  <c r="A177" i="8"/>
  <c r="N176" i="8"/>
  <c r="H176" i="8"/>
  <c r="M176" i="8"/>
  <c r="I176" i="8"/>
  <c r="E176" i="8"/>
  <c r="D176" i="8"/>
  <c r="C176" i="8"/>
  <c r="A176" i="8"/>
  <c r="N175" i="8"/>
  <c r="H175" i="8"/>
  <c r="M175" i="8"/>
  <c r="I175" i="8"/>
  <c r="E175" i="8"/>
  <c r="D175" i="8"/>
  <c r="C175" i="8"/>
  <c r="A175" i="8"/>
  <c r="N174" i="8"/>
  <c r="H174" i="8"/>
  <c r="M174" i="8"/>
  <c r="I174" i="8"/>
  <c r="E174" i="8"/>
  <c r="D174" i="8"/>
  <c r="C174" i="8"/>
  <c r="A174" i="8"/>
  <c r="N173" i="8"/>
  <c r="H173" i="8"/>
  <c r="M173" i="8"/>
  <c r="I173" i="8"/>
  <c r="E173" i="8"/>
  <c r="D173" i="8"/>
  <c r="C173" i="8"/>
  <c r="A173" i="8"/>
  <c r="N172" i="8"/>
  <c r="H172" i="8"/>
  <c r="M172" i="8"/>
  <c r="I172" i="8"/>
  <c r="E172" i="8"/>
  <c r="D172" i="8"/>
  <c r="C172" i="8"/>
  <c r="A172" i="8"/>
  <c r="N171" i="8"/>
  <c r="H171" i="8"/>
  <c r="M171" i="8"/>
  <c r="I171" i="8"/>
  <c r="E171" i="8"/>
  <c r="D171" i="8"/>
  <c r="C171" i="8"/>
  <c r="A171" i="8"/>
  <c r="N170" i="8"/>
  <c r="H170" i="8"/>
  <c r="M170" i="8"/>
  <c r="I170" i="8"/>
  <c r="E170" i="8"/>
  <c r="D170" i="8"/>
  <c r="C170" i="8"/>
  <c r="A170" i="8"/>
  <c r="N169" i="8"/>
  <c r="H169" i="8"/>
  <c r="M169" i="8"/>
  <c r="I169" i="8"/>
  <c r="E169" i="8"/>
  <c r="D169" i="8"/>
  <c r="C169" i="8"/>
  <c r="A169" i="8"/>
  <c r="N168" i="8"/>
  <c r="H168" i="8"/>
  <c r="M168" i="8"/>
  <c r="I168" i="8"/>
  <c r="E168" i="8"/>
  <c r="D168" i="8"/>
  <c r="C168" i="8"/>
  <c r="A168" i="8"/>
  <c r="N167" i="8"/>
  <c r="H167" i="8"/>
  <c r="M167" i="8"/>
  <c r="I167" i="8"/>
  <c r="E167" i="8"/>
  <c r="D167" i="8"/>
  <c r="C167" i="8"/>
  <c r="A167" i="8"/>
  <c r="N166" i="8"/>
  <c r="H166" i="8"/>
  <c r="M166" i="8"/>
  <c r="I166" i="8"/>
  <c r="E166" i="8"/>
  <c r="D166" i="8"/>
  <c r="C166" i="8"/>
  <c r="A166" i="8"/>
  <c r="N165" i="8"/>
  <c r="H165" i="8"/>
  <c r="M165" i="8"/>
  <c r="I165" i="8"/>
  <c r="E165" i="8"/>
  <c r="D165" i="8"/>
  <c r="C165" i="8"/>
  <c r="A165" i="8"/>
  <c r="N164" i="8"/>
  <c r="H164" i="8"/>
  <c r="M164" i="8"/>
  <c r="I164" i="8"/>
  <c r="E164" i="8"/>
  <c r="D164" i="8"/>
  <c r="C164" i="8"/>
  <c r="A164" i="8"/>
  <c r="N163" i="8"/>
  <c r="H163" i="8"/>
  <c r="M163" i="8"/>
  <c r="I163" i="8"/>
  <c r="E163" i="8"/>
  <c r="D163" i="8"/>
  <c r="C163" i="8"/>
  <c r="A163" i="8"/>
  <c r="N162" i="8"/>
  <c r="H162" i="8"/>
  <c r="M162" i="8"/>
  <c r="I162" i="8"/>
  <c r="E162" i="8"/>
  <c r="D162" i="8"/>
  <c r="C162" i="8"/>
  <c r="A162" i="8"/>
  <c r="N161" i="8"/>
  <c r="H161" i="8"/>
  <c r="M161" i="8"/>
  <c r="I161" i="8"/>
  <c r="E161" i="8"/>
  <c r="D161" i="8"/>
  <c r="C161" i="8"/>
  <c r="A161" i="8"/>
  <c r="H156" i="8"/>
  <c r="I156" i="8"/>
  <c r="J156" i="8"/>
  <c r="K156" i="8"/>
  <c r="L156" i="8"/>
  <c r="M156" i="8"/>
  <c r="N156" i="8"/>
  <c r="N155" i="8"/>
  <c r="H155" i="8"/>
  <c r="M155" i="8"/>
  <c r="I155" i="8"/>
  <c r="E155" i="8"/>
  <c r="D155" i="8"/>
  <c r="C155" i="8"/>
  <c r="A155" i="8"/>
  <c r="N154" i="8"/>
  <c r="H154" i="8"/>
  <c r="M154" i="8"/>
  <c r="I154" i="8"/>
  <c r="E154" i="8"/>
  <c r="D154" i="8"/>
  <c r="C154" i="8"/>
  <c r="A154" i="8"/>
  <c r="N153" i="8"/>
  <c r="H153" i="8"/>
  <c r="M153" i="8"/>
  <c r="I153" i="8"/>
  <c r="E153" i="8"/>
  <c r="D153" i="8"/>
  <c r="C153" i="8"/>
  <c r="A153" i="8"/>
  <c r="N152" i="8"/>
  <c r="H152" i="8"/>
  <c r="M152" i="8"/>
  <c r="I152" i="8"/>
  <c r="E152" i="8"/>
  <c r="D152" i="8"/>
  <c r="C152" i="8"/>
  <c r="A152" i="8"/>
  <c r="N151" i="8"/>
  <c r="H151" i="8"/>
  <c r="M151" i="8"/>
  <c r="I151" i="8"/>
  <c r="E151" i="8"/>
  <c r="D151" i="8"/>
  <c r="C151" i="8"/>
  <c r="A151" i="8"/>
  <c r="N150" i="8"/>
  <c r="H150" i="8"/>
  <c r="M150" i="8"/>
  <c r="I150" i="8"/>
  <c r="E150" i="8"/>
  <c r="D150" i="8"/>
  <c r="C150" i="8"/>
  <c r="A150" i="8"/>
  <c r="N149" i="8"/>
  <c r="H149" i="8"/>
  <c r="M149" i="8"/>
  <c r="I149" i="8"/>
  <c r="E149" i="8"/>
  <c r="D149" i="8"/>
  <c r="C149" i="8"/>
  <c r="A149" i="8"/>
  <c r="N148" i="8"/>
  <c r="H148" i="8"/>
  <c r="M148" i="8"/>
  <c r="I148" i="8"/>
  <c r="E148" i="8"/>
  <c r="D148" i="8"/>
  <c r="C148" i="8"/>
  <c r="A148" i="8"/>
  <c r="N147" i="8"/>
  <c r="H147" i="8"/>
  <c r="M147" i="8"/>
  <c r="I147" i="8"/>
  <c r="E147" i="8"/>
  <c r="D147" i="8"/>
  <c r="C147" i="8"/>
  <c r="A147" i="8"/>
  <c r="N146" i="8"/>
  <c r="H146" i="8"/>
  <c r="M146" i="8"/>
  <c r="I146" i="8"/>
  <c r="E146" i="8"/>
  <c r="D146" i="8"/>
  <c r="C146" i="8"/>
  <c r="A146" i="8"/>
  <c r="N145" i="8"/>
  <c r="H145" i="8"/>
  <c r="M145" i="8"/>
  <c r="I145" i="8"/>
  <c r="E145" i="8"/>
  <c r="D145" i="8"/>
  <c r="C145" i="8"/>
  <c r="A145" i="8"/>
  <c r="N144" i="8"/>
  <c r="H144" i="8"/>
  <c r="M144" i="8"/>
  <c r="I144" i="8"/>
  <c r="E144" i="8"/>
  <c r="D144" i="8"/>
  <c r="C144" i="8"/>
  <c r="A144" i="8"/>
  <c r="N143" i="8"/>
  <c r="H143" i="8"/>
  <c r="M143" i="8"/>
  <c r="I143" i="8"/>
  <c r="E143" i="8"/>
  <c r="D143" i="8"/>
  <c r="C143" i="8"/>
  <c r="A143" i="8"/>
  <c r="N142" i="8"/>
  <c r="H142" i="8"/>
  <c r="M142" i="8"/>
  <c r="I142" i="8"/>
  <c r="E142" i="8"/>
  <c r="D142" i="8"/>
  <c r="C142" i="8"/>
  <c r="A142" i="8"/>
  <c r="N141" i="8"/>
  <c r="H141" i="8"/>
  <c r="M141" i="8"/>
  <c r="I141" i="8"/>
  <c r="E141" i="8"/>
  <c r="D141" i="8"/>
  <c r="C141" i="8"/>
  <c r="A141" i="8"/>
  <c r="N140" i="8"/>
  <c r="H140" i="8"/>
  <c r="M140" i="8"/>
  <c r="I140" i="8"/>
  <c r="E140" i="8"/>
  <c r="D140" i="8"/>
  <c r="C140" i="8"/>
  <c r="A140" i="8"/>
  <c r="N139" i="8"/>
  <c r="H139" i="8"/>
  <c r="M139" i="8"/>
  <c r="I139" i="8"/>
  <c r="E139" i="8"/>
  <c r="D139" i="8"/>
  <c r="C139" i="8"/>
  <c r="A139" i="8"/>
  <c r="N138" i="8"/>
  <c r="H138" i="8"/>
  <c r="M138" i="8"/>
  <c r="I138" i="8"/>
  <c r="E138" i="8"/>
  <c r="D138" i="8"/>
  <c r="C138" i="8"/>
  <c r="A138" i="8"/>
  <c r="N137" i="8"/>
  <c r="H137" i="8"/>
  <c r="M137" i="8"/>
  <c r="I137" i="8"/>
  <c r="E137" i="8"/>
  <c r="D137" i="8"/>
  <c r="C137" i="8"/>
  <c r="A137" i="8"/>
  <c r="N136" i="8"/>
  <c r="H136" i="8"/>
  <c r="M136" i="8"/>
  <c r="I136" i="8"/>
  <c r="E136" i="8"/>
  <c r="D136" i="8"/>
  <c r="C136" i="8"/>
  <c r="A136" i="8"/>
  <c r="N135" i="8"/>
  <c r="H135" i="8"/>
  <c r="M135" i="8"/>
  <c r="I135" i="8"/>
  <c r="E135" i="8"/>
  <c r="D135" i="8"/>
  <c r="C135" i="8"/>
  <c r="A135" i="8"/>
  <c r="N134" i="8"/>
  <c r="H134" i="8"/>
  <c r="M134" i="8"/>
  <c r="I134" i="8"/>
  <c r="E134" i="8"/>
  <c r="D134" i="8"/>
  <c r="C134" i="8"/>
  <c r="A134" i="8"/>
  <c r="N133" i="8"/>
  <c r="H133" i="8"/>
  <c r="M133" i="8"/>
  <c r="I133" i="8"/>
  <c r="E133" i="8"/>
  <c r="D133" i="8"/>
  <c r="C133" i="8"/>
  <c r="A133" i="8"/>
  <c r="N132" i="8"/>
  <c r="H132" i="8"/>
  <c r="M132" i="8"/>
  <c r="I132" i="8"/>
  <c r="E132" i="8"/>
  <c r="D132" i="8"/>
  <c r="C132" i="8"/>
  <c r="A132" i="8"/>
  <c r="N131" i="8"/>
  <c r="H131" i="8"/>
  <c r="M131" i="8"/>
  <c r="I131" i="8"/>
  <c r="E131" i="8"/>
  <c r="D131" i="8"/>
  <c r="C131" i="8"/>
  <c r="A131" i="8"/>
  <c r="N130" i="8"/>
  <c r="H130" i="8"/>
  <c r="M130" i="8"/>
  <c r="I130" i="8"/>
  <c r="E130" i="8"/>
  <c r="D130" i="8"/>
  <c r="C130" i="8"/>
  <c r="A130" i="8"/>
  <c r="N129" i="8"/>
  <c r="H129" i="8"/>
  <c r="M129" i="8"/>
  <c r="I129" i="8"/>
  <c r="E129" i="8"/>
  <c r="D129" i="8"/>
  <c r="C129" i="8"/>
  <c r="A129" i="8"/>
  <c r="N128" i="8"/>
  <c r="H128" i="8"/>
  <c r="M128" i="8"/>
  <c r="I128" i="8"/>
  <c r="E128" i="8"/>
  <c r="D128" i="8"/>
  <c r="C128" i="8"/>
  <c r="A128" i="8"/>
  <c r="N127" i="8"/>
  <c r="H127" i="8"/>
  <c r="M127" i="8"/>
  <c r="I127" i="8"/>
  <c r="E127" i="8"/>
  <c r="D127" i="8"/>
  <c r="C127" i="8"/>
  <c r="A127" i="8"/>
  <c r="N126" i="8"/>
  <c r="H126" i="8"/>
  <c r="M126" i="8"/>
  <c r="I126" i="8"/>
  <c r="E126" i="8"/>
  <c r="D126" i="8"/>
  <c r="C126" i="8"/>
  <c r="A126" i="8"/>
  <c r="N125" i="8"/>
  <c r="H125" i="8"/>
  <c r="M125" i="8"/>
  <c r="I125" i="8"/>
  <c r="E125" i="8"/>
  <c r="D125" i="8"/>
  <c r="C125" i="8"/>
  <c r="A125" i="8"/>
  <c r="N124" i="8"/>
  <c r="H124" i="8"/>
  <c r="M124" i="8"/>
  <c r="I124" i="8"/>
  <c r="E124" i="8"/>
  <c r="D124" i="8"/>
  <c r="C124" i="8"/>
  <c r="A124" i="8"/>
  <c r="N123" i="8"/>
  <c r="H123" i="8"/>
  <c r="M123" i="8"/>
  <c r="I123" i="8"/>
  <c r="E123" i="8"/>
  <c r="D123" i="8"/>
  <c r="C123" i="8"/>
  <c r="A123" i="8"/>
  <c r="N122" i="8"/>
  <c r="H122" i="8"/>
  <c r="M122" i="8"/>
  <c r="I122" i="8"/>
  <c r="E122" i="8"/>
  <c r="D122" i="8"/>
  <c r="C122" i="8"/>
  <c r="A122" i="8"/>
  <c r="N121" i="8"/>
  <c r="H121" i="8"/>
  <c r="M121" i="8"/>
  <c r="I121" i="8"/>
  <c r="E121" i="8"/>
  <c r="D121" i="8"/>
  <c r="C121" i="8"/>
  <c r="A121" i="8"/>
  <c r="N120" i="8"/>
  <c r="H120" i="8"/>
  <c r="M120" i="8"/>
  <c r="I120" i="8"/>
  <c r="E120" i="8"/>
  <c r="D120" i="8"/>
  <c r="C120" i="8"/>
  <c r="A120" i="8"/>
  <c r="H115" i="8"/>
  <c r="I115" i="8"/>
  <c r="J115" i="8"/>
  <c r="K115" i="8"/>
  <c r="L115" i="8"/>
  <c r="M115" i="8"/>
  <c r="N115" i="8"/>
  <c r="N114" i="8"/>
  <c r="H114" i="8"/>
  <c r="M114" i="8"/>
  <c r="I114" i="8"/>
  <c r="E114" i="8"/>
  <c r="D114" i="8"/>
  <c r="C114" i="8"/>
  <c r="A114" i="8"/>
  <c r="N113" i="8"/>
  <c r="H113" i="8"/>
  <c r="M113" i="8"/>
  <c r="I113" i="8"/>
  <c r="E113" i="8"/>
  <c r="D113" i="8"/>
  <c r="C113" i="8"/>
  <c r="A113" i="8"/>
  <c r="N112" i="8"/>
  <c r="H112" i="8"/>
  <c r="M112" i="8"/>
  <c r="I112" i="8"/>
  <c r="E112" i="8"/>
  <c r="D112" i="8"/>
  <c r="C112" i="8"/>
  <c r="A112" i="8"/>
  <c r="N111" i="8"/>
  <c r="H111" i="8"/>
  <c r="M111" i="8"/>
  <c r="I111" i="8"/>
  <c r="E111" i="8"/>
  <c r="D111" i="8"/>
  <c r="C111" i="8"/>
  <c r="A111" i="8"/>
  <c r="N110" i="8"/>
  <c r="H110" i="8"/>
  <c r="M110" i="8"/>
  <c r="I110" i="8"/>
  <c r="E110" i="8"/>
  <c r="D110" i="8"/>
  <c r="C110" i="8"/>
  <c r="A110" i="8"/>
  <c r="N109" i="8"/>
  <c r="H109" i="8"/>
  <c r="M109" i="8"/>
  <c r="I109" i="8"/>
  <c r="E109" i="8"/>
  <c r="D109" i="8"/>
  <c r="C109" i="8"/>
  <c r="A109" i="8"/>
  <c r="N108" i="8"/>
  <c r="H108" i="8"/>
  <c r="M108" i="8"/>
  <c r="I108" i="8"/>
  <c r="E108" i="8"/>
  <c r="D108" i="8"/>
  <c r="C108" i="8"/>
  <c r="A108" i="8"/>
  <c r="N107" i="8"/>
  <c r="H107" i="8"/>
  <c r="M107" i="8"/>
  <c r="I107" i="8"/>
  <c r="E107" i="8"/>
  <c r="D107" i="8"/>
  <c r="C107" i="8"/>
  <c r="A107" i="8"/>
  <c r="N106" i="8"/>
  <c r="H106" i="8"/>
  <c r="M106" i="8"/>
  <c r="I106" i="8"/>
  <c r="E106" i="8"/>
  <c r="D106" i="8"/>
  <c r="C106" i="8"/>
  <c r="A106" i="8"/>
  <c r="N105" i="8"/>
  <c r="H105" i="8"/>
  <c r="M105" i="8"/>
  <c r="I105" i="8"/>
  <c r="E105" i="8"/>
  <c r="D105" i="8"/>
  <c r="C105" i="8"/>
  <c r="A105" i="8"/>
  <c r="N104" i="8"/>
  <c r="H104" i="8"/>
  <c r="M104" i="8"/>
  <c r="I104" i="8"/>
  <c r="E104" i="8"/>
  <c r="D104" i="8"/>
  <c r="C104" i="8"/>
  <c r="A104" i="8"/>
  <c r="N103" i="8"/>
  <c r="H103" i="8"/>
  <c r="M103" i="8"/>
  <c r="I103" i="8"/>
  <c r="E103" i="8"/>
  <c r="D103" i="8"/>
  <c r="C103" i="8"/>
  <c r="A103" i="8"/>
  <c r="N102" i="8"/>
  <c r="H102" i="8"/>
  <c r="M102" i="8"/>
  <c r="I102" i="8"/>
  <c r="E102" i="8"/>
  <c r="D102" i="8"/>
  <c r="C102" i="8"/>
  <c r="A102" i="8"/>
  <c r="N101" i="8"/>
  <c r="H101" i="8"/>
  <c r="M101" i="8"/>
  <c r="I101" i="8"/>
  <c r="E101" i="8"/>
  <c r="D101" i="8"/>
  <c r="C101" i="8"/>
  <c r="A101" i="8"/>
  <c r="N100" i="8"/>
  <c r="H100" i="8"/>
  <c r="M100" i="8"/>
  <c r="I100" i="8"/>
  <c r="E100" i="8"/>
  <c r="D100" i="8"/>
  <c r="C100" i="8"/>
  <c r="A100" i="8"/>
  <c r="N99" i="8"/>
  <c r="H99" i="8"/>
  <c r="M99" i="8"/>
  <c r="I99" i="8"/>
  <c r="E99" i="8"/>
  <c r="D99" i="8"/>
  <c r="C99" i="8"/>
  <c r="A99" i="8"/>
  <c r="N98" i="8"/>
  <c r="H98" i="8"/>
  <c r="M98" i="8"/>
  <c r="I98" i="8"/>
  <c r="E98" i="8"/>
  <c r="D98" i="8"/>
  <c r="C98" i="8"/>
  <c r="A98" i="8"/>
  <c r="N97" i="8"/>
  <c r="H97" i="8"/>
  <c r="M97" i="8"/>
  <c r="I97" i="8"/>
  <c r="E97" i="8"/>
  <c r="D97" i="8"/>
  <c r="C97" i="8"/>
  <c r="A97" i="8"/>
  <c r="N96" i="8"/>
  <c r="H96" i="8"/>
  <c r="M96" i="8"/>
  <c r="I96" i="8"/>
  <c r="E96" i="8"/>
  <c r="D96" i="8"/>
  <c r="C96" i="8"/>
  <c r="A96" i="8"/>
  <c r="N95" i="8"/>
  <c r="H95" i="8"/>
  <c r="M95" i="8"/>
  <c r="I95" i="8"/>
  <c r="E95" i="8"/>
  <c r="D95" i="8"/>
  <c r="C95" i="8"/>
  <c r="A95" i="8"/>
  <c r="N94" i="8"/>
  <c r="H94" i="8"/>
  <c r="M94" i="8"/>
  <c r="I94" i="8"/>
  <c r="E94" i="8"/>
  <c r="D94" i="8"/>
  <c r="C94" i="8"/>
  <c r="A94" i="8"/>
  <c r="N93" i="8"/>
  <c r="H93" i="8"/>
  <c r="M93" i="8"/>
  <c r="I93" i="8"/>
  <c r="E93" i="8"/>
  <c r="D93" i="8"/>
  <c r="C93" i="8"/>
  <c r="A93" i="8"/>
  <c r="N92" i="8"/>
  <c r="H92" i="8"/>
  <c r="M92" i="8"/>
  <c r="I92" i="8"/>
  <c r="E92" i="8"/>
  <c r="D92" i="8"/>
  <c r="C92" i="8"/>
  <c r="A92" i="8"/>
  <c r="N91" i="8"/>
  <c r="H91" i="8"/>
  <c r="M91" i="8"/>
  <c r="I91" i="8"/>
  <c r="E91" i="8"/>
  <c r="D91" i="8"/>
  <c r="C91" i="8"/>
  <c r="A91" i="8"/>
  <c r="N90" i="8"/>
  <c r="H90" i="8"/>
  <c r="M90" i="8"/>
  <c r="I90" i="8"/>
  <c r="E90" i="8"/>
  <c r="D90" i="8"/>
  <c r="C90" i="8"/>
  <c r="A90" i="8"/>
  <c r="N89" i="8"/>
  <c r="H89" i="8"/>
  <c r="M89" i="8"/>
  <c r="I89" i="8"/>
  <c r="E89" i="8"/>
  <c r="D89" i="8"/>
  <c r="C89" i="8"/>
  <c r="A89" i="8"/>
  <c r="N88" i="8"/>
  <c r="H88" i="8"/>
  <c r="M88" i="8"/>
  <c r="I88" i="8"/>
  <c r="E88" i="8"/>
  <c r="D88" i="8"/>
  <c r="C88" i="8"/>
  <c r="A88" i="8"/>
  <c r="N87" i="8"/>
  <c r="H87" i="8"/>
  <c r="M87" i="8"/>
  <c r="I87" i="8"/>
  <c r="E87" i="8"/>
  <c r="D87" i="8"/>
  <c r="C87" i="8"/>
  <c r="A87" i="8"/>
  <c r="N86" i="8"/>
  <c r="H86" i="8"/>
  <c r="M86" i="8"/>
  <c r="I86" i="8"/>
  <c r="E86" i="8"/>
  <c r="D86" i="8"/>
  <c r="C86" i="8"/>
  <c r="A86" i="8"/>
  <c r="N85" i="8"/>
  <c r="H85" i="8"/>
  <c r="M85" i="8"/>
  <c r="I85" i="8"/>
  <c r="E85" i="8"/>
  <c r="D85" i="8"/>
  <c r="C85" i="8"/>
  <c r="A85" i="8"/>
  <c r="N84" i="8"/>
  <c r="H84" i="8"/>
  <c r="M84" i="8"/>
  <c r="I84" i="8"/>
  <c r="E84" i="8"/>
  <c r="D84" i="8"/>
  <c r="C84" i="8"/>
  <c r="A84" i="8"/>
  <c r="N83" i="8"/>
  <c r="H83" i="8"/>
  <c r="M83" i="8"/>
  <c r="I83" i="8"/>
  <c r="E83" i="8"/>
  <c r="D83" i="8"/>
  <c r="C83" i="8"/>
  <c r="A83" i="8"/>
  <c r="N82" i="8"/>
  <c r="H82" i="8"/>
  <c r="M82" i="8"/>
  <c r="I82" i="8"/>
  <c r="E82" i="8"/>
  <c r="D82" i="8"/>
  <c r="C82" i="8"/>
  <c r="A82" i="8"/>
  <c r="N81" i="8"/>
  <c r="H81" i="8"/>
  <c r="M81" i="8"/>
  <c r="I81" i="8"/>
  <c r="E81" i="8"/>
  <c r="D81" i="8"/>
  <c r="C81" i="8"/>
  <c r="A81" i="8"/>
  <c r="N80" i="8"/>
  <c r="H80" i="8"/>
  <c r="M80" i="8"/>
  <c r="I80" i="8"/>
  <c r="E80" i="8"/>
  <c r="D80" i="8"/>
  <c r="C80" i="8"/>
  <c r="A80" i="8"/>
  <c r="N79" i="8"/>
  <c r="H79" i="8"/>
  <c r="M79" i="8"/>
  <c r="I79" i="8"/>
  <c r="E79" i="8"/>
  <c r="D79" i="8"/>
  <c r="C79" i="8"/>
  <c r="A79" i="8"/>
  <c r="H35" i="4" l="1"/>
  <c r="I35" i="4"/>
  <c r="H36" i="4"/>
  <c r="I36" i="4" s="1"/>
  <c r="H37" i="4"/>
  <c r="I37" i="4"/>
  <c r="H38" i="4"/>
  <c r="I38" i="4" s="1"/>
  <c r="H39" i="4"/>
  <c r="I39" i="4"/>
  <c r="H40" i="4"/>
  <c r="I40" i="4" s="1"/>
  <c r="AF22" i="11"/>
  <c r="H19" i="11"/>
  <c r="G19" i="11"/>
  <c r="F19" i="11"/>
  <c r="E19" i="11"/>
  <c r="D19" i="11"/>
  <c r="C19" i="11"/>
  <c r="B19" i="11"/>
  <c r="H18" i="11"/>
  <c r="G18" i="11"/>
  <c r="F18" i="11"/>
  <c r="E18" i="11"/>
  <c r="E16" i="11" s="1"/>
  <c r="D18" i="11"/>
  <c r="D16" i="11" s="1"/>
  <c r="C18" i="11"/>
  <c r="B18" i="11"/>
  <c r="B17" i="11" s="1"/>
  <c r="H17" i="11"/>
  <c r="G17" i="11"/>
  <c r="F17" i="11"/>
  <c r="C17" i="11"/>
  <c r="H16" i="11"/>
  <c r="G16" i="11"/>
  <c r="F16" i="11"/>
  <c r="C16" i="11"/>
  <c r="B16" i="11"/>
  <c r="R4" i="11"/>
  <c r="Q4" i="11"/>
  <c r="P4" i="11"/>
  <c r="O4" i="11"/>
  <c r="N4" i="11"/>
  <c r="R3" i="11"/>
  <c r="V33" i="10"/>
  <c r="AK30" i="10"/>
  <c r="AK32" i="10" s="1"/>
  <c r="AC30" i="10"/>
  <c r="AC32" i="10" s="1"/>
  <c r="V30" i="10"/>
  <c r="V32" i="10" s="1"/>
  <c r="U30" i="10"/>
  <c r="U32" i="10" s="1"/>
  <c r="M30" i="10"/>
  <c r="M32" i="10" s="1"/>
  <c r="E30" i="10"/>
  <c r="E32" i="10" s="1"/>
  <c r="C30" i="10"/>
  <c r="C32" i="10" s="1"/>
  <c r="AP29"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G29" i="10"/>
  <c r="AL28" i="10"/>
  <c r="AK28" i="10"/>
  <c r="AJ28" i="10"/>
  <c r="AI28" i="10"/>
  <c r="AH28" i="10"/>
  <c r="AG28" i="10"/>
  <c r="AF28" i="10"/>
  <c r="AE28" i="10"/>
  <c r="AD28" i="10"/>
  <c r="AD30" i="10" s="1"/>
  <c r="AD32" i="10" s="1"/>
  <c r="AC28" i="10"/>
  <c r="AB28" i="10"/>
  <c r="AA28" i="10"/>
  <c r="Z28" i="10"/>
  <c r="Y28" i="10"/>
  <c r="X28" i="10"/>
  <c r="W28" i="10"/>
  <c r="V28" i="10"/>
  <c r="U28" i="10"/>
  <c r="T28" i="10"/>
  <c r="S28" i="10"/>
  <c r="R28" i="10"/>
  <c r="Q28" i="10"/>
  <c r="P28" i="10"/>
  <c r="O28" i="10"/>
  <c r="N28" i="10"/>
  <c r="N30" i="10" s="1"/>
  <c r="N32" i="10" s="1"/>
  <c r="M28" i="10"/>
  <c r="L28" i="10"/>
  <c r="K28" i="10"/>
  <c r="J28" i="10"/>
  <c r="I28" i="10"/>
  <c r="H28" i="10"/>
  <c r="G28" i="10"/>
  <c r="F28" i="10"/>
  <c r="F30" i="10" s="1"/>
  <c r="F32" i="10" s="1"/>
  <c r="E28" i="10"/>
  <c r="D28" i="10"/>
  <c r="C28" i="10"/>
  <c r="AK26" i="10"/>
  <c r="AJ26" i="10"/>
  <c r="AJ30" i="10" s="1"/>
  <c r="AJ32" i="10" s="1"/>
  <c r="AI26" i="10"/>
  <c r="AI30" i="10" s="1"/>
  <c r="AI32" i="10" s="1"/>
  <c r="AH26" i="10"/>
  <c r="AH30" i="10" s="1"/>
  <c r="AH32" i="10" s="1"/>
  <c r="AG26" i="10"/>
  <c r="AG30" i="10" s="1"/>
  <c r="AG32" i="10" s="1"/>
  <c r="AF26" i="10"/>
  <c r="AF30" i="10" s="1"/>
  <c r="AF32" i="10" s="1"/>
  <c r="AE26" i="10"/>
  <c r="AD26" i="10"/>
  <c r="AC26" i="10"/>
  <c r="AB26" i="10"/>
  <c r="AB30" i="10" s="1"/>
  <c r="AB32" i="10" s="1"/>
  <c r="AA26" i="10"/>
  <c r="AA30" i="10" s="1"/>
  <c r="AA32" i="10" s="1"/>
  <c r="Z26" i="10"/>
  <c r="Z30" i="10" s="1"/>
  <c r="Z32" i="10" s="1"/>
  <c r="Y26" i="10"/>
  <c r="Y30" i="10" s="1"/>
  <c r="Y32" i="10" s="1"/>
  <c r="X26" i="10"/>
  <c r="X30" i="10" s="1"/>
  <c r="X32" i="10" s="1"/>
  <c r="W26" i="10"/>
  <c r="V26" i="10"/>
  <c r="U26" i="10"/>
  <c r="T26" i="10"/>
  <c r="T30" i="10" s="1"/>
  <c r="T32" i="10" s="1"/>
  <c r="S26" i="10"/>
  <c r="S30" i="10" s="1"/>
  <c r="S32" i="10" s="1"/>
  <c r="R26" i="10"/>
  <c r="R30" i="10" s="1"/>
  <c r="R32" i="10" s="1"/>
  <c r="Q26" i="10"/>
  <c r="Q30" i="10" s="1"/>
  <c r="Q32" i="10" s="1"/>
  <c r="P26" i="10"/>
  <c r="P30" i="10" s="1"/>
  <c r="P32" i="10" s="1"/>
  <c r="O26" i="10"/>
  <c r="N26" i="10"/>
  <c r="M26" i="10"/>
  <c r="L26" i="10"/>
  <c r="L30" i="10" s="1"/>
  <c r="L32" i="10" s="1"/>
  <c r="K26" i="10"/>
  <c r="K30" i="10" s="1"/>
  <c r="K32" i="10" s="1"/>
  <c r="J26" i="10"/>
  <c r="J30" i="10" s="1"/>
  <c r="J32" i="10" s="1"/>
  <c r="I26" i="10"/>
  <c r="I30" i="10" s="1"/>
  <c r="I32" i="10" s="1"/>
  <c r="H26" i="10"/>
  <c r="H30" i="10" s="1"/>
  <c r="H32" i="10" s="1"/>
  <c r="G26" i="10"/>
  <c r="F26" i="10"/>
  <c r="E26" i="10"/>
  <c r="D26" i="10"/>
  <c r="D30" i="10" s="1"/>
  <c r="D32" i="10" s="1"/>
  <c r="C26" i="10"/>
  <c r="B26" i="10"/>
  <c r="B30" i="10" s="1"/>
  <c r="B32" i="10" s="1"/>
  <c r="AV24" i="10"/>
  <c r="AK24" i="10"/>
  <c r="AE24" i="10"/>
  <c r="AD24" i="10"/>
  <c r="AA24" i="10"/>
  <c r="Z24" i="10"/>
  <c r="Y24" i="10"/>
  <c r="X24" i="10"/>
  <c r="W24" i="10"/>
  <c r="V24" i="10"/>
  <c r="U24" i="10"/>
  <c r="T24" i="10"/>
  <c r="S24" i="10"/>
  <c r="R24" i="10"/>
  <c r="Q24" i="10"/>
  <c r="P24" i="10"/>
  <c r="O24" i="10"/>
  <c r="N24" i="10"/>
  <c r="M24" i="10"/>
  <c r="M20" i="10" s="1"/>
  <c r="L24" i="10"/>
  <c r="K24" i="10"/>
  <c r="J24" i="10"/>
  <c r="I24" i="10"/>
  <c r="H24" i="10"/>
  <c r="G24" i="10"/>
  <c r="F24" i="10"/>
  <c r="E24" i="10"/>
  <c r="D24" i="10"/>
  <c r="C24" i="10"/>
  <c r="B24"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2" i="10" s="1"/>
  <c r="AD22" i="10" s="1"/>
  <c r="AE22" i="10" s="1"/>
  <c r="AF22" i="10" s="1"/>
  <c r="AG22" i="10" s="1"/>
  <c r="AH22" i="10" s="1"/>
  <c r="AI22" i="10" s="1"/>
  <c r="AJ22" i="10" s="1"/>
  <c r="AK22" i="10" s="1"/>
  <c r="AL22" i="10" s="1"/>
  <c r="AM22" i="10" s="1"/>
  <c r="AN22" i="10" s="1"/>
  <c r="AO22" i="10" s="1"/>
  <c r="AP22" i="10" s="1"/>
  <c r="AQ22" i="10" s="1"/>
  <c r="AR22" i="10" s="1"/>
  <c r="AS22" i="10" s="1"/>
  <c r="AT22" i="10" s="1"/>
  <c r="AU22" i="10" s="1"/>
  <c r="AV22" i="10" s="1"/>
  <c r="AW22" i="10" s="1"/>
  <c r="AX22" i="10" s="1"/>
  <c r="AY22" i="10" s="1"/>
  <c r="AZ22" i="10" s="1"/>
  <c r="BA22" i="10" s="1"/>
  <c r="R20" i="10"/>
  <c r="Q20" i="10"/>
  <c r="P20" i="10"/>
  <c r="O20" i="10"/>
  <c r="E15" i="10"/>
  <c r="D15" i="10"/>
  <c r="AU24" i="10" s="1"/>
  <c r="B15" i="10"/>
  <c r="AS24" i="10" s="1"/>
  <c r="P14" i="10"/>
  <c r="C15" i="10" s="1"/>
  <c r="AT24" i="10" s="1"/>
  <c r="P13" i="10"/>
  <c r="C11" i="10"/>
  <c r="I10" i="10"/>
  <c r="D4" i="10"/>
  <c r="D11" i="10" s="1"/>
  <c r="D3" i="10"/>
  <c r="B15" i="9"/>
  <c r="AU14" i="9"/>
  <c r="AT14" i="9"/>
  <c r="AS14" i="9"/>
  <c r="AR14" i="9"/>
  <c r="AQ14" i="9"/>
  <c r="AP14" i="9"/>
  <c r="AO14"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AR13" i="9"/>
  <c r="AR15" i="9" s="1"/>
  <c r="AQ13" i="9"/>
  <c r="AQ15" i="9" s="1"/>
  <c r="AP13" i="9"/>
  <c r="AP15" i="9" s="1"/>
  <c r="AO13" i="9"/>
  <c r="AO15" i="9" s="1"/>
  <c r="AN13" i="9"/>
  <c r="AN15" i="9" s="1"/>
  <c r="AM13" i="9"/>
  <c r="AM15" i="9" s="1"/>
  <c r="AL13" i="9"/>
  <c r="AL15" i="9" s="1"/>
  <c r="AK13" i="9"/>
  <c r="AK15" i="9" s="1"/>
  <c r="AJ13" i="9"/>
  <c r="AJ15" i="9" s="1"/>
  <c r="AI13" i="9"/>
  <c r="AI15" i="9" s="1"/>
  <c r="AH13" i="9"/>
  <c r="AH15" i="9" s="1"/>
  <c r="AG13" i="9"/>
  <c r="AG15" i="9" s="1"/>
  <c r="AF13" i="9"/>
  <c r="AE13" i="9"/>
  <c r="AE15" i="9" s="1"/>
  <c r="AD13" i="9"/>
  <c r="AD15" i="9" s="1"/>
  <c r="AC13" i="9"/>
  <c r="AC15" i="9" s="1"/>
  <c r="AB13" i="9"/>
  <c r="AB15" i="9" s="1"/>
  <c r="AA13" i="9"/>
  <c r="AA15" i="9" s="1"/>
  <c r="Z13" i="9"/>
  <c r="Z15" i="9" s="1"/>
  <c r="Y13" i="9"/>
  <c r="Y15" i="9" s="1"/>
  <c r="X13" i="9"/>
  <c r="W13" i="9"/>
  <c r="W15" i="9" s="1"/>
  <c r="V13" i="9"/>
  <c r="V15" i="9" s="1"/>
  <c r="U13" i="9"/>
  <c r="U15" i="9" s="1"/>
  <c r="T13" i="9"/>
  <c r="T15" i="9" s="1"/>
  <c r="S13" i="9"/>
  <c r="S15" i="9" s="1"/>
  <c r="R13" i="9"/>
  <c r="R15" i="9" s="1"/>
  <c r="Q13" i="9"/>
  <c r="Q15" i="9" s="1"/>
  <c r="P13" i="9"/>
  <c r="O13" i="9"/>
  <c r="N13" i="9"/>
  <c r="N15" i="9" s="1"/>
  <c r="M13" i="9"/>
  <c r="M15" i="9" s="1"/>
  <c r="L13" i="9"/>
  <c r="L15" i="9" s="1"/>
  <c r="K13" i="9"/>
  <c r="K15" i="9" s="1"/>
  <c r="J13" i="9"/>
  <c r="J15" i="9" s="1"/>
  <c r="I13" i="9"/>
  <c r="I15" i="9" s="1"/>
  <c r="H13" i="9"/>
  <c r="G13" i="9"/>
  <c r="F13" i="9"/>
  <c r="F15" i="9" s="1"/>
  <c r="E13" i="9"/>
  <c r="E15" i="9" s="1"/>
  <c r="D13" i="9"/>
  <c r="D15" i="9" s="1"/>
  <c r="C13" i="9"/>
  <c r="C15" i="9" s="1"/>
  <c r="BH12" i="9"/>
  <c r="BI13" i="9" s="1"/>
  <c r="BG12" i="9"/>
  <c r="BF12" i="9"/>
  <c r="BE12" i="9"/>
  <c r="BF13" i="9" s="1"/>
  <c r="BD12" i="9"/>
  <c r="AQ11" i="9"/>
  <c r="AP11" i="9"/>
  <c r="AO11" i="9"/>
  <c r="AN11" i="9"/>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E11" i="9"/>
  <c r="D11" i="9"/>
  <c r="C11" i="9"/>
  <c r="B11" i="9"/>
  <c r="BH10" i="9"/>
  <c r="BH11" i="9" s="1"/>
  <c r="BG10" i="9"/>
  <c r="BG11" i="9" s="1"/>
  <c r="BF10" i="9"/>
  <c r="BE10" i="9"/>
  <c r="BD10" i="9"/>
  <c r="AW10" i="9"/>
  <c r="AV10" i="9"/>
  <c r="BH9" i="9"/>
  <c r="BH16" i="9" s="1"/>
  <c r="BG9" i="9"/>
  <c r="BG16" i="9" s="1"/>
  <c r="BF9" i="9"/>
  <c r="BF16" i="9" s="1"/>
  <c r="AQ9" i="9"/>
  <c r="AQ16" i="9" s="1"/>
  <c r="AP9" i="9"/>
  <c r="AP16" i="9" s="1"/>
  <c r="AO9" i="9"/>
  <c r="AO16" i="9" s="1"/>
  <c r="AN9" i="9"/>
  <c r="AN16" i="9" s="1"/>
  <c r="AM9" i="9"/>
  <c r="AM16" i="9" s="1"/>
  <c r="AL9" i="9"/>
  <c r="AL16" i="9" s="1"/>
  <c r="AK9" i="9"/>
  <c r="AK16" i="9" s="1"/>
  <c r="AJ9" i="9"/>
  <c r="AJ16" i="9" s="1"/>
  <c r="AI9" i="9"/>
  <c r="AI16" i="9" s="1"/>
  <c r="AH9" i="9"/>
  <c r="AH16" i="9" s="1"/>
  <c r="AG9" i="9"/>
  <c r="AG16" i="9" s="1"/>
  <c r="AF9" i="9"/>
  <c r="AF16" i="9" s="1"/>
  <c r="AE9" i="9"/>
  <c r="AE16" i="9" s="1"/>
  <c r="AD9" i="9"/>
  <c r="AD16" i="9" s="1"/>
  <c r="AC9" i="9"/>
  <c r="AC16" i="9" s="1"/>
  <c r="AB9" i="9"/>
  <c r="AB16" i="9" s="1"/>
  <c r="AA9" i="9"/>
  <c r="AA16" i="9" s="1"/>
  <c r="Z9" i="9"/>
  <c r="Z16" i="9" s="1"/>
  <c r="Y9" i="9"/>
  <c r="Y16" i="9" s="1"/>
  <c r="X9" i="9"/>
  <c r="X16" i="9" s="1"/>
  <c r="W9" i="9"/>
  <c r="W16" i="9" s="1"/>
  <c r="V9" i="9"/>
  <c r="V16" i="9" s="1"/>
  <c r="U9" i="9"/>
  <c r="U16" i="9" s="1"/>
  <c r="T9" i="9"/>
  <c r="T16" i="9" s="1"/>
  <c r="S9" i="9"/>
  <c r="S16" i="9" s="1"/>
  <c r="R9" i="9"/>
  <c r="R16" i="9" s="1"/>
  <c r="Q9" i="9"/>
  <c r="Q16" i="9" s="1"/>
  <c r="P9" i="9"/>
  <c r="P16" i="9" s="1"/>
  <c r="O9" i="9"/>
  <c r="O16" i="9" s="1"/>
  <c r="N9" i="9"/>
  <c r="N16" i="9" s="1"/>
  <c r="M9" i="9"/>
  <c r="M16" i="9" s="1"/>
  <c r="L9" i="9"/>
  <c r="L16" i="9" s="1"/>
  <c r="K9" i="9"/>
  <c r="K16" i="9" s="1"/>
  <c r="J9" i="9"/>
  <c r="J16" i="9" s="1"/>
  <c r="I9" i="9"/>
  <c r="I16" i="9" s="1"/>
  <c r="H9" i="9"/>
  <c r="H16" i="9" s="1"/>
  <c r="G9" i="9"/>
  <c r="G16" i="9" s="1"/>
  <c r="F9" i="9"/>
  <c r="F16" i="9" s="1"/>
  <c r="E9" i="9"/>
  <c r="E16" i="9" s="1"/>
  <c r="D9" i="9"/>
  <c r="D16" i="9" s="1"/>
  <c r="C9" i="9"/>
  <c r="C16" i="9" s="1"/>
  <c r="B9" i="9"/>
  <c r="B16" i="9" s="1"/>
  <c r="C8" i="9"/>
  <c r="D7" i="9" s="1"/>
  <c r="B8" i="9"/>
  <c r="C7" i="9"/>
  <c r="BC4" i="9"/>
  <c r="AX4" i="9"/>
  <c r="AS4" i="9"/>
  <c r="AN4" i="9"/>
  <c r="AI4" i="9"/>
  <c r="AD4" i="9"/>
  <c r="T4" i="9"/>
  <c r="O4" i="9"/>
  <c r="J4" i="9"/>
  <c r="C1" i="9"/>
  <c r="B1" i="9"/>
  <c r="M74" i="8"/>
  <c r="L74" i="8"/>
  <c r="K74" i="8"/>
  <c r="J74" i="8"/>
  <c r="I74" i="8"/>
  <c r="H74" i="8"/>
  <c r="N73" i="8"/>
  <c r="E73" i="8"/>
  <c r="N72" i="8"/>
  <c r="E72" i="8"/>
  <c r="N71" i="8"/>
  <c r="E71" i="8"/>
  <c r="N70" i="8"/>
  <c r="E70" i="8"/>
  <c r="N69" i="8"/>
  <c r="E69" i="8"/>
  <c r="N68" i="8"/>
  <c r="E68" i="8"/>
  <c r="N67" i="8"/>
  <c r="E67" i="8"/>
  <c r="N66" i="8"/>
  <c r="E66" i="8"/>
  <c r="N65" i="8"/>
  <c r="E65" i="8"/>
  <c r="N64" i="8"/>
  <c r="E64" i="8"/>
  <c r="N63" i="8"/>
  <c r="E63" i="8"/>
  <c r="N62" i="8"/>
  <c r="E62" i="8"/>
  <c r="N61" i="8"/>
  <c r="E61" i="8"/>
  <c r="N60" i="8"/>
  <c r="E60" i="8"/>
  <c r="N59" i="8"/>
  <c r="E59" i="8"/>
  <c r="N58" i="8"/>
  <c r="E58" i="8"/>
  <c r="N57" i="8"/>
  <c r="E57" i="8"/>
  <c r="N56" i="8"/>
  <c r="E56" i="8"/>
  <c r="N55" i="8"/>
  <c r="E55" i="8"/>
  <c r="N54" i="8"/>
  <c r="E54" i="8"/>
  <c r="N53" i="8"/>
  <c r="E53" i="8"/>
  <c r="N52" i="8"/>
  <c r="E52" i="8"/>
  <c r="N51" i="8"/>
  <c r="E51" i="8"/>
  <c r="N50" i="8"/>
  <c r="E50" i="8"/>
  <c r="N49" i="8"/>
  <c r="N74" i="8" s="1"/>
  <c r="E49" i="8"/>
  <c r="M44" i="8"/>
  <c r="L44" i="8"/>
  <c r="K44" i="8"/>
  <c r="J44" i="8"/>
  <c r="I44" i="8"/>
  <c r="H44" i="8"/>
  <c r="N43" i="8"/>
  <c r="E43" i="8"/>
  <c r="N42" i="8"/>
  <c r="E42" i="8"/>
  <c r="N41" i="8"/>
  <c r="E41" i="8"/>
  <c r="N40" i="8"/>
  <c r="E40" i="8"/>
  <c r="N39" i="8"/>
  <c r="E39" i="8"/>
  <c r="N38" i="8"/>
  <c r="E38" i="8"/>
  <c r="N37" i="8"/>
  <c r="E37" i="8"/>
  <c r="N36" i="8"/>
  <c r="E36" i="8"/>
  <c r="N35" i="8"/>
  <c r="E35" i="8"/>
  <c r="N34" i="8"/>
  <c r="E34" i="8"/>
  <c r="N33" i="8"/>
  <c r="E33" i="8"/>
  <c r="N32" i="8"/>
  <c r="E32" i="8"/>
  <c r="N31" i="8"/>
  <c r="E31" i="8"/>
  <c r="N30" i="8"/>
  <c r="E30" i="8"/>
  <c r="N29" i="8"/>
  <c r="E29" i="8"/>
  <c r="N28" i="8"/>
  <c r="E28" i="8"/>
  <c r="N27" i="8"/>
  <c r="E27" i="8"/>
  <c r="N26" i="8"/>
  <c r="E26" i="8"/>
  <c r="N25" i="8"/>
  <c r="E25" i="8"/>
  <c r="N24" i="8"/>
  <c r="E24" i="8"/>
  <c r="N23" i="8"/>
  <c r="E23" i="8"/>
  <c r="N22" i="8"/>
  <c r="E22" i="8"/>
  <c r="N21" i="8"/>
  <c r="E21" i="8"/>
  <c r="N20" i="8"/>
  <c r="E20" i="8"/>
  <c r="N19" i="8"/>
  <c r="E19" i="8"/>
  <c r="N18" i="8"/>
  <c r="E18" i="8"/>
  <c r="N17" i="8"/>
  <c r="E17" i="8"/>
  <c r="N16" i="8"/>
  <c r="E16" i="8"/>
  <c r="N15" i="8"/>
  <c r="E15" i="8"/>
  <c r="N14" i="8"/>
  <c r="E14" i="8"/>
  <c r="N13" i="8"/>
  <c r="E13" i="8"/>
  <c r="N12" i="8"/>
  <c r="E12" i="8"/>
  <c r="N11" i="8"/>
  <c r="E11" i="8"/>
  <c r="N10" i="8"/>
  <c r="E10" i="8"/>
  <c r="N9" i="8"/>
  <c r="E9" i="8"/>
  <c r="N8" i="8"/>
  <c r="E8" i="8"/>
  <c r="N7" i="8"/>
  <c r="E7" i="8"/>
  <c r="N6" i="8"/>
  <c r="E6" i="8"/>
  <c r="Z29" i="6"/>
  <c r="W29" i="6"/>
  <c r="T29" i="6"/>
  <c r="T4" i="6" s="1"/>
  <c r="Q29" i="6"/>
  <c r="N29" i="6"/>
  <c r="K29" i="6"/>
  <c r="H29" i="6"/>
  <c r="H4" i="6" s="1"/>
  <c r="E29" i="6"/>
  <c r="D29" i="6"/>
  <c r="C18" i="4" s="1"/>
  <c r="C29" i="6"/>
  <c r="L28" i="6"/>
  <c r="O28" i="6" s="1"/>
  <c r="R28" i="6" s="1"/>
  <c r="U28" i="6" s="1"/>
  <c r="X28" i="6" s="1"/>
  <c r="AA28" i="6" s="1"/>
  <c r="I28" i="6"/>
  <c r="F28" i="6"/>
  <c r="U27" i="6"/>
  <c r="X27" i="6" s="1"/>
  <c r="AA27" i="6" s="1"/>
  <c r="L27" i="6"/>
  <c r="O27" i="6" s="1"/>
  <c r="R27" i="6" s="1"/>
  <c r="I27" i="6"/>
  <c r="F27" i="6"/>
  <c r="L26" i="6"/>
  <c r="O26" i="6" s="1"/>
  <c r="R26" i="6" s="1"/>
  <c r="U26" i="6" s="1"/>
  <c r="X26" i="6" s="1"/>
  <c r="AA26" i="6" s="1"/>
  <c r="I26" i="6"/>
  <c r="F26" i="6"/>
  <c r="I25" i="6"/>
  <c r="L25" i="6" s="1"/>
  <c r="O25" i="6" s="1"/>
  <c r="R25" i="6" s="1"/>
  <c r="U25" i="6" s="1"/>
  <c r="X25" i="6" s="1"/>
  <c r="AA25" i="6" s="1"/>
  <c r="F25" i="6"/>
  <c r="L24" i="6"/>
  <c r="O24" i="6" s="1"/>
  <c r="R24" i="6" s="1"/>
  <c r="U24" i="6" s="1"/>
  <c r="X24" i="6" s="1"/>
  <c r="AA24" i="6" s="1"/>
  <c r="I24" i="6"/>
  <c r="F24" i="6"/>
  <c r="I23" i="6"/>
  <c r="L23" i="6" s="1"/>
  <c r="O23" i="6" s="1"/>
  <c r="R23" i="6" s="1"/>
  <c r="U23" i="6" s="1"/>
  <c r="X23" i="6" s="1"/>
  <c r="AA23" i="6" s="1"/>
  <c r="F23" i="6"/>
  <c r="AA22" i="6"/>
  <c r="U22" i="6"/>
  <c r="X22" i="6" s="1"/>
  <c r="L22" i="6"/>
  <c r="O22" i="6" s="1"/>
  <c r="R22" i="6" s="1"/>
  <c r="I22" i="6"/>
  <c r="F22" i="6"/>
  <c r="I21" i="6"/>
  <c r="L21" i="6" s="1"/>
  <c r="O21" i="6" s="1"/>
  <c r="R21" i="6" s="1"/>
  <c r="U21" i="6" s="1"/>
  <c r="X21" i="6" s="1"/>
  <c r="AA21" i="6" s="1"/>
  <c r="F21" i="6"/>
  <c r="L20" i="6"/>
  <c r="O20" i="6" s="1"/>
  <c r="I20" i="6"/>
  <c r="F20" i="6"/>
  <c r="F29" i="6" s="1"/>
  <c r="Z18" i="6"/>
  <c r="W18" i="6"/>
  <c r="T18" i="6"/>
  <c r="Q18" i="6"/>
  <c r="N18" i="6"/>
  <c r="K18" i="6"/>
  <c r="H18" i="6"/>
  <c r="E18" i="6"/>
  <c r="D18" i="6" s="1"/>
  <c r="C19" i="4" s="1"/>
  <c r="C18" i="6"/>
  <c r="L17" i="6"/>
  <c r="O17" i="6" s="1"/>
  <c r="R17" i="6" s="1"/>
  <c r="U17" i="6" s="1"/>
  <c r="X17" i="6" s="1"/>
  <c r="AA17" i="6" s="1"/>
  <c r="I17" i="6"/>
  <c r="F17" i="6"/>
  <c r="X16" i="6"/>
  <c r="AA16" i="6" s="1"/>
  <c r="L16" i="6"/>
  <c r="O16" i="6" s="1"/>
  <c r="R16" i="6" s="1"/>
  <c r="U16" i="6" s="1"/>
  <c r="I16" i="6"/>
  <c r="F16" i="6"/>
  <c r="AA15" i="6"/>
  <c r="AB15" i="6" s="1"/>
  <c r="F15" i="6"/>
  <c r="I15" i="6" s="1"/>
  <c r="L15" i="6" s="1"/>
  <c r="O15" i="6" s="1"/>
  <c r="R15" i="6" s="1"/>
  <c r="U15" i="6" s="1"/>
  <c r="X15" i="6" s="1"/>
  <c r="X14" i="6"/>
  <c r="AA14" i="6" s="1"/>
  <c r="L14" i="6"/>
  <c r="O14" i="6" s="1"/>
  <c r="R14" i="6" s="1"/>
  <c r="U14" i="6" s="1"/>
  <c r="F14" i="6"/>
  <c r="I14" i="6" s="1"/>
  <c r="U13" i="6"/>
  <c r="X13" i="6" s="1"/>
  <c r="AA13" i="6" s="1"/>
  <c r="F13" i="6"/>
  <c r="I13" i="6" s="1"/>
  <c r="L13" i="6" s="1"/>
  <c r="O13" i="6" s="1"/>
  <c r="R13" i="6" s="1"/>
  <c r="R12" i="6"/>
  <c r="U12" i="6" s="1"/>
  <c r="X12" i="6" s="1"/>
  <c r="AA12" i="6" s="1"/>
  <c r="O12" i="6"/>
  <c r="L12" i="6"/>
  <c r="F12" i="6"/>
  <c r="I12" i="6" s="1"/>
  <c r="O11" i="6"/>
  <c r="R11" i="6" s="1"/>
  <c r="U11" i="6" s="1"/>
  <c r="X11" i="6" s="1"/>
  <c r="AA11" i="6" s="1"/>
  <c r="L11" i="6"/>
  <c r="F11" i="6"/>
  <c r="I11" i="6" s="1"/>
  <c r="L10" i="6"/>
  <c r="O10" i="6" s="1"/>
  <c r="R10" i="6" s="1"/>
  <c r="U10" i="6" s="1"/>
  <c r="X10" i="6" s="1"/>
  <c r="AA10" i="6" s="1"/>
  <c r="F10" i="6"/>
  <c r="I10" i="6" s="1"/>
  <c r="F9" i="6"/>
  <c r="I9" i="6" s="1"/>
  <c r="L9" i="6" s="1"/>
  <c r="O9" i="6" s="1"/>
  <c r="R9" i="6" s="1"/>
  <c r="U9" i="6" s="1"/>
  <c r="X9" i="6" s="1"/>
  <c r="AA9" i="6" s="1"/>
  <c r="L8" i="6"/>
  <c r="O8" i="6" s="1"/>
  <c r="R8" i="6" s="1"/>
  <c r="U8" i="6" s="1"/>
  <c r="X8" i="6" s="1"/>
  <c r="AA8" i="6" s="1"/>
  <c r="F8" i="6"/>
  <c r="I8" i="6" s="1"/>
  <c r="F7" i="6"/>
  <c r="I7" i="6" s="1"/>
  <c r="L7" i="6" s="1"/>
  <c r="O7" i="6" s="1"/>
  <c r="R7" i="6" s="1"/>
  <c r="U7" i="6" s="1"/>
  <c r="X7" i="6" s="1"/>
  <c r="AA7" i="6" s="1"/>
  <c r="L6" i="6"/>
  <c r="O6" i="6" s="1"/>
  <c r="R6" i="6" s="1"/>
  <c r="U6" i="6" s="1"/>
  <c r="X6" i="6" s="1"/>
  <c r="AA6" i="6" s="1"/>
  <c r="F6" i="6"/>
  <c r="I6" i="6" s="1"/>
  <c r="F5" i="6"/>
  <c r="W4" i="6"/>
  <c r="Q4" i="6"/>
  <c r="N4" i="6"/>
  <c r="K4" i="6"/>
  <c r="E4" i="6"/>
  <c r="D4" i="6" s="1"/>
  <c r="C4" i="6"/>
  <c r="C30" i="6" s="1"/>
  <c r="K38" i="5"/>
  <c r="L38" i="5" s="1"/>
  <c r="M38" i="5" s="1"/>
  <c r="J38" i="5"/>
  <c r="J37" i="5"/>
  <c r="K37" i="5" s="1"/>
  <c r="K36" i="5"/>
  <c r="L36" i="5" s="1"/>
  <c r="M36" i="5" s="1"/>
  <c r="J36" i="5"/>
  <c r="J35" i="5"/>
  <c r="K35" i="5" s="1"/>
  <c r="L35" i="5" s="1"/>
  <c r="M35" i="5" s="1"/>
  <c r="K34" i="5"/>
  <c r="L34" i="5" s="1"/>
  <c r="J34" i="5"/>
  <c r="J33" i="5"/>
  <c r="N32" i="5"/>
  <c r="J32" i="5"/>
  <c r="B25" i="5"/>
  <c r="G24" i="3" s="1"/>
  <c r="J24" i="5"/>
  <c r="I24" i="5"/>
  <c r="H24" i="5"/>
  <c r="G24" i="5"/>
  <c r="F24" i="5"/>
  <c r="E24" i="5"/>
  <c r="D24" i="5"/>
  <c r="C24" i="5"/>
  <c r="J23" i="5"/>
  <c r="I23" i="5"/>
  <c r="H23" i="5"/>
  <c r="G23" i="5"/>
  <c r="F23" i="5"/>
  <c r="E23" i="5"/>
  <c r="D23" i="5"/>
  <c r="C23" i="5"/>
  <c r="C25" i="5" s="1"/>
  <c r="J22" i="5"/>
  <c r="I22" i="5"/>
  <c r="H22" i="5"/>
  <c r="G22" i="5"/>
  <c r="F22" i="5"/>
  <c r="E22" i="5"/>
  <c r="D22" i="5"/>
  <c r="J21" i="5"/>
  <c r="I21" i="5"/>
  <c r="I25" i="5" s="1"/>
  <c r="CQ24" i="3" s="1"/>
  <c r="H21" i="5"/>
  <c r="G21" i="5"/>
  <c r="F21" i="5"/>
  <c r="E21" i="5"/>
  <c r="D21" i="5"/>
  <c r="J20" i="5"/>
  <c r="I20" i="5"/>
  <c r="H20" i="5"/>
  <c r="H25" i="5" s="1"/>
  <c r="CA24" i="3" s="1"/>
  <c r="G20" i="5"/>
  <c r="F20" i="5"/>
  <c r="E20" i="5"/>
  <c r="E25" i="5" s="1"/>
  <c r="D20" i="5"/>
  <c r="J19" i="5"/>
  <c r="I19" i="5"/>
  <c r="H19" i="5"/>
  <c r="G19" i="5"/>
  <c r="F19" i="5"/>
  <c r="J16" i="5"/>
  <c r="I16" i="5"/>
  <c r="H16" i="5"/>
  <c r="G16" i="5"/>
  <c r="F16" i="5"/>
  <c r="E16" i="5"/>
  <c r="D16" i="5"/>
  <c r="C16" i="5"/>
  <c r="B16" i="5"/>
  <c r="C37" i="4" s="1"/>
  <c r="J57" i="4"/>
  <c r="I57" i="4"/>
  <c r="H57" i="4"/>
  <c r="G57" i="4"/>
  <c r="F57" i="4"/>
  <c r="E57" i="4"/>
  <c r="D57" i="4"/>
  <c r="C57" i="4"/>
  <c r="B57" i="4"/>
  <c r="F40" i="4"/>
  <c r="C40" i="4"/>
  <c r="G40" i="4" s="1"/>
  <c r="F39" i="4"/>
  <c r="C39" i="4"/>
  <c r="F38" i="4"/>
  <c r="C38" i="4"/>
  <c r="F37" i="4"/>
  <c r="F36" i="4"/>
  <c r="C36" i="4"/>
  <c r="G36" i="4" s="1"/>
  <c r="F35" i="4"/>
  <c r="C35" i="4"/>
  <c r="K27" i="4"/>
  <c r="L27" i="4" s="1"/>
  <c r="M27" i="4" s="1"/>
  <c r="C27" i="4"/>
  <c r="D27" i="4" s="1"/>
  <c r="E27" i="4" s="1"/>
  <c r="F27" i="4" s="1"/>
  <c r="G27" i="4" s="1"/>
  <c r="H27" i="4" s="1"/>
  <c r="I27" i="4" s="1"/>
  <c r="J27" i="4" s="1"/>
  <c r="B27" i="4"/>
  <c r="J16" i="4"/>
  <c r="I16" i="4"/>
  <c r="H16" i="4"/>
  <c r="G16" i="4"/>
  <c r="F16" i="4"/>
  <c r="E16" i="4"/>
  <c r="D16" i="4"/>
  <c r="C16" i="4"/>
  <c r="B16" i="4"/>
  <c r="DF60" i="3"/>
  <c r="DE60" i="3"/>
  <c r="DD60" i="3"/>
  <c r="DC60" i="3"/>
  <c r="DB60" i="3"/>
  <c r="DA60" i="3"/>
  <c r="CZ60" i="3"/>
  <c r="CY60" i="3"/>
  <c r="CX60" i="3"/>
  <c r="CW60" i="3"/>
  <c r="CV60" i="3"/>
  <c r="CU60" i="3"/>
  <c r="CT60" i="3"/>
  <c r="CS60" i="3"/>
  <c r="CR60" i="3"/>
  <c r="CQ60" i="3"/>
  <c r="CP60" i="3"/>
  <c r="CO60" i="3"/>
  <c r="CN60" i="3"/>
  <c r="CM60" i="3"/>
  <c r="CL60" i="3"/>
  <c r="CK60" i="3"/>
  <c r="CJ60" i="3"/>
  <c r="CI60" i="3"/>
  <c r="CH60" i="3"/>
  <c r="CG60" i="3"/>
  <c r="CF60" i="3"/>
  <c r="CE60" i="3"/>
  <c r="CD60" i="3"/>
  <c r="CC60" i="3"/>
  <c r="CB60" i="3"/>
  <c r="CA60" i="3"/>
  <c r="BZ60" i="3"/>
  <c r="BY60" i="3"/>
  <c r="BX60" i="3"/>
  <c r="BW60" i="3"/>
  <c r="BV60" i="3"/>
  <c r="BU60" i="3"/>
  <c r="BT60" i="3"/>
  <c r="BS60" i="3"/>
  <c r="BR60" i="3"/>
  <c r="BQ60" i="3"/>
  <c r="BP60" i="3"/>
  <c r="BO60" i="3"/>
  <c r="BN60" i="3"/>
  <c r="BM60" i="3"/>
  <c r="BL60" i="3"/>
  <c r="BK60" i="3"/>
  <c r="BJ60" i="3"/>
  <c r="BI60" i="3"/>
  <c r="BH60" i="3"/>
  <c r="BG60" i="3"/>
  <c r="BF60" i="3"/>
  <c r="BE60" i="3"/>
  <c r="BD60" i="3"/>
  <c r="BC60" i="3"/>
  <c r="BB60" i="3"/>
  <c r="BA60" i="3"/>
  <c r="AZ60" i="3"/>
  <c r="AY60" i="3"/>
  <c r="AX60" i="3"/>
  <c r="AW60" i="3"/>
  <c r="AV60" i="3"/>
  <c r="AU60"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D60" i="3"/>
  <c r="C60" i="3"/>
  <c r="C48" i="3"/>
  <c r="CR24" i="3"/>
  <c r="CO24" i="3"/>
  <c r="CJ24" i="3"/>
  <c r="CG24" i="3"/>
  <c r="CB24" i="3"/>
  <c r="BY24" i="3"/>
  <c r="N24" i="3"/>
  <c r="M24" i="3"/>
  <c r="I24" i="3"/>
  <c r="H24" i="3"/>
  <c r="F24" i="3"/>
  <c r="E24" i="3"/>
  <c r="N22" i="3"/>
  <c r="M22" i="3"/>
  <c r="L22" i="3"/>
  <c r="K22" i="3"/>
  <c r="J22" i="3"/>
  <c r="I22" i="3"/>
  <c r="H22" i="3"/>
  <c r="G22" i="3"/>
  <c r="F22" i="3"/>
  <c r="E22" i="3"/>
  <c r="D22" i="3"/>
  <c r="C22" i="3"/>
  <c r="U21" i="3"/>
  <c r="V21" i="3" s="1"/>
  <c r="W21" i="3" s="1"/>
  <c r="X21" i="3" s="1"/>
  <c r="Y21" i="3" s="1"/>
  <c r="Z21" i="3" s="1"/>
  <c r="N21" i="3"/>
  <c r="O21" i="3" s="1"/>
  <c r="P21" i="3" s="1"/>
  <c r="Q21" i="3" s="1"/>
  <c r="R21" i="3" s="1"/>
  <c r="S21" i="3" s="1"/>
  <c r="T21" i="3" s="1"/>
  <c r="M21" i="3"/>
  <c r="L21" i="3"/>
  <c r="K21" i="3"/>
  <c r="J21" i="3"/>
  <c r="I21" i="3"/>
  <c r="C19" i="2" s="1"/>
  <c r="H21" i="3"/>
  <c r="G21" i="3"/>
  <c r="F21" i="3"/>
  <c r="E21" i="3"/>
  <c r="D21" i="3"/>
  <c r="C21" i="3"/>
  <c r="N20" i="3"/>
  <c r="M20" i="3"/>
  <c r="L20" i="3"/>
  <c r="K20" i="3"/>
  <c r="J20" i="3"/>
  <c r="I20" i="3"/>
  <c r="H20" i="3"/>
  <c r="G20" i="3"/>
  <c r="F20" i="3"/>
  <c r="E20" i="3"/>
  <c r="D20" i="3"/>
  <c r="C20" i="3"/>
  <c r="U19" i="3"/>
  <c r="V19" i="3" s="1"/>
  <c r="W19" i="3" s="1"/>
  <c r="X19" i="3" s="1"/>
  <c r="Y19" i="3" s="1"/>
  <c r="Z19" i="3" s="1"/>
  <c r="N19" i="3"/>
  <c r="O19" i="3" s="1"/>
  <c r="P19" i="3" s="1"/>
  <c r="Q19" i="3" s="1"/>
  <c r="R19" i="3" s="1"/>
  <c r="S19" i="3" s="1"/>
  <c r="T19" i="3" s="1"/>
  <c r="M19" i="3"/>
  <c r="L19" i="3"/>
  <c r="K19" i="3"/>
  <c r="J19" i="3"/>
  <c r="I19" i="3"/>
  <c r="H19" i="3"/>
  <c r="G19" i="3"/>
  <c r="F19" i="3"/>
  <c r="E19" i="3"/>
  <c r="D19" i="3"/>
  <c r="C19" i="3"/>
  <c r="J14" i="3"/>
  <c r="I14" i="3"/>
  <c r="H14" i="3"/>
  <c r="G14" i="3"/>
  <c r="F14" i="3"/>
  <c r="E14" i="3"/>
  <c r="D14" i="3"/>
  <c r="C14" i="3"/>
  <c r="K13" i="3"/>
  <c r="J13" i="3"/>
  <c r="I13" i="3"/>
  <c r="H13" i="3"/>
  <c r="G13" i="3"/>
  <c r="F13" i="3"/>
  <c r="E13" i="3"/>
  <c r="D13" i="3"/>
  <c r="C13" i="3"/>
  <c r="J12" i="3"/>
  <c r="I12" i="3"/>
  <c r="H12" i="3"/>
  <c r="G12" i="3"/>
  <c r="F12" i="3"/>
  <c r="E12" i="3"/>
  <c r="D12" i="3"/>
  <c r="C12" i="3"/>
  <c r="J11" i="3"/>
  <c r="J15" i="3" s="1"/>
  <c r="I11" i="3"/>
  <c r="I15" i="3" s="1"/>
  <c r="H11" i="3"/>
  <c r="H15" i="3" s="1"/>
  <c r="G11" i="3"/>
  <c r="F11" i="3"/>
  <c r="F15" i="3" s="1"/>
  <c r="E11" i="3"/>
  <c r="E15" i="3" s="1"/>
  <c r="D11" i="3"/>
  <c r="C11" i="3"/>
  <c r="C15" i="3" s="1"/>
  <c r="J10" i="3"/>
  <c r="I10" i="3"/>
  <c r="H10" i="3"/>
  <c r="H23" i="3" s="1"/>
  <c r="G10" i="3"/>
  <c r="G23" i="3" s="1"/>
  <c r="F10" i="3"/>
  <c r="D18" i="3" s="1"/>
  <c r="E10" i="3"/>
  <c r="C18" i="3" s="1"/>
  <c r="D10" i="3"/>
  <c r="D23" i="3" s="1"/>
  <c r="C10" i="3"/>
  <c r="C23" i="3" s="1"/>
  <c r="C4" i="3"/>
  <c r="L46" i="2"/>
  <c r="C46" i="2"/>
  <c r="C20" i="2"/>
  <c r="D19" i="2"/>
  <c r="C18" i="2"/>
  <c r="D17" i="2"/>
  <c r="C17" i="2"/>
  <c r="K4" i="2"/>
  <c r="J4" i="2"/>
  <c r="J4" i="1" s="1"/>
  <c r="I4" i="2"/>
  <c r="H4" i="2"/>
  <c r="H4" i="1" s="1"/>
  <c r="G4" i="2"/>
  <c r="F4" i="2"/>
  <c r="E4" i="2"/>
  <c r="D4" i="2"/>
  <c r="C4" i="2"/>
  <c r="K4" i="1"/>
  <c r="I4" i="1"/>
  <c r="G4" i="1"/>
  <c r="F4" i="1"/>
  <c r="E4" i="1"/>
  <c r="D4" i="1"/>
  <c r="C4" i="1"/>
  <c r="W24" i="3" l="1"/>
  <c r="O24" i="3"/>
  <c r="V24" i="3"/>
  <c r="T24" i="3"/>
  <c r="P24" i="3"/>
  <c r="U24" i="3"/>
  <c r="S24" i="3"/>
  <c r="Y24" i="3"/>
  <c r="X24" i="3"/>
  <c r="Z24" i="3"/>
  <c r="R24" i="3"/>
  <c r="Q24" i="3"/>
  <c r="AU24" i="3"/>
  <c r="AM24" i="3"/>
  <c r="AT24" i="3"/>
  <c r="AS24" i="3"/>
  <c r="AR24" i="3"/>
  <c r="AQ24" i="3"/>
  <c r="AO24" i="3"/>
  <c r="AV24" i="3"/>
  <c r="AX24" i="3"/>
  <c r="AP24" i="3"/>
  <c r="AW24" i="3"/>
  <c r="AN24" i="3"/>
  <c r="M34" i="5"/>
  <c r="N34" i="5" s="1"/>
  <c r="CC24" i="3"/>
  <c r="J24" i="3"/>
  <c r="CD24" i="3"/>
  <c r="CL24" i="3"/>
  <c r="CT24" i="3"/>
  <c r="G25" i="5"/>
  <c r="CK24" i="3"/>
  <c r="G35" i="4"/>
  <c r="C24" i="3"/>
  <c r="C22" i="2" s="1"/>
  <c r="K24" i="3"/>
  <c r="BW24" i="3"/>
  <c r="CE24" i="3"/>
  <c r="CM24" i="3"/>
  <c r="J25" i="5"/>
  <c r="CS24" i="3"/>
  <c r="G39" i="4"/>
  <c r="D24" i="3"/>
  <c r="D25" i="3" s="1"/>
  <c r="L24" i="3"/>
  <c r="BX24" i="3"/>
  <c r="CF24" i="3"/>
  <c r="CN24" i="3"/>
  <c r="D25" i="5"/>
  <c r="BZ24" i="3"/>
  <c r="CH24" i="3"/>
  <c r="CP24" i="3"/>
  <c r="C41" i="4"/>
  <c r="CI24" i="3"/>
  <c r="G38" i="4"/>
  <c r="F25" i="5"/>
  <c r="C4" i="7"/>
  <c r="C41" i="3"/>
  <c r="C6" i="3"/>
  <c r="C61" i="3" s="1"/>
  <c r="C31" i="3" s="1"/>
  <c r="C7" i="3"/>
  <c r="C59" i="3" s="1"/>
  <c r="C40" i="3" s="1"/>
  <c r="D4" i="3"/>
  <c r="AA19" i="3"/>
  <c r="I23" i="3"/>
  <c r="G18" i="3"/>
  <c r="G25" i="3" s="1"/>
  <c r="C5" i="3"/>
  <c r="F18" i="3"/>
  <c r="F25" i="3" s="1"/>
  <c r="F27" i="3" s="1"/>
  <c r="E18" i="3"/>
  <c r="H18" i="3"/>
  <c r="H25" i="3" s="1"/>
  <c r="H27" i="3" s="1"/>
  <c r="J23" i="3"/>
  <c r="D15" i="3"/>
  <c r="C25" i="3"/>
  <c r="C27" i="3" s="1"/>
  <c r="G15" i="3"/>
  <c r="E23" i="3"/>
  <c r="G37" i="4"/>
  <c r="F23" i="3"/>
  <c r="K33" i="5"/>
  <c r="L33" i="5" s="1"/>
  <c r="M33" i="5" s="1"/>
  <c r="L37" i="5"/>
  <c r="M37" i="5" s="1"/>
  <c r="N37" i="5"/>
  <c r="Z4" i="6"/>
  <c r="N38" i="5"/>
  <c r="N36" i="5"/>
  <c r="F18" i="6"/>
  <c r="O29" i="6"/>
  <c r="R20" i="6"/>
  <c r="L29" i="6"/>
  <c r="N35" i="5"/>
  <c r="C31" i="6"/>
  <c r="G29" i="6"/>
  <c r="D18" i="4" s="1"/>
  <c r="I5" i="6"/>
  <c r="I29" i="6"/>
  <c r="D8" i="9"/>
  <c r="E7" i="9" s="1"/>
  <c r="D1" i="9"/>
  <c r="N44" i="8"/>
  <c r="BB12" i="9"/>
  <c r="BA12" i="9"/>
  <c r="AZ12" i="9"/>
  <c r="AY12" i="9"/>
  <c r="BC12" i="9"/>
  <c r="BB10" i="9"/>
  <c r="BA10" i="9"/>
  <c r="AZ10" i="9"/>
  <c r="AY10" i="9"/>
  <c r="BC10" i="9"/>
  <c r="BD11" i="9" s="1"/>
  <c r="N11" i="3" s="1"/>
  <c r="BH2" i="9"/>
  <c r="Y4" i="9"/>
  <c r="AV9" i="9"/>
  <c r="AV16" i="9" s="1"/>
  <c r="AD3" i="9"/>
  <c r="AW11" i="9"/>
  <c r="BC3" i="9"/>
  <c r="AN3" i="9"/>
  <c r="F4" i="9"/>
  <c r="AS12" i="9"/>
  <c r="AR12" i="9"/>
  <c r="AS10" i="9"/>
  <c r="AR10" i="9"/>
  <c r="BD9" i="9"/>
  <c r="AT12" i="9"/>
  <c r="AX12" i="9"/>
  <c r="AU12" i="9"/>
  <c r="AT10" i="9"/>
  <c r="AW12" i="9"/>
  <c r="AV12" i="9"/>
  <c r="AX10" i="9"/>
  <c r="AU10" i="9"/>
  <c r="AV11" i="9" s="1"/>
  <c r="BE11" i="9"/>
  <c r="BE9" i="9"/>
  <c r="BE16" i="9" s="1"/>
  <c r="BI15" i="9"/>
  <c r="BF11" i="9"/>
  <c r="BE13" i="9"/>
  <c r="BI14" i="9"/>
  <c r="J17" i="9"/>
  <c r="R17" i="9"/>
  <c r="Z17" i="9"/>
  <c r="H56" i="3" s="1"/>
  <c r="AH17" i="9"/>
  <c r="AP17" i="9"/>
  <c r="BJ14" i="9"/>
  <c r="BG13" i="9"/>
  <c r="E17" i="9"/>
  <c r="M17" i="9"/>
  <c r="U17" i="9"/>
  <c r="AC17" i="9"/>
  <c r="AK17" i="9"/>
  <c r="BK14" i="9"/>
  <c r="BH13" i="9"/>
  <c r="F17" i="9"/>
  <c r="N17" i="9"/>
  <c r="V17" i="9"/>
  <c r="AD17" i="9"/>
  <c r="AL17" i="9"/>
  <c r="BL14" i="9"/>
  <c r="G15" i="9"/>
  <c r="G17" i="9" s="1"/>
  <c r="O15" i="9"/>
  <c r="O17" i="9" s="1"/>
  <c r="W17" i="9"/>
  <c r="AE17" i="9"/>
  <c r="I56" i="3" s="1"/>
  <c r="AM17" i="9"/>
  <c r="H15" i="9"/>
  <c r="H17" i="9" s="1"/>
  <c r="P15" i="9"/>
  <c r="P17" i="9" s="1"/>
  <c r="F56" i="3" s="1"/>
  <c r="X15" i="9"/>
  <c r="X17" i="9" s="1"/>
  <c r="AF15" i="9"/>
  <c r="AF17" i="9" s="1"/>
  <c r="AN17" i="9"/>
  <c r="I17" i="9"/>
  <c r="Q17" i="9"/>
  <c r="Y17" i="9"/>
  <c r="AG17" i="9"/>
  <c r="AO17" i="9"/>
  <c r="C17" i="9"/>
  <c r="C56" i="3" s="1"/>
  <c r="K17" i="9"/>
  <c r="E56" i="3" s="1"/>
  <c r="S17" i="9"/>
  <c r="AA17" i="9"/>
  <c r="AI17" i="9"/>
  <c r="AQ17" i="9"/>
  <c r="D17" i="9"/>
  <c r="L17" i="9"/>
  <c r="T17" i="9"/>
  <c r="AB17" i="9"/>
  <c r="AJ17" i="9"/>
  <c r="J56" i="3" s="1"/>
  <c r="AV27" i="10"/>
  <c r="AV25" i="10"/>
  <c r="B17" i="9"/>
  <c r="AS27" i="10"/>
  <c r="AS25" i="10"/>
  <c r="AT26" i="10" s="1"/>
  <c r="AU27" i="10"/>
  <c r="AU25" i="10"/>
  <c r="D20" i="10"/>
  <c r="C20" i="10"/>
  <c r="B20" i="10"/>
  <c r="L20" i="10"/>
  <c r="K20" i="10"/>
  <c r="J20" i="10"/>
  <c r="T20" i="10"/>
  <c r="S20" i="10"/>
  <c r="AA20" i="10"/>
  <c r="Z20" i="10"/>
  <c r="Y20" i="10"/>
  <c r="AD20" i="10"/>
  <c r="AB20" i="10"/>
  <c r="E20" i="10"/>
  <c r="U20" i="10"/>
  <c r="F20" i="10"/>
  <c r="I20" i="10"/>
  <c r="N20" i="10"/>
  <c r="V20" i="10"/>
  <c r="AF24" i="10"/>
  <c r="G20" i="10"/>
  <c r="W20" i="10"/>
  <c r="E14" i="10"/>
  <c r="D14" i="10"/>
  <c r="C14" i="10"/>
  <c r="H20" i="10"/>
  <c r="X20" i="10"/>
  <c r="B14" i="10"/>
  <c r="AC20" i="10"/>
  <c r="G30" i="10"/>
  <c r="G32" i="10" s="1"/>
  <c r="O30" i="10"/>
  <c r="O32" i="10" s="1"/>
  <c r="R33" i="10" s="1"/>
  <c r="W30" i="10"/>
  <c r="W32" i="10" s="1"/>
  <c r="AE30" i="10"/>
  <c r="AE32" i="10" s="1"/>
  <c r="AT25" i="10"/>
  <c r="AU26" i="10" s="1"/>
  <c r="AT27" i="10"/>
  <c r="AE20" i="10"/>
  <c r="F15" i="10"/>
  <c r="AW24" i="10" s="1"/>
  <c r="AG24" i="10"/>
  <c r="AH24" i="10"/>
  <c r="D10" i="10"/>
  <c r="C10" i="10" s="1"/>
  <c r="AI24" i="10"/>
  <c r="D17" i="11"/>
  <c r="E17" i="11"/>
  <c r="J22" i="2" l="1"/>
  <c r="I22" i="2"/>
  <c r="F22" i="2"/>
  <c r="BS24" i="3"/>
  <c r="BK24" i="3"/>
  <c r="BR24" i="3"/>
  <c r="BQ24" i="3"/>
  <c r="BP24" i="3"/>
  <c r="BU24" i="3"/>
  <c r="BT24" i="3"/>
  <c r="BO24" i="3"/>
  <c r="BM24" i="3"/>
  <c r="BL24" i="3"/>
  <c r="BV24" i="3"/>
  <c r="BN24" i="3"/>
  <c r="D22" i="2"/>
  <c r="BC24" i="3"/>
  <c r="BJ24" i="3"/>
  <c r="BB24" i="3"/>
  <c r="BI24" i="3"/>
  <c r="BA24" i="3"/>
  <c r="BH24" i="3"/>
  <c r="AZ24" i="3"/>
  <c r="BE24" i="3"/>
  <c r="BD24" i="3"/>
  <c r="BG24" i="3"/>
  <c r="AY24" i="3"/>
  <c r="BF24" i="3"/>
  <c r="AE24" i="3"/>
  <c r="AL24" i="3"/>
  <c r="AD24" i="3"/>
  <c r="AC24" i="3"/>
  <c r="AJ24" i="3"/>
  <c r="AB24" i="3"/>
  <c r="AG24" i="3"/>
  <c r="AF24" i="3"/>
  <c r="AI24" i="3"/>
  <c r="AA24" i="3"/>
  <c r="AK24" i="3"/>
  <c r="AH24" i="3"/>
  <c r="CY24" i="3"/>
  <c r="DF24" i="3"/>
  <c r="CX24" i="3"/>
  <c r="DE24" i="3"/>
  <c r="CW24" i="3"/>
  <c r="DD24" i="3"/>
  <c r="CV24" i="3"/>
  <c r="DC24" i="3"/>
  <c r="CU24" i="3"/>
  <c r="CZ24" i="3"/>
  <c r="DB24" i="3"/>
  <c r="DA24" i="3"/>
  <c r="C28" i="3"/>
  <c r="H28" i="3"/>
  <c r="F28" i="3"/>
  <c r="AS11" i="9"/>
  <c r="AS9" i="9"/>
  <c r="AS16" i="9" s="1"/>
  <c r="R29" i="6"/>
  <c r="U20" i="6"/>
  <c r="P29" i="6"/>
  <c r="G18" i="4" s="1"/>
  <c r="AB19" i="3"/>
  <c r="AC19" i="3" s="1"/>
  <c r="AD19" i="3" s="1"/>
  <c r="AE19" i="3" s="1"/>
  <c r="AF19" i="3" s="1"/>
  <c r="AG19" i="3" s="1"/>
  <c r="AH19" i="3" s="1"/>
  <c r="AI19" i="3" s="1"/>
  <c r="AJ19" i="3" s="1"/>
  <c r="AK19" i="3" s="1"/>
  <c r="AL19" i="3" s="1"/>
  <c r="E17" i="2"/>
  <c r="C62" i="7"/>
  <c r="C53" i="7"/>
  <c r="C63" i="7"/>
  <c r="C54" i="7"/>
  <c r="C44" i="7"/>
  <c r="C35" i="7"/>
  <c r="C26" i="7"/>
  <c r="C45" i="7"/>
  <c r="C36" i="7"/>
  <c r="C27" i="7"/>
  <c r="C8" i="7"/>
  <c r="C13" i="7"/>
  <c r="C18" i="7"/>
  <c r="C9" i="7"/>
  <c r="C7" i="7"/>
  <c r="C12" i="7"/>
  <c r="C14" i="7"/>
  <c r="C17" i="7"/>
  <c r="AX24" i="10"/>
  <c r="AO24" i="10"/>
  <c r="AT28" i="10"/>
  <c r="AY14" i="9"/>
  <c r="AV13" i="9"/>
  <c r="AW14" i="9"/>
  <c r="AT13" i="9"/>
  <c r="BG14" i="9"/>
  <c r="BG15" i="9" s="1"/>
  <c r="BG17" i="9" s="1"/>
  <c r="BD13" i="9"/>
  <c r="E1" i="9"/>
  <c r="E8" i="9"/>
  <c r="F7" i="9" s="1"/>
  <c r="D56" i="3"/>
  <c r="D27" i="3"/>
  <c r="AU28" i="10"/>
  <c r="BB14" i="9"/>
  <c r="AY13" i="9"/>
  <c r="F3" i="9"/>
  <c r="Y3" i="9"/>
  <c r="BC14" i="9"/>
  <c r="AZ13" i="9"/>
  <c r="AV28" i="10"/>
  <c r="BA14" i="9"/>
  <c r="AX13" i="9"/>
  <c r="BA11" i="9"/>
  <c r="BA9" i="9"/>
  <c r="BA16" i="9" s="1"/>
  <c r="BB11" i="9"/>
  <c r="BB9" i="9"/>
  <c r="BB16" i="9" s="1"/>
  <c r="AX14" i="9"/>
  <c r="AU13" i="9"/>
  <c r="AU15" i="9" s="1"/>
  <c r="T3" i="9"/>
  <c r="DO2" i="9"/>
  <c r="BH3" i="9"/>
  <c r="J3" i="9"/>
  <c r="AX3" i="9"/>
  <c r="AS3" i="9"/>
  <c r="AI3" i="9"/>
  <c r="BD14" i="9"/>
  <c r="BA13" i="9"/>
  <c r="J29" i="6"/>
  <c r="E18" i="4" s="1"/>
  <c r="F4" i="6"/>
  <c r="F30" i="6" s="1"/>
  <c r="G18" i="6"/>
  <c r="D19" i="4" s="1"/>
  <c r="AA21" i="3" s="1"/>
  <c r="AV14" i="9"/>
  <c r="AS13" i="9"/>
  <c r="AL24" i="10"/>
  <c r="AY24" i="10"/>
  <c r="AP24" i="10"/>
  <c r="AU11" i="9"/>
  <c r="AU9" i="9"/>
  <c r="AU16" i="9" s="1"/>
  <c r="BE14" i="9"/>
  <c r="BB13" i="9"/>
  <c r="BB15" i="9" s="1"/>
  <c r="BB17" i="9" s="1"/>
  <c r="E25" i="3"/>
  <c r="E27" i="3" s="1"/>
  <c r="AZ24" i="10"/>
  <c r="AQ24" i="10"/>
  <c r="AM24" i="10"/>
  <c r="BE15" i="9"/>
  <c r="BE17" i="9" s="1"/>
  <c r="AX11" i="9"/>
  <c r="AX9" i="9"/>
  <c r="AX16" i="9" s="1"/>
  <c r="AW9" i="9"/>
  <c r="AW16" i="9" s="1"/>
  <c r="AY11" i="9"/>
  <c r="AY9" i="9"/>
  <c r="BF14" i="9"/>
  <c r="BF15" i="9" s="1"/>
  <c r="BF17" i="9" s="1"/>
  <c r="BC13" i="9"/>
  <c r="BC15" i="9" s="1"/>
  <c r="I18" i="6"/>
  <c r="L5" i="6"/>
  <c r="M29" i="6"/>
  <c r="F18" i="4" s="1"/>
  <c r="AW25" i="10"/>
  <c r="AW27" i="10"/>
  <c r="AX28" i="10" s="1"/>
  <c r="AJ24" i="10"/>
  <c r="AJ20" i="10" s="1"/>
  <c r="AT11" i="9"/>
  <c r="L11" i="3" s="1"/>
  <c r="AT9" i="9"/>
  <c r="AI20" i="10"/>
  <c r="AW28" i="10"/>
  <c r="BD16" i="9"/>
  <c r="N14" i="3" s="1"/>
  <c r="N10" i="3"/>
  <c r="BC11" i="9"/>
  <c r="BC9" i="9"/>
  <c r="BC16" i="9" s="1"/>
  <c r="D4" i="7"/>
  <c r="D41" i="3"/>
  <c r="D5" i="3"/>
  <c r="D7" i="3"/>
  <c r="D59" i="3" s="1"/>
  <c r="D40" i="3" s="1"/>
  <c r="D6" i="3"/>
  <c r="D61" i="3" s="1"/>
  <c r="D31" i="3" s="1"/>
  <c r="E4" i="3"/>
  <c r="AH20" i="10"/>
  <c r="AR24" i="10"/>
  <c r="AN24" i="10"/>
  <c r="BA24" i="10"/>
  <c r="AV26" i="10"/>
  <c r="BH15" i="9"/>
  <c r="BH17" i="9" s="1"/>
  <c r="BH14" i="9"/>
  <c r="AZ14" i="9"/>
  <c r="AW13" i="9"/>
  <c r="AW15" i="9" s="1"/>
  <c r="AR9" i="9"/>
  <c r="AR11" i="9"/>
  <c r="AZ11" i="9"/>
  <c r="AZ9" i="9"/>
  <c r="AZ16" i="9" s="1"/>
  <c r="O3" i="9"/>
  <c r="N33" i="5"/>
  <c r="G56" i="3"/>
  <c r="G27" i="3"/>
  <c r="G28" i="3" s="1"/>
  <c r="G22" i="2" l="1"/>
  <c r="E22" i="2"/>
  <c r="L22" i="2" s="1"/>
  <c r="H22" i="2"/>
  <c r="K22" i="2"/>
  <c r="AN27" i="10"/>
  <c r="AN25" i="10"/>
  <c r="AN20" i="10"/>
  <c r="AM27" i="10"/>
  <c r="AM25" i="10"/>
  <c r="AN26" i="10" s="1"/>
  <c r="AM20" i="10"/>
  <c r="N13" i="3"/>
  <c r="AU17" i="9"/>
  <c r="AX15" i="9"/>
  <c r="AX17" i="9" s="1"/>
  <c r="AY15" i="9"/>
  <c r="M12" i="3"/>
  <c r="F8" i="9"/>
  <c r="G7" i="9" s="1"/>
  <c r="F1" i="9"/>
  <c r="C48" i="7"/>
  <c r="C46" i="7"/>
  <c r="AY16" i="9"/>
  <c r="M14" i="3" s="1"/>
  <c r="M10" i="3"/>
  <c r="AQ25" i="10"/>
  <c r="AQ27" i="10"/>
  <c r="AP27" i="10"/>
  <c r="AP25" i="10"/>
  <c r="AQ26" i="10" s="1"/>
  <c r="AM19" i="3"/>
  <c r="BA27" i="10"/>
  <c r="BA25" i="10"/>
  <c r="M11" i="3"/>
  <c r="AZ25" i="10"/>
  <c r="BA26" i="10" s="1"/>
  <c r="AZ27" i="10"/>
  <c r="BA28" i="10" s="1"/>
  <c r="AY25" i="10"/>
  <c r="AY27" i="10"/>
  <c r="AZ28" i="10" s="1"/>
  <c r="AB21" i="3"/>
  <c r="AC21" i="3" s="1"/>
  <c r="AD21" i="3" s="1"/>
  <c r="AE21" i="3" s="1"/>
  <c r="AF21" i="3" s="1"/>
  <c r="AG21" i="3" s="1"/>
  <c r="AH21" i="3" s="1"/>
  <c r="AI21" i="3" s="1"/>
  <c r="AJ21" i="3" s="1"/>
  <c r="AK21" i="3" s="1"/>
  <c r="AL21" i="3" s="1"/>
  <c r="AM21" i="3" s="1"/>
  <c r="AW26" i="10"/>
  <c r="BD15" i="9"/>
  <c r="BD17" i="9" s="1"/>
  <c r="N12" i="3"/>
  <c r="N15" i="3" s="1"/>
  <c r="AF20" i="10"/>
  <c r="C76" i="7"/>
  <c r="C21" i="7"/>
  <c r="C19" i="7"/>
  <c r="AL25" i="10"/>
  <c r="AL20" i="10"/>
  <c r="AL27" i="10"/>
  <c r="AK20" i="10"/>
  <c r="AO25" i="10"/>
  <c r="AP26" i="10" s="1"/>
  <c r="AO27" i="10"/>
  <c r="AR16" i="9"/>
  <c r="K14" i="3" s="1"/>
  <c r="K10" i="3"/>
  <c r="AR25" i="10"/>
  <c r="AS26" i="10" s="1"/>
  <c r="AR27" i="10"/>
  <c r="AT16" i="9"/>
  <c r="L14" i="3" s="1"/>
  <c r="L10" i="3"/>
  <c r="E28" i="3"/>
  <c r="AS15" i="9"/>
  <c r="AS17" i="9" s="1"/>
  <c r="K12" i="3"/>
  <c r="AZ15" i="9"/>
  <c r="AZ17" i="9" s="1"/>
  <c r="AT15" i="9"/>
  <c r="AT17" i="9" s="1"/>
  <c r="L12" i="3"/>
  <c r="L15" i="3" s="1"/>
  <c r="AX27" i="10"/>
  <c r="AY28" i="10" s="1"/>
  <c r="AX25" i="10"/>
  <c r="AY26" i="10" s="1"/>
  <c r="C57" i="7"/>
  <c r="C55" i="7"/>
  <c r="X20" i="6"/>
  <c r="U29" i="6"/>
  <c r="K11" i="3"/>
  <c r="AR17" i="9"/>
  <c r="AW17" i="9"/>
  <c r="O5" i="6"/>
  <c r="L18" i="6"/>
  <c r="L13" i="3"/>
  <c r="D28" i="3"/>
  <c r="AG20" i="10"/>
  <c r="C66" i="7"/>
  <c r="C64" i="7"/>
  <c r="S29" i="6"/>
  <c r="H18" i="4" s="1"/>
  <c r="G4" i="6"/>
  <c r="F31" i="6"/>
  <c r="E4" i="7"/>
  <c r="E7" i="3"/>
  <c r="E59" i="3" s="1"/>
  <c r="E40" i="3" s="1"/>
  <c r="E41" i="3"/>
  <c r="E5" i="3"/>
  <c r="F4" i="3"/>
  <c r="E6" i="3"/>
  <c r="E61" i="3" s="1"/>
  <c r="E31" i="3" s="1"/>
  <c r="L18" i="3"/>
  <c r="N23" i="3"/>
  <c r="J18" i="6"/>
  <c r="E19" i="4" s="1"/>
  <c r="I4" i="6"/>
  <c r="CZ4" i="9"/>
  <c r="BM4" i="9"/>
  <c r="CP4" i="9"/>
  <c r="CF4" i="9"/>
  <c r="DJ4" i="9"/>
  <c r="FW2" i="9"/>
  <c r="ID2" i="9" s="1"/>
  <c r="KK2" i="9" s="1"/>
  <c r="MR2" i="9" s="1"/>
  <c r="OZ2" i="9" s="1"/>
  <c r="RG2" i="9" s="1"/>
  <c r="TN2" i="9" s="1"/>
  <c r="DE4" i="9"/>
  <c r="CU4" i="9"/>
  <c r="CK4" i="9"/>
  <c r="CA4" i="9"/>
  <c r="BV4" i="9"/>
  <c r="BQ4" i="9"/>
  <c r="DO4" i="9"/>
  <c r="AV15" i="9"/>
  <c r="AV17" i="9" s="1"/>
  <c r="C71" i="7"/>
  <c r="C30" i="7"/>
  <c r="C28" i="7"/>
  <c r="D62" i="7"/>
  <c r="D44" i="7"/>
  <c r="D63" i="7"/>
  <c r="D54" i="7"/>
  <c r="D45" i="7"/>
  <c r="D36" i="7"/>
  <c r="D27" i="7"/>
  <c r="D35" i="7"/>
  <c r="D13" i="7"/>
  <c r="D18" i="7"/>
  <c r="D9" i="7"/>
  <c r="D14" i="7"/>
  <c r="D26" i="7"/>
  <c r="D12" i="7"/>
  <c r="D17" i="7"/>
  <c r="D7" i="7"/>
  <c r="D53" i="7"/>
  <c r="D8" i="7"/>
  <c r="BC17" i="9"/>
  <c r="BA15" i="9"/>
  <c r="BA17" i="9" s="1"/>
  <c r="M13" i="3"/>
  <c r="C39" i="7"/>
  <c r="C37" i="7"/>
  <c r="L56" i="3" l="1"/>
  <c r="D71" i="7"/>
  <c r="D34" i="3" s="1"/>
  <c r="D28" i="7"/>
  <c r="D30" i="7"/>
  <c r="C29" i="7"/>
  <c r="BZ12" i="9"/>
  <c r="BY12" i="9"/>
  <c r="BX12" i="9"/>
  <c r="BW12" i="9"/>
  <c r="CA12" i="9"/>
  <c r="BZ10" i="9"/>
  <c r="BY10" i="9"/>
  <c r="BX10" i="9"/>
  <c r="BW10" i="9"/>
  <c r="CA10" i="9"/>
  <c r="CA3" i="9"/>
  <c r="EI4" i="9" s="1"/>
  <c r="BJ12" i="9"/>
  <c r="BI12" i="9"/>
  <c r="BK12" i="9"/>
  <c r="BJ10" i="9"/>
  <c r="BI10" i="9"/>
  <c r="BM12" i="9"/>
  <c r="BL12" i="9"/>
  <c r="BM10" i="9"/>
  <c r="BK10" i="9"/>
  <c r="BM3" i="9"/>
  <c r="DT4" i="9" s="1"/>
  <c r="BL10" i="9"/>
  <c r="F4" i="7"/>
  <c r="F41" i="3"/>
  <c r="F5" i="3"/>
  <c r="F6" i="3"/>
  <c r="F61" i="3" s="1"/>
  <c r="F31" i="3" s="1"/>
  <c r="G4" i="3"/>
  <c r="F7" i="3"/>
  <c r="F59" i="3" s="1"/>
  <c r="F40" i="3" s="1"/>
  <c r="C11" i="2"/>
  <c r="V29" i="6"/>
  <c r="I18" i="4" s="1"/>
  <c r="L23" i="3"/>
  <c r="J18" i="3"/>
  <c r="J25" i="3" s="1"/>
  <c r="J27" i="3" s="1"/>
  <c r="BR12" i="9"/>
  <c r="BV12" i="9"/>
  <c r="BS12" i="9"/>
  <c r="BR10" i="9"/>
  <c r="BU12" i="9"/>
  <c r="BT12" i="9"/>
  <c r="BV10" i="9"/>
  <c r="BU10" i="9"/>
  <c r="BT10" i="9"/>
  <c r="BV3" i="9"/>
  <c r="ED4" i="9" s="1"/>
  <c r="BS10" i="9"/>
  <c r="K15" i="3"/>
  <c r="C9" i="2"/>
  <c r="D37" i="7"/>
  <c r="D39" i="7"/>
  <c r="C31" i="7"/>
  <c r="C32" i="7" s="1"/>
  <c r="CH12" i="9"/>
  <c r="CG12" i="9"/>
  <c r="CI12" i="9"/>
  <c r="CH10" i="9"/>
  <c r="CG10" i="9"/>
  <c r="CK12" i="9"/>
  <c r="CJ10" i="9"/>
  <c r="CJ12" i="9"/>
  <c r="CK10" i="9"/>
  <c r="CI10" i="9"/>
  <c r="CK3" i="9"/>
  <c r="ES4" i="9" s="1"/>
  <c r="CX12" i="9"/>
  <c r="CW12" i="9"/>
  <c r="CV12" i="9"/>
  <c r="CY12" i="9"/>
  <c r="CX10" i="9"/>
  <c r="CW10" i="9"/>
  <c r="CZ12" i="9"/>
  <c r="CV10" i="9"/>
  <c r="CY10" i="9"/>
  <c r="CZ10" i="9"/>
  <c r="CZ3" i="9"/>
  <c r="FH4" i="9" s="1"/>
  <c r="L30" i="6"/>
  <c r="L4" i="6"/>
  <c r="M18" i="6"/>
  <c r="F19" i="4" s="1"/>
  <c r="X29" i="6"/>
  <c r="AA20" i="6"/>
  <c r="AA29" i="6" s="1"/>
  <c r="AM28" i="10"/>
  <c r="AQ29" i="10"/>
  <c r="C39" i="3"/>
  <c r="AZ26" i="10"/>
  <c r="G8" i="9"/>
  <c r="H7" i="9" s="1"/>
  <c r="G1" i="9"/>
  <c r="AR29" i="10"/>
  <c r="AN28" i="10"/>
  <c r="AN30" i="10" s="1"/>
  <c r="AN32" i="10" s="1"/>
  <c r="D48" i="7"/>
  <c r="D46" i="7"/>
  <c r="CP12" i="9"/>
  <c r="CU12" i="9"/>
  <c r="CT12" i="9"/>
  <c r="CQ12" i="9"/>
  <c r="CS12" i="9"/>
  <c r="CU10" i="9"/>
  <c r="CR12" i="9"/>
  <c r="CT10" i="9"/>
  <c r="CS10" i="9"/>
  <c r="CR10" i="9"/>
  <c r="CQ10" i="9"/>
  <c r="CU3" i="9"/>
  <c r="FC4" i="9" s="1"/>
  <c r="J4" i="6"/>
  <c r="I31" i="6"/>
  <c r="C65" i="7"/>
  <c r="C67" i="7" s="1"/>
  <c r="C68" i="7" s="1"/>
  <c r="O18" i="6"/>
  <c r="R5" i="6"/>
  <c r="C56" i="7"/>
  <c r="C58" i="7" s="1"/>
  <c r="AS28" i="10"/>
  <c r="AW29" i="10"/>
  <c r="AW30" i="10" s="1"/>
  <c r="AW32" i="10" s="1"/>
  <c r="AY29" i="10"/>
  <c r="BA29" i="10"/>
  <c r="BA30" i="10" s="1"/>
  <c r="BA32" i="10" s="1"/>
  <c r="AX26" i="10"/>
  <c r="AN21" i="3"/>
  <c r="AO21" i="3" s="1"/>
  <c r="AP21" i="3" s="1"/>
  <c r="AQ21" i="3" s="1"/>
  <c r="AR21" i="3" s="1"/>
  <c r="AS21" i="3" s="1"/>
  <c r="AT21" i="3" s="1"/>
  <c r="AU21" i="3" s="1"/>
  <c r="AV21" i="3" s="1"/>
  <c r="AW21" i="3" s="1"/>
  <c r="AX21" i="3" s="1"/>
  <c r="AY21" i="3" s="1"/>
  <c r="D55" i="7"/>
  <c r="D57" i="7"/>
  <c r="C34" i="3"/>
  <c r="DE12" i="9"/>
  <c r="DD12" i="9"/>
  <c r="DC12" i="9"/>
  <c r="DB12" i="9"/>
  <c r="DA12" i="9"/>
  <c r="DE10" i="9"/>
  <c r="DD10" i="9"/>
  <c r="DC10" i="9"/>
  <c r="DB10" i="9"/>
  <c r="DA10" i="9"/>
  <c r="DE3" i="9"/>
  <c r="FM4" i="9" s="1"/>
  <c r="AM26" i="10"/>
  <c r="AM30" i="10" s="1"/>
  <c r="AM32" i="10" s="1"/>
  <c r="AL26" i="10"/>
  <c r="AL30" i="10" s="1"/>
  <c r="AL32" i="10" s="1"/>
  <c r="N56" i="3"/>
  <c r="AY17" i="9"/>
  <c r="C38" i="7"/>
  <c r="C40" i="7" s="1"/>
  <c r="AP30" i="10"/>
  <c r="AP32" i="10" s="1"/>
  <c r="D76" i="7"/>
  <c r="D39" i="3" s="1"/>
  <c r="D64" i="7"/>
  <c r="D66" i="7"/>
  <c r="I30" i="6"/>
  <c r="E62" i="7"/>
  <c r="E63" i="7"/>
  <c r="E54" i="7"/>
  <c r="E44" i="7"/>
  <c r="E35" i="7"/>
  <c r="E26" i="7"/>
  <c r="E53" i="7"/>
  <c r="E18" i="7"/>
  <c r="E36" i="7"/>
  <c r="E9" i="7"/>
  <c r="E76" i="7" s="1"/>
  <c r="E39" i="3" s="1"/>
  <c r="E14" i="7"/>
  <c r="E45" i="7"/>
  <c r="E7" i="7"/>
  <c r="E27" i="7"/>
  <c r="E17" i="7"/>
  <c r="E8" i="7"/>
  <c r="E12" i="7"/>
  <c r="E13" i="7"/>
  <c r="C10" i="2"/>
  <c r="K23" i="3"/>
  <c r="C21" i="2" s="1"/>
  <c r="I18" i="3"/>
  <c r="C7" i="2"/>
  <c r="M15" i="3"/>
  <c r="AQ28" i="10"/>
  <c r="AQ30" i="10" s="1"/>
  <c r="AQ32" i="10" s="1"/>
  <c r="AU29" i="10"/>
  <c r="AU30" i="10" s="1"/>
  <c r="AU32" i="10" s="1"/>
  <c r="C47" i="7"/>
  <c r="AO26" i="10"/>
  <c r="AO30" i="10" s="1"/>
  <c r="AO32" i="10" s="1"/>
  <c r="K18" i="3"/>
  <c r="M23" i="3"/>
  <c r="D19" i="7"/>
  <c r="D21" i="7"/>
  <c r="DN12" i="9"/>
  <c r="DM12" i="9"/>
  <c r="DL12" i="9"/>
  <c r="DK12" i="9"/>
  <c r="DO12" i="9"/>
  <c r="DN10" i="9"/>
  <c r="DM10" i="9"/>
  <c r="DL10" i="9"/>
  <c r="DK10" i="9"/>
  <c r="DO10" i="9"/>
  <c r="DO3" i="9"/>
  <c r="FW4" i="9" s="1"/>
  <c r="DF12" i="9"/>
  <c r="DJ12" i="9"/>
  <c r="DG12" i="9"/>
  <c r="DH12" i="9"/>
  <c r="DF10" i="9"/>
  <c r="DJ10" i="9"/>
  <c r="DI10" i="9"/>
  <c r="DG10" i="9"/>
  <c r="DH10" i="9"/>
  <c r="DI12" i="9"/>
  <c r="DJ3" i="9"/>
  <c r="FR4" i="9" s="1"/>
  <c r="C12" i="2"/>
  <c r="C20" i="7"/>
  <c r="C22" i="7" s="1"/>
  <c r="C23" i="7" s="1"/>
  <c r="AV29" i="10"/>
  <c r="AV30" i="10" s="1"/>
  <c r="AV32" i="10" s="1"/>
  <c r="AR28" i="10"/>
  <c r="AZ29" i="10"/>
  <c r="AX29" i="10"/>
  <c r="AS29" i="10"/>
  <c r="AS30" i="10" s="1"/>
  <c r="AS32" i="10" s="1"/>
  <c r="AO28" i="10"/>
  <c r="CO12" i="9"/>
  <c r="CN12" i="9"/>
  <c r="CM12" i="9"/>
  <c r="CL12" i="9"/>
  <c r="CP10" i="9"/>
  <c r="CO10" i="9"/>
  <c r="CN10" i="9"/>
  <c r="CM10" i="9"/>
  <c r="CL10" i="9"/>
  <c r="CP3" i="9"/>
  <c r="EX4" i="9" s="1"/>
  <c r="AN19" i="3"/>
  <c r="AO19" i="3" s="1"/>
  <c r="AP19" i="3" s="1"/>
  <c r="AQ19" i="3" s="1"/>
  <c r="AR19" i="3" s="1"/>
  <c r="AS19" i="3" s="1"/>
  <c r="AT19" i="3" s="1"/>
  <c r="AU19" i="3" s="1"/>
  <c r="AV19" i="3" s="1"/>
  <c r="AW19" i="3" s="1"/>
  <c r="AX19" i="3" s="1"/>
  <c r="AY19" i="3" s="1"/>
  <c r="BQ12" i="9"/>
  <c r="BP12" i="9"/>
  <c r="BO12" i="9"/>
  <c r="BN12" i="9"/>
  <c r="BQ10" i="9"/>
  <c r="BP10" i="9"/>
  <c r="BO10" i="9"/>
  <c r="BN10" i="9"/>
  <c r="BQ3" i="9"/>
  <c r="DY4" i="9" s="1"/>
  <c r="CF12" i="9"/>
  <c r="CE12" i="9"/>
  <c r="CD12" i="9"/>
  <c r="CB12" i="9"/>
  <c r="CF10" i="9"/>
  <c r="CE10" i="9"/>
  <c r="CD10" i="9"/>
  <c r="CB10" i="9"/>
  <c r="CC10" i="9"/>
  <c r="CC12" i="9"/>
  <c r="CF3" i="9"/>
  <c r="EN4" i="9" s="1"/>
  <c r="L25" i="3"/>
  <c r="L27" i="3" s="1"/>
  <c r="AY30" i="10"/>
  <c r="AY32" i="10" s="1"/>
  <c r="AT29" i="10"/>
  <c r="AT30" i="10" s="1"/>
  <c r="AT32" i="10" s="1"/>
  <c r="AP28" i="10"/>
  <c r="E19" i="2"/>
  <c r="AR26" i="10"/>
  <c r="AR30" i="10" s="1"/>
  <c r="AR32" i="10" s="1"/>
  <c r="C41" i="7" l="1"/>
  <c r="L28" i="3"/>
  <c r="C59" i="7"/>
  <c r="BR14" i="9"/>
  <c r="BO13" i="9"/>
  <c r="BO15" i="9" s="1"/>
  <c r="DG11" i="9"/>
  <c r="DG9" i="9"/>
  <c r="DG16" i="9" s="1"/>
  <c r="CP11" i="9"/>
  <c r="CP9" i="9"/>
  <c r="CP16" i="9" s="1"/>
  <c r="D47" i="7"/>
  <c r="D49" i="7" s="1"/>
  <c r="D50" i="7" s="1"/>
  <c r="DC14" i="9"/>
  <c r="CZ13" i="9"/>
  <c r="CJ11" i="9"/>
  <c r="CJ9" i="9"/>
  <c r="CJ16" i="9" s="1"/>
  <c r="BV14" i="9"/>
  <c r="BS13" i="9"/>
  <c r="BK11" i="9"/>
  <c r="BK9" i="9"/>
  <c r="BK16" i="9" s="1"/>
  <c r="BN14" i="9"/>
  <c r="BK13" i="9"/>
  <c r="BK15" i="9" s="1"/>
  <c r="BK17" i="9" s="1"/>
  <c r="CA14" i="9"/>
  <c r="BX13" i="9"/>
  <c r="BX15" i="9" s="1"/>
  <c r="BX17" i="9" s="1"/>
  <c r="CJ14" i="9"/>
  <c r="CG13" i="9"/>
  <c r="CN11" i="9"/>
  <c r="CN9" i="9"/>
  <c r="CN16" i="9" s="1"/>
  <c r="BN11" i="9"/>
  <c r="P11" i="3" s="1"/>
  <c r="BN9" i="9"/>
  <c r="DM11" i="9"/>
  <c r="DM9" i="9"/>
  <c r="DM16" i="9" s="1"/>
  <c r="D20" i="7"/>
  <c r="D22" i="7" s="1"/>
  <c r="E21" i="7"/>
  <c r="E19" i="7"/>
  <c r="DD9" i="9"/>
  <c r="DD16" i="9" s="1"/>
  <c r="DD11" i="9"/>
  <c r="CV14" i="9"/>
  <c r="CS13" i="9"/>
  <c r="BT11" i="9"/>
  <c r="BT9" i="9"/>
  <c r="BT16" i="9" s="1"/>
  <c r="CE9" i="9"/>
  <c r="CE16" i="9" s="1"/>
  <c r="CE11" i="9"/>
  <c r="BO11" i="9"/>
  <c r="BO9" i="9"/>
  <c r="BO16" i="9" s="1"/>
  <c r="F17" i="2"/>
  <c r="CP14" i="9"/>
  <c r="CM13" i="9"/>
  <c r="FR12" i="9"/>
  <c r="FQ12" i="9"/>
  <c r="FP12" i="9"/>
  <c r="FO12" i="9"/>
  <c r="FN12" i="9"/>
  <c r="FR10" i="9"/>
  <c r="FQ10" i="9"/>
  <c r="FP10" i="9"/>
  <c r="FO10" i="9"/>
  <c r="FN10" i="9"/>
  <c r="FR3" i="9"/>
  <c r="HY4" i="9" s="1"/>
  <c r="DK14" i="9"/>
  <c r="DH13" i="9"/>
  <c r="DH15" i="9" s="1"/>
  <c r="DN11" i="9"/>
  <c r="DN9" i="9"/>
  <c r="DN16" i="9" s="1"/>
  <c r="M56" i="3"/>
  <c r="E71" i="7"/>
  <c r="DE11" i="9"/>
  <c r="DE9" i="9"/>
  <c r="DE16" i="9" s="1"/>
  <c r="CU11" i="9"/>
  <c r="CU9" i="9"/>
  <c r="CU16" i="9" s="1"/>
  <c r="FH12" i="9"/>
  <c r="FG12" i="9"/>
  <c r="FF12" i="9"/>
  <c r="FH10" i="9"/>
  <c r="FE12" i="9"/>
  <c r="FG10" i="9"/>
  <c r="FD12" i="9"/>
  <c r="FF10" i="9"/>
  <c r="FE10" i="9"/>
  <c r="FD10" i="9"/>
  <c r="FH3" i="9"/>
  <c r="HO4" i="9" s="1"/>
  <c r="CZ14" i="9"/>
  <c r="CW13" i="9"/>
  <c r="CO14" i="9"/>
  <c r="CL13" i="9"/>
  <c r="BU11" i="9"/>
  <c r="BU9" i="9"/>
  <c r="BU16" i="9" s="1"/>
  <c r="G4" i="7"/>
  <c r="G41" i="3"/>
  <c r="G5" i="3"/>
  <c r="H4" i="3"/>
  <c r="G6" i="3"/>
  <c r="G61" i="3" s="1"/>
  <c r="G31" i="3" s="1"/>
  <c r="G7" i="3"/>
  <c r="G59" i="3" s="1"/>
  <c r="G40" i="3" s="1"/>
  <c r="BM11" i="9"/>
  <c r="BM9" i="9"/>
  <c r="BM16" i="9" s="1"/>
  <c r="EI12" i="9"/>
  <c r="EH12" i="9"/>
  <c r="EE12" i="9"/>
  <c r="EG12" i="9"/>
  <c r="EF12" i="9"/>
  <c r="EI10" i="9"/>
  <c r="EH10" i="9"/>
  <c r="EG10" i="9"/>
  <c r="EF10" i="9"/>
  <c r="EE10" i="9"/>
  <c r="EI3" i="9"/>
  <c r="GP4" i="9" s="1"/>
  <c r="CB14" i="9"/>
  <c r="BY13" i="9"/>
  <c r="DJ11" i="9"/>
  <c r="DJ9" i="9"/>
  <c r="DJ16" i="9" s="1"/>
  <c r="DR14" i="9"/>
  <c r="DO13" i="9"/>
  <c r="CD11" i="9"/>
  <c r="CD9" i="9"/>
  <c r="CD16" i="9" s="1"/>
  <c r="DL14" i="9"/>
  <c r="DI13" i="9"/>
  <c r="DI15" i="9" s="1"/>
  <c r="CF11" i="9"/>
  <c r="CF9" i="9"/>
  <c r="CF16" i="9" s="1"/>
  <c r="BP11" i="9"/>
  <c r="BP9" i="9"/>
  <c r="BP16" i="9" s="1"/>
  <c r="AZ19" i="3"/>
  <c r="BA19" i="3" s="1"/>
  <c r="BB19" i="3" s="1"/>
  <c r="BC19" i="3" s="1"/>
  <c r="BD19" i="3" s="1"/>
  <c r="BE19" i="3" s="1"/>
  <c r="BF19" i="3" s="1"/>
  <c r="BG19" i="3" s="1"/>
  <c r="BH19" i="3" s="1"/>
  <c r="BI19" i="3" s="1"/>
  <c r="BJ19" i="3" s="1"/>
  <c r="BK19" i="3" s="1"/>
  <c r="G17" i="2"/>
  <c r="CQ14" i="9"/>
  <c r="V13" i="3" s="1"/>
  <c r="CN13" i="9"/>
  <c r="CN15" i="9" s="1"/>
  <c r="CN17" i="9" s="1"/>
  <c r="DM14" i="9"/>
  <c r="DJ13" i="9"/>
  <c r="DN14" i="9"/>
  <c r="DK13" i="9"/>
  <c r="DS14" i="9"/>
  <c r="DP13" i="9"/>
  <c r="B1" i="5"/>
  <c r="C3" i="6"/>
  <c r="C5" i="1"/>
  <c r="B66" i="4"/>
  <c r="B65" i="4"/>
  <c r="E30" i="7"/>
  <c r="E28" i="7"/>
  <c r="D65" i="7"/>
  <c r="D67" i="7" s="1"/>
  <c r="DE14" i="9"/>
  <c r="DB13" i="9"/>
  <c r="D56" i="7"/>
  <c r="D58" i="7" s="1"/>
  <c r="CW14" i="9"/>
  <c r="CT13" i="9"/>
  <c r="CZ11" i="9"/>
  <c r="CZ9" i="9"/>
  <c r="CZ16" i="9" s="1"/>
  <c r="DA14" i="9"/>
  <c r="CX13" i="9"/>
  <c r="CG11" i="9"/>
  <c r="CG9" i="9"/>
  <c r="D38" i="7"/>
  <c r="D40" i="7" s="1"/>
  <c r="D41" i="7" s="1"/>
  <c r="BV11" i="9"/>
  <c r="BV9" i="9"/>
  <c r="BV16" i="9" s="1"/>
  <c r="BP14" i="9"/>
  <c r="BM13" i="9"/>
  <c r="CA11" i="9"/>
  <c r="CA9" i="9"/>
  <c r="CA16" i="9" s="1"/>
  <c r="CC14" i="9"/>
  <c r="BZ13" i="9"/>
  <c r="EL12" i="9"/>
  <c r="EK12" i="9"/>
  <c r="EJ12" i="9"/>
  <c r="EM12" i="9"/>
  <c r="EN12" i="9"/>
  <c r="EL10" i="9"/>
  <c r="EK10" i="9"/>
  <c r="EJ10" i="9"/>
  <c r="EN10" i="9"/>
  <c r="EM10" i="9"/>
  <c r="EN3" i="9"/>
  <c r="GU4" i="9" s="1"/>
  <c r="FW12" i="9"/>
  <c r="FV12" i="9"/>
  <c r="FS12" i="9"/>
  <c r="FT12" i="9"/>
  <c r="FW10" i="9"/>
  <c r="FV10" i="9"/>
  <c r="FU10" i="9"/>
  <c r="FS10" i="9"/>
  <c r="FU12" i="9"/>
  <c r="FT10" i="9"/>
  <c r="FW3" i="9"/>
  <c r="ID4" i="9" s="1"/>
  <c r="E66" i="7"/>
  <c r="E64" i="7"/>
  <c r="CF14" i="9"/>
  <c r="CC13" i="9"/>
  <c r="BQ11" i="9"/>
  <c r="BQ9" i="9"/>
  <c r="BQ16" i="9" s="1"/>
  <c r="ET12" i="9"/>
  <c r="EX12" i="9"/>
  <c r="EU12" i="9"/>
  <c r="ET10" i="9"/>
  <c r="EX10" i="9"/>
  <c r="EV12" i="9"/>
  <c r="EV10" i="9"/>
  <c r="EW12" i="9"/>
  <c r="EW10" i="9"/>
  <c r="EU10" i="9"/>
  <c r="EX3" i="9"/>
  <c r="HE4" i="9" s="1"/>
  <c r="CR14" i="9"/>
  <c r="CO13" i="9"/>
  <c r="DH11" i="9"/>
  <c r="DH9" i="9"/>
  <c r="DH16" i="9" s="1"/>
  <c r="DJ14" i="9"/>
  <c r="DG13" i="9"/>
  <c r="DG15" i="9" s="1"/>
  <c r="DO14" i="9"/>
  <c r="DL13" i="9"/>
  <c r="DL15" i="9" s="1"/>
  <c r="DL17" i="9" s="1"/>
  <c r="K25" i="3"/>
  <c r="K27" i="3" s="1"/>
  <c r="K28" i="3" s="1"/>
  <c r="I25" i="3"/>
  <c r="DF14" i="9"/>
  <c r="DC13" i="9"/>
  <c r="DC15" i="9" s="1"/>
  <c r="F19" i="2"/>
  <c r="FB12" i="9"/>
  <c r="FA12" i="9"/>
  <c r="EZ12" i="9"/>
  <c r="EY12" i="9"/>
  <c r="FC12" i="9"/>
  <c r="FB10" i="9"/>
  <c r="FA10" i="9"/>
  <c r="EZ10" i="9"/>
  <c r="EY10" i="9"/>
  <c r="FC10" i="9"/>
  <c r="FC3" i="9"/>
  <c r="HJ4" i="9" s="1"/>
  <c r="CU14" i="9"/>
  <c r="CR13" i="9"/>
  <c r="CY11" i="9"/>
  <c r="CY9" i="9"/>
  <c r="CY16" i="9" s="1"/>
  <c r="DB14" i="9"/>
  <c r="CY13" i="9"/>
  <c r="CY15" i="9" s="1"/>
  <c r="CH11" i="9"/>
  <c r="CH9" i="9"/>
  <c r="CH16" i="9" s="1"/>
  <c r="BX14" i="9"/>
  <c r="BU13" i="9"/>
  <c r="J28" i="3"/>
  <c r="BQ14" i="9"/>
  <c r="BN13" i="9"/>
  <c r="BW11" i="9"/>
  <c r="BW9" i="9"/>
  <c r="CD14" i="9"/>
  <c r="CA13" i="9"/>
  <c r="E46" i="7"/>
  <c r="E48" i="7"/>
  <c r="FJ12" i="9"/>
  <c r="FI12" i="9"/>
  <c r="FK12" i="9"/>
  <c r="FJ10" i="9"/>
  <c r="FM12" i="9"/>
  <c r="FI10" i="9"/>
  <c r="FL12" i="9"/>
  <c r="FK10" i="9"/>
  <c r="FM10" i="9"/>
  <c r="FL10" i="9"/>
  <c r="FM3" i="9"/>
  <c r="HT4" i="9" s="1"/>
  <c r="DG14" i="9"/>
  <c r="DD13" i="9"/>
  <c r="AZ21" i="3"/>
  <c r="BA21" i="3" s="1"/>
  <c r="BB21" i="3" s="1"/>
  <c r="BC21" i="3" s="1"/>
  <c r="BD21" i="3" s="1"/>
  <c r="BE21" i="3" s="1"/>
  <c r="BF21" i="3" s="1"/>
  <c r="BG21" i="3" s="1"/>
  <c r="BH21" i="3" s="1"/>
  <c r="BI21" i="3" s="1"/>
  <c r="BJ21" i="3" s="1"/>
  <c r="G19" i="2"/>
  <c r="U5" i="6"/>
  <c r="R18" i="6"/>
  <c r="CQ11" i="9"/>
  <c r="CQ9" i="9"/>
  <c r="CX14" i="9"/>
  <c r="CU13" i="9"/>
  <c r="CU15" i="9" s="1"/>
  <c r="CU17" i="9" s="1"/>
  <c r="AB29" i="6"/>
  <c r="CV11" i="9"/>
  <c r="CV9" i="9"/>
  <c r="ES12" i="9"/>
  <c r="ER12" i="9"/>
  <c r="EQ12" i="9"/>
  <c r="EP12" i="9"/>
  <c r="ES10" i="9"/>
  <c r="ER10" i="9"/>
  <c r="EQ10" i="9"/>
  <c r="EP10" i="9"/>
  <c r="EO12" i="9"/>
  <c r="ES3" i="9"/>
  <c r="GZ4" i="9" s="1"/>
  <c r="EO10" i="9"/>
  <c r="CM14" i="9"/>
  <c r="CJ13" i="9"/>
  <c r="CJ15" i="9" s="1"/>
  <c r="BY14" i="9"/>
  <c r="BV13" i="9"/>
  <c r="BV15" i="9" s="1"/>
  <c r="BI11" i="9"/>
  <c r="BI9" i="9"/>
  <c r="BX11" i="9"/>
  <c r="BX9" i="9"/>
  <c r="BX16" i="9" s="1"/>
  <c r="CG14" i="9"/>
  <c r="T13" i="3" s="1"/>
  <c r="CD13" i="9"/>
  <c r="CD15" i="9" s="1"/>
  <c r="CD17" i="9" s="1"/>
  <c r="CI14" i="9"/>
  <c r="CF13" i="9"/>
  <c r="BS14" i="9"/>
  <c r="BP13" i="9"/>
  <c r="BP15" i="9" s="1"/>
  <c r="BP17" i="9" s="1"/>
  <c r="CM11" i="9"/>
  <c r="CM9" i="9"/>
  <c r="CM16" i="9" s="1"/>
  <c r="DI11" i="9"/>
  <c r="DI9" i="9"/>
  <c r="DI16" i="9" s="1"/>
  <c r="DO11" i="9"/>
  <c r="DO9" i="9"/>
  <c r="DO16" i="9" s="1"/>
  <c r="DQ14" i="9"/>
  <c r="DN13" i="9"/>
  <c r="DN15" i="9" s="1"/>
  <c r="DN17" i="9" s="1"/>
  <c r="E57" i="7"/>
  <c r="E55" i="7"/>
  <c r="DA11" i="9"/>
  <c r="X11" i="3" s="1"/>
  <c r="DA9" i="9"/>
  <c r="DH14" i="9"/>
  <c r="DE13" i="9"/>
  <c r="DE15" i="9" s="1"/>
  <c r="DE17" i="9" s="1"/>
  <c r="AX30" i="10"/>
  <c r="AX32" i="10" s="1"/>
  <c r="O4" i="6"/>
  <c r="O30" i="6" s="1"/>
  <c r="P18" i="6"/>
  <c r="G19" i="4" s="1"/>
  <c r="CR11" i="9"/>
  <c r="CR9" i="9"/>
  <c r="CR16" i="9" s="1"/>
  <c r="CY14" i="9"/>
  <c r="CV13" i="9"/>
  <c r="H8" i="9"/>
  <c r="I7" i="9" s="1"/>
  <c r="H1" i="9"/>
  <c r="Y29" i="6"/>
  <c r="J18" i="4" s="1"/>
  <c r="DD14" i="9"/>
  <c r="DA13" i="9"/>
  <c r="CI11" i="9"/>
  <c r="CI9" i="9"/>
  <c r="CI16" i="9" s="1"/>
  <c r="CK14" i="9"/>
  <c r="CH13" i="9"/>
  <c r="K56" i="3"/>
  <c r="C13" i="2"/>
  <c r="BR11" i="9"/>
  <c r="BR9" i="9"/>
  <c r="F63" i="7"/>
  <c r="F54" i="7"/>
  <c r="F44" i="7"/>
  <c r="F53" i="7"/>
  <c r="F45" i="7"/>
  <c r="F36" i="7"/>
  <c r="F27" i="7"/>
  <c r="F62" i="7"/>
  <c r="F9" i="7"/>
  <c r="F76" i="7" s="1"/>
  <c r="F39" i="3" s="1"/>
  <c r="F14" i="7"/>
  <c r="F7" i="7"/>
  <c r="F12" i="7"/>
  <c r="F8" i="7"/>
  <c r="F13" i="7"/>
  <c r="F26" i="7"/>
  <c r="F35" i="7"/>
  <c r="F17" i="7"/>
  <c r="F18" i="7"/>
  <c r="BJ11" i="9"/>
  <c r="BJ9" i="9"/>
  <c r="BJ16" i="9" s="1"/>
  <c r="BY11" i="9"/>
  <c r="BY9" i="9"/>
  <c r="BY16" i="9" s="1"/>
  <c r="CS14" i="9"/>
  <c r="CP13" i="9"/>
  <c r="CP15" i="9" s="1"/>
  <c r="BT14" i="9"/>
  <c r="BQ13" i="9"/>
  <c r="BQ15" i="9" s="1"/>
  <c r="BQ17" i="9" s="1"/>
  <c r="DK11" i="9"/>
  <c r="Z11" i="3" s="1"/>
  <c r="DK9" i="9"/>
  <c r="DI14" i="9"/>
  <c r="DF13" i="9"/>
  <c r="CS11" i="9"/>
  <c r="CS9" i="9"/>
  <c r="CS16" i="9" s="1"/>
  <c r="CT14" i="9"/>
  <c r="CQ13" i="9"/>
  <c r="CW11" i="9"/>
  <c r="CW9" i="9"/>
  <c r="CW16" i="9" s="1"/>
  <c r="CK11" i="9"/>
  <c r="CK9" i="9"/>
  <c r="CK16" i="9" s="1"/>
  <c r="CL14" i="9"/>
  <c r="CI13" i="9"/>
  <c r="CI15" i="9" s="1"/>
  <c r="CI17" i="9" s="1"/>
  <c r="BS11" i="9"/>
  <c r="BS9" i="9"/>
  <c r="BS16" i="9" s="1"/>
  <c r="BW14" i="9"/>
  <c r="BT13" i="9"/>
  <c r="BT15" i="9" s="1"/>
  <c r="BT17" i="9" s="1"/>
  <c r="BL11" i="9"/>
  <c r="BL9" i="9"/>
  <c r="BL16" i="9" s="1"/>
  <c r="BO14" i="9"/>
  <c r="BL13" i="9"/>
  <c r="BL15" i="9" s="1"/>
  <c r="BL17" i="9" s="1"/>
  <c r="BZ11" i="9"/>
  <c r="BZ9" i="9"/>
  <c r="BZ16" i="9" s="1"/>
  <c r="CH14" i="9"/>
  <c r="CE13" i="9"/>
  <c r="CL11" i="9"/>
  <c r="CL9" i="9"/>
  <c r="DP14" i="9"/>
  <c r="DM13" i="9"/>
  <c r="DM15" i="9" s="1"/>
  <c r="DM17" i="9" s="1"/>
  <c r="CC11" i="9"/>
  <c r="CC9" i="9"/>
  <c r="CC16" i="9" s="1"/>
  <c r="C74" i="7"/>
  <c r="DB11" i="9"/>
  <c r="DB9" i="9"/>
  <c r="DB16" i="9" s="1"/>
  <c r="C73" i="7"/>
  <c r="CB11" i="9"/>
  <c r="S11" i="3" s="1"/>
  <c r="CB9" i="9"/>
  <c r="DV12" i="9"/>
  <c r="DU12" i="9"/>
  <c r="DW12" i="9"/>
  <c r="DV10" i="9"/>
  <c r="DU10" i="9"/>
  <c r="DY12" i="9"/>
  <c r="DX12" i="9"/>
  <c r="DY10" i="9"/>
  <c r="DY3" i="9"/>
  <c r="GF4" i="9" s="1"/>
  <c r="DX10" i="9"/>
  <c r="DW10" i="9"/>
  <c r="BU14" i="9"/>
  <c r="BR13" i="9"/>
  <c r="CO11" i="9"/>
  <c r="CO9" i="9"/>
  <c r="CO16" i="9" s="1"/>
  <c r="C49" i="7"/>
  <c r="C72" i="7" s="1"/>
  <c r="C75" i="7"/>
  <c r="DF11" i="9"/>
  <c r="DF9" i="9"/>
  <c r="DL11" i="9"/>
  <c r="DL9" i="9"/>
  <c r="DL16" i="9" s="1"/>
  <c r="E37" i="7"/>
  <c r="E39" i="7"/>
  <c r="DC9" i="9"/>
  <c r="DC16" i="9" s="1"/>
  <c r="DC11" i="9"/>
  <c r="CT11" i="9"/>
  <c r="CT9" i="9"/>
  <c r="CT16" i="9" s="1"/>
  <c r="AZ30" i="10"/>
  <c r="AZ32" i="10" s="1"/>
  <c r="M4" i="6"/>
  <c r="L31" i="6"/>
  <c r="CX11" i="9"/>
  <c r="CX9" i="9"/>
  <c r="CX16" i="9" s="1"/>
  <c r="CN14" i="9"/>
  <c r="CK13" i="9"/>
  <c r="ED12" i="9"/>
  <c r="EC12" i="9"/>
  <c r="EB12" i="9"/>
  <c r="EA12" i="9"/>
  <c r="DZ12" i="9"/>
  <c r="ED10" i="9"/>
  <c r="EC10" i="9"/>
  <c r="EB10" i="9"/>
  <c r="EA10" i="9"/>
  <c r="DZ10" i="9"/>
  <c r="ED3" i="9"/>
  <c r="GK4" i="9" s="1"/>
  <c r="BZ14" i="9"/>
  <c r="BW13" i="9"/>
  <c r="DT12" i="9"/>
  <c r="DS12" i="9"/>
  <c r="DR12" i="9"/>
  <c r="DT10" i="9"/>
  <c r="DS10" i="9"/>
  <c r="DR10" i="9"/>
  <c r="DQ10" i="9"/>
  <c r="DP10" i="9"/>
  <c r="DQ12" i="9"/>
  <c r="DP12" i="9"/>
  <c r="DT3" i="9"/>
  <c r="GB4" i="9" s="1"/>
  <c r="BM14" i="9"/>
  <c r="O13" i="3" s="1"/>
  <c r="BJ13" i="9"/>
  <c r="CE14" i="9"/>
  <c r="CB13" i="9"/>
  <c r="D29" i="7"/>
  <c r="D31" i="7" s="1"/>
  <c r="D32" i="7" s="1"/>
  <c r="D73" i="7" l="1"/>
  <c r="D36" i="3" s="1"/>
  <c r="C77" i="7"/>
  <c r="C35" i="3"/>
  <c r="D59" i="7"/>
  <c r="D68" i="7"/>
  <c r="E56" i="7"/>
  <c r="E58" i="7" s="1"/>
  <c r="FA11" i="9"/>
  <c r="FA9" i="9"/>
  <c r="FA16" i="9" s="1"/>
  <c r="FX14" i="9"/>
  <c r="FU13" i="9"/>
  <c r="CL15" i="9"/>
  <c r="U12" i="3"/>
  <c r="DT11" i="9"/>
  <c r="DT9" i="9"/>
  <c r="DT16" i="9" s="1"/>
  <c r="F21" i="7"/>
  <c r="F19" i="7"/>
  <c r="F57" i="7"/>
  <c r="F55" i="7"/>
  <c r="CH15" i="9"/>
  <c r="CH17" i="9" s="1"/>
  <c r="CJ17" i="9"/>
  <c r="ES11" i="9"/>
  <c r="ES9" i="9"/>
  <c r="ES16" i="9" s="1"/>
  <c r="BK21" i="3"/>
  <c r="FI11" i="9"/>
  <c r="FI9" i="9"/>
  <c r="CA15" i="9"/>
  <c r="CA17" i="9" s="1"/>
  <c r="BU15" i="9"/>
  <c r="BU17" i="9" s="1"/>
  <c r="CR15" i="9"/>
  <c r="CR17" i="9" s="1"/>
  <c r="FG14" i="9"/>
  <c r="FD13" i="9"/>
  <c r="Y13" i="3"/>
  <c r="DG17" i="9"/>
  <c r="EW11" i="9"/>
  <c r="EW9" i="9"/>
  <c r="EW16" i="9" s="1"/>
  <c r="EX14" i="9"/>
  <c r="EU13" i="9"/>
  <c r="FT11" i="9"/>
  <c r="FT9" i="9"/>
  <c r="FT16" i="9" s="1"/>
  <c r="FZ14" i="9"/>
  <c r="FW13" i="9"/>
  <c r="ER14" i="9"/>
  <c r="EO13" i="9"/>
  <c r="D74" i="7"/>
  <c r="D37" i="3" s="1"/>
  <c r="BL19" i="3"/>
  <c r="BM19" i="3" s="1"/>
  <c r="BN19" i="3" s="1"/>
  <c r="BO19" i="3" s="1"/>
  <c r="BP19" i="3" s="1"/>
  <c r="BQ19" i="3" s="1"/>
  <c r="BR19" i="3" s="1"/>
  <c r="BS19" i="3" s="1"/>
  <c r="BT19" i="3" s="1"/>
  <c r="BU19" i="3" s="1"/>
  <c r="BV19" i="3" s="1"/>
  <c r="BW19" i="3" s="1"/>
  <c r="GP12" i="9"/>
  <c r="GO12" i="9"/>
  <c r="GN12" i="9"/>
  <c r="GM12" i="9"/>
  <c r="GL12" i="9"/>
  <c r="GP10" i="9"/>
  <c r="GO10" i="9"/>
  <c r="GN10" i="9"/>
  <c r="GM10" i="9"/>
  <c r="GL10" i="9"/>
  <c r="GP3" i="9"/>
  <c r="IW4" i="9" s="1"/>
  <c r="EI14" i="9"/>
  <c r="EF13" i="9"/>
  <c r="CW15" i="9"/>
  <c r="CW17" i="9" s="1"/>
  <c r="FI14" i="9"/>
  <c r="FF13" i="9"/>
  <c r="FO11" i="9"/>
  <c r="FO9" i="9"/>
  <c r="FO16" i="9" s="1"/>
  <c r="FV14" i="9"/>
  <c r="FS13" i="9"/>
  <c r="CZ15" i="9"/>
  <c r="CZ17" i="9" s="1"/>
  <c r="EQ11" i="9"/>
  <c r="EQ9" i="9"/>
  <c r="EQ16" i="9" s="1"/>
  <c r="HE12" i="9"/>
  <c r="HD12" i="9"/>
  <c r="HC12" i="9"/>
  <c r="HB12" i="9"/>
  <c r="HE10" i="9"/>
  <c r="HD10" i="9"/>
  <c r="HC10" i="9"/>
  <c r="HB10" i="9"/>
  <c r="HA12" i="9"/>
  <c r="HA10" i="9"/>
  <c r="HE3" i="9"/>
  <c r="JL4" i="9" s="1"/>
  <c r="EY14" i="9"/>
  <c r="EV13" i="9"/>
  <c r="FH14" i="9"/>
  <c r="FE13" i="9"/>
  <c r="GH12" i="9"/>
  <c r="GG12" i="9"/>
  <c r="GI12" i="9"/>
  <c r="GH10" i="9"/>
  <c r="GG10" i="9"/>
  <c r="GK12" i="9"/>
  <c r="GJ12" i="9"/>
  <c r="GK10" i="9"/>
  <c r="GJ10" i="9"/>
  <c r="GK3" i="9"/>
  <c r="IR4" i="9" s="1"/>
  <c r="GI10" i="9"/>
  <c r="C36" i="3"/>
  <c r="CQ15" i="9"/>
  <c r="V12" i="3"/>
  <c r="I8" i="9"/>
  <c r="J7" i="9" s="1"/>
  <c r="I1" i="9"/>
  <c r="ET14" i="9"/>
  <c r="EQ13" i="9"/>
  <c r="DD15" i="9"/>
  <c r="DD17" i="9" s="1"/>
  <c r="FC14" i="9"/>
  <c r="EZ13" i="9"/>
  <c r="EQ14" i="9"/>
  <c r="EN13" i="9"/>
  <c r="DK15" i="9"/>
  <c r="Z12" i="3"/>
  <c r="Z15" i="3" s="1"/>
  <c r="EE11" i="9"/>
  <c r="EE9" i="9"/>
  <c r="EL14" i="9"/>
  <c r="EI13" i="9"/>
  <c r="EI15" i="9" s="1"/>
  <c r="FH11" i="9"/>
  <c r="FH9" i="9"/>
  <c r="FH16" i="9" s="1"/>
  <c r="FP9" i="9"/>
  <c r="FP16" i="9" s="1"/>
  <c r="FP11" i="9"/>
  <c r="D23" i="7"/>
  <c r="BO17" i="9"/>
  <c r="DW14" i="9"/>
  <c r="DT13" i="9"/>
  <c r="EA14" i="9"/>
  <c r="DX13" i="9"/>
  <c r="U13" i="3"/>
  <c r="BR16" i="9"/>
  <c r="Q14" i="3" s="1"/>
  <c r="Q10" i="3"/>
  <c r="CV15" i="9"/>
  <c r="W12" i="3"/>
  <c r="EO11" i="9"/>
  <c r="EO9" i="9"/>
  <c r="EU14" i="9"/>
  <c r="ER13" i="9"/>
  <c r="ER15" i="9" s="1"/>
  <c r="FJ11" i="9"/>
  <c r="FJ9" i="9"/>
  <c r="FJ16" i="9" s="1"/>
  <c r="BW16" i="9"/>
  <c r="R14" i="3" s="1"/>
  <c r="R10" i="3"/>
  <c r="HF12" i="9"/>
  <c r="HJ12" i="9"/>
  <c r="HG12" i="9"/>
  <c r="HF10" i="9"/>
  <c r="HJ10" i="9"/>
  <c r="HI12" i="9"/>
  <c r="HH12" i="9"/>
  <c r="HH10" i="9"/>
  <c r="HI10" i="9"/>
  <c r="HG10" i="9"/>
  <c r="HJ3" i="9"/>
  <c r="JQ4" i="9" s="1"/>
  <c r="FD14" i="9"/>
  <c r="FA13" i="9"/>
  <c r="EV11" i="9"/>
  <c r="EV9" i="9"/>
  <c r="EV16" i="9" s="1"/>
  <c r="FS11" i="9"/>
  <c r="FS9" i="9"/>
  <c r="GU12" i="9"/>
  <c r="GT12" i="9"/>
  <c r="GQ12" i="9"/>
  <c r="GS12" i="9"/>
  <c r="GR12" i="9"/>
  <c r="GU10" i="9"/>
  <c r="GT10" i="9"/>
  <c r="GS10" i="9"/>
  <c r="GR10" i="9"/>
  <c r="GU3" i="9"/>
  <c r="JB4" i="9" s="1"/>
  <c r="GQ10" i="9"/>
  <c r="EN14" i="9"/>
  <c r="EK13" i="9"/>
  <c r="BM15" i="9"/>
  <c r="BM17" i="9" s="1"/>
  <c r="T11" i="3"/>
  <c r="DO15" i="9"/>
  <c r="DO17" i="9" s="1"/>
  <c r="EF11" i="9"/>
  <c r="EF9" i="9"/>
  <c r="EF16" i="9" s="1"/>
  <c r="EM14" i="9"/>
  <c r="EJ13" i="9"/>
  <c r="G63" i="7"/>
  <c r="G62" i="7"/>
  <c r="G53" i="7"/>
  <c r="G45" i="7"/>
  <c r="G36" i="7"/>
  <c r="G14" i="7"/>
  <c r="G7" i="7"/>
  <c r="G12" i="7"/>
  <c r="G26" i="7"/>
  <c r="G17" i="7"/>
  <c r="G13" i="7"/>
  <c r="G44" i="7"/>
  <c r="G35" i="7"/>
  <c r="G18" i="7"/>
  <c r="G27" i="7"/>
  <c r="G8" i="7"/>
  <c r="G54" i="7"/>
  <c r="G9" i="7"/>
  <c r="G76" i="7" s="1"/>
  <c r="G39" i="3" s="1"/>
  <c r="HL12" i="9"/>
  <c r="HO12" i="9"/>
  <c r="HN12" i="9"/>
  <c r="HM12" i="9"/>
  <c r="HK12" i="9"/>
  <c r="HN10" i="9"/>
  <c r="HM10" i="9"/>
  <c r="HL10" i="9"/>
  <c r="HK10" i="9"/>
  <c r="HO10" i="9"/>
  <c r="HO3" i="9"/>
  <c r="JV4" i="9" s="1"/>
  <c r="FJ14" i="9"/>
  <c r="FG13" i="9"/>
  <c r="FG15" i="9" s="1"/>
  <c r="FQ11" i="9"/>
  <c r="FQ9" i="9"/>
  <c r="FQ16" i="9" s="1"/>
  <c r="D75" i="7"/>
  <c r="D38" i="3" s="1"/>
  <c r="CG15" i="9"/>
  <c r="T12" i="3"/>
  <c r="Q13" i="3"/>
  <c r="FK11" i="9"/>
  <c r="FK9" i="9"/>
  <c r="FK16" i="9" s="1"/>
  <c r="BY15" i="9"/>
  <c r="BY17" i="9" s="1"/>
  <c r="E34" i="3"/>
  <c r="FT14" i="9"/>
  <c r="FQ13" i="9"/>
  <c r="BJ15" i="9"/>
  <c r="BJ17" i="9" s="1"/>
  <c r="O12" i="3"/>
  <c r="EF14" i="9"/>
  <c r="EC13" i="9"/>
  <c r="DZ11" i="9"/>
  <c r="DZ9" i="9"/>
  <c r="EG14" i="9"/>
  <c r="ED13" i="9"/>
  <c r="BR15" i="9"/>
  <c r="BR17" i="9" s="1"/>
  <c r="Q12" i="3"/>
  <c r="DU11" i="9"/>
  <c r="DU9" i="9"/>
  <c r="DV14" i="9"/>
  <c r="DS13" i="9"/>
  <c r="DS15" i="9" s="1"/>
  <c r="EA11" i="9"/>
  <c r="EA9" i="9"/>
  <c r="EA16" i="9" s="1"/>
  <c r="EH14" i="9"/>
  <c r="EE13" i="9"/>
  <c r="DV11" i="9"/>
  <c r="DV9" i="9"/>
  <c r="DV16" i="9" s="1"/>
  <c r="F66" i="7"/>
  <c r="F64" i="7"/>
  <c r="FQ14" i="9"/>
  <c r="FN13" i="9"/>
  <c r="FA14" i="9"/>
  <c r="EX13" i="9"/>
  <c r="EX15" i="9" s="1"/>
  <c r="FY14" i="9"/>
  <c r="FV13" i="9"/>
  <c r="FV15" i="9" s="1"/>
  <c r="GA14" i="9"/>
  <c r="FX13" i="9"/>
  <c r="CG16" i="9"/>
  <c r="T14" i="3" s="1"/>
  <c r="T10" i="3"/>
  <c r="CM15" i="9"/>
  <c r="CM17" i="9" s="1"/>
  <c r="P13" i="3"/>
  <c r="DT14" i="9"/>
  <c r="DQ13" i="9"/>
  <c r="DQ15" i="9" s="1"/>
  <c r="EB11" i="9"/>
  <c r="EB9" i="9"/>
  <c r="EB16" i="9" s="1"/>
  <c r="Y11" i="3"/>
  <c r="DW11" i="9"/>
  <c r="DW9" i="9"/>
  <c r="DW16" i="9" s="1"/>
  <c r="CL16" i="9"/>
  <c r="U14" i="3" s="1"/>
  <c r="U10" i="3"/>
  <c r="DU14" i="9"/>
  <c r="DR13" i="9"/>
  <c r="DR15" i="9" s="1"/>
  <c r="DX14" i="9"/>
  <c r="DU13" i="9"/>
  <c r="EC11" i="9"/>
  <c r="EC9" i="9"/>
  <c r="EC16" i="9" s="1"/>
  <c r="CK15" i="9"/>
  <c r="CK17" i="9" s="1"/>
  <c r="C38" i="3"/>
  <c r="DX11" i="9"/>
  <c r="DX9" i="9"/>
  <c r="DX16" i="9" s="1"/>
  <c r="DY14" i="9"/>
  <c r="DV13" i="9"/>
  <c r="DV15" i="9" s="1"/>
  <c r="C37" i="3"/>
  <c r="U11" i="3"/>
  <c r="DF15" i="9"/>
  <c r="Y12" i="3"/>
  <c r="F30" i="7"/>
  <c r="F28" i="7"/>
  <c r="Q11" i="3"/>
  <c r="Q15" i="3" s="1"/>
  <c r="CF15" i="9"/>
  <c r="CF17" i="9" s="1"/>
  <c r="BI16" i="9"/>
  <c r="O14" i="3" s="1"/>
  <c r="O10" i="3"/>
  <c r="GX12" i="9"/>
  <c r="GW12" i="9"/>
  <c r="GV12" i="9"/>
  <c r="GY12" i="9"/>
  <c r="GZ12" i="9"/>
  <c r="GX10" i="9"/>
  <c r="GW10" i="9"/>
  <c r="GV10" i="9"/>
  <c r="GZ10" i="9"/>
  <c r="GY10" i="9"/>
  <c r="GZ3" i="9"/>
  <c r="JG4" i="9" s="1"/>
  <c r="EV14" i="9"/>
  <c r="ES13" i="9"/>
  <c r="CQ16" i="9"/>
  <c r="V14" i="3" s="1"/>
  <c r="V10" i="3"/>
  <c r="HT12" i="9"/>
  <c r="HT10" i="9"/>
  <c r="HS12" i="9"/>
  <c r="HP12" i="9"/>
  <c r="HR12" i="9"/>
  <c r="HS10" i="9"/>
  <c r="HQ12" i="9"/>
  <c r="HR10" i="9"/>
  <c r="HQ10" i="9"/>
  <c r="HP10" i="9"/>
  <c r="HT3" i="9"/>
  <c r="KA4" i="9" s="1"/>
  <c r="FO14" i="9"/>
  <c r="FL13" i="9"/>
  <c r="R11" i="3"/>
  <c r="FC11" i="9"/>
  <c r="FC9" i="9"/>
  <c r="FC16" i="9" s="1"/>
  <c r="FE14" i="9"/>
  <c r="FB13" i="9"/>
  <c r="EZ14" i="9"/>
  <c r="EW13" i="9"/>
  <c r="CC15" i="9"/>
  <c r="CC17" i="9" s="1"/>
  <c r="FU11" i="9"/>
  <c r="FU9" i="9"/>
  <c r="FU16" i="9" s="1"/>
  <c r="EM11" i="9"/>
  <c r="EM9" i="9"/>
  <c r="EM16" i="9" s="1"/>
  <c r="EO14" i="9"/>
  <c r="EL13" i="9"/>
  <c r="EL15" i="9" s="1"/>
  <c r="EL17" i="9" s="1"/>
  <c r="CX15" i="9"/>
  <c r="CX17" i="9" s="1"/>
  <c r="DB15" i="9"/>
  <c r="DB17" i="9" s="1"/>
  <c r="DJ15" i="9"/>
  <c r="DJ17" i="9" s="1"/>
  <c r="EG11" i="9"/>
  <c r="EG9" i="9"/>
  <c r="EG16" i="9" s="1"/>
  <c r="FD11" i="9"/>
  <c r="FD9" i="9"/>
  <c r="FK14" i="9"/>
  <c r="FH13" i="9"/>
  <c r="FH15" i="9" s="1"/>
  <c r="FH17" i="9" s="1"/>
  <c r="FR11" i="9"/>
  <c r="FR9" i="9"/>
  <c r="FR16" i="9" s="1"/>
  <c r="CS15" i="9"/>
  <c r="CS17" i="9" s="1"/>
  <c r="R13" i="3"/>
  <c r="D11" i="2" s="1"/>
  <c r="W11" i="3"/>
  <c r="EK11" i="9"/>
  <c r="EK9" i="9"/>
  <c r="EK16" i="9" s="1"/>
  <c r="HX12" i="9"/>
  <c r="HW12" i="9"/>
  <c r="HV12" i="9"/>
  <c r="HU12" i="9"/>
  <c r="HY12" i="9"/>
  <c r="HW10" i="9"/>
  <c r="HV10" i="9"/>
  <c r="HU10" i="9"/>
  <c r="HX10" i="9"/>
  <c r="HY10" i="9"/>
  <c r="HY3" i="9"/>
  <c r="KF4" i="9" s="1"/>
  <c r="DS11" i="9"/>
  <c r="DS9" i="9"/>
  <c r="DS16" i="9" s="1"/>
  <c r="FZ12" i="9"/>
  <c r="FY12" i="9"/>
  <c r="FX12" i="9"/>
  <c r="GA12" i="9"/>
  <c r="FZ10" i="9"/>
  <c r="FY10" i="9"/>
  <c r="FX10" i="9"/>
  <c r="GB10" i="9"/>
  <c r="GA10" i="9"/>
  <c r="GB12" i="9"/>
  <c r="GB3" i="9"/>
  <c r="II4" i="9" s="1"/>
  <c r="DF16" i="9"/>
  <c r="Y14" i="3" s="1"/>
  <c r="Y10" i="3"/>
  <c r="AA13" i="3"/>
  <c r="CP17" i="9"/>
  <c r="F71" i="7"/>
  <c r="F34" i="3" s="1"/>
  <c r="DP11" i="9"/>
  <c r="AA11" i="3" s="1"/>
  <c r="DP9" i="9"/>
  <c r="ED11" i="9"/>
  <c r="ED9" i="9"/>
  <c r="ED16" i="9" s="1"/>
  <c r="E38" i="7"/>
  <c r="E40" i="7" s="1"/>
  <c r="GF12" i="9"/>
  <c r="GE12" i="9"/>
  <c r="GD12" i="9"/>
  <c r="GF10" i="9"/>
  <c r="GE10" i="9"/>
  <c r="GD10" i="9"/>
  <c r="GC10" i="9"/>
  <c r="GF3" i="9"/>
  <c r="IM4" i="9" s="1"/>
  <c r="GC12" i="9"/>
  <c r="DZ14" i="9"/>
  <c r="DW13" i="9"/>
  <c r="DW15" i="9" s="1"/>
  <c r="DW17" i="9" s="1"/>
  <c r="CE15" i="9"/>
  <c r="CE17" i="9" s="1"/>
  <c r="F39" i="7"/>
  <c r="F37" i="7"/>
  <c r="C56" i="2"/>
  <c r="C6" i="1"/>
  <c r="DA15" i="9"/>
  <c r="X12" i="3"/>
  <c r="DA16" i="9"/>
  <c r="X14" i="3" s="1"/>
  <c r="X15" i="3" s="1"/>
  <c r="X10" i="3"/>
  <c r="O11" i="3"/>
  <c r="BI17" i="9"/>
  <c r="ES14" i="9"/>
  <c r="EP13" i="9"/>
  <c r="EW14" i="9"/>
  <c r="ET13" i="9"/>
  <c r="V11" i="3"/>
  <c r="V15" i="3" s="1"/>
  <c r="FL11" i="9"/>
  <c r="FL9" i="9"/>
  <c r="FL16" i="9" s="1"/>
  <c r="FM14" i="9"/>
  <c r="FJ13" i="9"/>
  <c r="FJ15" i="9" s="1"/>
  <c r="FJ17" i="9" s="1"/>
  <c r="BN15" i="9"/>
  <c r="BN17" i="9" s="1"/>
  <c r="P12" i="3"/>
  <c r="P15" i="3" s="1"/>
  <c r="CY17" i="9"/>
  <c r="EY11" i="9"/>
  <c r="EY9" i="9"/>
  <c r="FF14" i="9"/>
  <c r="FC13" i="9"/>
  <c r="FC15" i="9" s="1"/>
  <c r="I27" i="3"/>
  <c r="CO15" i="9"/>
  <c r="CO17" i="9" s="1"/>
  <c r="EX11" i="9"/>
  <c r="EX9" i="9"/>
  <c r="EX16" i="9" s="1"/>
  <c r="FV11" i="9"/>
  <c r="FV9" i="9"/>
  <c r="FV16" i="9" s="1"/>
  <c r="EN11" i="9"/>
  <c r="EN9" i="9"/>
  <c r="EN16" i="9" s="1"/>
  <c r="EP14" i="9"/>
  <c r="EM13" i="9"/>
  <c r="EM15" i="9" s="1"/>
  <c r="X13" i="3"/>
  <c r="EH11" i="9"/>
  <c r="EH9" i="9"/>
  <c r="EH16" i="9" s="1"/>
  <c r="FE11" i="9"/>
  <c r="FE9" i="9"/>
  <c r="FE16" i="9" s="1"/>
  <c r="FL14" i="9"/>
  <c r="FI13" i="9"/>
  <c r="DH17" i="9"/>
  <c r="FR14" i="9"/>
  <c r="FO13" i="9"/>
  <c r="FO15" i="9" s="1"/>
  <c r="FO17" i="9" s="1"/>
  <c r="W13" i="3"/>
  <c r="BS15" i="9"/>
  <c r="BS17" i="9" s="1"/>
  <c r="DR11" i="9"/>
  <c r="DR9" i="9"/>
  <c r="DR16" i="9" s="1"/>
  <c r="EB14" i="9"/>
  <c r="DY13" i="9"/>
  <c r="DY15" i="9" s="1"/>
  <c r="CB15" i="9"/>
  <c r="S12" i="3"/>
  <c r="S15" i="3" s="1"/>
  <c r="DQ11" i="9"/>
  <c r="DQ9" i="9"/>
  <c r="DQ16" i="9" s="1"/>
  <c r="BW15" i="9"/>
  <c r="BW17" i="9" s="1"/>
  <c r="R12" i="3"/>
  <c r="ED14" i="9"/>
  <c r="EA13" i="9"/>
  <c r="EA15" i="9" s="1"/>
  <c r="C50" i="7"/>
  <c r="DY11" i="9"/>
  <c r="DY9" i="9"/>
  <c r="DY16" i="9" s="1"/>
  <c r="CB16" i="9"/>
  <c r="S14" i="3" s="1"/>
  <c r="S10" i="3"/>
  <c r="DK16" i="9"/>
  <c r="Z14" i="3" s="1"/>
  <c r="Z10" i="3"/>
  <c r="F48" i="7"/>
  <c r="F46" i="7"/>
  <c r="BV17" i="9"/>
  <c r="EP11" i="9"/>
  <c r="EP9" i="9"/>
  <c r="EP16" i="9" s="1"/>
  <c r="CV16" i="9"/>
  <c r="W14" i="3" s="1"/>
  <c r="W10" i="3"/>
  <c r="R4" i="6"/>
  <c r="S18" i="6"/>
  <c r="H19" i="4" s="1"/>
  <c r="FM11" i="9"/>
  <c r="FM9" i="9"/>
  <c r="FM16" i="9" s="1"/>
  <c r="FN14" i="9"/>
  <c r="FK13" i="9"/>
  <c r="EZ11" i="9"/>
  <c r="EZ9" i="9"/>
  <c r="EZ16" i="9" s="1"/>
  <c r="ET11" i="9"/>
  <c r="ET9" i="9"/>
  <c r="E65" i="7"/>
  <c r="FW9" i="9"/>
  <c r="FW16" i="9" s="1"/>
  <c r="FW11" i="9"/>
  <c r="EJ11" i="9"/>
  <c r="AE11" i="3" s="1"/>
  <c r="EJ9" i="9"/>
  <c r="C33" i="6"/>
  <c r="C32" i="6"/>
  <c r="DI17" i="9"/>
  <c r="EI11" i="9"/>
  <c r="EI9" i="9"/>
  <c r="EI16" i="9" s="1"/>
  <c r="D72" i="7"/>
  <c r="FF11" i="9"/>
  <c r="FF9" i="9"/>
  <c r="FF16" i="9" s="1"/>
  <c r="Z13" i="3"/>
  <c r="FS14" i="9"/>
  <c r="AL13" i="3" s="1"/>
  <c r="FP13" i="9"/>
  <c r="FP15" i="9" s="1"/>
  <c r="FP17" i="9" s="1"/>
  <c r="BN16" i="9"/>
  <c r="P14" i="3" s="1"/>
  <c r="P10" i="3"/>
  <c r="EE14" i="9"/>
  <c r="AD13" i="3" s="1"/>
  <c r="EB13" i="9"/>
  <c r="U18" i="6"/>
  <c r="X5" i="6"/>
  <c r="BZ15" i="9"/>
  <c r="BZ17" i="9" s="1"/>
  <c r="EJ14" i="9"/>
  <c r="AE13" i="3" s="1"/>
  <c r="EG13" i="9"/>
  <c r="EG15" i="9" s="1"/>
  <c r="EG17" i="9" s="1"/>
  <c r="EC14" i="9"/>
  <c r="DZ13" i="9"/>
  <c r="P4" i="6"/>
  <c r="O31" i="6"/>
  <c r="ER11" i="9"/>
  <c r="ER9" i="9"/>
  <c r="ER16" i="9" s="1"/>
  <c r="FP14" i="9"/>
  <c r="FM13" i="9"/>
  <c r="FM15" i="9" s="1"/>
  <c r="E47" i="7"/>
  <c r="FB11" i="9"/>
  <c r="FB9" i="9"/>
  <c r="FB16" i="9" s="1"/>
  <c r="DC17" i="9"/>
  <c r="EU11" i="9"/>
  <c r="EU9" i="9"/>
  <c r="EU16" i="9" s="1"/>
  <c r="FB14" i="9"/>
  <c r="EY13" i="9"/>
  <c r="IB12" i="9"/>
  <c r="ID10" i="9"/>
  <c r="IB10" i="9"/>
  <c r="ID12" i="9"/>
  <c r="IC12" i="9"/>
  <c r="IA12" i="9"/>
  <c r="HZ12" i="9"/>
  <c r="IC10" i="9"/>
  <c r="IA10" i="9"/>
  <c r="ID3" i="9"/>
  <c r="KK4" i="9" s="1"/>
  <c r="HZ10" i="9"/>
  <c r="FW14" i="9"/>
  <c r="FT13" i="9"/>
  <c r="FT15" i="9" s="1"/>
  <c r="FT17" i="9" s="1"/>
  <c r="EL11" i="9"/>
  <c r="EL9" i="9"/>
  <c r="EL16" i="9" s="1"/>
  <c r="CT15" i="9"/>
  <c r="CT17" i="9" s="1"/>
  <c r="E29" i="7"/>
  <c r="DP15" i="9"/>
  <c r="AA12" i="3"/>
  <c r="S13" i="3"/>
  <c r="EK14" i="9"/>
  <c r="EH13" i="9"/>
  <c r="EH15" i="9" s="1"/>
  <c r="H4" i="7"/>
  <c r="H41" i="3"/>
  <c r="H6" i="3"/>
  <c r="H61" i="3" s="1"/>
  <c r="H31" i="3" s="1"/>
  <c r="H7" i="3"/>
  <c r="H59" i="3" s="1"/>
  <c r="H40" i="3" s="1"/>
  <c r="I4" i="3"/>
  <c r="H5" i="3"/>
  <c r="FG11" i="9"/>
  <c r="FG9" i="9"/>
  <c r="FG16" i="9" s="1"/>
  <c r="FN11" i="9"/>
  <c r="AK11" i="3" s="1"/>
  <c r="FN9" i="9"/>
  <c r="FU14" i="9"/>
  <c r="FR13" i="9"/>
  <c r="FR15" i="9" s="1"/>
  <c r="FR17" i="9" s="1"/>
  <c r="E20" i="7"/>
  <c r="P56" i="3" l="1"/>
  <c r="E41" i="7"/>
  <c r="I4" i="7"/>
  <c r="I6" i="3"/>
  <c r="I61" i="3" s="1"/>
  <c r="I31" i="3" s="1"/>
  <c r="J4" i="3"/>
  <c r="I41" i="3"/>
  <c r="I7" i="3"/>
  <c r="I59" i="3" s="1"/>
  <c r="I40" i="3" s="1"/>
  <c r="I5" i="3"/>
  <c r="W22" i="3"/>
  <c r="W23" i="3"/>
  <c r="W20" i="3"/>
  <c r="U18" i="3"/>
  <c r="IA14" i="9"/>
  <c r="HX13" i="9"/>
  <c r="HX15" i="9" s="1"/>
  <c r="HA14" i="9"/>
  <c r="GX13" i="9"/>
  <c r="DP17" i="9"/>
  <c r="HZ11" i="9"/>
  <c r="HZ9" i="9"/>
  <c r="IB9" i="9"/>
  <c r="IB16" i="9" s="1"/>
  <c r="IB11" i="9"/>
  <c r="X18" i="6"/>
  <c r="AA5" i="6"/>
  <c r="AK13" i="3"/>
  <c r="X18" i="3"/>
  <c r="Z23" i="3"/>
  <c r="Z22" i="3"/>
  <c r="Z20" i="3"/>
  <c r="EA17" i="9"/>
  <c r="DY17" i="9"/>
  <c r="EM17" i="9"/>
  <c r="DA17" i="9"/>
  <c r="X56" i="3" s="1"/>
  <c r="GF11" i="9"/>
  <c r="GF9" i="9"/>
  <c r="GF16" i="9" s="1"/>
  <c r="DP16" i="9"/>
  <c r="AA14" i="3" s="1"/>
  <c r="AA10" i="3"/>
  <c r="GF14" i="9"/>
  <c r="GC13" i="9"/>
  <c r="GC14" i="9"/>
  <c r="FZ13" i="9"/>
  <c r="FZ15" i="9" s="1"/>
  <c r="HU11" i="9"/>
  <c r="HU9" i="9"/>
  <c r="AI11" i="3"/>
  <c r="HQ11" i="9"/>
  <c r="HQ9" i="9"/>
  <c r="HQ16" i="9" s="1"/>
  <c r="HX14" i="9"/>
  <c r="HU13" i="9"/>
  <c r="GV11" i="9"/>
  <c r="GV9" i="9"/>
  <c r="O22" i="3"/>
  <c r="O23" i="3"/>
  <c r="M18" i="3"/>
  <c r="O20" i="3"/>
  <c r="D7" i="2"/>
  <c r="DF17" i="9"/>
  <c r="DR17" i="9"/>
  <c r="FX15" i="9"/>
  <c r="F65" i="7"/>
  <c r="DS17" i="9"/>
  <c r="JT12" i="9"/>
  <c r="JS12" i="9"/>
  <c r="JR10" i="9"/>
  <c r="JR12" i="9"/>
  <c r="JT10" i="9"/>
  <c r="JS10" i="9"/>
  <c r="JV12" i="9"/>
  <c r="JU12" i="9"/>
  <c r="JV10" i="9"/>
  <c r="JU10" i="9"/>
  <c r="JV3" i="9"/>
  <c r="MC4" i="9" s="1"/>
  <c r="HR14" i="9"/>
  <c r="HO13" i="9"/>
  <c r="G39" i="7"/>
  <c r="G37" i="7"/>
  <c r="GR11" i="9"/>
  <c r="GR9" i="9"/>
  <c r="GR16" i="9" s="1"/>
  <c r="GY14" i="9"/>
  <c r="GV13" i="9"/>
  <c r="HG11" i="9"/>
  <c r="HG9" i="9"/>
  <c r="HG16" i="9" s="1"/>
  <c r="HN14" i="9"/>
  <c r="HK13" i="9"/>
  <c r="EO16" i="9"/>
  <c r="AF14" i="3" s="1"/>
  <c r="AF10" i="3"/>
  <c r="GN14" i="9"/>
  <c r="GK13" i="9"/>
  <c r="HD11" i="9"/>
  <c r="HD9" i="9"/>
  <c r="HD16" i="9" s="1"/>
  <c r="FF15" i="9"/>
  <c r="FF17" i="9" s="1"/>
  <c r="GN11" i="9"/>
  <c r="GN9" i="9"/>
  <c r="GN16" i="9" s="1"/>
  <c r="H17" i="2"/>
  <c r="FD15" i="9"/>
  <c r="AI12" i="3"/>
  <c r="E59" i="7"/>
  <c r="FI15" i="9"/>
  <c r="AJ12" i="3"/>
  <c r="EP15" i="9"/>
  <c r="EP17" i="9" s="1"/>
  <c r="GH14" i="9"/>
  <c r="GE13" i="9"/>
  <c r="GE15" i="9" s="1"/>
  <c r="AA15" i="3"/>
  <c r="GA11" i="9"/>
  <c r="GA9" i="9"/>
  <c r="GA16" i="9" s="1"/>
  <c r="GD14" i="9"/>
  <c r="GA13" i="9"/>
  <c r="GA15" i="9" s="1"/>
  <c r="HV11" i="9"/>
  <c r="HV9" i="9"/>
  <c r="HV16" i="9" s="1"/>
  <c r="HR11" i="9"/>
  <c r="HR9" i="9"/>
  <c r="HR16" i="9" s="1"/>
  <c r="V22" i="3"/>
  <c r="V20" i="3"/>
  <c r="T18" i="3"/>
  <c r="V23" i="3"/>
  <c r="GW11" i="9"/>
  <c r="GW9" i="9"/>
  <c r="GW16" i="9" s="1"/>
  <c r="D12" i="2"/>
  <c r="U15" i="3"/>
  <c r="AB13" i="3"/>
  <c r="F67" i="7"/>
  <c r="F68" i="7" s="1"/>
  <c r="DZ16" i="9"/>
  <c r="AC14" i="3" s="1"/>
  <c r="AC10" i="3"/>
  <c r="HO11" i="9"/>
  <c r="HO9" i="9"/>
  <c r="HO16" i="9" s="1"/>
  <c r="HS14" i="9"/>
  <c r="HP13" i="9"/>
  <c r="G48" i="7"/>
  <c r="G46" i="7"/>
  <c r="GS11" i="9"/>
  <c r="GS9" i="9"/>
  <c r="GS16" i="9" s="1"/>
  <c r="FS16" i="9"/>
  <c r="AL14" i="3" s="1"/>
  <c r="AL10" i="3"/>
  <c r="HI11" i="9"/>
  <c r="HI9" i="9"/>
  <c r="HI16" i="9" s="1"/>
  <c r="HJ14" i="9"/>
  <c r="HG13" i="9"/>
  <c r="HG15" i="9" s="1"/>
  <c r="AF11" i="3"/>
  <c r="DT15" i="9"/>
  <c r="DT17" i="9" s="1"/>
  <c r="EI17" i="9"/>
  <c r="EZ15" i="9"/>
  <c r="EZ17" i="9" s="1"/>
  <c r="CQ17" i="9"/>
  <c r="V56" i="3" s="1"/>
  <c r="GO14" i="9"/>
  <c r="GL13" i="9"/>
  <c r="EV15" i="9"/>
  <c r="EV17" i="9" s="1"/>
  <c r="HE11" i="9"/>
  <c r="HE9" i="9"/>
  <c r="HE16" i="9" s="1"/>
  <c r="AJ13" i="3"/>
  <c r="GO11" i="9"/>
  <c r="GO9" i="9"/>
  <c r="GO16" i="9" s="1"/>
  <c r="BX19" i="3"/>
  <c r="BY19" i="3" s="1"/>
  <c r="BZ19" i="3" s="1"/>
  <c r="CA19" i="3" s="1"/>
  <c r="CB19" i="3" s="1"/>
  <c r="CC19" i="3" s="1"/>
  <c r="CD19" i="3" s="1"/>
  <c r="CE19" i="3" s="1"/>
  <c r="CF19" i="3" s="1"/>
  <c r="CG19" i="3" s="1"/>
  <c r="CH19" i="3" s="1"/>
  <c r="CI19" i="3" s="1"/>
  <c r="I17" i="2"/>
  <c r="CL17" i="9"/>
  <c r="E75" i="7"/>
  <c r="H63" i="7"/>
  <c r="H54" i="7"/>
  <c r="H62" i="7"/>
  <c r="H53" i="7"/>
  <c r="H45" i="7"/>
  <c r="H36" i="7"/>
  <c r="H27" i="7"/>
  <c r="H44" i="7"/>
  <c r="H35" i="7"/>
  <c r="H26" i="7"/>
  <c r="H7" i="7"/>
  <c r="H12" i="7"/>
  <c r="H17" i="7"/>
  <c r="H8" i="7"/>
  <c r="H18" i="7"/>
  <c r="H9" i="7"/>
  <c r="H76" i="7" s="1"/>
  <c r="H14" i="7"/>
  <c r="H13" i="7"/>
  <c r="IF14" i="9"/>
  <c r="IC13" i="9"/>
  <c r="S23" i="3"/>
  <c r="S22" i="3"/>
  <c r="S20" i="3"/>
  <c r="Q18" i="3"/>
  <c r="I28" i="3"/>
  <c r="AC13" i="3"/>
  <c r="GI14" i="9"/>
  <c r="GF13" i="9"/>
  <c r="GB11" i="9"/>
  <c r="GB9" i="9"/>
  <c r="GB16" i="9" s="1"/>
  <c r="HW11" i="9"/>
  <c r="HW9" i="9"/>
  <c r="HW16" i="9" s="1"/>
  <c r="HU14" i="9"/>
  <c r="HR13" i="9"/>
  <c r="HR15" i="9" s="1"/>
  <c r="GX11" i="9"/>
  <c r="GX9" i="9"/>
  <c r="GX16" i="9" s="1"/>
  <c r="S18" i="3"/>
  <c r="S25" i="3" s="1"/>
  <c r="S27" i="3" s="1"/>
  <c r="U20" i="3"/>
  <c r="U23" i="3"/>
  <c r="U22" i="3"/>
  <c r="DQ17" i="9"/>
  <c r="FV17" i="9"/>
  <c r="AC11" i="3"/>
  <c r="CG17" i="9"/>
  <c r="HK11" i="9"/>
  <c r="HK9" i="9"/>
  <c r="HP14" i="9"/>
  <c r="HM13" i="9"/>
  <c r="T15" i="3"/>
  <c r="GT11" i="9"/>
  <c r="GT9" i="9"/>
  <c r="GT16" i="9" s="1"/>
  <c r="AL11" i="3"/>
  <c r="HH11" i="9"/>
  <c r="HH9" i="9"/>
  <c r="HH16" i="9" s="1"/>
  <c r="P18" i="3"/>
  <c r="R23" i="3"/>
  <c r="R20" i="3"/>
  <c r="R22" i="3"/>
  <c r="GG11" i="9"/>
  <c r="GG9" i="9"/>
  <c r="AH13" i="3"/>
  <c r="HF14" i="9"/>
  <c r="HC13" i="9"/>
  <c r="GP11" i="9"/>
  <c r="GP9" i="9"/>
  <c r="GP16" i="9" s="1"/>
  <c r="E31" i="7"/>
  <c r="EU15" i="9"/>
  <c r="EU17" i="9" s="1"/>
  <c r="FU15" i="9"/>
  <c r="FU17" i="9" s="1"/>
  <c r="C42" i="3"/>
  <c r="FN16" i="9"/>
  <c r="AK14" i="3" s="1"/>
  <c r="AK10" i="3"/>
  <c r="ID11" i="9"/>
  <c r="ID9" i="9"/>
  <c r="ID16" i="9" s="1"/>
  <c r="EH17" i="9"/>
  <c r="IC11" i="9"/>
  <c r="IC9" i="9"/>
  <c r="IC16" i="9" s="1"/>
  <c r="EY15" i="9"/>
  <c r="AH12" i="3"/>
  <c r="DZ15" i="9"/>
  <c r="DZ17" i="9" s="1"/>
  <c r="AC12" i="3"/>
  <c r="ET16" i="9"/>
  <c r="AG14" i="3" s="1"/>
  <c r="AG10" i="3"/>
  <c r="FC17" i="9"/>
  <c r="GG14" i="9"/>
  <c r="GD13" i="9"/>
  <c r="GD15" i="9" s="1"/>
  <c r="GJ14" i="9"/>
  <c r="GG13" i="9"/>
  <c r="FX11" i="9"/>
  <c r="FX9" i="9"/>
  <c r="IC14" i="9"/>
  <c r="HZ13" i="9"/>
  <c r="R15" i="3"/>
  <c r="HS11" i="9"/>
  <c r="HS9" i="9"/>
  <c r="HS16" i="9" s="1"/>
  <c r="ES15" i="9"/>
  <c r="ES17" i="9" s="1"/>
  <c r="HD14" i="9"/>
  <c r="HA13" i="9"/>
  <c r="Q56" i="3"/>
  <c r="DU16" i="9"/>
  <c r="AB14" i="3" s="1"/>
  <c r="AB10" i="3"/>
  <c r="EC15" i="9"/>
  <c r="EC17" i="9" s="1"/>
  <c r="HL11" i="9"/>
  <c r="HL9" i="9"/>
  <c r="HL16" i="9" s="1"/>
  <c r="G71" i="7"/>
  <c r="G34" i="3" s="1"/>
  <c r="GU11" i="9"/>
  <c r="GU9" i="9"/>
  <c r="GU16" i="9" s="1"/>
  <c r="HL14" i="9"/>
  <c r="HI13" i="9"/>
  <c r="CV17" i="9"/>
  <c r="EE16" i="9"/>
  <c r="AD14" i="3" s="1"/>
  <c r="AD10" i="3"/>
  <c r="GH11" i="9"/>
  <c r="GH9" i="9"/>
  <c r="GH16" i="9" s="1"/>
  <c r="JL12" i="9"/>
  <c r="JK12" i="9"/>
  <c r="JI12" i="9"/>
  <c r="JH12" i="9"/>
  <c r="JJ10" i="9"/>
  <c r="JI10" i="9"/>
  <c r="JH10" i="9"/>
  <c r="JJ12" i="9"/>
  <c r="JL10" i="9"/>
  <c r="JL3" i="9"/>
  <c r="LS4" i="9" s="1"/>
  <c r="JK10" i="9"/>
  <c r="HG14" i="9"/>
  <c r="HD13" i="9"/>
  <c r="HD15" i="9" s="1"/>
  <c r="HD17" i="9" s="1"/>
  <c r="E22" i="7"/>
  <c r="EF15" i="9"/>
  <c r="EF17" i="9" s="1"/>
  <c r="GP14" i="9"/>
  <c r="GM13" i="9"/>
  <c r="GM15" i="9" s="1"/>
  <c r="IA9" i="9"/>
  <c r="IA16" i="9" s="1"/>
  <c r="IA11" i="9"/>
  <c r="ID14" i="9"/>
  <c r="IA13" i="9"/>
  <c r="IA15" i="9" s="1"/>
  <c r="FM17" i="9"/>
  <c r="EB15" i="9"/>
  <c r="EB17" i="9" s="1"/>
  <c r="AG11" i="3"/>
  <c r="S4" i="6"/>
  <c r="R31" i="6"/>
  <c r="O15" i="3"/>
  <c r="D9" i="2"/>
  <c r="IM12" i="9"/>
  <c r="IK12" i="9"/>
  <c r="IJ12" i="9"/>
  <c r="IL10" i="9"/>
  <c r="IK10" i="9"/>
  <c r="IJ10" i="9"/>
  <c r="IL12" i="9"/>
  <c r="IM10" i="9"/>
  <c r="IM3" i="9"/>
  <c r="KT4" i="9" s="1"/>
  <c r="E74" i="7"/>
  <c r="FY11" i="9"/>
  <c r="FY9" i="9"/>
  <c r="FY16" i="9" s="1"/>
  <c r="HY14" i="9"/>
  <c r="HV13" i="9"/>
  <c r="HV15" i="9" s="1"/>
  <c r="FL15" i="9"/>
  <c r="FL17" i="9" s="1"/>
  <c r="HV14" i="9"/>
  <c r="HS13" i="9"/>
  <c r="HC14" i="9"/>
  <c r="GZ13" i="9"/>
  <c r="GZ15" i="9" s="1"/>
  <c r="F29" i="7"/>
  <c r="F31" i="7" s="1"/>
  <c r="F32" i="7" s="1"/>
  <c r="DV17" i="9"/>
  <c r="EX17" i="9"/>
  <c r="EE15" i="9"/>
  <c r="AD12" i="3"/>
  <c r="AB11" i="3"/>
  <c r="HM11" i="9"/>
  <c r="HM9" i="9"/>
  <c r="HM16" i="9" s="1"/>
  <c r="G55" i="7"/>
  <c r="G57" i="7"/>
  <c r="G66" i="7"/>
  <c r="G64" i="7"/>
  <c r="EK15" i="9"/>
  <c r="EK17" i="9" s="1"/>
  <c r="GV14" i="9"/>
  <c r="GS13" i="9"/>
  <c r="HM14" i="9"/>
  <c r="HJ13" i="9"/>
  <c r="HJ15" i="9" s="1"/>
  <c r="O18" i="3"/>
  <c r="Q20" i="3"/>
  <c r="Q23" i="3"/>
  <c r="Q22" i="3"/>
  <c r="AD11" i="3"/>
  <c r="AD15" i="3" s="1"/>
  <c r="EQ15" i="9"/>
  <c r="EQ17" i="9" s="1"/>
  <c r="GI11" i="9"/>
  <c r="GI9" i="9"/>
  <c r="GI16" i="9" s="1"/>
  <c r="GM14" i="9"/>
  <c r="GJ13" i="9"/>
  <c r="HA11" i="9"/>
  <c r="HA9" i="9"/>
  <c r="HH14" i="9"/>
  <c r="HE13" i="9"/>
  <c r="HE15" i="9" s="1"/>
  <c r="HE17" i="9" s="1"/>
  <c r="FS15" i="9"/>
  <c r="AL12" i="3"/>
  <c r="GQ14" i="9"/>
  <c r="GN13" i="9"/>
  <c r="EO15" i="9"/>
  <c r="EO17" i="9" s="1"/>
  <c r="AF12" i="3"/>
  <c r="F56" i="7"/>
  <c r="KJ12" i="9"/>
  <c r="KI12" i="9"/>
  <c r="KG12" i="9"/>
  <c r="KH10" i="9"/>
  <c r="KG10" i="9"/>
  <c r="KH12" i="9"/>
  <c r="KI10" i="9"/>
  <c r="KK12" i="9"/>
  <c r="KK10" i="9"/>
  <c r="KJ10" i="9"/>
  <c r="KK3" i="9"/>
  <c r="MR4" i="9" s="1"/>
  <c r="U30" i="6"/>
  <c r="U4" i="6"/>
  <c r="V18" i="6"/>
  <c r="I19" i="4" s="1"/>
  <c r="IE14" i="9"/>
  <c r="IB13" i="9"/>
  <c r="EJ16" i="9"/>
  <c r="AE14" i="3" s="1"/>
  <c r="AE10" i="3"/>
  <c r="R30" i="6"/>
  <c r="F47" i="7"/>
  <c r="EY16" i="9"/>
  <c r="AH14" i="3" s="1"/>
  <c r="AH10" i="3"/>
  <c r="X22" i="3"/>
  <c r="X20" i="3"/>
  <c r="X23" i="3"/>
  <c r="V18" i="3"/>
  <c r="F38" i="7"/>
  <c r="GC11" i="9"/>
  <c r="GC9" i="9"/>
  <c r="Y23" i="3"/>
  <c r="Y22" i="3"/>
  <c r="W18" i="3"/>
  <c r="W25" i="3" s="1"/>
  <c r="Y20" i="3"/>
  <c r="FZ11" i="9"/>
  <c r="FZ9" i="9"/>
  <c r="FZ16" i="9" s="1"/>
  <c r="KB12" i="9"/>
  <c r="KF12" i="9"/>
  <c r="KE12" i="9"/>
  <c r="KD12" i="9"/>
  <c r="KC12" i="9"/>
  <c r="KF10" i="9"/>
  <c r="KE10" i="9"/>
  <c r="KD10" i="9"/>
  <c r="KC10" i="9"/>
  <c r="KB10" i="9"/>
  <c r="KF3" i="9"/>
  <c r="MM4" i="9" s="1"/>
  <c r="HZ14" i="9"/>
  <c r="AX13" i="3" s="1"/>
  <c r="HW13" i="9"/>
  <c r="W15" i="3"/>
  <c r="EW15" i="9"/>
  <c r="EW17" i="9" s="1"/>
  <c r="HT14" i="9"/>
  <c r="HQ13" i="9"/>
  <c r="HQ15" i="9" s="1"/>
  <c r="HQ17" i="9" s="1"/>
  <c r="JD12" i="9"/>
  <c r="JC12" i="9"/>
  <c r="JG12" i="9"/>
  <c r="JF10" i="9"/>
  <c r="JE10" i="9"/>
  <c r="JD10" i="9"/>
  <c r="JC10" i="9"/>
  <c r="JG3" i="9"/>
  <c r="LN4" i="9" s="1"/>
  <c r="JF12" i="9"/>
  <c r="JG10" i="9"/>
  <c r="JE12" i="9"/>
  <c r="GZ14" i="9"/>
  <c r="GW13" i="9"/>
  <c r="D10" i="2"/>
  <c r="E67" i="7"/>
  <c r="HN11" i="9"/>
  <c r="HN9" i="9"/>
  <c r="HN16" i="9" s="1"/>
  <c r="EJ15" i="9"/>
  <c r="AE12" i="3"/>
  <c r="AE15" i="3" s="1"/>
  <c r="GW14" i="9"/>
  <c r="GT13" i="9"/>
  <c r="GT15" i="9" s="1"/>
  <c r="GT17" i="9" s="1"/>
  <c r="FA15" i="9"/>
  <c r="FA17" i="9" s="1"/>
  <c r="HJ11" i="9"/>
  <c r="HJ9" i="9"/>
  <c r="HJ16" i="9" s="1"/>
  <c r="AG13" i="3"/>
  <c r="IN12" i="9"/>
  <c r="IR12" i="9"/>
  <c r="IR10" i="9"/>
  <c r="IQ12" i="9"/>
  <c r="IO12" i="9"/>
  <c r="IQ10" i="9"/>
  <c r="IP10" i="9"/>
  <c r="IO10" i="9"/>
  <c r="IN10" i="9"/>
  <c r="IP12" i="9"/>
  <c r="IR3" i="9"/>
  <c r="KY4" i="9" s="1"/>
  <c r="GK14" i="9"/>
  <c r="GH13" i="9"/>
  <c r="GH15" i="9" s="1"/>
  <c r="GH17" i="9" s="1"/>
  <c r="HE14" i="9"/>
  <c r="HB13" i="9"/>
  <c r="HI14" i="9"/>
  <c r="HF13" i="9"/>
  <c r="IV12" i="9"/>
  <c r="IU12" i="9"/>
  <c r="IS12" i="9"/>
  <c r="IT10" i="9"/>
  <c r="IS10" i="9"/>
  <c r="IW12" i="9"/>
  <c r="IT12" i="9"/>
  <c r="IU10" i="9"/>
  <c r="IW10" i="9"/>
  <c r="IV10" i="9"/>
  <c r="IW3" i="9"/>
  <c r="LD4" i="9" s="1"/>
  <c r="GR14" i="9"/>
  <c r="GO13" i="9"/>
  <c r="GO15" i="9" s="1"/>
  <c r="FI16" i="9"/>
  <c r="AJ14" i="3" s="1"/>
  <c r="AJ10" i="3"/>
  <c r="IG14" i="9"/>
  <c r="ID13" i="9"/>
  <c r="ID15" i="9" s="1"/>
  <c r="ID17" i="9" s="1"/>
  <c r="F40" i="7"/>
  <c r="GE14" i="9"/>
  <c r="GB13" i="9"/>
  <c r="HW14" i="9"/>
  <c r="HT13" i="9"/>
  <c r="GY11" i="9"/>
  <c r="GY9" i="9"/>
  <c r="GY16" i="9" s="1"/>
  <c r="DU15" i="9"/>
  <c r="DU17" i="9" s="1"/>
  <c r="AB12" i="3"/>
  <c r="E10" i="2" s="1"/>
  <c r="Y15" i="3"/>
  <c r="T23" i="3"/>
  <c r="T22" i="3"/>
  <c r="T20" i="3"/>
  <c r="R18" i="3"/>
  <c r="FN15" i="9"/>
  <c r="FN17" i="9" s="1"/>
  <c r="AK12" i="3"/>
  <c r="AK15" i="3" s="1"/>
  <c r="FG17" i="9"/>
  <c r="HO14" i="9"/>
  <c r="HL13" i="9"/>
  <c r="G30" i="7"/>
  <c r="G28" i="7"/>
  <c r="GQ11" i="9"/>
  <c r="AQ11" i="3" s="1"/>
  <c r="GQ9" i="9"/>
  <c r="GU14" i="9"/>
  <c r="GR13" i="9"/>
  <c r="AI13" i="3"/>
  <c r="HF11" i="9"/>
  <c r="AT11" i="3" s="1"/>
  <c r="HF9" i="9"/>
  <c r="ER17" i="9"/>
  <c r="DK17" i="9"/>
  <c r="Z56" i="3" s="1"/>
  <c r="GJ11" i="9"/>
  <c r="GJ9" i="9"/>
  <c r="GJ16" i="9" s="1"/>
  <c r="GL14" i="9"/>
  <c r="GI13" i="9"/>
  <c r="GI15" i="9" s="1"/>
  <c r="GI17" i="9" s="1"/>
  <c r="HB11" i="9"/>
  <c r="HB9" i="9"/>
  <c r="HB16" i="9" s="1"/>
  <c r="GL11" i="9"/>
  <c r="GL9" i="9"/>
  <c r="GS14" i="9"/>
  <c r="GP13" i="9"/>
  <c r="GP15" i="9" s="1"/>
  <c r="GP17" i="9" s="1"/>
  <c r="FW15" i="9"/>
  <c r="FW17" i="9" s="1"/>
  <c r="AJ11" i="3"/>
  <c r="AJ15" i="3" s="1"/>
  <c r="F20" i="7"/>
  <c r="F49" i="7"/>
  <c r="F50" i="7" s="1"/>
  <c r="AH11" i="3"/>
  <c r="AH15" i="3" s="1"/>
  <c r="GD11" i="9"/>
  <c r="GD9" i="9"/>
  <c r="GD16" i="9" s="1"/>
  <c r="HY11" i="9"/>
  <c r="HY9" i="9"/>
  <c r="HY16" i="9" s="1"/>
  <c r="KA12" i="9"/>
  <c r="JY12" i="9"/>
  <c r="JX12" i="9"/>
  <c r="JZ10" i="9"/>
  <c r="JY10" i="9"/>
  <c r="JX10" i="9"/>
  <c r="JZ12" i="9"/>
  <c r="JW12" i="9"/>
  <c r="KA10" i="9"/>
  <c r="JW10" i="9"/>
  <c r="KA3" i="9"/>
  <c r="MH4" i="9" s="1"/>
  <c r="IH14" i="9"/>
  <c r="IE13" i="9"/>
  <c r="P22" i="3"/>
  <c r="P20" i="3"/>
  <c r="P23" i="3"/>
  <c r="N18" i="3"/>
  <c r="N25" i="3" s="1"/>
  <c r="N27" i="3" s="1"/>
  <c r="D77" i="7"/>
  <c r="D35" i="3"/>
  <c r="D42" i="3" s="1"/>
  <c r="FK15" i="9"/>
  <c r="FK17" i="9" s="1"/>
  <c r="CB17" i="9"/>
  <c r="S56" i="3" s="1"/>
  <c r="ET15" i="9"/>
  <c r="AG12" i="3"/>
  <c r="GE11" i="9"/>
  <c r="GE9" i="9"/>
  <c r="GE16" i="9" s="1"/>
  <c r="IF12" i="9"/>
  <c r="IE12" i="9"/>
  <c r="II12" i="9"/>
  <c r="IH12" i="9"/>
  <c r="IG12" i="9"/>
  <c r="IG10" i="9"/>
  <c r="IF10" i="9"/>
  <c r="IE10" i="9"/>
  <c r="IH10" i="9"/>
  <c r="II10" i="9"/>
  <c r="II3" i="9"/>
  <c r="KP4" i="9" s="1"/>
  <c r="GB14" i="9"/>
  <c r="AM13" i="3" s="1"/>
  <c r="FY13" i="9"/>
  <c r="FY15" i="9" s="1"/>
  <c r="HX11" i="9"/>
  <c r="HX9" i="9"/>
  <c r="HX16" i="9" s="1"/>
  <c r="IB14" i="9"/>
  <c r="HY13" i="9"/>
  <c r="HY15" i="9" s="1"/>
  <c r="FD16" i="9"/>
  <c r="AI14" i="3" s="1"/>
  <c r="AI10" i="3"/>
  <c r="AF13" i="3"/>
  <c r="E11" i="2" s="1"/>
  <c r="FB15" i="9"/>
  <c r="FB17" i="9" s="1"/>
  <c r="HP11" i="9"/>
  <c r="AV11" i="3" s="1"/>
  <c r="HP9" i="9"/>
  <c r="HT11" i="9"/>
  <c r="HT9" i="9"/>
  <c r="HT16" i="9" s="1"/>
  <c r="GZ11" i="9"/>
  <c r="GZ9" i="9"/>
  <c r="GZ16" i="9" s="1"/>
  <c r="HB14" i="9"/>
  <c r="GY13" i="9"/>
  <c r="ED15" i="9"/>
  <c r="ED17" i="9" s="1"/>
  <c r="FQ15" i="9"/>
  <c r="FQ17" i="9" s="1"/>
  <c r="HQ14" i="9"/>
  <c r="HN13" i="9"/>
  <c r="G21" i="7"/>
  <c r="G19" i="7"/>
  <c r="JA12" i="9"/>
  <c r="IZ12" i="9"/>
  <c r="IY12" i="9"/>
  <c r="JB10" i="9"/>
  <c r="IX12" i="9"/>
  <c r="JA10" i="9"/>
  <c r="IZ10" i="9"/>
  <c r="JB12" i="9"/>
  <c r="IY10" i="9"/>
  <c r="IX10" i="9"/>
  <c r="JB3" i="9"/>
  <c r="LI4" i="9" s="1"/>
  <c r="GX14" i="9"/>
  <c r="GU13" i="9"/>
  <c r="JQ12" i="9"/>
  <c r="JP12" i="9"/>
  <c r="JO12" i="9"/>
  <c r="JN12" i="9"/>
  <c r="JQ10" i="9"/>
  <c r="JM12" i="9"/>
  <c r="JP10" i="9"/>
  <c r="JO10" i="9"/>
  <c r="JN10" i="9"/>
  <c r="JM10" i="9"/>
  <c r="JQ3" i="9"/>
  <c r="LX4" i="9" s="1"/>
  <c r="HK14" i="9"/>
  <c r="AU13" i="3" s="1"/>
  <c r="HH13" i="9"/>
  <c r="DX15" i="9"/>
  <c r="DX17" i="9" s="1"/>
  <c r="EN15" i="9"/>
  <c r="EN17" i="9" s="1"/>
  <c r="J8" i="9"/>
  <c r="K7" i="9" s="1"/>
  <c r="J1" i="9"/>
  <c r="GK11" i="9"/>
  <c r="GK9" i="9"/>
  <c r="GK16" i="9" s="1"/>
  <c r="FE15" i="9"/>
  <c r="FE17" i="9" s="1"/>
  <c r="HC9" i="9"/>
  <c r="HC16" i="9" s="1"/>
  <c r="HC11" i="9"/>
  <c r="GM11" i="9"/>
  <c r="GM9" i="9"/>
  <c r="GM16" i="9" s="1"/>
  <c r="GT14" i="9"/>
  <c r="GQ13" i="9"/>
  <c r="BL21" i="3"/>
  <c r="BM21" i="3" s="1"/>
  <c r="BN21" i="3" s="1"/>
  <c r="BO21" i="3" s="1"/>
  <c r="BP21" i="3" s="1"/>
  <c r="BQ21" i="3" s="1"/>
  <c r="BR21" i="3" s="1"/>
  <c r="BS21" i="3" s="1"/>
  <c r="BT21" i="3" s="1"/>
  <c r="BU21" i="3" s="1"/>
  <c r="BV21" i="3" s="1"/>
  <c r="BW21" i="3" s="1"/>
  <c r="E49" i="7"/>
  <c r="AK56" i="3" l="1"/>
  <c r="S28" i="3"/>
  <c r="JO13" i="9"/>
  <c r="JR14" i="9"/>
  <c r="G20" i="7"/>
  <c r="IM14" i="9"/>
  <c r="IJ13" i="9"/>
  <c r="GQ16" i="9"/>
  <c r="AQ14" i="3" s="1"/>
  <c r="AQ10" i="3"/>
  <c r="LM12" i="9"/>
  <c r="LL12" i="9"/>
  <c r="LK12" i="9"/>
  <c r="LN10" i="9"/>
  <c r="LJ12" i="9"/>
  <c r="LM10" i="9"/>
  <c r="LL10" i="9"/>
  <c r="LK10" i="9"/>
  <c r="LN12" i="9"/>
  <c r="LJ10" i="9"/>
  <c r="LN3" i="9"/>
  <c r="NV4" i="9" s="1"/>
  <c r="GL16" i="9"/>
  <c r="AP14" i="3" s="1"/>
  <c r="AP10" i="3"/>
  <c r="IV11" i="9"/>
  <c r="IV9" i="9"/>
  <c r="IV16" i="9" s="1"/>
  <c r="KY12" i="9"/>
  <c r="KW12" i="9"/>
  <c r="KV12" i="9"/>
  <c r="KU12" i="9"/>
  <c r="KX10" i="9"/>
  <c r="KW10" i="9"/>
  <c r="KV10" i="9"/>
  <c r="KU10" i="9"/>
  <c r="KX12" i="9"/>
  <c r="KY10" i="9"/>
  <c r="KY3" i="9"/>
  <c r="NG4" i="9" s="1"/>
  <c r="AG15" i="3"/>
  <c r="JL11" i="9"/>
  <c r="JL9" i="9"/>
  <c r="JL16" i="9" s="1"/>
  <c r="GD17" i="9"/>
  <c r="EY17" i="9"/>
  <c r="AH56" i="3" s="1"/>
  <c r="Q25" i="3"/>
  <c r="Q27" i="3" s="1"/>
  <c r="FD17" i="9"/>
  <c r="JW14" i="9"/>
  <c r="JT13" i="9"/>
  <c r="JT15" i="9" s="1"/>
  <c r="FZ17" i="9"/>
  <c r="U25" i="3"/>
  <c r="JN11" i="9"/>
  <c r="JN9" i="9"/>
  <c r="JN16" i="9" s="1"/>
  <c r="JR13" i="9"/>
  <c r="JU14" i="9"/>
  <c r="JA11" i="9"/>
  <c r="JA9" i="9"/>
  <c r="JA16" i="9" s="1"/>
  <c r="HN15" i="9"/>
  <c r="HN17" i="9" s="1"/>
  <c r="HY17" i="9"/>
  <c r="IH11" i="9"/>
  <c r="IH9" i="9"/>
  <c r="IH16" i="9" s="1"/>
  <c r="IJ14" i="9"/>
  <c r="IG13" i="9"/>
  <c r="IG15" i="9" s="1"/>
  <c r="MF12" i="9"/>
  <c r="ME12" i="9"/>
  <c r="MD10" i="9"/>
  <c r="MH10" i="9"/>
  <c r="MD12" i="9"/>
  <c r="ME10" i="9"/>
  <c r="MH12" i="9"/>
  <c r="MG12" i="9"/>
  <c r="MF10" i="9"/>
  <c r="MH3" i="9"/>
  <c r="OP4" i="9" s="1"/>
  <c r="MG10" i="9"/>
  <c r="KB14" i="9"/>
  <c r="JY13" i="9"/>
  <c r="AP11" i="3"/>
  <c r="R25" i="3"/>
  <c r="R27" i="3" s="1"/>
  <c r="IW11" i="9"/>
  <c r="IW9" i="9"/>
  <c r="IW16" i="9" s="1"/>
  <c r="IZ14" i="9"/>
  <c r="IW13" i="9"/>
  <c r="IT14" i="9"/>
  <c r="IQ13" i="9"/>
  <c r="IV14" i="9"/>
  <c r="IS13" i="9"/>
  <c r="JD11" i="9"/>
  <c r="JD9" i="9"/>
  <c r="JD16" i="9" s="1"/>
  <c r="KE11" i="9"/>
  <c r="KE9" i="9"/>
  <c r="KE16" i="9" s="1"/>
  <c r="F74" i="7"/>
  <c r="F37" i="3" s="1"/>
  <c r="V4" i="6"/>
  <c r="U31" i="6"/>
  <c r="KG11" i="9"/>
  <c r="BJ11" i="3" s="1"/>
  <c r="KG9" i="9"/>
  <c r="AS11" i="3"/>
  <c r="G65" i="7"/>
  <c r="HS15" i="9"/>
  <c r="HS17" i="9" s="1"/>
  <c r="IN14" i="9"/>
  <c r="IK13" i="9"/>
  <c r="JN14" i="9"/>
  <c r="JK13" i="9"/>
  <c r="JK15" i="9" s="1"/>
  <c r="R56" i="3"/>
  <c r="AO13" i="3"/>
  <c r="HC15" i="9"/>
  <c r="HC17" i="9" s="1"/>
  <c r="AC15" i="3"/>
  <c r="H21" i="7"/>
  <c r="H19" i="7"/>
  <c r="H28" i="7"/>
  <c r="H30" i="7"/>
  <c r="E38" i="3"/>
  <c r="AF22" i="3"/>
  <c r="AF20" i="3"/>
  <c r="AF23" i="3"/>
  <c r="AD18" i="3"/>
  <c r="JV11" i="9"/>
  <c r="JV9" i="9"/>
  <c r="JV16" i="9" s="1"/>
  <c r="JX14" i="9"/>
  <c r="JU13" i="9"/>
  <c r="JU15" i="9" s="1"/>
  <c r="HU15" i="9"/>
  <c r="HU17" i="9" s="1"/>
  <c r="AW12" i="3"/>
  <c r="AN13" i="3"/>
  <c r="F11" i="2" s="1"/>
  <c r="AA18" i="6"/>
  <c r="AB5" i="6"/>
  <c r="GX15" i="9"/>
  <c r="GX17" i="9" s="1"/>
  <c r="I45" i="7"/>
  <c r="I63" i="7"/>
  <c r="I54" i="7"/>
  <c r="I62" i="7"/>
  <c r="I44" i="7"/>
  <c r="I35" i="7"/>
  <c r="I12" i="7"/>
  <c r="I17" i="7"/>
  <c r="I26" i="7"/>
  <c r="I8" i="7"/>
  <c r="I27" i="7"/>
  <c r="I13" i="7"/>
  <c r="I9" i="7"/>
  <c r="I76" i="7" s="1"/>
  <c r="I39" i="3" s="1"/>
  <c r="I53" i="7"/>
  <c r="I14" i="7"/>
  <c r="I7" i="7"/>
  <c r="I18" i="7"/>
  <c r="I36" i="7"/>
  <c r="AI23" i="3"/>
  <c r="AI22" i="3"/>
  <c r="AI20" i="3"/>
  <c r="AG18" i="3"/>
  <c r="JY11" i="9"/>
  <c r="JY9" i="9"/>
  <c r="JY16" i="9" s="1"/>
  <c r="IW14" i="9"/>
  <c r="IT13" i="9"/>
  <c r="IT15" i="9" s="1"/>
  <c r="E68" i="7"/>
  <c r="JM11" i="9"/>
  <c r="JM9" i="9"/>
  <c r="D52" i="3"/>
  <c r="D43" i="3"/>
  <c r="D45" i="3" s="1"/>
  <c r="IY14" i="9"/>
  <c r="IV13" i="9"/>
  <c r="IV15" i="9" s="1"/>
  <c r="IV17" i="9" s="1"/>
  <c r="IR11" i="9"/>
  <c r="IR9" i="9"/>
  <c r="IR16" i="9" s="1"/>
  <c r="JC11" i="9"/>
  <c r="JC9" i="9"/>
  <c r="KD11" i="9"/>
  <c r="KD9" i="9"/>
  <c r="KD16" i="9" s="1"/>
  <c r="F41" i="7"/>
  <c r="KL14" i="9"/>
  <c r="KI13" i="9"/>
  <c r="HA16" i="9"/>
  <c r="AS14" i="3" s="1"/>
  <c r="AS10" i="3"/>
  <c r="AB15" i="3"/>
  <c r="IL11" i="9"/>
  <c r="IL9" i="9"/>
  <c r="IL16" i="9" s="1"/>
  <c r="GM17" i="9"/>
  <c r="JP14" i="9"/>
  <c r="JM13" i="9"/>
  <c r="T56" i="3"/>
  <c r="H39" i="3"/>
  <c r="GE17" i="9"/>
  <c r="JU11" i="9"/>
  <c r="JU9" i="9"/>
  <c r="JU16" i="9" s="1"/>
  <c r="AR11" i="3"/>
  <c r="K8" i="9"/>
  <c r="L7" i="9" s="1"/>
  <c r="K1" i="9"/>
  <c r="JO9" i="9"/>
  <c r="JO16" i="9" s="1"/>
  <c r="JO11" i="9"/>
  <c r="GU15" i="9"/>
  <c r="GU17" i="9" s="1"/>
  <c r="JB14" i="9"/>
  <c r="IY13" i="9"/>
  <c r="IE11" i="9"/>
  <c r="IE9" i="9"/>
  <c r="N28" i="3"/>
  <c r="JW11" i="9"/>
  <c r="BH11" i="3" s="1"/>
  <c r="JW9" i="9"/>
  <c r="JZ13" i="9"/>
  <c r="KC14" i="9"/>
  <c r="F75" i="7"/>
  <c r="F38" i="3" s="1"/>
  <c r="HF16" i="9"/>
  <c r="AT14" i="3" s="1"/>
  <c r="AT10" i="3"/>
  <c r="G29" i="7"/>
  <c r="G31" i="7" s="1"/>
  <c r="HT15" i="9"/>
  <c r="HT17" i="9" s="1"/>
  <c r="F58" i="7"/>
  <c r="F72" i="7" s="1"/>
  <c r="IU11" i="9"/>
  <c r="IU9" i="9"/>
  <c r="IU16" i="9" s="1"/>
  <c r="HF15" i="9"/>
  <c r="HF17" i="9" s="1"/>
  <c r="AT12" i="3"/>
  <c r="AT15" i="3" s="1"/>
  <c r="IN11" i="9"/>
  <c r="IN9" i="9"/>
  <c r="IR14" i="9"/>
  <c r="IO13" i="9"/>
  <c r="IO15" i="9" s="1"/>
  <c r="EJ17" i="9"/>
  <c r="AE56" i="3" s="1"/>
  <c r="GW15" i="9"/>
  <c r="GW17" i="9" s="1"/>
  <c r="JE11" i="9"/>
  <c r="JE9" i="9"/>
  <c r="JE16" i="9" s="1"/>
  <c r="W56" i="3"/>
  <c r="W27" i="3"/>
  <c r="W28" i="3" s="1"/>
  <c r="KF11" i="9"/>
  <c r="KF9" i="9"/>
  <c r="KF16" i="9" s="1"/>
  <c r="V25" i="3"/>
  <c r="V27" i="3" s="1"/>
  <c r="KH11" i="9"/>
  <c r="KH9" i="9"/>
  <c r="KH16" i="9" s="1"/>
  <c r="GN15" i="9"/>
  <c r="GN17" i="9" s="1"/>
  <c r="GJ15" i="9"/>
  <c r="GJ17" i="9" s="1"/>
  <c r="G67" i="7"/>
  <c r="EE17" i="9"/>
  <c r="E37" i="3"/>
  <c r="IO14" i="9"/>
  <c r="IL13" i="9"/>
  <c r="IL15" i="9" s="1"/>
  <c r="JH11" i="9"/>
  <c r="JH9" i="9"/>
  <c r="HZ15" i="9"/>
  <c r="HZ17" i="9" s="1"/>
  <c r="AX12" i="3"/>
  <c r="AT13" i="3"/>
  <c r="P25" i="3"/>
  <c r="P27" i="3" s="1"/>
  <c r="HM15" i="9"/>
  <c r="HM17" i="9" s="1"/>
  <c r="GF15" i="9"/>
  <c r="GF17" i="9" s="1"/>
  <c r="H37" i="7"/>
  <c r="H39" i="7"/>
  <c r="AF15" i="3"/>
  <c r="AA18" i="3"/>
  <c r="AC23" i="3"/>
  <c r="AC22" i="3"/>
  <c r="AC20" i="3"/>
  <c r="GA17" i="9"/>
  <c r="JY14" i="9"/>
  <c r="JV13" i="9"/>
  <c r="C1" i="5"/>
  <c r="F3" i="6"/>
  <c r="D5" i="1"/>
  <c r="D8" i="2"/>
  <c r="C66" i="4"/>
  <c r="C65" i="4"/>
  <c r="GC15" i="9"/>
  <c r="AN12" i="3"/>
  <c r="X4" i="6"/>
  <c r="X30" i="6"/>
  <c r="Y18" i="6"/>
  <c r="J19" i="4" s="1"/>
  <c r="AS13" i="3"/>
  <c r="H19" i="2"/>
  <c r="IY11" i="9"/>
  <c r="IY9" i="9"/>
  <c r="IY16" i="9" s="1"/>
  <c r="IL14" i="9"/>
  <c r="II13" i="9"/>
  <c r="IE15" i="9"/>
  <c r="JS14" i="9"/>
  <c r="JP13" i="9"/>
  <c r="JP15" i="9" s="1"/>
  <c r="GQ15" i="9"/>
  <c r="GQ17" i="9" s="1"/>
  <c r="AQ12" i="3"/>
  <c r="AQ15" i="3" s="1"/>
  <c r="JT14" i="9"/>
  <c r="JQ13" i="9"/>
  <c r="IZ11" i="9"/>
  <c r="IZ9" i="9"/>
  <c r="IZ16" i="9" s="1"/>
  <c r="II11" i="9"/>
  <c r="II9" i="9"/>
  <c r="II16" i="9" s="1"/>
  <c r="HP16" i="9"/>
  <c r="AV14" i="3" s="1"/>
  <c r="AV15" i="3" s="1"/>
  <c r="AV10" i="3"/>
  <c r="JF11" i="9"/>
  <c r="JF9" i="9"/>
  <c r="JF16" i="9" s="1"/>
  <c r="HW15" i="9"/>
  <c r="HW17" i="9" s="1"/>
  <c r="KG14" i="9"/>
  <c r="KD13" i="9"/>
  <c r="AE22" i="3"/>
  <c r="AE23" i="3"/>
  <c r="AC18" i="3"/>
  <c r="AE20" i="3"/>
  <c r="MN12" i="9"/>
  <c r="MR12" i="9"/>
  <c r="MQ12" i="9"/>
  <c r="MP12" i="9"/>
  <c r="MO12" i="9"/>
  <c r="MR10" i="9"/>
  <c r="MQ10" i="9"/>
  <c r="MP10" i="9"/>
  <c r="MO10" i="9"/>
  <c r="MN10" i="9"/>
  <c r="MR3" i="9"/>
  <c r="OZ4" i="9" s="1"/>
  <c r="KH13" i="9"/>
  <c r="KK14" i="9"/>
  <c r="AQ13" i="3"/>
  <c r="O25" i="3"/>
  <c r="O27" i="3" s="1"/>
  <c r="O28" i="3" s="1"/>
  <c r="KR12" i="9"/>
  <c r="KQ12" i="9"/>
  <c r="KT12" i="9"/>
  <c r="KS12" i="9"/>
  <c r="KT10" i="9"/>
  <c r="KS10" i="9"/>
  <c r="KR10" i="9"/>
  <c r="KQ10" i="9"/>
  <c r="KT3" i="9"/>
  <c r="NB4" i="9" s="1"/>
  <c r="IQ14" i="9"/>
  <c r="IN13" i="9"/>
  <c r="IA17" i="9"/>
  <c r="E73" i="7"/>
  <c r="E23" i="7"/>
  <c r="JI11" i="9"/>
  <c r="JI9" i="9"/>
  <c r="JI16" i="9" s="1"/>
  <c r="AD22" i="3"/>
  <c r="AD20" i="3"/>
  <c r="AB18" i="3"/>
  <c r="AD23" i="3"/>
  <c r="AG22" i="3"/>
  <c r="AG20" i="3"/>
  <c r="AG23" i="3"/>
  <c r="AE18" i="3"/>
  <c r="C52" i="3"/>
  <c r="C43" i="3"/>
  <c r="AV13" i="3"/>
  <c r="HR17" i="9"/>
  <c r="H71" i="7"/>
  <c r="H34" i="3" s="1"/>
  <c r="H46" i="7"/>
  <c r="H48" i="7"/>
  <c r="HG17" i="9"/>
  <c r="G47" i="7"/>
  <c r="G49" i="7" s="1"/>
  <c r="T25" i="3"/>
  <c r="T27" i="3" s="1"/>
  <c r="T28" i="3" s="1"/>
  <c r="HK15" i="9"/>
  <c r="HK17" i="9" s="1"/>
  <c r="AU12" i="3"/>
  <c r="G38" i="7"/>
  <c r="JW13" i="9"/>
  <c r="JZ14" i="9"/>
  <c r="D18" i="2"/>
  <c r="HX17" i="9"/>
  <c r="JX11" i="9"/>
  <c r="JX9" i="9"/>
  <c r="JX16" i="9" s="1"/>
  <c r="JF14" i="9"/>
  <c r="JC13" i="9"/>
  <c r="IU14" i="9"/>
  <c r="IR13" i="9"/>
  <c r="II14" i="9"/>
  <c r="IF13" i="9"/>
  <c r="IF15" i="9" s="1"/>
  <c r="JP11" i="9"/>
  <c r="JP9" i="9"/>
  <c r="JP16" i="9" s="1"/>
  <c r="KA11" i="9"/>
  <c r="KA9" i="9"/>
  <c r="KA16" i="9" s="1"/>
  <c r="KE14" i="9"/>
  <c r="KB13" i="9"/>
  <c r="E50" i="7"/>
  <c r="LH12" i="9"/>
  <c r="LG12" i="9"/>
  <c r="LE12" i="9"/>
  <c r="LF10" i="9"/>
  <c r="LE10" i="9"/>
  <c r="LI12" i="9"/>
  <c r="LF12" i="9"/>
  <c r="LI10" i="9"/>
  <c r="LH10" i="9"/>
  <c r="LG10" i="9"/>
  <c r="LI3" i="9"/>
  <c r="NQ4" i="9" s="1"/>
  <c r="JC14" i="9"/>
  <c r="IZ13" i="9"/>
  <c r="KA14" i="9"/>
  <c r="JX13" i="9"/>
  <c r="GB15" i="9"/>
  <c r="GB17" i="9" s="1"/>
  <c r="JA14" i="9"/>
  <c r="IX13" i="9"/>
  <c r="IP11" i="9"/>
  <c r="IP9" i="9"/>
  <c r="IP16" i="9" s="1"/>
  <c r="JI14" i="9"/>
  <c r="JF13" i="9"/>
  <c r="JF15" i="9" s="1"/>
  <c r="JF17" i="9" s="1"/>
  <c r="JK14" i="9"/>
  <c r="JH13" i="9"/>
  <c r="KE13" i="9"/>
  <c r="KE15" i="9" s="1"/>
  <c r="KE17" i="9" s="1"/>
  <c r="KH14" i="9"/>
  <c r="G56" i="7"/>
  <c r="G58" i="7" s="1"/>
  <c r="G59" i="7" s="1"/>
  <c r="HV17" i="9"/>
  <c r="IM11" i="9"/>
  <c r="IM9" i="9"/>
  <c r="IM16" i="9" s="1"/>
  <c r="HA15" i="9"/>
  <c r="HA17" i="9" s="1"/>
  <c r="AS12" i="3"/>
  <c r="FX16" i="9"/>
  <c r="AM14" i="3" s="1"/>
  <c r="AM10" i="3"/>
  <c r="HK16" i="9"/>
  <c r="AU14" i="3" s="1"/>
  <c r="AU10" i="3"/>
  <c r="GL15" i="9"/>
  <c r="GL17" i="9" s="1"/>
  <c r="AP12" i="3"/>
  <c r="FI17" i="9"/>
  <c r="AJ56" i="3" s="1"/>
  <c r="AA23" i="3"/>
  <c r="AA22" i="3"/>
  <c r="AA20" i="3"/>
  <c r="Y18" i="3"/>
  <c r="Y25" i="3" s="1"/>
  <c r="E7" i="2"/>
  <c r="LX12" i="9"/>
  <c r="LW12" i="9"/>
  <c r="LU12" i="9"/>
  <c r="LT12" i="9"/>
  <c r="LV10" i="9"/>
  <c r="LU10" i="9"/>
  <c r="LT10" i="9"/>
  <c r="LV12" i="9"/>
  <c r="LX10" i="9"/>
  <c r="LW10" i="9"/>
  <c r="LX3" i="9"/>
  <c r="OF4" i="9" s="1"/>
  <c r="KZ12" i="9"/>
  <c r="LD12" i="9"/>
  <c r="LD10" i="9"/>
  <c r="LC10" i="9"/>
  <c r="LC12" i="9"/>
  <c r="LA12" i="9"/>
  <c r="LB12" i="9"/>
  <c r="LA10" i="9"/>
  <c r="LB10" i="9"/>
  <c r="KZ10" i="9"/>
  <c r="LD3" i="9"/>
  <c r="NL4" i="9" s="1"/>
  <c r="KC11" i="9"/>
  <c r="KC9" i="9"/>
  <c r="KC16" i="9" s="1"/>
  <c r="JZ11" i="9"/>
  <c r="JZ9" i="9"/>
  <c r="JZ16" i="9" s="1"/>
  <c r="JB11" i="9"/>
  <c r="JB9" i="9"/>
  <c r="JB16" i="9" s="1"/>
  <c r="IF11" i="9"/>
  <c r="IF9" i="9"/>
  <c r="IF16" i="9" s="1"/>
  <c r="AJ23" i="3"/>
  <c r="AJ22" i="3"/>
  <c r="AJ20" i="3"/>
  <c r="AH18" i="3"/>
  <c r="IX14" i="9"/>
  <c r="IU13" i="9"/>
  <c r="IO11" i="9"/>
  <c r="IO9" i="9"/>
  <c r="IO16" i="9" s="1"/>
  <c r="JQ14" i="9"/>
  <c r="JN13" i="9"/>
  <c r="JN15" i="9" s="1"/>
  <c r="JN17" i="9" s="1"/>
  <c r="IG11" i="9"/>
  <c r="IG9" i="9"/>
  <c r="IG16" i="9" s="1"/>
  <c r="HL15" i="9"/>
  <c r="HL17" i="9" s="1"/>
  <c r="HB15" i="9"/>
  <c r="HB17" i="9" s="1"/>
  <c r="KJ11" i="9"/>
  <c r="KJ9" i="9"/>
  <c r="KJ16" i="9" s="1"/>
  <c r="KM14" i="9"/>
  <c r="KJ13" i="9"/>
  <c r="HJ17" i="9"/>
  <c r="JJ11" i="9"/>
  <c r="JJ9" i="9"/>
  <c r="JJ16" i="9" s="1"/>
  <c r="GG16" i="9"/>
  <c r="AO14" i="3" s="1"/>
  <c r="AO10" i="3"/>
  <c r="AW13" i="3"/>
  <c r="IC15" i="9"/>
  <c r="IC17" i="9" s="1"/>
  <c r="JS11" i="9"/>
  <c r="JS9" i="9"/>
  <c r="JS16" i="9" s="1"/>
  <c r="M25" i="3"/>
  <c r="C16" i="2"/>
  <c r="F22" i="7"/>
  <c r="HH15" i="9"/>
  <c r="HH17" i="9" s="1"/>
  <c r="JQ11" i="9"/>
  <c r="JQ9" i="9"/>
  <c r="JQ16" i="9" s="1"/>
  <c r="IX11" i="9"/>
  <c r="BC11" i="3" s="1"/>
  <c r="IX9" i="9"/>
  <c r="JD14" i="9"/>
  <c r="JA13" i="9"/>
  <c r="GY15" i="9"/>
  <c r="GY17" i="9" s="1"/>
  <c r="FY17" i="9"/>
  <c r="IK14" i="9"/>
  <c r="IH13" i="9"/>
  <c r="IH15" i="9" s="1"/>
  <c r="IH17" i="9" s="1"/>
  <c r="ET17" i="9"/>
  <c r="KD14" i="9"/>
  <c r="KA13" i="9"/>
  <c r="AP13" i="3"/>
  <c r="GR15" i="9"/>
  <c r="GR17" i="9" s="1"/>
  <c r="Y56" i="3"/>
  <c r="Y27" i="3"/>
  <c r="Y28" i="3" s="1"/>
  <c r="GO17" i="9"/>
  <c r="IS11" i="9"/>
  <c r="IS9" i="9"/>
  <c r="IQ11" i="9"/>
  <c r="IQ9" i="9"/>
  <c r="IQ16" i="9" s="1"/>
  <c r="JG9" i="9"/>
  <c r="JG16" i="9" s="1"/>
  <c r="JG11" i="9"/>
  <c r="JG14" i="9"/>
  <c r="JD13" i="9"/>
  <c r="JD15" i="9" s="1"/>
  <c r="JD17" i="9" s="1"/>
  <c r="MM12" i="9"/>
  <c r="MK12" i="9"/>
  <c r="MJ12" i="9"/>
  <c r="ML10" i="9"/>
  <c r="MK10" i="9"/>
  <c r="MJ10" i="9"/>
  <c r="ML12" i="9"/>
  <c r="MI10" i="9"/>
  <c r="MI12" i="9"/>
  <c r="MM10" i="9"/>
  <c r="MM3" i="9"/>
  <c r="OU4" i="9" s="1"/>
  <c r="KI14" i="9"/>
  <c r="KF13" i="9"/>
  <c r="IB15" i="9"/>
  <c r="IB17" i="9" s="1"/>
  <c r="KK11" i="9"/>
  <c r="KK9" i="9"/>
  <c r="KK16" i="9" s="1"/>
  <c r="KN14" i="9"/>
  <c r="KK13" i="9"/>
  <c r="FS17" i="9"/>
  <c r="IP14" i="9"/>
  <c r="IM13" i="9"/>
  <c r="IM15" i="9" s="1"/>
  <c r="O56" i="3"/>
  <c r="D13" i="2"/>
  <c r="JL14" i="9"/>
  <c r="JI13" i="9"/>
  <c r="JI15" i="9" s="1"/>
  <c r="AM11" i="3"/>
  <c r="AO11" i="3"/>
  <c r="AL15" i="3"/>
  <c r="AU11" i="3"/>
  <c r="CJ19" i="3"/>
  <c r="CK19" i="3" s="1"/>
  <c r="CL19" i="3" s="1"/>
  <c r="CM19" i="3" s="1"/>
  <c r="CN19" i="3" s="1"/>
  <c r="CO19" i="3" s="1"/>
  <c r="CP19" i="3" s="1"/>
  <c r="CQ19" i="3" s="1"/>
  <c r="CR19" i="3" s="1"/>
  <c r="CS19" i="3" s="1"/>
  <c r="CT19" i="3" s="1"/>
  <c r="CU19" i="3" s="1"/>
  <c r="HP15" i="9"/>
  <c r="AV12" i="3"/>
  <c r="HO15" i="9"/>
  <c r="HO17" i="9" s="1"/>
  <c r="JT11" i="9"/>
  <c r="JT9" i="9"/>
  <c r="JT16" i="9" s="1"/>
  <c r="AM12" i="3"/>
  <c r="F10" i="2" s="1"/>
  <c r="D21" i="2"/>
  <c r="AI15" i="3"/>
  <c r="E12" i="2"/>
  <c r="HZ16" i="9"/>
  <c r="AX14" i="3" s="1"/>
  <c r="AX10" i="3"/>
  <c r="E72" i="7"/>
  <c r="JE14" i="9"/>
  <c r="JB13" i="9"/>
  <c r="JB15" i="9" s="1"/>
  <c r="JB17" i="9" s="1"/>
  <c r="IT11" i="9"/>
  <c r="IT9" i="9"/>
  <c r="IT16" i="9" s="1"/>
  <c r="IS14" i="9"/>
  <c r="IP13" i="9"/>
  <c r="IP15" i="9" s="1"/>
  <c r="IP17" i="9" s="1"/>
  <c r="JJ14" i="9"/>
  <c r="JG13" i="9"/>
  <c r="JG15" i="9" s="1"/>
  <c r="JG17" i="9" s="1"/>
  <c r="JH14" i="9"/>
  <c r="BE13" i="3" s="1"/>
  <c r="JE13" i="9"/>
  <c r="JE15" i="9" s="1"/>
  <c r="JE17" i="9" s="1"/>
  <c r="KB11" i="9"/>
  <c r="BI11" i="3" s="1"/>
  <c r="KB9" i="9"/>
  <c r="KJ14" i="9"/>
  <c r="KG13" i="9"/>
  <c r="GC16" i="9"/>
  <c r="AN14" i="3" s="1"/>
  <c r="AN10" i="3"/>
  <c r="AF18" i="3"/>
  <c r="AH23" i="3"/>
  <c r="AH20" i="3"/>
  <c r="AH22" i="3"/>
  <c r="AY13" i="3"/>
  <c r="KO14" i="9"/>
  <c r="KL13" i="9"/>
  <c r="GS15" i="9"/>
  <c r="GS17" i="9" s="1"/>
  <c r="IJ11" i="9"/>
  <c r="IJ9" i="9"/>
  <c r="JK11" i="9"/>
  <c r="JK9" i="9"/>
  <c r="JK16" i="9" s="1"/>
  <c r="JM14" i="9"/>
  <c r="JJ13" i="9"/>
  <c r="HI15" i="9"/>
  <c r="HI17" i="9" s="1"/>
  <c r="GG15" i="9"/>
  <c r="GG17" i="9" s="1"/>
  <c r="AO12" i="3"/>
  <c r="E32" i="7"/>
  <c r="H57" i="7"/>
  <c r="H55" i="7"/>
  <c r="U56" i="3"/>
  <c r="U27" i="3"/>
  <c r="U28" i="3" s="1"/>
  <c r="E9" i="2"/>
  <c r="JV14" i="9"/>
  <c r="JS13" i="9"/>
  <c r="JS15" i="9" s="1"/>
  <c r="FX17" i="9"/>
  <c r="D20" i="2"/>
  <c r="HU16" i="9"/>
  <c r="AW14" i="3" s="1"/>
  <c r="AW10" i="3"/>
  <c r="AX11" i="3"/>
  <c r="AX15" i="3" s="1"/>
  <c r="BX21" i="3"/>
  <c r="BY21" i="3" s="1"/>
  <c r="BZ21" i="3" s="1"/>
  <c r="CA21" i="3" s="1"/>
  <c r="CB21" i="3" s="1"/>
  <c r="CC21" i="3" s="1"/>
  <c r="CD21" i="3" s="1"/>
  <c r="CE21" i="3" s="1"/>
  <c r="CF21" i="3" s="1"/>
  <c r="CG21" i="3" s="1"/>
  <c r="CH21" i="3" s="1"/>
  <c r="CI21" i="3" s="1"/>
  <c r="KO12" i="9"/>
  <c r="KN12" i="9"/>
  <c r="KP10" i="9"/>
  <c r="KO10" i="9"/>
  <c r="KN10" i="9"/>
  <c r="KP12" i="9"/>
  <c r="KM10" i="9"/>
  <c r="KM12" i="9"/>
  <c r="KL12" i="9"/>
  <c r="KL10" i="9"/>
  <c r="KP3" i="9"/>
  <c r="MW4" i="9" s="1"/>
  <c r="KF14" i="9"/>
  <c r="KC13" i="9"/>
  <c r="KC15" i="9" s="1"/>
  <c r="KC17" i="9" s="1"/>
  <c r="AN11" i="3"/>
  <c r="AN15" i="3" s="1"/>
  <c r="KI11" i="9"/>
  <c r="KI9" i="9"/>
  <c r="KI16" i="9" s="1"/>
  <c r="AD56" i="3"/>
  <c r="AR13" i="3"/>
  <c r="GZ17" i="9"/>
  <c r="IK11" i="9"/>
  <c r="IK9" i="9"/>
  <c r="IK16" i="9" s="1"/>
  <c r="LP12" i="9"/>
  <c r="LO12" i="9"/>
  <c r="LS10" i="9"/>
  <c r="LS12" i="9"/>
  <c r="LO10" i="9"/>
  <c r="LR10" i="9"/>
  <c r="LQ10" i="9"/>
  <c r="LR12" i="9"/>
  <c r="LP10" i="9"/>
  <c r="LS3" i="9"/>
  <c r="OA4" i="9" s="1"/>
  <c r="LQ12" i="9"/>
  <c r="JO14" i="9"/>
  <c r="JL13" i="9"/>
  <c r="JL15" i="9" s="1"/>
  <c r="JL17" i="9" s="1"/>
  <c r="AB23" i="3"/>
  <c r="AB22" i="3"/>
  <c r="AB20" i="3"/>
  <c r="Z18" i="3"/>
  <c r="Z25" i="3" s="1"/>
  <c r="Z27" i="3" s="1"/>
  <c r="AI18" i="3"/>
  <c r="AK20" i="3"/>
  <c r="AK23" i="3"/>
  <c r="AK22" i="3"/>
  <c r="H66" i="7"/>
  <c r="H64" i="7"/>
  <c r="AL22" i="3"/>
  <c r="AL20" i="3"/>
  <c r="AJ18" i="3"/>
  <c r="AL23" i="3"/>
  <c r="AA56" i="3"/>
  <c r="GK15" i="9"/>
  <c r="GK17" i="9" s="1"/>
  <c r="GV15" i="9"/>
  <c r="AR12" i="3"/>
  <c r="MC12" i="9"/>
  <c r="MB12" i="9"/>
  <c r="MA12" i="9"/>
  <c r="LZ12" i="9"/>
  <c r="MC10" i="9"/>
  <c r="LY12" i="9"/>
  <c r="MB10" i="9"/>
  <c r="MA10" i="9"/>
  <c r="LZ10" i="9"/>
  <c r="LY10" i="9"/>
  <c r="MC3" i="9"/>
  <c r="OK4" i="9" s="1"/>
  <c r="JR11" i="9"/>
  <c r="BG11" i="3" s="1"/>
  <c r="JR9" i="9"/>
  <c r="GV16" i="9"/>
  <c r="AR14" i="3" s="1"/>
  <c r="AR10" i="3"/>
  <c r="AW11" i="3"/>
  <c r="AW15" i="3" s="1"/>
  <c r="X25" i="3"/>
  <c r="X27" i="3" s="1"/>
  <c r="J4" i="7"/>
  <c r="J7" i="3"/>
  <c r="J59" i="3" s="1"/>
  <c r="J40" i="3" s="1"/>
  <c r="J41" i="3"/>
  <c r="J6" i="3"/>
  <c r="J61" i="3" s="1"/>
  <c r="J31" i="3" s="1"/>
  <c r="J5" i="3"/>
  <c r="K4" i="3"/>
  <c r="G74" i="7" l="1"/>
  <c r="G37" i="3" s="1"/>
  <c r="AT56" i="3"/>
  <c r="AQ56" i="3"/>
  <c r="G32" i="7"/>
  <c r="R28" i="3"/>
  <c r="MI11" i="9"/>
  <c r="MI9" i="9"/>
  <c r="JH15" i="9"/>
  <c r="BE12" i="3"/>
  <c r="KU13" i="9"/>
  <c r="KX14" i="9"/>
  <c r="LZ11" i="9"/>
  <c r="LZ9" i="9"/>
  <c r="LZ16" i="9" s="1"/>
  <c r="LT13" i="9"/>
  <c r="LW14" i="9"/>
  <c r="AW23" i="3"/>
  <c r="AW22" i="3"/>
  <c r="AW20" i="3"/>
  <c r="AU18" i="3"/>
  <c r="AN22" i="3"/>
  <c r="AN20" i="3"/>
  <c r="AN23" i="3"/>
  <c r="AL18" i="3"/>
  <c r="AL25" i="3" s="1"/>
  <c r="AL27" i="3" s="1"/>
  <c r="AL56" i="3"/>
  <c r="MJ11" i="9"/>
  <c r="MJ9" i="9"/>
  <c r="MJ16" i="9" s="1"/>
  <c r="LD11" i="9"/>
  <c r="LD9" i="9"/>
  <c r="LD16" i="9" s="1"/>
  <c r="NA12" i="9"/>
  <c r="MZ12" i="9"/>
  <c r="NB10" i="9"/>
  <c r="NA10" i="9"/>
  <c r="MZ10" i="9"/>
  <c r="NB12" i="9"/>
  <c r="MY10" i="9"/>
  <c r="MY12" i="9"/>
  <c r="MX10" i="9"/>
  <c r="MX12" i="9"/>
  <c r="NB3" i="9"/>
  <c r="PI4" i="9" s="1"/>
  <c r="OZ12" i="9"/>
  <c r="OY12" i="9"/>
  <c r="OW12" i="9"/>
  <c r="OV12" i="9"/>
  <c r="OX10" i="9"/>
  <c r="OW10" i="9"/>
  <c r="OV10" i="9"/>
  <c r="OX12" i="9"/>
  <c r="OZ10" i="9"/>
  <c r="OY10" i="9"/>
  <c r="OZ3" i="9"/>
  <c r="RG4" i="9" s="1"/>
  <c r="MU14" i="9"/>
  <c r="MR13" i="9"/>
  <c r="AT22" i="3"/>
  <c r="AT20" i="3"/>
  <c r="AR18" i="3"/>
  <c r="AT23" i="3"/>
  <c r="I19" i="7"/>
  <c r="I21" i="7"/>
  <c r="AC56" i="3"/>
  <c r="AZ13" i="3"/>
  <c r="LB14" i="9"/>
  <c r="KY13" i="9"/>
  <c r="NT12" i="9"/>
  <c r="NS12" i="9"/>
  <c r="NR10" i="9"/>
  <c r="NV12" i="9"/>
  <c r="NU12" i="9"/>
  <c r="NR12" i="9"/>
  <c r="NV10" i="9"/>
  <c r="NT10" i="9"/>
  <c r="NS10" i="9"/>
  <c r="NU10" i="9"/>
  <c r="NV3" i="9"/>
  <c r="QC4" i="9" s="1"/>
  <c r="LL13" i="9"/>
  <c r="LO14" i="9"/>
  <c r="BQ13" i="3" s="1"/>
  <c r="MA9" i="9"/>
  <c r="MA16" i="9" s="1"/>
  <c r="MA11" i="9"/>
  <c r="LU14" i="9"/>
  <c r="LR13" i="9"/>
  <c r="LS11" i="9"/>
  <c r="LS9" i="9"/>
  <c r="LS16" i="9" s="1"/>
  <c r="MV12" i="9"/>
  <c r="MU12" i="9"/>
  <c r="MS12" i="9"/>
  <c r="MT10" i="9"/>
  <c r="MS10" i="9"/>
  <c r="MT12" i="9"/>
  <c r="MW10" i="9"/>
  <c r="MV10" i="9"/>
  <c r="MW12" i="9"/>
  <c r="MU10" i="9"/>
  <c r="MW3" i="9"/>
  <c r="PE4" i="9" s="1"/>
  <c r="KP11" i="9"/>
  <c r="KP9" i="9"/>
  <c r="KP16" i="9" s="1"/>
  <c r="KL15" i="9"/>
  <c r="AV18" i="3"/>
  <c r="AX23" i="3"/>
  <c r="AX22" i="3"/>
  <c r="AX20" i="3"/>
  <c r="AO15" i="3"/>
  <c r="IM17" i="9"/>
  <c r="KF15" i="9"/>
  <c r="KF17" i="9" s="1"/>
  <c r="MK11" i="9"/>
  <c r="MK9" i="9"/>
  <c r="MK16" i="9" s="1"/>
  <c r="KJ15" i="9"/>
  <c r="KJ17" i="9" s="1"/>
  <c r="IU15" i="9"/>
  <c r="IU17" i="9" s="1"/>
  <c r="KZ11" i="9"/>
  <c r="KZ9" i="9"/>
  <c r="LE13" i="9"/>
  <c r="LH14" i="9"/>
  <c r="LV11" i="9"/>
  <c r="LV9" i="9"/>
  <c r="LV16" i="9" s="1"/>
  <c r="E20" i="2"/>
  <c r="AU22" i="3"/>
  <c r="AU23" i="3"/>
  <c r="AU20" i="3"/>
  <c r="AS18" i="3"/>
  <c r="AS25" i="3" s="1"/>
  <c r="IZ15" i="9"/>
  <c r="IZ17" i="9" s="1"/>
  <c r="LE11" i="9"/>
  <c r="LE9" i="9"/>
  <c r="KQ11" i="9"/>
  <c r="KQ9" i="9"/>
  <c r="MN11" i="9"/>
  <c r="MN9" i="9"/>
  <c r="MS13" i="9"/>
  <c r="MV14" i="9"/>
  <c r="P28" i="3"/>
  <c r="IE16" i="9"/>
  <c r="AY14" i="3" s="1"/>
  <c r="AY10" i="3"/>
  <c r="L8" i="9"/>
  <c r="M7" i="9" s="1"/>
  <c r="L1" i="9"/>
  <c r="AQ18" i="3"/>
  <c r="AS23" i="3"/>
  <c r="AS22" i="3"/>
  <c r="AS20" i="3"/>
  <c r="BD11" i="3"/>
  <c r="BD15" i="3" s="1"/>
  <c r="I71" i="7"/>
  <c r="I34" i="3" s="1"/>
  <c r="BA13" i="3"/>
  <c r="AP15" i="3"/>
  <c r="ME11" i="9"/>
  <c r="ME9" i="9"/>
  <c r="ME16" i="9" s="1"/>
  <c r="KU11" i="9"/>
  <c r="KU9" i="9"/>
  <c r="LJ11" i="9"/>
  <c r="LJ9" i="9"/>
  <c r="LM13" i="9"/>
  <c r="LP14" i="9"/>
  <c r="BG13" i="3"/>
  <c r="MA13" i="9"/>
  <c r="MD14" i="9"/>
  <c r="IK15" i="9"/>
  <c r="IK17" i="9" s="1"/>
  <c r="IS15" i="9"/>
  <c r="IS17" i="9" s="1"/>
  <c r="BB12" i="3"/>
  <c r="MI13" i="9"/>
  <c r="ML14" i="9"/>
  <c r="JR15" i="9"/>
  <c r="BG12" i="3"/>
  <c r="BG15" i="3" s="1"/>
  <c r="LC14" i="9"/>
  <c r="KZ13" i="9"/>
  <c r="G75" i="7"/>
  <c r="G38" i="3" s="1"/>
  <c r="AW56" i="3"/>
  <c r="K4" i="7"/>
  <c r="K41" i="3"/>
  <c r="K6" i="3"/>
  <c r="K61" i="3" s="1"/>
  <c r="K31" i="3" s="1"/>
  <c r="K7" i="3"/>
  <c r="K59" i="3" s="1"/>
  <c r="K40" i="3" s="1"/>
  <c r="L4" i="3"/>
  <c r="K5" i="3"/>
  <c r="AR23" i="3"/>
  <c r="AR22" i="3"/>
  <c r="AR20" i="3"/>
  <c r="AP18" i="3"/>
  <c r="MB11" i="9"/>
  <c r="MB9" i="9"/>
  <c r="MB16" i="9" s="1"/>
  <c r="GV17" i="9"/>
  <c r="AJ25" i="3"/>
  <c r="AJ27" i="3" s="1"/>
  <c r="AI25" i="3"/>
  <c r="OA12" i="9"/>
  <c r="NY12" i="9"/>
  <c r="NX12" i="9"/>
  <c r="NW12" i="9"/>
  <c r="NZ10" i="9"/>
  <c r="NY10" i="9"/>
  <c r="NX10" i="9"/>
  <c r="NW10" i="9"/>
  <c r="NZ12" i="9"/>
  <c r="OA10" i="9"/>
  <c r="OA3" i="9"/>
  <c r="QH4" i="9" s="1"/>
  <c r="LS14" i="9"/>
  <c r="LP13" i="9"/>
  <c r="LP15" i="9" s="1"/>
  <c r="KL11" i="9"/>
  <c r="KL9" i="9"/>
  <c r="KR14" i="9"/>
  <c r="KO13" i="9"/>
  <c r="KO15" i="9" s="1"/>
  <c r="H56" i="7"/>
  <c r="JJ15" i="9"/>
  <c r="JJ17" i="9" s="1"/>
  <c r="KG15" i="9"/>
  <c r="BJ12" i="3"/>
  <c r="BJ15" i="3" s="1"/>
  <c r="AM15" i="3"/>
  <c r="F9" i="2"/>
  <c r="ML11" i="9"/>
  <c r="ML9" i="9"/>
  <c r="ML16" i="9" s="1"/>
  <c r="F73" i="7"/>
  <c r="F36" i="3" s="1"/>
  <c r="F23" i="7"/>
  <c r="BC13" i="3"/>
  <c r="LB11" i="9"/>
  <c r="LB9" i="9"/>
  <c r="LB16" i="9" s="1"/>
  <c r="LD14" i="9"/>
  <c r="LA13" i="9"/>
  <c r="LA15" i="9" s="1"/>
  <c r="LA17" i="9" s="1"/>
  <c r="LU13" i="9"/>
  <c r="LX14" i="9"/>
  <c r="E21" i="2"/>
  <c r="BD13" i="3"/>
  <c r="LF11" i="9"/>
  <c r="LF9" i="9"/>
  <c r="LF16" i="9" s="1"/>
  <c r="KB15" i="9"/>
  <c r="BI12" i="3"/>
  <c r="BI15" i="3" s="1"/>
  <c r="KR11" i="9"/>
  <c r="KR9" i="9"/>
  <c r="KR16" i="9" s="1"/>
  <c r="MO11" i="9"/>
  <c r="MO9" i="9"/>
  <c r="MO16" i="9" s="1"/>
  <c r="MR14" i="9"/>
  <c r="MO13" i="9"/>
  <c r="JQ15" i="9"/>
  <c r="JQ17" i="9" s="1"/>
  <c r="II15" i="9"/>
  <c r="II17" i="9" s="1"/>
  <c r="Y4" i="6"/>
  <c r="X31" i="6"/>
  <c r="F32" i="6"/>
  <c r="F33" i="6"/>
  <c r="D3" i="6"/>
  <c r="AA25" i="3"/>
  <c r="E16" i="2"/>
  <c r="V28" i="3"/>
  <c r="AY11" i="3"/>
  <c r="AR15" i="3"/>
  <c r="IQ15" i="9"/>
  <c r="IQ17" i="9" s="1"/>
  <c r="JY15" i="9"/>
  <c r="JY17" i="9" s="1"/>
  <c r="MH14" i="9"/>
  <c r="ME13" i="9"/>
  <c r="KV11" i="9"/>
  <c r="KV9" i="9"/>
  <c r="KV16" i="9" s="1"/>
  <c r="LR14" i="9"/>
  <c r="LO13" i="9"/>
  <c r="LN13" i="9"/>
  <c r="LQ14" i="9"/>
  <c r="JO15" i="9"/>
  <c r="JO17" i="9" s="1"/>
  <c r="LQ11" i="9"/>
  <c r="LQ9" i="9"/>
  <c r="LQ16" i="9" s="1"/>
  <c r="LR11" i="9"/>
  <c r="LR9" i="9"/>
  <c r="LR16" i="9" s="1"/>
  <c r="BC15" i="3"/>
  <c r="LZ14" i="9"/>
  <c r="LW13" i="9"/>
  <c r="LI11" i="9"/>
  <c r="LI9" i="9"/>
  <c r="LI16" i="9" s="1"/>
  <c r="X28" i="3"/>
  <c r="MD13" i="9"/>
  <c r="MG14" i="9"/>
  <c r="F77" i="7"/>
  <c r="F35" i="3"/>
  <c r="NL12" i="9"/>
  <c r="NK12" i="9"/>
  <c r="NI12" i="9"/>
  <c r="NH12" i="9"/>
  <c r="NJ10" i="9"/>
  <c r="NI10" i="9"/>
  <c r="NH10" i="9"/>
  <c r="NJ12" i="9"/>
  <c r="NL10" i="9"/>
  <c r="NK10" i="9"/>
  <c r="NL3" i="9"/>
  <c r="PS4" i="9" s="1"/>
  <c r="LU11" i="9"/>
  <c r="LU9" i="9"/>
  <c r="LU16" i="9" s="1"/>
  <c r="IF17" i="9"/>
  <c r="BJ13" i="3"/>
  <c r="AY12" i="3"/>
  <c r="IL17" i="9"/>
  <c r="AB56" i="3"/>
  <c r="JC16" i="9"/>
  <c r="BD14" i="3" s="1"/>
  <c r="BD10" i="3"/>
  <c r="Q28" i="3"/>
  <c r="MC14" i="9"/>
  <c r="LZ13" i="9"/>
  <c r="LZ15" i="9" s="1"/>
  <c r="LZ17" i="9" s="1"/>
  <c r="Z28" i="3"/>
  <c r="LP11" i="9"/>
  <c r="LP9" i="9"/>
  <c r="LP16" i="9" s="1"/>
  <c r="LT14" i="9"/>
  <c r="LQ13" i="9"/>
  <c r="LQ15" i="9" s="1"/>
  <c r="LQ17" i="9" s="1"/>
  <c r="KM13" i="9"/>
  <c r="KM15" i="9" s="1"/>
  <c r="KP14" i="9"/>
  <c r="BK13" i="3" s="1"/>
  <c r="KP13" i="9"/>
  <c r="KS14" i="9"/>
  <c r="H58" i="7"/>
  <c r="H59" i="7" s="1"/>
  <c r="BF13" i="3"/>
  <c r="BB13" i="3"/>
  <c r="G11" i="2" s="1"/>
  <c r="HP17" i="9"/>
  <c r="AV56" i="3" s="1"/>
  <c r="JI17" i="9"/>
  <c r="OR12" i="9"/>
  <c r="OQ12" i="9"/>
  <c r="OU10" i="9"/>
  <c r="OU12" i="9"/>
  <c r="OT10" i="9"/>
  <c r="OQ10" i="9"/>
  <c r="OT12" i="9"/>
  <c r="OS12" i="9"/>
  <c r="OS10" i="9"/>
  <c r="OR10" i="9"/>
  <c r="OU3" i="9"/>
  <c r="RB4" i="9" s="1"/>
  <c r="MK13" i="9"/>
  <c r="MN14" i="9"/>
  <c r="JA15" i="9"/>
  <c r="JA17" i="9" s="1"/>
  <c r="AM18" i="3"/>
  <c r="AO23" i="3"/>
  <c r="AO22" i="3"/>
  <c r="AO20" i="3"/>
  <c r="AH25" i="3"/>
  <c r="AH27" i="3" s="1"/>
  <c r="LA11" i="9"/>
  <c r="LA9" i="9"/>
  <c r="LA16" i="9" s="1"/>
  <c r="OB12" i="9"/>
  <c r="OF12" i="9"/>
  <c r="OF10" i="9"/>
  <c r="OE10" i="9"/>
  <c r="OE12" i="9"/>
  <c r="OD10" i="9"/>
  <c r="OC10" i="9"/>
  <c r="OD12" i="9"/>
  <c r="OB10" i="9"/>
  <c r="OC12" i="9"/>
  <c r="OF3" i="9"/>
  <c r="QM4" i="9" s="1"/>
  <c r="LV13" i="9"/>
  <c r="LY14" i="9"/>
  <c r="G40" i="7"/>
  <c r="AM22" i="3"/>
  <c r="AM23" i="3"/>
  <c r="F21" i="2" s="1"/>
  <c r="AM20" i="3"/>
  <c r="AK18" i="3"/>
  <c r="AK25" i="3" s="1"/>
  <c r="AK27" i="3" s="1"/>
  <c r="F7" i="2"/>
  <c r="NQ12" i="9"/>
  <c r="NP12" i="9"/>
  <c r="NQ10" i="9"/>
  <c r="NP10" i="9"/>
  <c r="NO10" i="9"/>
  <c r="NO12" i="9"/>
  <c r="NN10" i="9"/>
  <c r="NM12" i="9"/>
  <c r="NM10" i="9"/>
  <c r="NN12" i="9"/>
  <c r="NQ3" i="9"/>
  <c r="PX4" i="9" s="1"/>
  <c r="LF13" i="9"/>
  <c r="LI14" i="9"/>
  <c r="G22" i="7"/>
  <c r="G50" i="7"/>
  <c r="C45" i="3"/>
  <c r="KS11" i="9"/>
  <c r="KS9" i="9"/>
  <c r="KS16" i="9" s="1"/>
  <c r="D16" i="2"/>
  <c r="MP11" i="9"/>
  <c r="MP9" i="9"/>
  <c r="MP16" i="9" s="1"/>
  <c r="AF56" i="3"/>
  <c r="IY15" i="9"/>
  <c r="IY17" i="9" s="1"/>
  <c r="JM15" i="9"/>
  <c r="JM17" i="9" s="1"/>
  <c r="BF12" i="3"/>
  <c r="KI15" i="9"/>
  <c r="KI17" i="9" s="1"/>
  <c r="JM16" i="9"/>
  <c r="BF14" i="3" s="1"/>
  <c r="BF10" i="3"/>
  <c r="AG25" i="3"/>
  <c r="AG27" i="3" s="1"/>
  <c r="AB18" i="6"/>
  <c r="AA4" i="6"/>
  <c r="AD25" i="3"/>
  <c r="AD27" i="3" s="1"/>
  <c r="BI13" i="3"/>
  <c r="MH11" i="9"/>
  <c r="MH9" i="9"/>
  <c r="MH16" i="9" s="1"/>
  <c r="KW11" i="9"/>
  <c r="KW9" i="9"/>
  <c r="KW16" i="9" s="1"/>
  <c r="AN18" i="3"/>
  <c r="AN25" i="3" s="1"/>
  <c r="AN27" i="3" s="1"/>
  <c r="AP23" i="3"/>
  <c r="AP22" i="3"/>
  <c r="AP20" i="3"/>
  <c r="LK11" i="9"/>
  <c r="LK9" i="9"/>
  <c r="LK16" i="9" s="1"/>
  <c r="AQ23" i="3"/>
  <c r="AQ22" i="3"/>
  <c r="AQ20" i="3"/>
  <c r="AO18" i="3"/>
  <c r="MB13" i="9"/>
  <c r="ME14" i="9"/>
  <c r="LD13" i="9"/>
  <c r="LD15" i="9" s="1"/>
  <c r="LD17" i="9" s="1"/>
  <c r="LG14" i="9"/>
  <c r="KO11" i="9"/>
  <c r="KO9" i="9"/>
  <c r="KO16" i="9" s="1"/>
  <c r="E77" i="7"/>
  <c r="E35" i="3"/>
  <c r="E18" i="2"/>
  <c r="LM14" i="9"/>
  <c r="LJ13" i="9"/>
  <c r="KV14" i="9"/>
  <c r="KS13" i="9"/>
  <c r="KS15" i="9" s="1"/>
  <c r="KS17" i="9" s="1"/>
  <c r="I48" i="7"/>
  <c r="I46" i="7"/>
  <c r="JR16" i="9"/>
  <c r="BG14" i="3" s="1"/>
  <c r="BG10" i="3"/>
  <c r="MC11" i="9"/>
  <c r="MC9" i="9"/>
  <c r="MC16" i="9" s="1"/>
  <c r="E13" i="2"/>
  <c r="LS13" i="9"/>
  <c r="LS15" i="9" s="1"/>
  <c r="LS17" i="9" s="1"/>
  <c r="LV14" i="9"/>
  <c r="KQ14" i="9"/>
  <c r="BL13" i="3" s="1"/>
  <c r="KN13" i="9"/>
  <c r="KN15" i="9" s="1"/>
  <c r="I19" i="2"/>
  <c r="JS17" i="9"/>
  <c r="KB16" i="9"/>
  <c r="BI14" i="3" s="1"/>
  <c r="BI10" i="3"/>
  <c r="AI56" i="3"/>
  <c r="AI27" i="3"/>
  <c r="AI28" i="3" s="1"/>
  <c r="J17" i="2"/>
  <c r="KK15" i="9"/>
  <c r="KK17" i="9" s="1"/>
  <c r="MM11" i="9"/>
  <c r="MM9" i="9"/>
  <c r="MM16" i="9" s="1"/>
  <c r="ML13" i="9"/>
  <c r="ML15" i="9" s="1"/>
  <c r="MO14" i="9"/>
  <c r="IS16" i="9"/>
  <c r="BB14" i="3" s="1"/>
  <c r="BB10" i="3"/>
  <c r="KA15" i="9"/>
  <c r="KA17" i="9" s="1"/>
  <c r="M27" i="3"/>
  <c r="C23" i="2"/>
  <c r="LC13" i="9"/>
  <c r="LC15" i="9" s="1"/>
  <c r="LF14" i="9"/>
  <c r="LW11" i="9"/>
  <c r="LW9" i="9"/>
  <c r="LW16" i="9" s="1"/>
  <c r="MA14" i="9"/>
  <c r="LX13" i="9"/>
  <c r="LX15" i="9" s="1"/>
  <c r="F12" i="2"/>
  <c r="IX15" i="9"/>
  <c r="IX17" i="9" s="1"/>
  <c r="BC12" i="3"/>
  <c r="LG11" i="9"/>
  <c r="LG9" i="9"/>
  <c r="LG16" i="9" s="1"/>
  <c r="LK14" i="9"/>
  <c r="LH13" i="9"/>
  <c r="LH15" i="9" s="1"/>
  <c r="LH17" i="9" s="1"/>
  <c r="IR15" i="9"/>
  <c r="IR17" i="9" s="1"/>
  <c r="E36" i="3"/>
  <c r="KT11" i="9"/>
  <c r="KT9" i="9"/>
  <c r="KT16" i="9" s="1"/>
  <c r="D23" i="2"/>
  <c r="D7" i="1" s="1"/>
  <c r="MQ11" i="9"/>
  <c r="MQ9" i="9"/>
  <c r="MQ16" i="9" s="1"/>
  <c r="AC25" i="3"/>
  <c r="AC27" i="3" s="1"/>
  <c r="AV22" i="3"/>
  <c r="AV20" i="3"/>
  <c r="AV23" i="3"/>
  <c r="AT18" i="3"/>
  <c r="GC17" i="9"/>
  <c r="JV15" i="9"/>
  <c r="JV17" i="9" s="1"/>
  <c r="IO17" i="9"/>
  <c r="F59" i="7"/>
  <c r="JZ15" i="9"/>
  <c r="JZ17" i="9" s="1"/>
  <c r="BF11" i="3"/>
  <c r="BF15" i="3" s="1"/>
  <c r="G68" i="7"/>
  <c r="IW15" i="9"/>
  <c r="IW17" i="9" s="1"/>
  <c r="MG11" i="9"/>
  <c r="MG9" i="9"/>
  <c r="MG16" i="9" s="1"/>
  <c r="MD11" i="9"/>
  <c r="BT11" i="3" s="1"/>
  <c r="MD9" i="9"/>
  <c r="KX11" i="9"/>
  <c r="KX9" i="9"/>
  <c r="KX16" i="9" s="1"/>
  <c r="LL11" i="9"/>
  <c r="LL9" i="9"/>
  <c r="LL16" i="9" s="1"/>
  <c r="H65" i="7"/>
  <c r="AN56" i="3"/>
  <c r="KM9" i="9"/>
  <c r="KM16" i="9" s="1"/>
  <c r="KM11" i="9"/>
  <c r="CJ21" i="3"/>
  <c r="CK21" i="3" s="1"/>
  <c r="CL21" i="3" s="1"/>
  <c r="CM21" i="3" s="1"/>
  <c r="CN21" i="3" s="1"/>
  <c r="CO21" i="3" s="1"/>
  <c r="CP21" i="3" s="1"/>
  <c r="CQ21" i="3" s="1"/>
  <c r="CR21" i="3" s="1"/>
  <c r="CS21" i="3" s="1"/>
  <c r="CT21" i="3" s="1"/>
  <c r="CU21" i="3" s="1"/>
  <c r="CV19" i="3"/>
  <c r="CW19" i="3" s="1"/>
  <c r="CX19" i="3" s="1"/>
  <c r="CY19" i="3" s="1"/>
  <c r="CZ19" i="3" s="1"/>
  <c r="DA19" i="3" s="1"/>
  <c r="DB19" i="3" s="1"/>
  <c r="DC19" i="3" s="1"/>
  <c r="DD19" i="3" s="1"/>
  <c r="DE19" i="3" s="1"/>
  <c r="DF19" i="3" s="1"/>
  <c r="K17" i="2"/>
  <c r="D56" i="2"/>
  <c r="D6" i="1"/>
  <c r="MJ13" i="9"/>
  <c r="MJ15" i="9" s="1"/>
  <c r="MJ17" i="9" s="1"/>
  <c r="MM14" i="9"/>
  <c r="MQ14" i="9"/>
  <c r="MN13" i="9"/>
  <c r="BB11" i="3"/>
  <c r="IX16" i="9"/>
  <c r="BC14" i="3" s="1"/>
  <c r="BC10" i="3"/>
  <c r="LE14" i="9"/>
  <c r="LB13" i="9"/>
  <c r="LB15" i="9" s="1"/>
  <c r="LB17" i="9" s="1"/>
  <c r="LX11" i="9"/>
  <c r="LX9" i="9"/>
  <c r="LX16" i="9" s="1"/>
  <c r="MB14" i="9"/>
  <c r="LY13" i="9"/>
  <c r="LH11" i="9"/>
  <c r="LH9" i="9"/>
  <c r="LH16" i="9" s="1"/>
  <c r="LL14" i="9"/>
  <c r="LI13" i="9"/>
  <c r="JW15" i="9"/>
  <c r="JW17" i="9" s="1"/>
  <c r="BH12" i="3"/>
  <c r="AB25" i="3"/>
  <c r="AB27" i="3" s="1"/>
  <c r="KW14" i="9"/>
  <c r="KT13" i="9"/>
  <c r="MR11" i="9"/>
  <c r="MR9" i="9"/>
  <c r="MR16" i="9" s="1"/>
  <c r="H38" i="7"/>
  <c r="H40" i="7" s="1"/>
  <c r="JW16" i="9"/>
  <c r="BH14" i="3" s="1"/>
  <c r="BH10" i="3"/>
  <c r="H29" i="7"/>
  <c r="H31" i="7" s="1"/>
  <c r="H32" i="7" s="1"/>
  <c r="OO12" i="9"/>
  <c r="ON12" i="9"/>
  <c r="OM12" i="9"/>
  <c r="OP10" i="9"/>
  <c r="OL12" i="9"/>
  <c r="OO10" i="9"/>
  <c r="ON10" i="9"/>
  <c r="OM10" i="9"/>
  <c r="OL10" i="9"/>
  <c r="OP12" i="9"/>
  <c r="OP3" i="9"/>
  <c r="QW4" i="9" s="1"/>
  <c r="MI14" i="9"/>
  <c r="MF13" i="9"/>
  <c r="MF15" i="9" s="1"/>
  <c r="JT17" i="9"/>
  <c r="AG56" i="3"/>
  <c r="KV13" i="9"/>
  <c r="KV15" i="9" s="1"/>
  <c r="KV17" i="9" s="1"/>
  <c r="KY14" i="9"/>
  <c r="LM11" i="9"/>
  <c r="LM9" i="9"/>
  <c r="LM16" i="9" s="1"/>
  <c r="IJ15" i="9"/>
  <c r="AZ12" i="3"/>
  <c r="OJ12" i="9"/>
  <c r="OI12" i="9"/>
  <c r="OG12" i="9"/>
  <c r="OH10" i="9"/>
  <c r="OG10" i="9"/>
  <c r="OK12" i="9"/>
  <c r="OH12" i="9"/>
  <c r="OK10" i="9"/>
  <c r="OJ10" i="9"/>
  <c r="OI10" i="9"/>
  <c r="OK3" i="9"/>
  <c r="QR4" i="9" s="1"/>
  <c r="IJ16" i="9"/>
  <c r="AZ14" i="3" s="1"/>
  <c r="AZ10" i="3"/>
  <c r="JC15" i="9"/>
  <c r="JC17" i="9" s="1"/>
  <c r="BD12" i="3"/>
  <c r="IN15" i="9"/>
  <c r="BA12" i="3"/>
  <c r="MS14" i="9"/>
  <c r="MP13" i="9"/>
  <c r="MP15" i="9" s="1"/>
  <c r="MP17" i="9" s="1"/>
  <c r="JP17" i="9"/>
  <c r="JH16" i="9"/>
  <c r="BE14" i="3" s="1"/>
  <c r="BE10" i="3"/>
  <c r="IN16" i="9"/>
  <c r="BA14" i="3" s="1"/>
  <c r="BA10" i="3"/>
  <c r="JK17" i="9"/>
  <c r="AS15" i="3"/>
  <c r="MF11" i="9"/>
  <c r="MF9" i="9"/>
  <c r="MF16" i="9" s="1"/>
  <c r="MJ14" i="9"/>
  <c r="MG13" i="9"/>
  <c r="BH13" i="3"/>
  <c r="BH15" i="3" s="1"/>
  <c r="ND12" i="9"/>
  <c r="NC12" i="9"/>
  <c r="NG12" i="9"/>
  <c r="NF12" i="9"/>
  <c r="NE12" i="9"/>
  <c r="NG10" i="9"/>
  <c r="NF10" i="9"/>
  <c r="NE10" i="9"/>
  <c r="NC10" i="9"/>
  <c r="ND10" i="9"/>
  <c r="NG3" i="9"/>
  <c r="PN4" i="9" s="1"/>
  <c r="KW13" i="9"/>
  <c r="KW15" i="9" s="1"/>
  <c r="KW17" i="9" s="1"/>
  <c r="KZ14" i="9"/>
  <c r="BN13" i="3" s="1"/>
  <c r="LK13" i="9"/>
  <c r="LN14" i="9"/>
  <c r="H67" i="7"/>
  <c r="H68" i="7" s="1"/>
  <c r="KT14" i="9"/>
  <c r="KQ13" i="9"/>
  <c r="D1" i="5"/>
  <c r="I3" i="6"/>
  <c r="E5" i="1"/>
  <c r="E8" i="2"/>
  <c r="D65" i="4"/>
  <c r="D66" i="4"/>
  <c r="I30" i="7"/>
  <c r="I28" i="7"/>
  <c r="I57" i="7"/>
  <c r="I55" i="7"/>
  <c r="H20" i="7"/>
  <c r="J62" i="7"/>
  <c r="J53" i="7"/>
  <c r="J63" i="7"/>
  <c r="J54" i="7"/>
  <c r="J17" i="7"/>
  <c r="J26" i="7"/>
  <c r="J8" i="7"/>
  <c r="J45" i="7"/>
  <c r="J27" i="7"/>
  <c r="J13" i="7"/>
  <c r="J18" i="7"/>
  <c r="J44" i="7"/>
  <c r="J35" i="7"/>
  <c r="J14" i="7"/>
  <c r="J36" i="7"/>
  <c r="J7" i="7"/>
  <c r="J9" i="7"/>
  <c r="J12" i="7"/>
  <c r="LY11" i="9"/>
  <c r="BS11" i="3" s="1"/>
  <c r="LY9" i="9"/>
  <c r="MC13" i="9"/>
  <c r="MC15" i="9" s="1"/>
  <c r="MF14" i="9"/>
  <c r="LO11" i="9"/>
  <c r="LO9" i="9"/>
  <c r="KN9" i="9"/>
  <c r="KN16" i="9" s="1"/>
  <c r="KN11" i="9"/>
  <c r="AX56" i="3"/>
  <c r="AZ11" i="3"/>
  <c r="AF25" i="3"/>
  <c r="AF27" i="3" s="1"/>
  <c r="AU15" i="3"/>
  <c r="D25" i="2"/>
  <c r="D8" i="1" s="1"/>
  <c r="MP14" i="9"/>
  <c r="MM13" i="9"/>
  <c r="LC11" i="9"/>
  <c r="LC9" i="9"/>
  <c r="LC16" i="9" s="1"/>
  <c r="LT11" i="9"/>
  <c r="BR11" i="3" s="1"/>
  <c r="LT9" i="9"/>
  <c r="JX15" i="9"/>
  <c r="JX17" i="9" s="1"/>
  <c r="LJ14" i="9"/>
  <c r="LG13" i="9"/>
  <c r="LG15" i="9" s="1"/>
  <c r="H47" i="7"/>
  <c r="H49" i="7" s="1"/>
  <c r="AE25" i="3"/>
  <c r="AE27" i="3" s="1"/>
  <c r="KU14" i="9"/>
  <c r="BM13" i="3" s="1"/>
  <c r="KR13" i="9"/>
  <c r="KR15" i="9" s="1"/>
  <c r="KH15" i="9"/>
  <c r="KH17" i="9" s="1"/>
  <c r="MT14" i="9"/>
  <c r="MQ13" i="9"/>
  <c r="MQ15" i="9" s="1"/>
  <c r="KD15" i="9"/>
  <c r="KD17" i="9" s="1"/>
  <c r="BE11" i="3"/>
  <c r="BA11" i="3"/>
  <c r="IT17" i="9"/>
  <c r="I39" i="7"/>
  <c r="I37" i="7"/>
  <c r="I64" i="7"/>
  <c r="I66" i="7"/>
  <c r="JU17" i="9"/>
  <c r="KG16" i="9"/>
  <c r="BJ14" i="3" s="1"/>
  <c r="BJ10" i="3"/>
  <c r="MK14" i="9"/>
  <c r="MH13" i="9"/>
  <c r="IG17" i="9"/>
  <c r="KY11" i="9"/>
  <c r="KY9" i="9"/>
  <c r="KY16" i="9" s="1"/>
  <c r="KX13" i="9"/>
  <c r="KX15" i="9" s="1"/>
  <c r="LA14" i="9"/>
  <c r="LN11" i="9"/>
  <c r="LN9" i="9"/>
  <c r="LN16" i="9" s="1"/>
  <c r="H75" i="7" l="1"/>
  <c r="H38" i="3" s="1"/>
  <c r="F42" i="3"/>
  <c r="H22" i="7"/>
  <c r="AF28" i="3"/>
  <c r="H50" i="7"/>
  <c r="AB28" i="3"/>
  <c r="AN28" i="3"/>
  <c r="AL28" i="3"/>
  <c r="AG28" i="3"/>
  <c r="H72" i="7"/>
  <c r="H41" i="7"/>
  <c r="BH56" i="3"/>
  <c r="I38" i="7"/>
  <c r="I33" i="6"/>
  <c r="I32" i="6"/>
  <c r="G3" i="6"/>
  <c r="BH23" i="3"/>
  <c r="BH22" i="3"/>
  <c r="BH20" i="3"/>
  <c r="BF18" i="3"/>
  <c r="BF56" i="3"/>
  <c r="RA12" i="9"/>
  <c r="QZ12" i="9"/>
  <c r="QY12" i="9"/>
  <c r="RB10" i="9"/>
  <c r="QX12" i="9"/>
  <c r="RA10" i="9"/>
  <c r="QZ10" i="9"/>
  <c r="QY10" i="9"/>
  <c r="QX10" i="9"/>
  <c r="RB12" i="9"/>
  <c r="RB3" i="9"/>
  <c r="TI4" i="9" s="1"/>
  <c r="OA11" i="9"/>
  <c r="OA9" i="9"/>
  <c r="OA16" i="9" s="1"/>
  <c r="I56" i="7"/>
  <c r="IN17" i="9"/>
  <c r="ON14" i="9"/>
  <c r="OK13" i="9"/>
  <c r="BC22" i="3"/>
  <c r="BC23" i="3"/>
  <c r="BC20" i="3"/>
  <c r="BA18" i="3"/>
  <c r="D26" i="2"/>
  <c r="C7" i="1"/>
  <c r="AB4" i="6"/>
  <c r="AA31" i="6"/>
  <c r="OQ11" i="9"/>
  <c r="OQ9" i="9"/>
  <c r="MS15" i="9"/>
  <c r="LE15" i="9"/>
  <c r="BO12" i="3"/>
  <c r="KY15" i="9"/>
  <c r="KY17" i="9" s="1"/>
  <c r="OZ11" i="9"/>
  <c r="OZ9" i="9"/>
  <c r="OZ16" i="9" s="1"/>
  <c r="NA11" i="9"/>
  <c r="NA9" i="9"/>
  <c r="NA16" i="9" s="1"/>
  <c r="KU15" i="9"/>
  <c r="KU17" i="9" s="1"/>
  <c r="BM12" i="3"/>
  <c r="MQ17" i="9"/>
  <c r="J71" i="7"/>
  <c r="J34" i="3" s="1"/>
  <c r="MG15" i="9"/>
  <c r="MG17" i="9" s="1"/>
  <c r="OK11" i="9"/>
  <c r="OK9" i="9"/>
  <c r="OK16" i="9" s="1"/>
  <c r="ON11" i="9"/>
  <c r="ON9" i="9"/>
  <c r="ON16" i="9" s="1"/>
  <c r="KT15" i="9"/>
  <c r="KT17" i="9" s="1"/>
  <c r="M28" i="3"/>
  <c r="C25" i="2"/>
  <c r="BG23" i="3"/>
  <c r="BG22" i="3"/>
  <c r="BG20" i="3"/>
  <c r="BE18" i="3"/>
  <c r="AA30" i="6"/>
  <c r="LF15" i="9"/>
  <c r="LF17" i="9" s="1"/>
  <c r="NP11" i="9"/>
  <c r="NP9" i="9"/>
  <c r="NP16" i="9" s="1"/>
  <c r="F20" i="2"/>
  <c r="OC11" i="9"/>
  <c r="OC9" i="9"/>
  <c r="OC16" i="9" s="1"/>
  <c r="BV13" i="3"/>
  <c r="OT11" i="9"/>
  <c r="OT9" i="9"/>
  <c r="OT16" i="9" s="1"/>
  <c r="BR13" i="3"/>
  <c r="G10" i="2"/>
  <c r="NN14" i="9"/>
  <c r="NK13" i="9"/>
  <c r="NK15" i="9" s="1"/>
  <c r="NK17" i="9" s="1"/>
  <c r="F52" i="3"/>
  <c r="F43" i="3"/>
  <c r="F45" i="3" s="1"/>
  <c r="LW15" i="9"/>
  <c r="LW17" i="9" s="1"/>
  <c r="OA14" i="9"/>
  <c r="NX13" i="9"/>
  <c r="NX15" i="9" s="1"/>
  <c r="KZ15" i="9"/>
  <c r="BN12" i="3"/>
  <c r="BP11" i="3"/>
  <c r="M8" i="9"/>
  <c r="N7" i="9" s="1"/>
  <c r="M1" i="9"/>
  <c r="MN16" i="9"/>
  <c r="BV14" i="3" s="1"/>
  <c r="BV10" i="3"/>
  <c r="KZ16" i="9"/>
  <c r="BN14" i="3" s="1"/>
  <c r="BN10" i="3"/>
  <c r="AO56" i="3"/>
  <c r="MT11" i="9"/>
  <c r="MT9" i="9"/>
  <c r="MT16" i="9" s="1"/>
  <c r="NV11" i="9"/>
  <c r="NV9" i="9"/>
  <c r="NV16" i="9" s="1"/>
  <c r="AR25" i="3"/>
  <c r="PB14" i="9"/>
  <c r="OY13" i="9"/>
  <c r="PH12" i="9"/>
  <c r="PG12" i="9"/>
  <c r="PF10" i="9"/>
  <c r="PF12" i="9"/>
  <c r="PI10" i="9"/>
  <c r="PH10" i="9"/>
  <c r="PI12" i="9"/>
  <c r="PG10" i="9"/>
  <c r="PI3" i="9"/>
  <c r="RP4" i="9" s="1"/>
  <c r="NB11" i="9"/>
  <c r="NB9" i="9"/>
  <c r="NB16" i="9" s="1"/>
  <c r="J66" i="7"/>
  <c r="J64" i="7"/>
  <c r="BS13" i="3"/>
  <c r="NE11" i="9"/>
  <c r="NE9" i="9"/>
  <c r="NE16" i="9" s="1"/>
  <c r="OJ11" i="9"/>
  <c r="OJ9" i="9"/>
  <c r="OJ16" i="9" s="1"/>
  <c r="OM11" i="9"/>
  <c r="OM9" i="9"/>
  <c r="OM16" i="9" s="1"/>
  <c r="CV21" i="3"/>
  <c r="CW21" i="3" s="1"/>
  <c r="CX21" i="3" s="1"/>
  <c r="CY21" i="3" s="1"/>
  <c r="CZ21" i="3" s="1"/>
  <c r="DA21" i="3" s="1"/>
  <c r="DB21" i="3" s="1"/>
  <c r="DC21" i="3" s="1"/>
  <c r="DD21" i="3" s="1"/>
  <c r="DE21" i="3" s="1"/>
  <c r="DF21" i="3" s="1"/>
  <c r="NO11" i="9"/>
  <c r="NO9" i="9"/>
  <c r="NO16" i="9" s="1"/>
  <c r="OH14" i="9"/>
  <c r="OE13" i="9"/>
  <c r="NL11" i="9"/>
  <c r="NL9" i="9"/>
  <c r="NL16" i="9" s="1"/>
  <c r="NP14" i="9"/>
  <c r="NM13" i="9"/>
  <c r="LP17" i="9"/>
  <c r="NZ11" i="9"/>
  <c r="NZ9" i="9"/>
  <c r="NZ16" i="9" s="1"/>
  <c r="LJ16" i="9"/>
  <c r="BP14" i="3" s="1"/>
  <c r="BP10" i="3"/>
  <c r="MS11" i="9"/>
  <c r="BW11" i="3" s="1"/>
  <c r="MS9" i="9"/>
  <c r="NT11" i="9"/>
  <c r="NT9" i="9"/>
  <c r="NT16" i="9" s="1"/>
  <c r="PD14" i="9"/>
  <c r="PA13" i="9"/>
  <c r="I65" i="7"/>
  <c r="I67" i="7" s="1"/>
  <c r="I68" i="7" s="1"/>
  <c r="LG17" i="9"/>
  <c r="MM15" i="9"/>
  <c r="MM17" i="9" s="1"/>
  <c r="MC17" i="9"/>
  <c r="I58" i="7"/>
  <c r="I59" i="7" s="1"/>
  <c r="NF11" i="9"/>
  <c r="NF9" i="9"/>
  <c r="NF16" i="9" s="1"/>
  <c r="MH15" i="9"/>
  <c r="MH17" i="9" s="1"/>
  <c r="BP13" i="3"/>
  <c r="LY16" i="9"/>
  <c r="BS14" i="3" s="1"/>
  <c r="BS15" i="3" s="1"/>
  <c r="BS10" i="3"/>
  <c r="J57" i="7"/>
  <c r="J55" i="7"/>
  <c r="I29" i="7"/>
  <c r="LK15" i="9"/>
  <c r="LK17" i="9" s="1"/>
  <c r="NG11" i="9"/>
  <c r="NG9" i="9"/>
  <c r="NG16" i="9" s="1"/>
  <c r="BE22" i="3"/>
  <c r="BE20" i="3"/>
  <c r="BC18" i="3"/>
  <c r="BE23" i="3"/>
  <c r="OL14" i="9"/>
  <c r="OI13" i="9"/>
  <c r="OI15" i="9" s="1"/>
  <c r="IJ17" i="9"/>
  <c r="OO11" i="9"/>
  <c r="OO9" i="9"/>
  <c r="OO16" i="9" s="1"/>
  <c r="LY15" i="9"/>
  <c r="BS12" i="3"/>
  <c r="BB15" i="3"/>
  <c r="LX17" i="9"/>
  <c r="L17" i="2"/>
  <c r="KN17" i="9"/>
  <c r="LJ15" i="9"/>
  <c r="BP12" i="3"/>
  <c r="PX12" i="9"/>
  <c r="PW12" i="9"/>
  <c r="PU12" i="9"/>
  <c r="PT12" i="9"/>
  <c r="PV10" i="9"/>
  <c r="PU10" i="9"/>
  <c r="PT10" i="9"/>
  <c r="PV12" i="9"/>
  <c r="PX10" i="9"/>
  <c r="PW10" i="9"/>
  <c r="PX3" i="9"/>
  <c r="SE4" i="9" s="1"/>
  <c r="NQ11" i="9"/>
  <c r="NQ9" i="9"/>
  <c r="NQ16" i="9" s="1"/>
  <c r="G72" i="7"/>
  <c r="G41" i="7"/>
  <c r="OD11" i="9"/>
  <c r="OD9" i="9"/>
  <c r="OD16" i="9" s="1"/>
  <c r="AH28" i="3"/>
  <c r="MK15" i="9"/>
  <c r="MK17" i="9" s="1"/>
  <c r="OV13" i="9"/>
  <c r="OY14" i="9"/>
  <c r="NH11" i="9"/>
  <c r="NH9" i="9"/>
  <c r="LN15" i="9"/>
  <c r="LN17" i="9" s="1"/>
  <c r="LU15" i="9"/>
  <c r="LU17" i="9" s="1"/>
  <c r="QF12" i="9"/>
  <c r="QE12" i="9"/>
  <c r="QD10" i="9"/>
  <c r="QH12" i="9"/>
  <c r="QG12" i="9"/>
  <c r="QD12" i="9"/>
  <c r="QH10" i="9"/>
  <c r="QF10" i="9"/>
  <c r="QE10" i="9"/>
  <c r="QG10" i="9"/>
  <c r="QH3" i="9"/>
  <c r="SO4" i="9" s="1"/>
  <c r="OB14" i="9"/>
  <c r="NY13" i="9"/>
  <c r="AP25" i="3"/>
  <c r="KU16" i="9"/>
  <c r="BM14" i="3" s="1"/>
  <c r="BM10" i="3"/>
  <c r="AY23" i="3"/>
  <c r="AY22" i="3"/>
  <c r="AY20" i="3"/>
  <c r="AW18" i="3"/>
  <c r="AW25" i="3" s="1"/>
  <c r="AW27" i="3" s="1"/>
  <c r="G7" i="2"/>
  <c r="BV11" i="3"/>
  <c r="BN11" i="3"/>
  <c r="PE12" i="9"/>
  <c r="PD12" i="9"/>
  <c r="PC12" i="9"/>
  <c r="PB12" i="9"/>
  <c r="PE10" i="9"/>
  <c r="PA12" i="9"/>
  <c r="PD10" i="9"/>
  <c r="PC10" i="9"/>
  <c r="PB10" i="9"/>
  <c r="PA10" i="9"/>
  <c r="PE3" i="9"/>
  <c r="RL4" i="9" s="1"/>
  <c r="MT13" i="9"/>
  <c r="MT15" i="9" s="1"/>
  <c r="MW14" i="9"/>
  <c r="BW13" i="3" s="1"/>
  <c r="NV14" i="9"/>
  <c r="NS13" i="9"/>
  <c r="OV11" i="9"/>
  <c r="OV9" i="9"/>
  <c r="NB14" i="9"/>
  <c r="MY13" i="9"/>
  <c r="ND14" i="9"/>
  <c r="NA13" i="9"/>
  <c r="NA15" i="9" s="1"/>
  <c r="NA17" i="9" s="1"/>
  <c r="JH17" i="9"/>
  <c r="OF13" i="9"/>
  <c r="OI14" i="9"/>
  <c r="BD22" i="3"/>
  <c r="BD20" i="3"/>
  <c r="BD23" i="3"/>
  <c r="BB18" i="3"/>
  <c r="BB25" i="3" s="1"/>
  <c r="BT13" i="3"/>
  <c r="BM11" i="3"/>
  <c r="G12" i="2"/>
  <c r="MU11" i="9"/>
  <c r="MU9" i="9"/>
  <c r="MU16" i="9" s="1"/>
  <c r="MY14" i="9"/>
  <c r="MV13" i="9"/>
  <c r="MV15" i="9" s="1"/>
  <c r="NY14" i="9"/>
  <c r="NV13" i="9"/>
  <c r="NV15" i="9" s="1"/>
  <c r="OW11" i="9"/>
  <c r="OW9" i="9"/>
  <c r="OW16" i="9" s="1"/>
  <c r="MX11" i="9"/>
  <c r="MX9" i="9"/>
  <c r="NE14" i="9"/>
  <c r="NB13" i="9"/>
  <c r="NB15" i="9" s="1"/>
  <c r="NB17" i="9" s="1"/>
  <c r="MI16" i="9"/>
  <c r="BU14" i="3" s="1"/>
  <c r="BU10" i="3"/>
  <c r="BJ22" i="3"/>
  <c r="BJ20" i="3"/>
  <c r="BH18" i="3"/>
  <c r="BH25" i="3" s="1"/>
  <c r="BH27" i="3" s="1"/>
  <c r="BJ23" i="3"/>
  <c r="I40" i="7"/>
  <c r="I41" i="7" s="1"/>
  <c r="KR17" i="9"/>
  <c r="LT16" i="9"/>
  <c r="BR14" i="3" s="1"/>
  <c r="BR10" i="3"/>
  <c r="NJ14" i="9"/>
  <c r="NG13" i="9"/>
  <c r="AZ23" i="3"/>
  <c r="AZ22" i="3"/>
  <c r="AZ20" i="3"/>
  <c r="AX18" i="3"/>
  <c r="AX25" i="3" s="1"/>
  <c r="AX27" i="3" s="1"/>
  <c r="OG11" i="9"/>
  <c r="OG9" i="9"/>
  <c r="BU13" i="3"/>
  <c r="OP11" i="9"/>
  <c r="OP9" i="9"/>
  <c r="OP16" i="9" s="1"/>
  <c r="MD16" i="9"/>
  <c r="BT14" i="3" s="1"/>
  <c r="BT10" i="3"/>
  <c r="I47" i="7"/>
  <c r="BD18" i="3"/>
  <c r="BF23" i="3"/>
  <c r="BF20" i="3"/>
  <c r="BF22" i="3"/>
  <c r="NM11" i="9"/>
  <c r="NM9" i="9"/>
  <c r="NR13" i="9"/>
  <c r="NU14" i="9"/>
  <c r="LV15" i="9"/>
  <c r="LV17" i="9" s="1"/>
  <c r="OE11" i="9"/>
  <c r="OE9" i="9"/>
  <c r="OE16" i="9" s="1"/>
  <c r="OR11" i="9"/>
  <c r="OR9" i="9"/>
  <c r="OR16" i="9" s="1"/>
  <c r="OU14" i="9"/>
  <c r="OR13" i="9"/>
  <c r="NJ11" i="9"/>
  <c r="NJ9" i="9"/>
  <c r="NJ16" i="9" s="1"/>
  <c r="MD15" i="9"/>
  <c r="MD17" i="9" s="1"/>
  <c r="BT12" i="3"/>
  <c r="E23" i="2"/>
  <c r="E7" i="1" s="1"/>
  <c r="AA27" i="3"/>
  <c r="MO15" i="9"/>
  <c r="MO17" i="9" s="1"/>
  <c r="KB17" i="9"/>
  <c r="BI56" i="3" s="1"/>
  <c r="KO17" i="9"/>
  <c r="OD14" i="9"/>
  <c r="OA13" i="9"/>
  <c r="OA15" i="9" s="1"/>
  <c r="OA17" i="9" s="1"/>
  <c r="OE14" i="9"/>
  <c r="OB13" i="9"/>
  <c r="JR17" i="9"/>
  <c r="BG56" i="3" s="1"/>
  <c r="MA15" i="9"/>
  <c r="MA17" i="9" s="1"/>
  <c r="BL11" i="3"/>
  <c r="NA14" i="9"/>
  <c r="MX13" i="9"/>
  <c r="MZ14" i="9"/>
  <c r="MW13" i="9"/>
  <c r="MW15" i="9" s="1"/>
  <c r="LL15" i="9"/>
  <c r="LL17" i="9" s="1"/>
  <c r="NZ14" i="9"/>
  <c r="NW13" i="9"/>
  <c r="AC28" i="3"/>
  <c r="MR15" i="9"/>
  <c r="MR17" i="9" s="1"/>
  <c r="OX11" i="9"/>
  <c r="OX9" i="9"/>
  <c r="OX16" i="9" s="1"/>
  <c r="NC14" i="9"/>
  <c r="BY13" i="3" s="1"/>
  <c r="MZ13" i="9"/>
  <c r="MZ15" i="9" s="1"/>
  <c r="LT15" i="9"/>
  <c r="BR12" i="3"/>
  <c r="BU11" i="3"/>
  <c r="I31" i="7"/>
  <c r="I32" i="7" s="1"/>
  <c r="NI14" i="9"/>
  <c r="NF13" i="9"/>
  <c r="OO14" i="9"/>
  <c r="OL13" i="9"/>
  <c r="OP14" i="9"/>
  <c r="OM13" i="9"/>
  <c r="BB22" i="3"/>
  <c r="BB20" i="3"/>
  <c r="AZ18" i="3"/>
  <c r="BB23" i="3"/>
  <c r="C49" i="3"/>
  <c r="NI11" i="9"/>
  <c r="NI9" i="9"/>
  <c r="NI16" i="9" s="1"/>
  <c r="LO15" i="9"/>
  <c r="BQ12" i="3"/>
  <c r="K62" i="7"/>
  <c r="K53" i="7"/>
  <c r="K63" i="7"/>
  <c r="K54" i="7"/>
  <c r="K44" i="7"/>
  <c r="K35" i="7"/>
  <c r="K26" i="7"/>
  <c r="K45" i="7"/>
  <c r="K36" i="7"/>
  <c r="K27" i="7"/>
  <c r="K8" i="7"/>
  <c r="K13" i="7"/>
  <c r="K18" i="7"/>
  <c r="K9" i="7"/>
  <c r="K7" i="7"/>
  <c r="K12" i="7"/>
  <c r="K14" i="7"/>
  <c r="K17" i="7"/>
  <c r="KQ16" i="9"/>
  <c r="BL14" i="3" s="1"/>
  <c r="BL10" i="3"/>
  <c r="AU56" i="3"/>
  <c r="PM12" i="9"/>
  <c r="PL12" i="9"/>
  <c r="PN10" i="9"/>
  <c r="PM10" i="9"/>
  <c r="PL10" i="9"/>
  <c r="PN12" i="9"/>
  <c r="PK10" i="9"/>
  <c r="PK12" i="9"/>
  <c r="PJ10" i="9"/>
  <c r="PJ12" i="9"/>
  <c r="PN3" i="9"/>
  <c r="RU4" i="9" s="1"/>
  <c r="NH13" i="9"/>
  <c r="NK14" i="9"/>
  <c r="OH11" i="9"/>
  <c r="OH9" i="9"/>
  <c r="OH16" i="9" s="1"/>
  <c r="QV12" i="9"/>
  <c r="QU12" i="9"/>
  <c r="QS12" i="9"/>
  <c r="QT10" i="9"/>
  <c r="QS10" i="9"/>
  <c r="QW12" i="9"/>
  <c r="QT12" i="9"/>
  <c r="QW10" i="9"/>
  <c r="QV10" i="9"/>
  <c r="QU10" i="9"/>
  <c r="QW3" i="9"/>
  <c r="TD4" i="9" s="1"/>
  <c r="OQ14" i="9"/>
  <c r="ON13" i="9"/>
  <c r="ON15" i="9" s="1"/>
  <c r="ON17" i="9" s="1"/>
  <c r="BT15" i="3"/>
  <c r="AT25" i="3"/>
  <c r="AT27" i="3" s="1"/>
  <c r="I49" i="7"/>
  <c r="I50" i="7" s="1"/>
  <c r="MB15" i="9"/>
  <c r="MB17" i="9" s="1"/>
  <c r="NQ14" i="9"/>
  <c r="NN13" i="9"/>
  <c r="NN15" i="9" s="1"/>
  <c r="L3" i="6"/>
  <c r="E1" i="5"/>
  <c r="F8" i="2"/>
  <c r="F5" i="1"/>
  <c r="E66" i="4"/>
  <c r="E65" i="4"/>
  <c r="QM12" i="9"/>
  <c r="QK12" i="9"/>
  <c r="QJ12" i="9"/>
  <c r="QI12" i="9"/>
  <c r="QL10" i="9"/>
  <c r="QK10" i="9"/>
  <c r="QJ10" i="9"/>
  <c r="QI10" i="9"/>
  <c r="QL12" i="9"/>
  <c r="QM10" i="9"/>
  <c r="QM3" i="9"/>
  <c r="ST4" i="9" s="1"/>
  <c r="OF11" i="9"/>
  <c r="OF9" i="9"/>
  <c r="OF16" i="9" s="1"/>
  <c r="OS11" i="9"/>
  <c r="OS9" i="9"/>
  <c r="OS16" i="9" s="1"/>
  <c r="OV14" i="9"/>
  <c r="OS13" i="9"/>
  <c r="KP15" i="9"/>
  <c r="KP17" i="9" s="1"/>
  <c r="NL14" i="9"/>
  <c r="NI13" i="9"/>
  <c r="NI15" i="9" s="1"/>
  <c r="NI17" i="9" s="1"/>
  <c r="AM56" i="3"/>
  <c r="F13" i="2"/>
  <c r="NW11" i="9"/>
  <c r="NW9" i="9"/>
  <c r="LE16" i="9"/>
  <c r="BO14" i="3" s="1"/>
  <c r="BO10" i="3"/>
  <c r="AV25" i="3"/>
  <c r="AV27" i="3" s="1"/>
  <c r="MV11" i="9"/>
  <c r="MV9" i="9"/>
  <c r="MV16" i="9" s="1"/>
  <c r="QC12" i="9"/>
  <c r="QB12" i="9"/>
  <c r="QC10" i="9"/>
  <c r="QB10" i="9"/>
  <c r="QA10" i="9"/>
  <c r="QA12" i="9"/>
  <c r="PZ10" i="9"/>
  <c r="PY12" i="9"/>
  <c r="PY10" i="9"/>
  <c r="PZ12" i="9"/>
  <c r="QC3" i="9"/>
  <c r="SJ4" i="9" s="1"/>
  <c r="NR11" i="9"/>
  <c r="NR9" i="9"/>
  <c r="OZ14" i="9"/>
  <c r="OW13" i="9"/>
  <c r="MY9" i="9"/>
  <c r="MY16" i="9" s="1"/>
  <c r="MY11" i="9"/>
  <c r="J21" i="7"/>
  <c r="J19" i="7"/>
  <c r="NR14" i="9"/>
  <c r="NO13" i="9"/>
  <c r="NO15" i="9" s="1"/>
  <c r="NO17" i="9" s="1"/>
  <c r="OU11" i="9"/>
  <c r="OU9" i="9"/>
  <c r="OU16" i="9" s="1"/>
  <c r="BC56" i="3"/>
  <c r="NZ13" i="9"/>
  <c r="NZ15" i="9" s="1"/>
  <c r="NZ17" i="9" s="1"/>
  <c r="OC14" i="9"/>
  <c r="BD56" i="3"/>
  <c r="J76" i="7"/>
  <c r="AS56" i="3"/>
  <c r="AS27" i="3"/>
  <c r="H73" i="7"/>
  <c r="H36" i="3" s="1"/>
  <c r="J48" i="7"/>
  <c r="J46" i="7"/>
  <c r="ND11" i="9"/>
  <c r="ND9" i="9"/>
  <c r="ND16" i="9" s="1"/>
  <c r="OH13" i="9"/>
  <c r="OH15" i="9" s="1"/>
  <c r="OH17" i="9" s="1"/>
  <c r="OK14" i="9"/>
  <c r="OT14" i="9"/>
  <c r="OQ13" i="9"/>
  <c r="H74" i="7"/>
  <c r="LI15" i="9"/>
  <c r="LI17" i="9" s="1"/>
  <c r="ML17" i="9"/>
  <c r="BG18" i="3"/>
  <c r="BG25" i="3" s="1"/>
  <c r="BG27" i="3" s="1"/>
  <c r="BI23" i="3"/>
  <c r="BI22" i="3"/>
  <c r="BI20" i="3"/>
  <c r="E56" i="2"/>
  <c r="E6" i="1"/>
  <c r="E42" i="3"/>
  <c r="NN11" i="9"/>
  <c r="NN9" i="9"/>
  <c r="NN16" i="9" s="1"/>
  <c r="AK28" i="3"/>
  <c r="OG14" i="9"/>
  <c r="OD13" i="9"/>
  <c r="OJ14" i="9"/>
  <c r="OG13" i="9"/>
  <c r="AM25" i="3"/>
  <c r="AM27" i="3" s="1"/>
  <c r="F16" i="2"/>
  <c r="OW14" i="9"/>
  <c r="OT13" i="9"/>
  <c r="OT15" i="9" s="1"/>
  <c r="OT17" i="9" s="1"/>
  <c r="PP12" i="9"/>
  <c r="PO12" i="9"/>
  <c r="PS12" i="9"/>
  <c r="PR12" i="9"/>
  <c r="PQ12" i="9"/>
  <c r="PS10" i="9"/>
  <c r="PR10" i="9"/>
  <c r="PQ10" i="9"/>
  <c r="PP10" i="9"/>
  <c r="PS3" i="9"/>
  <c r="RZ4" i="9" s="1"/>
  <c r="PO10" i="9"/>
  <c r="NJ13" i="9"/>
  <c r="NM14" i="9"/>
  <c r="AR56" i="3"/>
  <c r="AR27" i="3"/>
  <c r="KL16" i="9"/>
  <c r="BK14" i="3" s="1"/>
  <c r="BK10" i="3"/>
  <c r="NX11" i="9"/>
  <c r="NX9" i="9"/>
  <c r="NX16" i="9" s="1"/>
  <c r="AJ28" i="3"/>
  <c r="MI15" i="9"/>
  <c r="MI17" i="9" s="1"/>
  <c r="BU12" i="3"/>
  <c r="AP56" i="3"/>
  <c r="AP27" i="3"/>
  <c r="AP28" i="3" s="1"/>
  <c r="IE17" i="9"/>
  <c r="BO11" i="3"/>
  <c r="BO15" i="3" s="1"/>
  <c r="BK12" i="3"/>
  <c r="MW11" i="9"/>
  <c r="MW9" i="9"/>
  <c r="MW16" i="9" s="1"/>
  <c r="NU11" i="9"/>
  <c r="NU9" i="9"/>
  <c r="NU16" i="9" s="1"/>
  <c r="NW14" i="9"/>
  <c r="NT13" i="9"/>
  <c r="NT15" i="9" s="1"/>
  <c r="NT17" i="9" s="1"/>
  <c r="RD12" i="9"/>
  <c r="RC12" i="9"/>
  <c r="RG10" i="9"/>
  <c r="RG12" i="9"/>
  <c r="RF10" i="9"/>
  <c r="RC10" i="9"/>
  <c r="RF12" i="9"/>
  <c r="RE12" i="9"/>
  <c r="RE10" i="9"/>
  <c r="RD10" i="9"/>
  <c r="RG3" i="9"/>
  <c r="TN4" i="9" s="1"/>
  <c r="OX13" i="9"/>
  <c r="PA14" i="9"/>
  <c r="NF14" i="9"/>
  <c r="NC13" i="9"/>
  <c r="MF17" i="9"/>
  <c r="MN15" i="9"/>
  <c r="BV12" i="3"/>
  <c r="NT14" i="9"/>
  <c r="NQ13" i="9"/>
  <c r="BR15" i="3"/>
  <c r="J28" i="7"/>
  <c r="J30" i="7"/>
  <c r="KQ15" i="9"/>
  <c r="BL12" i="3"/>
  <c r="KX17" i="9"/>
  <c r="BA15" i="3"/>
  <c r="AE28" i="3"/>
  <c r="LO16" i="9"/>
  <c r="BQ14" i="3" s="1"/>
  <c r="BQ10" i="3"/>
  <c r="H23" i="7"/>
  <c r="NG14" i="9"/>
  <c r="ND13" i="9"/>
  <c r="ND15" i="9" s="1"/>
  <c r="ND17" i="9" s="1"/>
  <c r="QN12" i="9"/>
  <c r="QR12" i="9"/>
  <c r="QR10" i="9"/>
  <c r="QQ10" i="9"/>
  <c r="QQ12" i="9"/>
  <c r="QP10" i="9"/>
  <c r="QO10" i="9"/>
  <c r="QP12" i="9"/>
  <c r="QN10" i="9"/>
  <c r="QO12" i="9"/>
  <c r="QR3" i="9"/>
  <c r="SY4" i="9" s="1"/>
  <c r="OR14" i="9"/>
  <c r="OO13" i="9"/>
  <c r="BE15" i="3"/>
  <c r="AZ15" i="3"/>
  <c r="BQ11" i="3"/>
  <c r="J37" i="7"/>
  <c r="J39" i="7"/>
  <c r="NC11" i="9"/>
  <c r="BY11" i="3" s="1"/>
  <c r="NC9" i="9"/>
  <c r="NH14" i="9"/>
  <c r="NE13" i="9"/>
  <c r="NE15" i="9" s="1"/>
  <c r="NE17" i="9" s="1"/>
  <c r="AY18" i="3"/>
  <c r="BA23" i="3"/>
  <c r="BA22" i="3"/>
  <c r="BA20" i="3"/>
  <c r="OI11" i="9"/>
  <c r="OI9" i="9"/>
  <c r="OI16" i="9" s="1"/>
  <c r="OM14" i="9"/>
  <c r="OJ13" i="9"/>
  <c r="OJ15" i="9" s="1"/>
  <c r="OL11" i="9"/>
  <c r="OL9" i="9"/>
  <c r="OP13" i="9"/>
  <c r="OP15" i="9" s="1"/>
  <c r="OS14" i="9"/>
  <c r="BO13" i="3"/>
  <c r="H11" i="2" s="1"/>
  <c r="J19" i="2"/>
  <c r="LC17" i="9"/>
  <c r="AO25" i="3"/>
  <c r="AO27" i="3" s="1"/>
  <c r="AD28" i="3"/>
  <c r="G73" i="7"/>
  <c r="G23" i="7"/>
  <c r="NP13" i="9"/>
  <c r="NP15" i="9" s="1"/>
  <c r="NP17" i="9" s="1"/>
  <c r="NS14" i="9"/>
  <c r="F18" i="2"/>
  <c r="OB11" i="9"/>
  <c r="OB9" i="9"/>
  <c r="OF14" i="9"/>
  <c r="OC13" i="9"/>
  <c r="OC15" i="9" s="1"/>
  <c r="OC17" i="9" s="1"/>
  <c r="OX14" i="9"/>
  <c r="OU13" i="9"/>
  <c r="OU15" i="9" s="1"/>
  <c r="OU17" i="9" s="1"/>
  <c r="KM17" i="9"/>
  <c r="NK11" i="9"/>
  <c r="NK9" i="9"/>
  <c r="NK16" i="9" s="1"/>
  <c r="NO14" i="9"/>
  <c r="NL13" i="9"/>
  <c r="NL15" i="9" s="1"/>
  <c r="NL17" i="9" s="1"/>
  <c r="ME15" i="9"/>
  <c r="ME17" i="9" s="1"/>
  <c r="AY15" i="3"/>
  <c r="G9" i="2"/>
  <c r="KG17" i="9"/>
  <c r="BJ56" i="3" s="1"/>
  <c r="BK11" i="3"/>
  <c r="NY11" i="9"/>
  <c r="NY9" i="9"/>
  <c r="NY16" i="9" s="1"/>
  <c r="L4" i="7"/>
  <c r="L41" i="3"/>
  <c r="L5" i="3"/>
  <c r="L6" i="3"/>
  <c r="L61" i="3" s="1"/>
  <c r="L31" i="3" s="1"/>
  <c r="L7" i="3"/>
  <c r="L59" i="3" s="1"/>
  <c r="L40" i="3" s="1"/>
  <c r="M4" i="3"/>
  <c r="LM15" i="9"/>
  <c r="LM17" i="9" s="1"/>
  <c r="AQ25" i="3"/>
  <c r="AQ27" i="3" s="1"/>
  <c r="KL17" i="9"/>
  <c r="MX14" i="9"/>
  <c r="BX13" i="3" s="1"/>
  <c r="MU13" i="9"/>
  <c r="MU15" i="9" s="1"/>
  <c r="MU17" i="9" s="1"/>
  <c r="LR15" i="9"/>
  <c r="LR17" i="9" s="1"/>
  <c r="NS11" i="9"/>
  <c r="NS9" i="9"/>
  <c r="NS16" i="9" s="1"/>
  <c r="NX14" i="9"/>
  <c r="NU13" i="9"/>
  <c r="NU15" i="9" s="1"/>
  <c r="I20" i="7"/>
  <c r="OY11" i="9"/>
  <c r="OY9" i="9"/>
  <c r="OY16" i="9" s="1"/>
  <c r="PC14" i="9"/>
  <c r="OZ13" i="9"/>
  <c r="MZ9" i="9"/>
  <c r="MZ16" i="9" s="1"/>
  <c r="MZ11" i="9"/>
  <c r="AU25" i="3"/>
  <c r="AU27" i="3" s="1"/>
  <c r="AO28" i="3" l="1"/>
  <c r="AU28" i="3"/>
  <c r="BG28" i="3"/>
  <c r="BH28" i="3"/>
  <c r="F25" i="2"/>
  <c r="F8" i="1" s="1"/>
  <c r="AM28" i="3"/>
  <c r="RD11" i="9"/>
  <c r="RD9" i="9"/>
  <c r="RD16" i="9" s="1"/>
  <c r="BO23" i="3"/>
  <c r="BO22" i="3"/>
  <c r="BO20" i="3"/>
  <c r="BM18" i="3"/>
  <c r="BM25" i="3" s="1"/>
  <c r="QM14" i="9"/>
  <c r="QJ13" i="9"/>
  <c r="PM11" i="9"/>
  <c r="PM9" i="9"/>
  <c r="PM16" i="9" s="1"/>
  <c r="J20" i="7"/>
  <c r="NW16" i="9"/>
  <c r="CC14" i="3" s="1"/>
  <c r="CC10" i="3"/>
  <c r="QL13" i="9"/>
  <c r="QO14" i="9"/>
  <c r="SZ12" i="9"/>
  <c r="TD12" i="9"/>
  <c r="TD10" i="9"/>
  <c r="TC10" i="9"/>
  <c r="TC12" i="9"/>
  <c r="TB10" i="9"/>
  <c r="TA10" i="9"/>
  <c r="TB12" i="9"/>
  <c r="TA12" i="9"/>
  <c r="SZ10" i="9"/>
  <c r="TD3" i="9"/>
  <c r="PP14" i="9"/>
  <c r="PM13" i="9"/>
  <c r="PM15" i="9" s="1"/>
  <c r="PM17" i="9" s="1"/>
  <c r="MX15" i="9"/>
  <c r="BX12" i="3"/>
  <c r="RL12" i="9"/>
  <c r="RK12" i="9"/>
  <c r="RI12" i="9"/>
  <c r="RH12" i="9"/>
  <c r="RJ10" i="9"/>
  <c r="RI10" i="9"/>
  <c r="RH10" i="9"/>
  <c r="RJ12" i="9"/>
  <c r="RL10" i="9"/>
  <c r="RL3" i="9"/>
  <c r="RK10" i="9"/>
  <c r="RC11" i="9"/>
  <c r="RC9" i="9"/>
  <c r="OG15" i="9"/>
  <c r="CE12" i="3"/>
  <c r="PY11" i="9"/>
  <c r="PY9" i="9"/>
  <c r="CH13" i="3"/>
  <c r="QI11" i="9"/>
  <c r="QI9" i="9"/>
  <c r="QV11" i="9"/>
  <c r="QV9" i="9"/>
  <c r="QV16" i="9" s="1"/>
  <c r="QZ14" i="9"/>
  <c r="QW13" i="9"/>
  <c r="PL13" i="9"/>
  <c r="PL15" i="9" s="1"/>
  <c r="PO14" i="9"/>
  <c r="LO17" i="9"/>
  <c r="BU15" i="3"/>
  <c r="BL15" i="3"/>
  <c r="CE11" i="3"/>
  <c r="OV16" i="9"/>
  <c r="CH14" i="3" s="1"/>
  <c r="CH10" i="3"/>
  <c r="PB11" i="9"/>
  <c r="PB9" i="9"/>
  <c r="PB16" i="9" s="1"/>
  <c r="PF13" i="9"/>
  <c r="PI14" i="9"/>
  <c r="BK18" i="3"/>
  <c r="BM23" i="3"/>
  <c r="BM20" i="3"/>
  <c r="BM22" i="3"/>
  <c r="QF11" i="9"/>
  <c r="QF9" i="9"/>
  <c r="QF16" i="9" s="1"/>
  <c r="PW11" i="9"/>
  <c r="PW9" i="9"/>
  <c r="PW16" i="9" s="1"/>
  <c r="QA14" i="9"/>
  <c r="PX13" i="9"/>
  <c r="BB56" i="3"/>
  <c r="BB27" i="3"/>
  <c r="BB28" i="3" s="1"/>
  <c r="RP12" i="9"/>
  <c r="RO12" i="9"/>
  <c r="RN12" i="9"/>
  <c r="RM12" i="9"/>
  <c r="RP10" i="9"/>
  <c r="RO10" i="9"/>
  <c r="RN10" i="9"/>
  <c r="RM10" i="9"/>
  <c r="RP3" i="9"/>
  <c r="PL14" i="9"/>
  <c r="PI13" i="9"/>
  <c r="PI15" i="9" s="1"/>
  <c r="PI17" i="9" s="1"/>
  <c r="N8" i="9"/>
  <c r="O7" i="9" s="1"/>
  <c r="N1" i="9"/>
  <c r="RB11" i="9"/>
  <c r="RB9" i="9"/>
  <c r="RB16" i="9" s="1"/>
  <c r="OQ15" i="9"/>
  <c r="CG12" i="3"/>
  <c r="QQ11" i="9"/>
  <c r="QQ9" i="9"/>
  <c r="QQ16" i="9" s="1"/>
  <c r="QC11" i="9"/>
  <c r="QC9" i="9"/>
  <c r="QC16" i="9" s="1"/>
  <c r="QM11" i="9"/>
  <c r="QM9" i="9"/>
  <c r="QM16" i="9" s="1"/>
  <c r="QT13" i="9"/>
  <c r="QT15" i="9" s="1"/>
  <c r="QW14" i="9"/>
  <c r="G20" i="2"/>
  <c r="AQ28" i="3"/>
  <c r="OB16" i="9"/>
  <c r="CD14" i="3" s="1"/>
  <c r="CD10" i="3"/>
  <c r="QS14" i="9"/>
  <c r="QP13" i="9"/>
  <c r="NJ15" i="9"/>
  <c r="NJ17" i="9" s="1"/>
  <c r="QG14" i="9"/>
  <c r="QD13" i="9"/>
  <c r="CD11" i="3"/>
  <c r="CF11" i="3"/>
  <c r="AY25" i="3"/>
  <c r="J38" i="7"/>
  <c r="QN11" i="9"/>
  <c r="CQ11" i="3" s="1"/>
  <c r="QN9" i="9"/>
  <c r="QR14" i="9"/>
  <c r="QO13" i="9"/>
  <c r="QO15" i="9" s="1"/>
  <c r="NQ15" i="9"/>
  <c r="NQ17" i="9" s="1"/>
  <c r="RF11" i="9"/>
  <c r="RF9" i="9"/>
  <c r="RF16" i="9" s="1"/>
  <c r="CC13" i="3"/>
  <c r="PO11" i="9"/>
  <c r="PO9" i="9"/>
  <c r="PT13" i="9"/>
  <c r="PW14" i="9"/>
  <c r="E52" i="3"/>
  <c r="E43" i="3"/>
  <c r="J39" i="3"/>
  <c r="QC14" i="9"/>
  <c r="PZ13" i="9"/>
  <c r="QJ11" i="9"/>
  <c r="QJ9" i="9"/>
  <c r="QJ16" i="9" s="1"/>
  <c r="QW11" i="9"/>
  <c r="QW9" i="9"/>
  <c r="QW16" i="9" s="1"/>
  <c r="PK11" i="9"/>
  <c r="PK9" i="9"/>
  <c r="PK16" i="9" s="1"/>
  <c r="K76" i="7"/>
  <c r="K39" i="3" s="1"/>
  <c r="OM15" i="9"/>
  <c r="OM17" i="9" s="1"/>
  <c r="NW15" i="9"/>
  <c r="CC12" i="3"/>
  <c r="OR15" i="9"/>
  <c r="OR17" i="9" s="1"/>
  <c r="NR15" i="9"/>
  <c r="CB12" i="3"/>
  <c r="AX28" i="3"/>
  <c r="OF15" i="9"/>
  <c r="OF17" i="9" s="1"/>
  <c r="CH11" i="3"/>
  <c r="PC11" i="9"/>
  <c r="PC9" i="9"/>
  <c r="PC16" i="9" s="1"/>
  <c r="BN15" i="3"/>
  <c r="QH11" i="9"/>
  <c r="QH9" i="9"/>
  <c r="QH16" i="9" s="1"/>
  <c r="PX11" i="9"/>
  <c r="PX9" i="9"/>
  <c r="PX16" i="9" s="1"/>
  <c r="QB14" i="9"/>
  <c r="PY13" i="9"/>
  <c r="BC25" i="3"/>
  <c r="BC27" i="3" s="1"/>
  <c r="J56" i="7"/>
  <c r="J58" i="7" s="1"/>
  <c r="J59" i="7" s="1"/>
  <c r="PG11" i="9"/>
  <c r="PG9" i="9"/>
  <c r="PG16" i="9" s="1"/>
  <c r="OY15" i="9"/>
  <c r="OY17" i="9" s="1"/>
  <c r="TH12" i="9"/>
  <c r="TG12" i="9"/>
  <c r="TE12" i="9"/>
  <c r="TF10" i="9"/>
  <c r="TE10" i="9"/>
  <c r="TI12" i="9"/>
  <c r="TF12" i="9"/>
  <c r="TI10" i="9"/>
  <c r="TH10" i="9"/>
  <c r="TG10" i="9"/>
  <c r="TI3" i="9"/>
  <c r="RC14" i="9"/>
  <c r="QZ13" i="9"/>
  <c r="QZ15" i="9" s="1"/>
  <c r="NC16" i="9"/>
  <c r="BY14" i="3" s="1"/>
  <c r="BY10" i="3"/>
  <c r="QA11" i="9"/>
  <c r="QA9" i="9"/>
  <c r="QA16" i="9" s="1"/>
  <c r="QS11" i="9"/>
  <c r="QS9" i="9"/>
  <c r="BO18" i="3"/>
  <c r="BO25" i="3" s="1"/>
  <c r="BO27" i="3" s="1"/>
  <c r="BQ20" i="3"/>
  <c r="BQ23" i="3"/>
  <c r="BQ22" i="3"/>
  <c r="PS11" i="9"/>
  <c r="PS9" i="9"/>
  <c r="PS16" i="9" s="1"/>
  <c r="NN17" i="9"/>
  <c r="PN14" i="9"/>
  <c r="PK13" i="9"/>
  <c r="AZ25" i="3"/>
  <c r="AZ27" i="3" s="1"/>
  <c r="AZ28" i="3" s="1"/>
  <c r="SY12" i="9"/>
  <c r="SW12" i="9"/>
  <c r="SV12" i="9"/>
  <c r="SU12" i="9"/>
  <c r="SX10" i="9"/>
  <c r="SW10" i="9"/>
  <c r="SV10" i="9"/>
  <c r="SU10" i="9"/>
  <c r="SX12" i="9"/>
  <c r="SY3" i="9"/>
  <c r="SY10" i="9"/>
  <c r="QR9" i="9"/>
  <c r="QR16" i="9" s="1"/>
  <c r="QR11" i="9"/>
  <c r="NU17" i="9"/>
  <c r="OL16" i="9"/>
  <c r="CF14" i="3" s="1"/>
  <c r="CF10" i="3"/>
  <c r="QV14" i="9"/>
  <c r="QS13" i="9"/>
  <c r="PV14" i="9"/>
  <c r="PS13" i="9"/>
  <c r="F56" i="2"/>
  <c r="F6" i="1"/>
  <c r="OZ15" i="9"/>
  <c r="OZ17" i="9" s="1"/>
  <c r="M4" i="7"/>
  <c r="M7" i="3"/>
  <c r="M59" i="3" s="1"/>
  <c r="M40" i="3" s="1"/>
  <c r="M41" i="3"/>
  <c r="M6" i="3"/>
  <c r="M61" i="3" s="1"/>
  <c r="M31" i="3" s="1"/>
  <c r="M5" i="3"/>
  <c r="N4" i="3"/>
  <c r="BK15" i="3"/>
  <c r="H9" i="2"/>
  <c r="OJ17" i="9"/>
  <c r="BQ15" i="3"/>
  <c r="QT14" i="9"/>
  <c r="QQ13" i="9"/>
  <c r="BA56" i="3"/>
  <c r="OX15" i="9"/>
  <c r="OX17" i="9" s="1"/>
  <c r="RK14" i="9"/>
  <c r="RH13" i="9"/>
  <c r="BK22" i="3"/>
  <c r="BK23" i="3"/>
  <c r="BK20" i="3"/>
  <c r="BI18" i="3"/>
  <c r="BI25" i="3" s="1"/>
  <c r="BI27" i="3" s="1"/>
  <c r="H7" i="2"/>
  <c r="RY12" i="9"/>
  <c r="RX12" i="9"/>
  <c r="RZ10" i="9"/>
  <c r="RY10" i="9"/>
  <c r="RX10" i="9"/>
  <c r="RZ12" i="9"/>
  <c r="RW10" i="9"/>
  <c r="RW12" i="9"/>
  <c r="RV10" i="9"/>
  <c r="RV12" i="9"/>
  <c r="RZ3" i="9"/>
  <c r="PS14" i="9"/>
  <c r="PP13" i="9"/>
  <c r="PP15" i="9" s="1"/>
  <c r="OD15" i="9"/>
  <c r="OD17" i="9" s="1"/>
  <c r="OW15" i="9"/>
  <c r="OW17" i="9" s="1"/>
  <c r="PZ11" i="9"/>
  <c r="PZ9" i="9"/>
  <c r="PZ16" i="9" s="1"/>
  <c r="QK11" i="9"/>
  <c r="QK9" i="9"/>
  <c r="QK16" i="9" s="1"/>
  <c r="AT28" i="3"/>
  <c r="QX14" i="9"/>
  <c r="QU13" i="9"/>
  <c r="QU15" i="9" s="1"/>
  <c r="PR14" i="9"/>
  <c r="PO13" i="9"/>
  <c r="K21" i="7"/>
  <c r="K19" i="7"/>
  <c r="LT17" i="9"/>
  <c r="BR56" i="3" s="1"/>
  <c r="E25" i="2"/>
  <c r="AA28" i="3"/>
  <c r="NM16" i="9"/>
  <c r="CA14" i="3" s="1"/>
  <c r="CA10" i="3"/>
  <c r="BT22" i="3"/>
  <c r="BT20" i="3"/>
  <c r="BT23" i="3"/>
  <c r="BR18" i="3"/>
  <c r="BR22" i="3"/>
  <c r="BR20" i="3"/>
  <c r="BP18" i="3"/>
  <c r="BR23" i="3"/>
  <c r="BU23" i="3"/>
  <c r="BU22" i="3"/>
  <c r="BS18" i="3"/>
  <c r="BU20" i="3"/>
  <c r="BM15" i="3"/>
  <c r="NS15" i="9"/>
  <c r="NS17" i="9" s="1"/>
  <c r="PD11" i="9"/>
  <c r="PD9" i="9"/>
  <c r="PD16" i="9" s="1"/>
  <c r="BV15" i="3"/>
  <c r="QH14" i="9"/>
  <c r="QE13" i="9"/>
  <c r="NH16" i="9"/>
  <c r="BZ14" i="3" s="1"/>
  <c r="BZ10" i="3"/>
  <c r="PZ14" i="9"/>
  <c r="PW13" i="9"/>
  <c r="LY17" i="9"/>
  <c r="BS56" i="3" s="1"/>
  <c r="NM15" i="9"/>
  <c r="NM17" i="9" s="1"/>
  <c r="CA12" i="3"/>
  <c r="K19" i="2"/>
  <c r="PM14" i="9"/>
  <c r="PJ13" i="9"/>
  <c r="BP15" i="3"/>
  <c r="BE25" i="3"/>
  <c r="BE27" i="3" s="1"/>
  <c r="OK15" i="9"/>
  <c r="OK17" i="9" s="1"/>
  <c r="RF14" i="9"/>
  <c r="RC13" i="9"/>
  <c r="RD14" i="9"/>
  <c r="RA13" i="9"/>
  <c r="RA15" i="9" s="1"/>
  <c r="NH15" i="9"/>
  <c r="NH17" i="9" s="1"/>
  <c r="BZ12" i="3"/>
  <c r="I75" i="7"/>
  <c r="BZ13" i="3"/>
  <c r="I11" i="2" s="1"/>
  <c r="AZ56" i="3"/>
  <c r="QO11" i="9"/>
  <c r="QO9" i="9"/>
  <c r="QO16" i="9" s="1"/>
  <c r="TM12" i="9"/>
  <c r="TN13" i="9" s="1"/>
  <c r="TL12" i="9"/>
  <c r="TM13" i="9" s="1"/>
  <c r="TK12" i="9"/>
  <c r="TL13" i="9" s="1"/>
  <c r="TN10" i="9"/>
  <c r="TJ12" i="9"/>
  <c r="TM10" i="9"/>
  <c r="TL10" i="9"/>
  <c r="TK10" i="9"/>
  <c r="TJ10" i="9"/>
  <c r="TN12" i="9"/>
  <c r="TN3" i="9"/>
  <c r="RG11" i="9"/>
  <c r="RG9" i="9"/>
  <c r="RG16" i="9" s="1"/>
  <c r="H12" i="2"/>
  <c r="PP11" i="9"/>
  <c r="PP9" i="9"/>
  <c r="PP16" i="9" s="1"/>
  <c r="PT14" i="9"/>
  <c r="PQ13" i="9"/>
  <c r="CE13" i="3"/>
  <c r="H37" i="3"/>
  <c r="J47" i="7"/>
  <c r="J49" i="7" s="1"/>
  <c r="J50" i="7" s="1"/>
  <c r="QE14" i="9"/>
  <c r="QB13" i="9"/>
  <c r="QB15" i="9" s="1"/>
  <c r="AV28" i="3"/>
  <c r="QL11" i="9"/>
  <c r="QL9" i="9"/>
  <c r="QL16" i="9" s="1"/>
  <c r="BT56" i="3"/>
  <c r="RA14" i="9"/>
  <c r="QX13" i="9"/>
  <c r="PL9" i="9"/>
  <c r="PL16" i="9" s="1"/>
  <c r="PL11" i="9"/>
  <c r="BL22" i="3"/>
  <c r="BL20" i="3"/>
  <c r="BL23" i="3"/>
  <c r="BJ18" i="3"/>
  <c r="BJ25" i="3" s="1"/>
  <c r="BJ27" i="3" s="1"/>
  <c r="K57" i="7"/>
  <c r="K55" i="7"/>
  <c r="D48" i="3"/>
  <c r="D49" i="3" s="1"/>
  <c r="C53" i="3"/>
  <c r="OL15" i="9"/>
  <c r="OL17" i="9" s="1"/>
  <c r="CF12" i="3"/>
  <c r="MZ17" i="9"/>
  <c r="OB15" i="9"/>
  <c r="OB17" i="9" s="1"/>
  <c r="CD12" i="3"/>
  <c r="CA11" i="3"/>
  <c r="NV17" i="9"/>
  <c r="PE14" i="9"/>
  <c r="CI13" i="3" s="1"/>
  <c r="PB13" i="9"/>
  <c r="PB15" i="9" s="1"/>
  <c r="PB17" i="9" s="1"/>
  <c r="O3" i="6"/>
  <c r="F1" i="5"/>
  <c r="G8" i="2"/>
  <c r="G5" i="1"/>
  <c r="F65" i="4"/>
  <c r="F66" i="4"/>
  <c r="NY15" i="9"/>
  <c r="NY17" i="9" s="1"/>
  <c r="QK14" i="9"/>
  <c r="QH13" i="9"/>
  <c r="BZ11" i="3"/>
  <c r="BZ15" i="3" s="1"/>
  <c r="PT11" i="9"/>
  <c r="PT9" i="9"/>
  <c r="LJ17" i="9"/>
  <c r="BS22" i="3"/>
  <c r="BS23" i="3"/>
  <c r="BS20" i="3"/>
  <c r="BQ18" i="3"/>
  <c r="BQ25" i="3" s="1"/>
  <c r="MS16" i="9"/>
  <c r="BW14" i="3" s="1"/>
  <c r="BW10" i="3"/>
  <c r="PH11" i="9"/>
  <c r="PH9" i="9"/>
  <c r="PH16" i="9" s="1"/>
  <c r="BL18" i="3"/>
  <c r="BL25" i="3" s="1"/>
  <c r="BN23" i="3"/>
  <c r="BN20" i="3"/>
  <c r="BN22" i="3"/>
  <c r="LE17" i="9"/>
  <c r="QX11" i="9"/>
  <c r="QX9" i="9"/>
  <c r="RB13" i="9"/>
  <c r="RB15" i="9" s="1"/>
  <c r="RB17" i="9" s="1"/>
  <c r="RE14" i="9"/>
  <c r="BE56" i="3"/>
  <c r="NR16" i="9"/>
  <c r="CB14" i="3" s="1"/>
  <c r="CB10" i="3"/>
  <c r="K66" i="7"/>
  <c r="K64" i="7"/>
  <c r="MW17" i="9"/>
  <c r="PE11" i="9"/>
  <c r="PE9" i="9"/>
  <c r="PE16" i="9" s="1"/>
  <c r="CD13" i="3"/>
  <c r="QL14" i="9"/>
  <c r="QI13" i="9"/>
  <c r="PU11" i="9"/>
  <c r="PU9" i="9"/>
  <c r="PU16" i="9" s="1"/>
  <c r="J65" i="7"/>
  <c r="PI11" i="9"/>
  <c r="PI9" i="9"/>
  <c r="PI16" i="9" s="1"/>
  <c r="KZ17" i="9"/>
  <c r="BW12" i="3"/>
  <c r="BW15" i="3" s="1"/>
  <c r="QY9" i="9"/>
  <c r="QY16" i="9" s="1"/>
  <c r="QY11" i="9"/>
  <c r="AW28" i="3"/>
  <c r="G77" i="7"/>
  <c r="G35" i="3"/>
  <c r="I9" i="2"/>
  <c r="AY56" i="3"/>
  <c r="AY27" i="3"/>
  <c r="AY28" i="3" s="1"/>
  <c r="G13" i="2"/>
  <c r="OO15" i="9"/>
  <c r="OO17" i="9" s="1"/>
  <c r="QU14" i="9"/>
  <c r="QR13" i="9"/>
  <c r="QR15" i="9" s="1"/>
  <c r="QR17" i="9" s="1"/>
  <c r="KQ17" i="9"/>
  <c r="MN17" i="9"/>
  <c r="RE11" i="9"/>
  <c r="RE9" i="9"/>
  <c r="RE16" i="9" s="1"/>
  <c r="RH14" i="9"/>
  <c r="RE13" i="9"/>
  <c r="RE15" i="9" s="1"/>
  <c r="RE17" i="9" s="1"/>
  <c r="AR28" i="3"/>
  <c r="PR11" i="9"/>
  <c r="PR9" i="9"/>
  <c r="PR16" i="9" s="1"/>
  <c r="CB13" i="3"/>
  <c r="CB11" i="3"/>
  <c r="QB11" i="9"/>
  <c r="QB9" i="9"/>
  <c r="QB16" i="9" s="1"/>
  <c r="SR12" i="9"/>
  <c r="SQ12" i="9"/>
  <c r="SP10" i="9"/>
  <c r="ST12" i="9"/>
  <c r="SS12" i="9"/>
  <c r="SP12" i="9"/>
  <c r="ST10" i="9"/>
  <c r="SR10" i="9"/>
  <c r="SQ10" i="9"/>
  <c r="SS10" i="9"/>
  <c r="ST3" i="9"/>
  <c r="QN14" i="9"/>
  <c r="QK13" i="9"/>
  <c r="QK15" i="9" s="1"/>
  <c r="QK17" i="9" s="1"/>
  <c r="L32" i="6"/>
  <c r="J3" i="6"/>
  <c r="L33" i="6"/>
  <c r="CG13" i="3"/>
  <c r="QT11" i="9"/>
  <c r="QT9" i="9"/>
  <c r="QT16" i="9" s="1"/>
  <c r="RT12" i="9"/>
  <c r="RS12" i="9"/>
  <c r="RQ12" i="9"/>
  <c r="RR10" i="9"/>
  <c r="RQ10" i="9"/>
  <c r="RR12" i="9"/>
  <c r="RU10" i="9"/>
  <c r="RT10" i="9"/>
  <c r="RU12" i="9"/>
  <c r="RS10" i="9"/>
  <c r="RU3" i="9"/>
  <c r="PN11" i="9"/>
  <c r="PN9" i="9"/>
  <c r="PN16" i="9" s="1"/>
  <c r="K71" i="7"/>
  <c r="K34" i="3" s="1"/>
  <c r="K30" i="7"/>
  <c r="K28" i="7"/>
  <c r="NF15" i="9"/>
  <c r="NF17" i="9" s="1"/>
  <c r="NG15" i="9"/>
  <c r="NG17" i="9" s="1"/>
  <c r="I72" i="7"/>
  <c r="MV17" i="9"/>
  <c r="MT17" i="9"/>
  <c r="PF14" i="9"/>
  <c r="PC13" i="9"/>
  <c r="PC15" i="9" s="1"/>
  <c r="G18" i="2"/>
  <c r="SO12" i="9"/>
  <c r="SN12" i="9"/>
  <c r="SO10" i="9"/>
  <c r="SN10" i="9"/>
  <c r="SM10" i="9"/>
  <c r="SM12" i="9"/>
  <c r="SL10" i="9"/>
  <c r="SK12" i="9"/>
  <c r="SK10" i="9"/>
  <c r="SL12" i="9"/>
  <c r="SO3" i="9"/>
  <c r="QD11" i="9"/>
  <c r="QD9" i="9"/>
  <c r="OV15" i="9"/>
  <c r="OV17" i="9" s="1"/>
  <c r="CH12" i="3"/>
  <c r="PV11" i="9"/>
  <c r="PV9" i="9"/>
  <c r="PV16" i="9" s="1"/>
  <c r="BP23" i="3"/>
  <c r="BP22" i="3"/>
  <c r="BP20" i="3"/>
  <c r="BN18" i="3"/>
  <c r="BN25" i="3" s="1"/>
  <c r="J67" i="7"/>
  <c r="J68" i="7" s="1"/>
  <c r="PJ14" i="9"/>
  <c r="PG13" i="9"/>
  <c r="PG15" i="9" s="1"/>
  <c r="PG17" i="9" s="1"/>
  <c r="BT18" i="3"/>
  <c r="BT25" i="3" s="1"/>
  <c r="BT27" i="3" s="1"/>
  <c r="BV23" i="3"/>
  <c r="BV22" i="3"/>
  <c r="BV20" i="3"/>
  <c r="MS17" i="9"/>
  <c r="QZ11" i="9"/>
  <c r="QZ9" i="9"/>
  <c r="QZ16" i="9" s="1"/>
  <c r="QP11" i="9"/>
  <c r="QP9" i="9"/>
  <c r="QP16" i="9" s="1"/>
  <c r="RG14" i="9"/>
  <c r="RD13" i="9"/>
  <c r="RD15" i="9" s="1"/>
  <c r="RD17" i="9" s="1"/>
  <c r="PQ11" i="9"/>
  <c r="PQ9" i="9"/>
  <c r="PQ16" i="9" s="1"/>
  <c r="RI14" i="9"/>
  <c r="RF13" i="9"/>
  <c r="RF15" i="9" s="1"/>
  <c r="RF17" i="9" s="1"/>
  <c r="K39" i="7"/>
  <c r="K37" i="7"/>
  <c r="MY15" i="9"/>
  <c r="MY17" i="9" s="1"/>
  <c r="PG14" i="9"/>
  <c r="PD13" i="9"/>
  <c r="PD15" i="9" s="1"/>
  <c r="QI14" i="9"/>
  <c r="CP13" i="3" s="1"/>
  <c r="QF13" i="9"/>
  <c r="PX14" i="9"/>
  <c r="PU13" i="9"/>
  <c r="OI17" i="9"/>
  <c r="OE15" i="9"/>
  <c r="OE17" i="9" s="1"/>
  <c r="PF11" i="9"/>
  <c r="CJ11" i="3" s="1"/>
  <c r="PF9" i="9"/>
  <c r="NX17" i="9"/>
  <c r="OQ16" i="9"/>
  <c r="CG14" i="3" s="1"/>
  <c r="CG10" i="3"/>
  <c r="BA25" i="3"/>
  <c r="BA27" i="3" s="1"/>
  <c r="RA11" i="9"/>
  <c r="RA9" i="9"/>
  <c r="RA16" i="9" s="1"/>
  <c r="H77" i="7"/>
  <c r="H35" i="3"/>
  <c r="H42" i="3" s="1"/>
  <c r="G36" i="3"/>
  <c r="H10" i="2"/>
  <c r="SJ12" i="9"/>
  <c r="SI12" i="9"/>
  <c r="SG12" i="9"/>
  <c r="SF12" i="9"/>
  <c r="SH10" i="9"/>
  <c r="SG10" i="9"/>
  <c r="SF10" i="9"/>
  <c r="SH12" i="9"/>
  <c r="SJ10" i="9"/>
  <c r="SI10" i="9"/>
  <c r="SJ3" i="9"/>
  <c r="MX16" i="9"/>
  <c r="BX14" i="3" s="1"/>
  <c r="BX10" i="3"/>
  <c r="QG11" i="9"/>
  <c r="QG9" i="9"/>
  <c r="QG16" i="9" s="1"/>
  <c r="L62" i="7"/>
  <c r="L63" i="7"/>
  <c r="L54" i="7"/>
  <c r="L44" i="7"/>
  <c r="L45" i="7"/>
  <c r="L36" i="7"/>
  <c r="L27" i="7"/>
  <c r="L53" i="7"/>
  <c r="L26" i="7"/>
  <c r="L13" i="7"/>
  <c r="L18" i="7"/>
  <c r="L9" i="7"/>
  <c r="L14" i="7"/>
  <c r="L12" i="7"/>
  <c r="L17" i="7"/>
  <c r="L7" i="7"/>
  <c r="L35" i="7"/>
  <c r="L8" i="7"/>
  <c r="OP17" i="9"/>
  <c r="J29" i="7"/>
  <c r="J31" i="7" s="1"/>
  <c r="J32" i="7" s="1"/>
  <c r="NC15" i="9"/>
  <c r="NC17" i="9" s="1"/>
  <c r="BY12" i="3"/>
  <c r="BY15" i="3" s="1"/>
  <c r="RJ14" i="9"/>
  <c r="RG13" i="9"/>
  <c r="RG15" i="9" s="1"/>
  <c r="RG17" i="9" s="1"/>
  <c r="I22" i="7"/>
  <c r="BO56" i="3"/>
  <c r="CA13" i="3"/>
  <c r="PU14" i="9"/>
  <c r="PR13" i="9"/>
  <c r="PR15" i="9" s="1"/>
  <c r="F23" i="2"/>
  <c r="F7" i="1" s="1"/>
  <c r="AS28" i="3"/>
  <c r="J22" i="7"/>
  <c r="J23" i="7" s="1"/>
  <c r="QD14" i="9"/>
  <c r="QA13" i="9"/>
  <c r="QA15" i="9" s="1"/>
  <c r="QF14" i="9"/>
  <c r="QC13" i="9"/>
  <c r="QC15" i="9" s="1"/>
  <c r="QC17" i="9" s="1"/>
  <c r="CC11" i="3"/>
  <c r="OS15" i="9"/>
  <c r="OS17" i="9" s="1"/>
  <c r="QP14" i="9"/>
  <c r="QM13" i="9"/>
  <c r="QM15" i="9" s="1"/>
  <c r="QM17" i="9" s="1"/>
  <c r="QQ14" i="9"/>
  <c r="QN13" i="9"/>
  <c r="QU11" i="9"/>
  <c r="QU9" i="9"/>
  <c r="QU16" i="9" s="1"/>
  <c r="QY14" i="9"/>
  <c r="QV13" i="9"/>
  <c r="QV15" i="9" s="1"/>
  <c r="QV17" i="9" s="1"/>
  <c r="PJ11" i="9"/>
  <c r="CK11" i="3" s="1"/>
  <c r="PJ9" i="9"/>
  <c r="PN13" i="9"/>
  <c r="PN15" i="9" s="1"/>
  <c r="PQ14" i="9"/>
  <c r="K48" i="7"/>
  <c r="K46" i="7"/>
  <c r="BD25" i="3"/>
  <c r="BD27" i="3" s="1"/>
  <c r="OG16" i="9"/>
  <c r="CE14" i="3" s="1"/>
  <c r="CE10" i="3"/>
  <c r="BX11" i="3"/>
  <c r="PA11" i="9"/>
  <c r="CI11" i="3" s="1"/>
  <c r="PA9" i="9"/>
  <c r="PH14" i="9"/>
  <c r="PE13" i="9"/>
  <c r="G21" i="2"/>
  <c r="QE11" i="9"/>
  <c r="QE9" i="9"/>
  <c r="QE16" i="9" s="1"/>
  <c r="QJ14" i="9"/>
  <c r="QG13" i="9"/>
  <c r="SB12" i="9"/>
  <c r="SA12" i="9"/>
  <c r="SE12" i="9"/>
  <c r="SD12" i="9"/>
  <c r="SC12" i="9"/>
  <c r="SE10" i="9"/>
  <c r="SD10" i="9"/>
  <c r="SC10" i="9"/>
  <c r="SB10" i="9"/>
  <c r="SA10" i="9"/>
  <c r="SE3" i="9"/>
  <c r="PV13" i="9"/>
  <c r="PV15" i="9" s="1"/>
  <c r="PV17" i="9" s="1"/>
  <c r="PY14" i="9"/>
  <c r="CN13" i="3" s="1"/>
  <c r="CF13" i="3"/>
  <c r="PA15" i="9"/>
  <c r="CI12" i="3"/>
  <c r="PK14" i="9"/>
  <c r="PH13" i="9"/>
  <c r="PH15" i="9" s="1"/>
  <c r="PH17" i="9" s="1"/>
  <c r="C8" i="1"/>
  <c r="C26" i="2"/>
  <c r="CG11" i="3"/>
  <c r="CG15" i="3" s="1"/>
  <c r="RB14" i="9"/>
  <c r="QY13" i="9"/>
  <c r="QY15" i="9" s="1"/>
  <c r="BF25" i="3"/>
  <c r="BF27" i="3" s="1"/>
  <c r="I74" i="7"/>
  <c r="I37" i="3" s="1"/>
  <c r="BT28" i="3" l="1"/>
  <c r="BY56" i="3"/>
  <c r="BW56" i="3"/>
  <c r="BA28" i="3"/>
  <c r="BE28" i="3"/>
  <c r="SH14" i="9"/>
  <c r="SE13" i="9"/>
  <c r="SE11" i="9"/>
  <c r="SE9" i="9"/>
  <c r="SE16" i="9" s="1"/>
  <c r="PJ16" i="9"/>
  <c r="CK14" i="3" s="1"/>
  <c r="CK10" i="3"/>
  <c r="SG14" i="9"/>
  <c r="SD13" i="9"/>
  <c r="SD15" i="9" s="1"/>
  <c r="I73" i="7"/>
  <c r="I23" i="7"/>
  <c r="L64" i="7"/>
  <c r="L66" i="7"/>
  <c r="SJ11" i="9"/>
  <c r="SJ9" i="9"/>
  <c r="SJ16" i="9" s="1"/>
  <c r="SN14" i="9"/>
  <c r="SK13" i="9"/>
  <c r="PU15" i="9"/>
  <c r="PU17" i="9" s="1"/>
  <c r="SK11" i="9"/>
  <c r="SK9" i="9"/>
  <c r="SS14" i="9"/>
  <c r="SP13" i="9"/>
  <c r="RY14" i="9"/>
  <c r="RV13" i="9"/>
  <c r="RX14" i="9"/>
  <c r="RU13" i="9"/>
  <c r="CQ13" i="3"/>
  <c r="SX14" i="9"/>
  <c r="SU13" i="9"/>
  <c r="TL11" i="9"/>
  <c r="TL9" i="9"/>
  <c r="TL16" i="9" s="1"/>
  <c r="BV56" i="3"/>
  <c r="RZ14" i="9"/>
  <c r="RW13" i="9"/>
  <c r="SB14" i="9"/>
  <c r="RY13" i="9"/>
  <c r="RY15" i="9" s="1"/>
  <c r="SX11" i="9"/>
  <c r="SX9" i="9"/>
  <c r="SX16" i="9" s="1"/>
  <c r="CR11" i="3"/>
  <c r="TG11" i="9"/>
  <c r="TG9" i="9"/>
  <c r="TG16" i="9" s="1"/>
  <c r="TK14" i="9"/>
  <c r="TH13" i="9"/>
  <c r="BN56" i="3"/>
  <c r="BN27" i="3"/>
  <c r="BN28" i="3" s="1"/>
  <c r="NR17" i="9"/>
  <c r="QN16" i="9"/>
  <c r="CQ14" i="3" s="1"/>
  <c r="CQ10" i="3"/>
  <c r="QD15" i="9"/>
  <c r="CO12" i="3"/>
  <c r="O8" i="9"/>
  <c r="P7" i="9" s="1"/>
  <c r="O1" i="9"/>
  <c r="RQ14" i="9"/>
  <c r="RN13" i="9"/>
  <c r="BK25" i="3"/>
  <c r="BL27" i="3"/>
  <c r="BL56" i="3"/>
  <c r="BL28" i="3"/>
  <c r="OG17" i="9"/>
  <c r="RH11" i="9"/>
  <c r="RH9" i="9"/>
  <c r="MX17" i="9"/>
  <c r="TB11" i="9"/>
  <c r="TB9" i="9"/>
  <c r="TB16" i="9" s="1"/>
  <c r="CA18" i="3"/>
  <c r="CC20" i="3"/>
  <c r="CC23" i="3"/>
  <c r="CC22" i="3"/>
  <c r="SL14" i="9"/>
  <c r="SI13" i="9"/>
  <c r="M62" i="7"/>
  <c r="M63" i="7"/>
  <c r="M54" i="7"/>
  <c r="M44" i="7"/>
  <c r="M35" i="7"/>
  <c r="M26" i="7"/>
  <c r="M53" i="7"/>
  <c r="M18" i="7"/>
  <c r="M45" i="7"/>
  <c r="M27" i="7"/>
  <c r="M9" i="7"/>
  <c r="M14" i="7"/>
  <c r="M7" i="7"/>
  <c r="M36" i="7"/>
  <c r="M17" i="7"/>
  <c r="M8" i="7"/>
  <c r="M12" i="7"/>
  <c r="M13" i="7"/>
  <c r="TH11" i="9"/>
  <c r="TH9" i="9"/>
  <c r="TH16" i="9" s="1"/>
  <c r="TL14" i="9"/>
  <c r="TL15" i="9" s="1"/>
  <c r="TL17" i="9" s="1"/>
  <c r="TI13" i="9"/>
  <c r="E45" i="3"/>
  <c r="RR14" i="9"/>
  <c r="RO13" i="9"/>
  <c r="BU56" i="3"/>
  <c r="RC16" i="9"/>
  <c r="CT14" i="3" s="1"/>
  <c r="CT10" i="3"/>
  <c r="RI11" i="9"/>
  <c r="RI9" i="9"/>
  <c r="RI16" i="9" s="1"/>
  <c r="TG14" i="9"/>
  <c r="TD13" i="9"/>
  <c r="SI14" i="9"/>
  <c r="SF13" i="9"/>
  <c r="PE15" i="9"/>
  <c r="PE17" i="9" s="1"/>
  <c r="K47" i="7"/>
  <c r="K49" i="7" s="1"/>
  <c r="K50" i="7" s="1"/>
  <c r="CC15" i="3"/>
  <c r="PR17" i="9"/>
  <c r="SF11" i="9"/>
  <c r="SF9" i="9"/>
  <c r="QF15" i="9"/>
  <c r="QF17" i="9" s="1"/>
  <c r="CK13" i="3"/>
  <c r="SL11" i="9"/>
  <c r="SL9" i="9"/>
  <c r="SL16" i="9" s="1"/>
  <c r="PC17" i="9"/>
  <c r="RU11" i="9"/>
  <c r="RU9" i="9"/>
  <c r="RU16" i="9" s="1"/>
  <c r="SS11" i="9"/>
  <c r="SS9" i="9"/>
  <c r="SS16" i="9" s="1"/>
  <c r="SU14" i="9"/>
  <c r="SR13" i="9"/>
  <c r="QX16" i="9"/>
  <c r="CS14" i="3" s="1"/>
  <c r="CS10" i="3"/>
  <c r="TN14" i="9"/>
  <c r="TK13" i="9"/>
  <c r="TK15" i="9" s="1"/>
  <c r="BP56" i="3"/>
  <c r="PW15" i="9"/>
  <c r="PW17" i="9" s="1"/>
  <c r="BP25" i="3"/>
  <c r="BP27" i="3" s="1"/>
  <c r="SA14" i="9"/>
  <c r="RX13" i="9"/>
  <c r="G1" i="5"/>
  <c r="R3" i="6"/>
  <c r="H8" i="2"/>
  <c r="H5" i="1"/>
  <c r="G65" i="4"/>
  <c r="G66" i="4"/>
  <c r="SY11" i="9"/>
  <c r="SY9" i="9"/>
  <c r="SY16" i="9" s="1"/>
  <c r="SZ14" i="9"/>
  <c r="SW13" i="9"/>
  <c r="TI11" i="9"/>
  <c r="TI9" i="9"/>
  <c r="TI16" i="9" s="1"/>
  <c r="PY15" i="9"/>
  <c r="CN12" i="3"/>
  <c r="J74" i="7"/>
  <c r="J37" i="3" s="1"/>
  <c r="RS14" i="9"/>
  <c r="RP13" i="9"/>
  <c r="PF15" i="9"/>
  <c r="CJ12" i="3"/>
  <c r="QI16" i="9"/>
  <c r="CP14" i="3" s="1"/>
  <c r="CP10" i="3"/>
  <c r="CT11" i="3"/>
  <c r="RJ11" i="9"/>
  <c r="RJ9" i="9"/>
  <c r="RJ16" i="9" s="1"/>
  <c r="TC9" i="9"/>
  <c r="TC16" i="9" s="1"/>
  <c r="TC11" i="9"/>
  <c r="K29" i="7"/>
  <c r="K31" i="7" s="1"/>
  <c r="K32" i="7" s="1"/>
  <c r="TM11" i="9"/>
  <c r="TM9" i="9"/>
  <c r="TM16" i="9" s="1"/>
  <c r="SY14" i="9"/>
  <c r="SV13" i="9"/>
  <c r="SV15" i="9" s="1"/>
  <c r="L28" i="7"/>
  <c r="L30" i="7"/>
  <c r="SG11" i="9"/>
  <c r="SG9" i="9"/>
  <c r="SG16" i="9" s="1"/>
  <c r="SQ14" i="9"/>
  <c r="SN13" i="9"/>
  <c r="SN15" i="9" s="1"/>
  <c r="SN17" i="9" s="1"/>
  <c r="CJ13" i="3"/>
  <c r="J11" i="2" s="1"/>
  <c r="RV14" i="9"/>
  <c r="RS13" i="9"/>
  <c r="SQ11" i="9"/>
  <c r="SQ9" i="9"/>
  <c r="SQ16" i="9" s="1"/>
  <c r="SV14" i="9"/>
  <c r="SS13" i="9"/>
  <c r="SS15" i="9" s="1"/>
  <c r="SS17" i="9" s="1"/>
  <c r="I10" i="2"/>
  <c r="QI15" i="9"/>
  <c r="QI17" i="9" s="1"/>
  <c r="CP12" i="3"/>
  <c r="CB22" i="3"/>
  <c r="CB20" i="3"/>
  <c r="CB23" i="3"/>
  <c r="BZ18" i="3"/>
  <c r="CS11" i="3"/>
  <c r="CS15" i="3" s="1"/>
  <c r="PT16" i="9"/>
  <c r="CM14" i="3" s="1"/>
  <c r="CM10" i="3"/>
  <c r="CA15" i="3"/>
  <c r="E48" i="3"/>
  <c r="D53" i="3"/>
  <c r="TN11" i="9"/>
  <c r="TN9" i="9"/>
  <c r="TN16" i="9" s="1"/>
  <c r="PJ15" i="9"/>
  <c r="PJ17" i="9" s="1"/>
  <c r="CK12" i="3"/>
  <c r="CK15" i="3" s="1"/>
  <c r="QU17" i="9"/>
  <c r="RW9" i="9"/>
  <c r="RW16" i="9" s="1"/>
  <c r="RW11" i="9"/>
  <c r="BI28" i="3"/>
  <c r="BK56" i="3"/>
  <c r="BK27" i="3"/>
  <c r="BK28" i="3"/>
  <c r="H13" i="2"/>
  <c r="QS15" i="9"/>
  <c r="CR12" i="3"/>
  <c r="SX13" i="9"/>
  <c r="SX15" i="9" s="1"/>
  <c r="SX17" i="9" s="1"/>
  <c r="TA14" i="9"/>
  <c r="BW18" i="3"/>
  <c r="BY20" i="3"/>
  <c r="BY23" i="3"/>
  <c r="BY22" i="3"/>
  <c r="TJ14" i="9"/>
  <c r="TG13" i="9"/>
  <c r="TG15" i="9" s="1"/>
  <c r="CH15" i="3"/>
  <c r="NW17" i="9"/>
  <c r="QP15" i="9"/>
  <c r="QP17" i="9" s="1"/>
  <c r="QT17" i="9"/>
  <c r="RT14" i="9"/>
  <c r="RQ13" i="9"/>
  <c r="CP11" i="3"/>
  <c r="J40" i="7"/>
  <c r="RL14" i="9"/>
  <c r="CU13" i="3" s="1"/>
  <c r="RI13" i="9"/>
  <c r="RI15" i="9" s="1"/>
  <c r="TD9" i="9"/>
  <c r="TD16" i="9" s="1"/>
  <c r="TD11" i="9"/>
  <c r="J75" i="7"/>
  <c r="J38" i="3" s="1"/>
  <c r="RT11" i="9"/>
  <c r="RT9" i="9"/>
  <c r="RT16" i="9" s="1"/>
  <c r="PO15" i="9"/>
  <c r="CL12" i="3"/>
  <c r="RV11" i="9"/>
  <c r="CX11" i="3" s="1"/>
  <c r="RV9" i="9"/>
  <c r="SF14" i="9"/>
  <c r="SC13" i="9"/>
  <c r="L37" i="7"/>
  <c r="L39" i="7"/>
  <c r="BX23" i="3"/>
  <c r="BX22" i="3"/>
  <c r="BX20" i="3"/>
  <c r="BV18" i="3"/>
  <c r="BV25" i="3" s="1"/>
  <c r="BV27" i="3" s="1"/>
  <c r="SH11" i="9"/>
  <c r="SH9" i="9"/>
  <c r="SH16" i="9" s="1"/>
  <c r="H52" i="3"/>
  <c r="H43" i="3"/>
  <c r="H45" i="3" s="1"/>
  <c r="PF16" i="9"/>
  <c r="CJ14" i="3" s="1"/>
  <c r="CJ15" i="3" s="1"/>
  <c r="CJ10" i="3"/>
  <c r="PD17" i="9"/>
  <c r="QD16" i="9"/>
  <c r="CO14" i="3" s="1"/>
  <c r="CO10" i="3"/>
  <c r="SM11" i="9"/>
  <c r="SM9" i="9"/>
  <c r="SM16" i="9" s="1"/>
  <c r="RQ11" i="9"/>
  <c r="RQ9" i="9"/>
  <c r="SR11" i="9"/>
  <c r="SR9" i="9"/>
  <c r="SR16" i="9" s="1"/>
  <c r="G42" i="3"/>
  <c r="BW23" i="3"/>
  <c r="BW22" i="3"/>
  <c r="BW20" i="3"/>
  <c r="BU18" i="3"/>
  <c r="BU25" i="3" s="1"/>
  <c r="BU27" i="3" s="1"/>
  <c r="I7" i="2"/>
  <c r="CM11" i="3"/>
  <c r="K56" i="7"/>
  <c r="K58" i="7" s="1"/>
  <c r="K59" i="7" s="1"/>
  <c r="RA17" i="9"/>
  <c r="BZ22" i="3"/>
  <c r="BZ20" i="3"/>
  <c r="BX18" i="3"/>
  <c r="BZ23" i="3"/>
  <c r="BM56" i="3"/>
  <c r="BM28" i="3"/>
  <c r="BM27" i="3"/>
  <c r="E8" i="1"/>
  <c r="E26" i="2"/>
  <c r="CS13" i="3"/>
  <c r="SD14" i="9"/>
  <c r="SA13" i="9"/>
  <c r="H18" i="2"/>
  <c r="N4" i="7"/>
  <c r="N41" i="3"/>
  <c r="C39" i="2" s="1"/>
  <c r="N5" i="3"/>
  <c r="N6" i="3"/>
  <c r="N61" i="3" s="1"/>
  <c r="N31" i="3" s="1"/>
  <c r="N7" i="3"/>
  <c r="N59" i="3" s="1"/>
  <c r="N40" i="3" s="1"/>
  <c r="C38" i="2" s="1"/>
  <c r="O4" i="3"/>
  <c r="F26" i="2"/>
  <c r="TB14" i="9"/>
  <c r="SY13" i="9"/>
  <c r="TC14" i="9"/>
  <c r="SZ13" i="9"/>
  <c r="TM14" i="9"/>
  <c r="TJ13" i="9"/>
  <c r="PZ15" i="9"/>
  <c r="PZ17" i="9" s="1"/>
  <c r="G16" i="2"/>
  <c r="CR13" i="3"/>
  <c r="OQ17" i="9"/>
  <c r="RM11" i="9"/>
  <c r="RM9" i="9"/>
  <c r="CL13" i="3"/>
  <c r="RK11" i="9"/>
  <c r="RK9" i="9"/>
  <c r="RK16" i="9" s="1"/>
  <c r="RM14" i="9"/>
  <c r="RJ13" i="9"/>
  <c r="RJ15" i="9" s="1"/>
  <c r="SZ11" i="9"/>
  <c r="SZ9" i="9"/>
  <c r="TH14" i="9"/>
  <c r="TE13" i="9"/>
  <c r="CE18" i="3"/>
  <c r="CG20" i="3"/>
  <c r="CG23" i="3"/>
  <c r="CG22" i="3"/>
  <c r="SO14" i="9"/>
  <c r="SL13" i="9"/>
  <c r="CA22" i="3"/>
  <c r="CA23" i="3"/>
  <c r="BY18" i="3"/>
  <c r="BY25" i="3" s="1"/>
  <c r="BY27" i="3" s="1"/>
  <c r="CA20" i="3"/>
  <c r="SA11" i="9"/>
  <c r="SA9" i="9"/>
  <c r="L71" i="7"/>
  <c r="L34" i="3" s="1"/>
  <c r="QY17" i="9"/>
  <c r="QG15" i="9"/>
  <c r="QG17" i="9" s="1"/>
  <c r="SJ14" i="9"/>
  <c r="SG13" i="9"/>
  <c r="SG15" i="9" s="1"/>
  <c r="SG17" i="9" s="1"/>
  <c r="CO11" i="3"/>
  <c r="SN11" i="9"/>
  <c r="SN9" i="9"/>
  <c r="SN16" i="9" s="1"/>
  <c r="RR11" i="9"/>
  <c r="RR9" i="9"/>
  <c r="RR16" i="9" s="1"/>
  <c r="ST11" i="9"/>
  <c r="ST9" i="9"/>
  <c r="ST16" i="9" s="1"/>
  <c r="G56" i="2"/>
  <c r="G6" i="1"/>
  <c r="I12" i="2"/>
  <c r="BZ56" i="3"/>
  <c r="QX15" i="9"/>
  <c r="CS12" i="3"/>
  <c r="PQ15" i="9"/>
  <c r="PQ17" i="9" s="1"/>
  <c r="TM15" i="9"/>
  <c r="L19" i="2"/>
  <c r="BR25" i="3"/>
  <c r="BR27" i="3" s="1"/>
  <c r="PP17" i="9"/>
  <c r="RX9" i="9"/>
  <c r="RX16" i="9" s="1"/>
  <c r="RX11" i="9"/>
  <c r="H21" i="2"/>
  <c r="QQ15" i="9"/>
  <c r="QQ17" i="9" s="1"/>
  <c r="CF23" i="3"/>
  <c r="CF22" i="3"/>
  <c r="CF20" i="3"/>
  <c r="CD18" i="3"/>
  <c r="SU11" i="9"/>
  <c r="SU9" i="9"/>
  <c r="QZ17" i="9"/>
  <c r="TE11" i="9"/>
  <c r="TE9" i="9"/>
  <c r="PT15" i="9"/>
  <c r="PT17" i="9" s="1"/>
  <c r="CM12" i="3"/>
  <c r="G23" i="2"/>
  <c r="G7" i="1" s="1"/>
  <c r="CB18" i="3"/>
  <c r="CD23" i="3"/>
  <c r="CD20" i="3"/>
  <c r="CD22" i="3"/>
  <c r="RN11" i="9"/>
  <c r="RN9" i="9"/>
  <c r="RN16" i="9" s="1"/>
  <c r="CH22" i="3"/>
  <c r="CH20" i="3"/>
  <c r="CF18" i="3"/>
  <c r="CH23" i="3"/>
  <c r="PL17" i="9"/>
  <c r="PY16" i="9"/>
  <c r="CN14" i="3" s="1"/>
  <c r="CN10" i="3"/>
  <c r="RO14" i="9"/>
  <c r="RL13" i="9"/>
  <c r="TE14" i="9"/>
  <c r="TB13" i="9"/>
  <c r="TB15" i="9" s="1"/>
  <c r="TD14" i="9"/>
  <c r="TA13" i="9"/>
  <c r="TA15" i="9" s="1"/>
  <c r="BD28" i="3"/>
  <c r="SP11" i="9"/>
  <c r="DB11" i="3" s="1"/>
  <c r="SP9" i="9"/>
  <c r="K65" i="7"/>
  <c r="K67" i="7" s="1"/>
  <c r="K68" i="7" s="1"/>
  <c r="RZ13" i="9"/>
  <c r="RZ15" i="9" s="1"/>
  <c r="SC14" i="9"/>
  <c r="BC28" i="3"/>
  <c r="SE14" i="9"/>
  <c r="SB13" i="9"/>
  <c r="SB15" i="9" s="1"/>
  <c r="BF28" i="3"/>
  <c r="SB11" i="9"/>
  <c r="SB9" i="9"/>
  <c r="SB16" i="9" s="1"/>
  <c r="PA16" i="9"/>
  <c r="CI14" i="3" s="1"/>
  <c r="CI10" i="3"/>
  <c r="SC11" i="9"/>
  <c r="SC9" i="9"/>
  <c r="SC16" i="9" s="1"/>
  <c r="QN15" i="9"/>
  <c r="QN17" i="9" s="1"/>
  <c r="CQ12" i="3"/>
  <c r="CQ15" i="3" s="1"/>
  <c r="QA17" i="9"/>
  <c r="L48" i="7"/>
  <c r="L46" i="7"/>
  <c r="SD11" i="9"/>
  <c r="SD9" i="9"/>
  <c r="SD16" i="9" s="1"/>
  <c r="BX15" i="3"/>
  <c r="PN17" i="9"/>
  <c r="CO13" i="3"/>
  <c r="BO28" i="3"/>
  <c r="L76" i="7"/>
  <c r="L39" i="3" s="1"/>
  <c r="SH13" i="9"/>
  <c r="SH15" i="9" s="1"/>
  <c r="SH17" i="9" s="1"/>
  <c r="SK14" i="9"/>
  <c r="SO11" i="9"/>
  <c r="SO9" i="9"/>
  <c r="SO16" i="9" s="1"/>
  <c r="I77" i="7"/>
  <c r="I35" i="3"/>
  <c r="RR13" i="9"/>
  <c r="RR15" i="9" s="1"/>
  <c r="RU14" i="9"/>
  <c r="ST14" i="9"/>
  <c r="SQ13" i="9"/>
  <c r="SQ15" i="9" s="1"/>
  <c r="CB15" i="3"/>
  <c r="G25" i="2"/>
  <c r="G8" i="1" s="1"/>
  <c r="QH15" i="9"/>
  <c r="QH17" i="9" s="1"/>
  <c r="QB17" i="9"/>
  <c r="CM13" i="3"/>
  <c r="TJ11" i="9"/>
  <c r="TJ9" i="9"/>
  <c r="TN15" i="9"/>
  <c r="TN17" i="9" s="1"/>
  <c r="RC15" i="9"/>
  <c r="CT12" i="3"/>
  <c r="QE15" i="9"/>
  <c r="QE17" i="9" s="1"/>
  <c r="BS25" i="3"/>
  <c r="BS27" i="3" s="1"/>
  <c r="RY11" i="9"/>
  <c r="RY9" i="9"/>
  <c r="RY16" i="9" s="1"/>
  <c r="H20" i="2"/>
  <c r="PS15" i="9"/>
  <c r="PS17" i="9" s="1"/>
  <c r="SV11" i="9"/>
  <c r="SV9" i="9"/>
  <c r="SV16" i="9" s="1"/>
  <c r="PK15" i="9"/>
  <c r="PK17" i="9" s="1"/>
  <c r="CT13" i="3"/>
  <c r="TF11" i="9"/>
  <c r="TF9" i="9"/>
  <c r="TF16" i="9" s="1"/>
  <c r="PO16" i="9"/>
  <c r="CL14" i="3" s="1"/>
  <c r="CL10" i="3"/>
  <c r="QO17" i="9"/>
  <c r="CF15" i="3"/>
  <c r="RO11" i="9"/>
  <c r="RO9" i="9"/>
  <c r="RO16" i="9" s="1"/>
  <c r="QW15" i="9"/>
  <c r="QW17" i="9" s="1"/>
  <c r="CN11" i="3"/>
  <c r="RL11" i="9"/>
  <c r="RL9" i="9"/>
  <c r="RL16" i="9" s="1"/>
  <c r="RP14" i="9"/>
  <c r="RM13" i="9"/>
  <c r="TF14" i="9"/>
  <c r="TC13" i="9"/>
  <c r="TC15" i="9" s="1"/>
  <c r="CG56" i="3"/>
  <c r="CE23" i="3"/>
  <c r="CE22" i="3"/>
  <c r="CE20" i="3"/>
  <c r="CC18" i="3"/>
  <c r="J73" i="7"/>
  <c r="J36" i="3" s="1"/>
  <c r="L19" i="7"/>
  <c r="L21" i="7"/>
  <c r="L55" i="7"/>
  <c r="L57" i="7"/>
  <c r="SI11" i="9"/>
  <c r="SI9" i="9"/>
  <c r="SI16" i="9" s="1"/>
  <c r="SM14" i="9"/>
  <c r="SJ13" i="9"/>
  <c r="K38" i="7"/>
  <c r="SP14" i="9"/>
  <c r="DB13" i="3" s="1"/>
  <c r="SM13" i="9"/>
  <c r="SM15" i="9" s="1"/>
  <c r="SR14" i="9"/>
  <c r="SO13" i="9"/>
  <c r="SO15" i="9" s="1"/>
  <c r="RS11" i="9"/>
  <c r="RS9" i="9"/>
  <c r="RS16" i="9" s="1"/>
  <c r="RW14" i="9"/>
  <c r="RT13" i="9"/>
  <c r="SW14" i="9"/>
  <c r="ST13" i="9"/>
  <c r="O32" i="6"/>
  <c r="O33" i="6"/>
  <c r="M3" i="6"/>
  <c r="BJ28" i="3"/>
  <c r="TK9" i="9"/>
  <c r="TK16" i="9" s="1"/>
  <c r="TK11" i="9"/>
  <c r="I38" i="3"/>
  <c r="K20" i="7"/>
  <c r="K22" i="7" s="1"/>
  <c r="RZ11" i="9"/>
  <c r="RZ9" i="9"/>
  <c r="RZ16" i="9" s="1"/>
  <c r="RH15" i="9"/>
  <c r="CU12" i="3"/>
  <c r="BQ56" i="3"/>
  <c r="BQ27" i="3"/>
  <c r="BQ28" i="3" s="1"/>
  <c r="SW11" i="9"/>
  <c r="SW9" i="9"/>
  <c r="SW16" i="9" s="1"/>
  <c r="QS16" i="9"/>
  <c r="CR14" i="3" s="1"/>
  <c r="CR10" i="3"/>
  <c r="TF13" i="9"/>
  <c r="TF15" i="9" s="1"/>
  <c r="TF17" i="9" s="1"/>
  <c r="TI14" i="9"/>
  <c r="CL11" i="3"/>
  <c r="CD15" i="3"/>
  <c r="RP11" i="9"/>
  <c r="RP9" i="9"/>
  <c r="RP16" i="9" s="1"/>
  <c r="PX15" i="9"/>
  <c r="PX17" i="9" s="1"/>
  <c r="CE15" i="3"/>
  <c r="RN14" i="9"/>
  <c r="RK13" i="9"/>
  <c r="RK15" i="9" s="1"/>
  <c r="TA11" i="9"/>
  <c r="TA9" i="9"/>
  <c r="TA16" i="9" s="1"/>
  <c r="QL15" i="9"/>
  <c r="QL17" i="9" s="1"/>
  <c r="QJ15" i="9"/>
  <c r="QJ17" i="9" s="1"/>
  <c r="M71" i="7" l="1"/>
  <c r="M34" i="3" s="1"/>
  <c r="K74" i="7"/>
  <c r="K37" i="3" s="1"/>
  <c r="K73" i="7"/>
  <c r="K36" i="3" s="1"/>
  <c r="K23" i="7"/>
  <c r="CQ56" i="3"/>
  <c r="BU28" i="3"/>
  <c r="BY28" i="3"/>
  <c r="CK56" i="3"/>
  <c r="BV28" i="3"/>
  <c r="L56" i="7"/>
  <c r="L58" i="7" s="1"/>
  <c r="L59" i="7" s="1"/>
  <c r="CL15" i="3"/>
  <c r="BR28" i="3"/>
  <c r="L29" i="7"/>
  <c r="RP15" i="9"/>
  <c r="RP17" i="9" s="1"/>
  <c r="DD13" i="3"/>
  <c r="RK17" i="9"/>
  <c r="ST15" i="9"/>
  <c r="ST17" i="9" s="1"/>
  <c r="SM17" i="9"/>
  <c r="CJ18" i="3"/>
  <c r="CL23" i="3"/>
  <c r="CL22" i="3"/>
  <c r="CL20" i="3"/>
  <c r="RC17" i="9"/>
  <c r="BX56" i="3"/>
  <c r="CI22" i="3"/>
  <c r="CI23" i="3"/>
  <c r="CI20" i="3"/>
  <c r="CG18" i="3"/>
  <c r="CG25" i="3" s="1"/>
  <c r="CG27" i="3" s="1"/>
  <c r="J7" i="2"/>
  <c r="CN23" i="3"/>
  <c r="CN22" i="3"/>
  <c r="CN20" i="3"/>
  <c r="CL18" i="3"/>
  <c r="TE15" i="9"/>
  <c r="TE17" i="9" s="1"/>
  <c r="DE12" i="3"/>
  <c r="C29" i="2"/>
  <c r="I18" i="2"/>
  <c r="CJ22" i="3"/>
  <c r="CJ20" i="3"/>
  <c r="CJ23" i="3"/>
  <c r="CH18" i="3"/>
  <c r="CH25" i="3" s="1"/>
  <c r="CH27" i="3" s="1"/>
  <c r="RV16" i="9"/>
  <c r="CX14" i="3" s="1"/>
  <c r="CX10" i="3"/>
  <c r="H25" i="2"/>
  <c r="H8" i="1" s="1"/>
  <c r="SV17" i="9"/>
  <c r="RX15" i="9"/>
  <c r="RX17" i="9" s="1"/>
  <c r="CR18" i="3"/>
  <c r="CT23" i="3"/>
  <c r="CT20" i="3"/>
  <c r="CT22" i="3"/>
  <c r="M21" i="7"/>
  <c r="M19" i="7"/>
  <c r="SI15" i="9"/>
  <c r="SI17" i="9" s="1"/>
  <c r="H23" i="2"/>
  <c r="SK16" i="9"/>
  <c r="DA14" i="3" s="1"/>
  <c r="DA10" i="3"/>
  <c r="CB56" i="3"/>
  <c r="TE16" i="9"/>
  <c r="DE14" i="3" s="1"/>
  <c r="DE10" i="3"/>
  <c r="CY13" i="3"/>
  <c r="SF16" i="9"/>
  <c r="CZ14" i="3" s="1"/>
  <c r="CZ10" i="3"/>
  <c r="SF15" i="9"/>
  <c r="SF17" i="9" s="1"/>
  <c r="CZ12" i="3"/>
  <c r="RH16" i="9"/>
  <c r="CU14" i="3" s="1"/>
  <c r="CU10" i="3"/>
  <c r="RN15" i="9"/>
  <c r="RN17" i="9" s="1"/>
  <c r="CR15" i="3"/>
  <c r="DA11" i="3"/>
  <c r="L65" i="7"/>
  <c r="L67" i="7" s="1"/>
  <c r="L68" i="7" s="1"/>
  <c r="CK23" i="3"/>
  <c r="CK22" i="3"/>
  <c r="CI18" i="3"/>
  <c r="CK20" i="3"/>
  <c r="CE56" i="3"/>
  <c r="CR22" i="3"/>
  <c r="CR20" i="3"/>
  <c r="CR23" i="3"/>
  <c r="CP18" i="3"/>
  <c r="RH17" i="9"/>
  <c r="RT15" i="9"/>
  <c r="RT17" i="9" s="1"/>
  <c r="CN15" i="3"/>
  <c r="TJ16" i="9"/>
  <c r="DF14" i="3" s="1"/>
  <c r="DF10" i="3"/>
  <c r="SQ17" i="9"/>
  <c r="DA13" i="3"/>
  <c r="TA17" i="9"/>
  <c r="DE11" i="3"/>
  <c r="TM17" i="9"/>
  <c r="SL15" i="9"/>
  <c r="SL17" i="9" s="1"/>
  <c r="SZ16" i="9"/>
  <c r="DD14" i="3" s="1"/>
  <c r="DD10" i="3"/>
  <c r="CV11" i="3"/>
  <c r="CV15" i="3" s="1"/>
  <c r="I21" i="2"/>
  <c r="CW11" i="3"/>
  <c r="CW15" i="3" s="1"/>
  <c r="RI17" i="9"/>
  <c r="BZ25" i="3"/>
  <c r="BZ27" i="3" s="1"/>
  <c r="CT15" i="3"/>
  <c r="CS22" i="3"/>
  <c r="CS20" i="3"/>
  <c r="CS23" i="3"/>
  <c r="CQ18" i="3"/>
  <c r="CZ11" i="3"/>
  <c r="CZ15" i="3" s="1"/>
  <c r="TI15" i="9"/>
  <c r="TI17" i="9" s="1"/>
  <c r="M39" i="7"/>
  <c r="M37" i="7"/>
  <c r="CU11" i="3"/>
  <c r="CW13" i="3"/>
  <c r="RU15" i="9"/>
  <c r="RU17" i="9" s="1"/>
  <c r="K40" i="7"/>
  <c r="RQ16" i="9"/>
  <c r="CW14" i="3" s="1"/>
  <c r="CW10" i="3"/>
  <c r="BW25" i="3"/>
  <c r="I16" i="2"/>
  <c r="L20" i="7"/>
  <c r="J9" i="2"/>
  <c r="DD11" i="3"/>
  <c r="J12" i="2"/>
  <c r="I20" i="2"/>
  <c r="PA17" i="9"/>
  <c r="SY15" i="9"/>
  <c r="SY17" i="9" s="1"/>
  <c r="N63" i="7"/>
  <c r="N54" i="7"/>
  <c r="N44" i="7"/>
  <c r="N45" i="7"/>
  <c r="N36" i="7"/>
  <c r="N27" i="7"/>
  <c r="N9" i="7"/>
  <c r="N14" i="7"/>
  <c r="N7" i="7"/>
  <c r="N35" i="7"/>
  <c r="N12" i="7"/>
  <c r="N62" i="7"/>
  <c r="N53" i="7"/>
  <c r="N8" i="7"/>
  <c r="N13" i="7"/>
  <c r="N18" i="7"/>
  <c r="N17" i="7"/>
  <c r="N26" i="7"/>
  <c r="PO17" i="9"/>
  <c r="CP22" i="3"/>
  <c r="CP20" i="3"/>
  <c r="CN18" i="3"/>
  <c r="CP23" i="3"/>
  <c r="SJ15" i="9"/>
  <c r="SJ17" i="9" s="1"/>
  <c r="TC17" i="9"/>
  <c r="CI15" i="3"/>
  <c r="TB17" i="9"/>
  <c r="CF25" i="3"/>
  <c r="SU16" i="9"/>
  <c r="DC14" i="3" s="1"/>
  <c r="DC10" i="3"/>
  <c r="SA16" i="9"/>
  <c r="CY14" i="3" s="1"/>
  <c r="CY10" i="3"/>
  <c r="RJ17" i="9"/>
  <c r="L38" i="7"/>
  <c r="J72" i="7"/>
  <c r="J41" i="7"/>
  <c r="TG17" i="9"/>
  <c r="TD15" i="9"/>
  <c r="TD17" i="9" s="1"/>
  <c r="P8" i="9"/>
  <c r="Q7" i="9" s="1"/>
  <c r="P1" i="9"/>
  <c r="RY17" i="9"/>
  <c r="RV15" i="9"/>
  <c r="RV17" i="9" s="1"/>
  <c r="CX12" i="3"/>
  <c r="CX15" i="3" s="1"/>
  <c r="SK15" i="9"/>
  <c r="DA12" i="3"/>
  <c r="RM16" i="9"/>
  <c r="CV14" i="3" s="1"/>
  <c r="CV10" i="3"/>
  <c r="DF11" i="3"/>
  <c r="RZ17" i="9"/>
  <c r="L40" i="7"/>
  <c r="L41" i="7" s="1"/>
  <c r="CH56" i="3"/>
  <c r="PY17" i="9"/>
  <c r="CC25" i="3"/>
  <c r="BS28" i="3"/>
  <c r="RR17" i="9"/>
  <c r="L47" i="7"/>
  <c r="L49" i="7" s="1"/>
  <c r="L50" i="7" s="1"/>
  <c r="DE13" i="3"/>
  <c r="K11" i="2" s="1"/>
  <c r="L11" i="2" s="1"/>
  <c r="CB25" i="3"/>
  <c r="CB27" i="3" s="1"/>
  <c r="DC11" i="3"/>
  <c r="QX17" i="9"/>
  <c r="CS56" i="3" s="1"/>
  <c r="G26" i="2"/>
  <c r="CO15" i="3"/>
  <c r="CY11" i="3"/>
  <c r="CV13" i="3"/>
  <c r="SA15" i="9"/>
  <c r="SA17" i="9" s="1"/>
  <c r="CY12" i="3"/>
  <c r="CM15" i="3"/>
  <c r="G52" i="3"/>
  <c r="G43" i="3"/>
  <c r="CM18" i="3"/>
  <c r="CO23" i="3"/>
  <c r="CO22" i="3"/>
  <c r="CO20" i="3"/>
  <c r="CP15" i="3"/>
  <c r="DF13" i="3"/>
  <c r="QS17" i="9"/>
  <c r="E49" i="3"/>
  <c r="RS15" i="9"/>
  <c r="RS17" i="9" s="1"/>
  <c r="BP28" i="3"/>
  <c r="SR15" i="9"/>
  <c r="SR17" i="9" s="1"/>
  <c r="CC27" i="3"/>
  <c r="CC28" i="3" s="1"/>
  <c r="CC56" i="3"/>
  <c r="RO15" i="9"/>
  <c r="RO17" i="9" s="1"/>
  <c r="M76" i="7"/>
  <c r="M39" i="3" s="1"/>
  <c r="M57" i="7"/>
  <c r="M55" i="7"/>
  <c r="CA25" i="3"/>
  <c r="TH15" i="9"/>
  <c r="TH17" i="9" s="1"/>
  <c r="I36" i="3"/>
  <c r="I42" i="3" s="1"/>
  <c r="SE15" i="9"/>
  <c r="SE17" i="9" s="1"/>
  <c r="SZ15" i="9"/>
  <c r="SZ17" i="9" s="1"/>
  <c r="DD12" i="3"/>
  <c r="CD56" i="3"/>
  <c r="K75" i="7"/>
  <c r="K38" i="3" s="1"/>
  <c r="SO17" i="9"/>
  <c r="RM15" i="9"/>
  <c r="RM17" i="9" s="1"/>
  <c r="CV12" i="3"/>
  <c r="K10" i="2" s="1"/>
  <c r="L10" i="2" s="1"/>
  <c r="CF56" i="3"/>
  <c r="CF27" i="3"/>
  <c r="CF28" i="3" s="1"/>
  <c r="SB17" i="9"/>
  <c r="SP16" i="9"/>
  <c r="DB14" i="3" s="1"/>
  <c r="DB10" i="3"/>
  <c r="RL15" i="9"/>
  <c r="RL17" i="9" s="1"/>
  <c r="CD25" i="3"/>
  <c r="CD27" i="3" s="1"/>
  <c r="O4" i="7"/>
  <c r="O41" i="3"/>
  <c r="O6" i="3"/>
  <c r="O61" i="3" s="1"/>
  <c r="O31" i="3" s="1"/>
  <c r="O7" i="3"/>
  <c r="O59" i="3" s="1"/>
  <c r="O40" i="3" s="1"/>
  <c r="O5" i="3"/>
  <c r="P4" i="3"/>
  <c r="BX25" i="3"/>
  <c r="BX27" i="3" s="1"/>
  <c r="U3" i="6"/>
  <c r="H1" i="5"/>
  <c r="I5" i="1"/>
  <c r="I8" i="2"/>
  <c r="H65" i="4"/>
  <c r="H66" i="4"/>
  <c r="SC15" i="9"/>
  <c r="SC17" i="9" s="1"/>
  <c r="RQ15" i="9"/>
  <c r="RQ17" i="9" s="1"/>
  <c r="CW12" i="3"/>
  <c r="H56" i="2"/>
  <c r="H6" i="1"/>
  <c r="CA56" i="3"/>
  <c r="CA27" i="3"/>
  <c r="CA28" i="3"/>
  <c r="CX13" i="3"/>
  <c r="L31" i="7"/>
  <c r="L32" i="7" s="1"/>
  <c r="PF17" i="9"/>
  <c r="CJ56" i="3" s="1"/>
  <c r="SW15" i="9"/>
  <c r="SW17" i="9" s="1"/>
  <c r="R33" i="6"/>
  <c r="P3" i="6"/>
  <c r="R32" i="6"/>
  <c r="DC13" i="3"/>
  <c r="M28" i="7"/>
  <c r="M30" i="7"/>
  <c r="M66" i="7"/>
  <c r="M64" i="7"/>
  <c r="QD17" i="9"/>
  <c r="RW15" i="9"/>
  <c r="RW17" i="9" s="1"/>
  <c r="SP15" i="9"/>
  <c r="SP17" i="9" s="1"/>
  <c r="DB12" i="3"/>
  <c r="DB15" i="3" s="1"/>
  <c r="J10" i="2"/>
  <c r="CE25" i="3"/>
  <c r="CE27" i="3" s="1"/>
  <c r="CE28" i="3" s="1"/>
  <c r="TJ15" i="9"/>
  <c r="TJ17" i="9" s="1"/>
  <c r="DF12" i="3"/>
  <c r="CZ13" i="3"/>
  <c r="CM23" i="3"/>
  <c r="CM22" i="3"/>
  <c r="CM20" i="3"/>
  <c r="CK18" i="3"/>
  <c r="CK25" i="3" s="1"/>
  <c r="CK27" i="3" s="1"/>
  <c r="CK28" i="3" s="1"/>
  <c r="TK17" i="9"/>
  <c r="M46" i="7"/>
  <c r="M48" i="7"/>
  <c r="H16" i="2"/>
  <c r="CQ22" i="3"/>
  <c r="CQ23" i="3"/>
  <c r="CO18" i="3"/>
  <c r="CQ20" i="3"/>
  <c r="SU15" i="9"/>
  <c r="SU17" i="9" s="1"/>
  <c r="DC12" i="3"/>
  <c r="SD17" i="9"/>
  <c r="I13" i="2"/>
  <c r="L75" i="7" l="1"/>
  <c r="L38" i="3" s="1"/>
  <c r="DB56" i="3"/>
  <c r="CH28" i="3"/>
  <c r="CX56" i="3"/>
  <c r="BX28" i="3"/>
  <c r="CB28" i="3"/>
  <c r="CD28" i="3"/>
  <c r="N48" i="7"/>
  <c r="N46" i="7"/>
  <c r="CZ56" i="3"/>
  <c r="CN56" i="3"/>
  <c r="M65" i="7"/>
  <c r="M67" i="7" s="1"/>
  <c r="M68" i="7" s="1"/>
  <c r="L74" i="7"/>
  <c r="L37" i="3" s="1"/>
  <c r="CI56" i="3"/>
  <c r="J13" i="2"/>
  <c r="CQ25" i="3"/>
  <c r="CQ27" i="3" s="1"/>
  <c r="L22" i="7"/>
  <c r="DA15" i="3"/>
  <c r="X3" i="6"/>
  <c r="I1" i="5"/>
  <c r="J5" i="1"/>
  <c r="J8" i="2"/>
  <c r="I65" i="4"/>
  <c r="I66" i="4"/>
  <c r="K72" i="7"/>
  <c r="K41" i="7"/>
  <c r="CW56" i="3"/>
  <c r="CM25" i="3"/>
  <c r="H26" i="2"/>
  <c r="I52" i="3"/>
  <c r="I43" i="3"/>
  <c r="I45" i="3" s="1"/>
  <c r="F48" i="3"/>
  <c r="F49" i="3" s="1"/>
  <c r="E53" i="3"/>
  <c r="CY15" i="3"/>
  <c r="CV23" i="3"/>
  <c r="CV22" i="3"/>
  <c r="CV20" i="3"/>
  <c r="CT18" i="3"/>
  <c r="CT25" i="3" s="1"/>
  <c r="DH10" i="3"/>
  <c r="DF18" i="3" s="1"/>
  <c r="Q8" i="9"/>
  <c r="R7" i="9" s="1"/>
  <c r="Q1" i="9"/>
  <c r="N57" i="7"/>
  <c r="N55" i="7"/>
  <c r="DE15" i="3"/>
  <c r="CR56" i="3"/>
  <c r="CZ22" i="3"/>
  <c r="CZ20" i="3"/>
  <c r="CZ23" i="3"/>
  <c r="CX18" i="3"/>
  <c r="CX22" i="3"/>
  <c r="CX20" i="3"/>
  <c r="CV18" i="3"/>
  <c r="CX23" i="3"/>
  <c r="C9" i="1"/>
  <c r="CG28" i="3"/>
  <c r="DD15" i="3"/>
  <c r="CO25" i="3"/>
  <c r="O63" i="7"/>
  <c r="O62" i="7"/>
  <c r="O54" i="7"/>
  <c r="O45" i="7"/>
  <c r="O53" i="7"/>
  <c r="O27" i="7"/>
  <c r="O14" i="7"/>
  <c r="O7" i="7"/>
  <c r="O35" i="7"/>
  <c r="O12" i="7"/>
  <c r="O17" i="7"/>
  <c r="O13" i="7"/>
  <c r="O26" i="7"/>
  <c r="O18" i="7"/>
  <c r="O9" i="7"/>
  <c r="O76" i="7" s="1"/>
  <c r="O39" i="3" s="1"/>
  <c r="O44" i="7"/>
  <c r="O8" i="7"/>
  <c r="O36" i="7"/>
  <c r="G45" i="3"/>
  <c r="CO56" i="3"/>
  <c r="CO27" i="3"/>
  <c r="CO28" i="3" s="1"/>
  <c r="CY22" i="3"/>
  <c r="CY23" i="3"/>
  <c r="CY20" i="3"/>
  <c r="CW18" i="3"/>
  <c r="N71" i="7"/>
  <c r="N34" i="3" s="1"/>
  <c r="N66" i="7"/>
  <c r="N64" i="7"/>
  <c r="CY18" i="3"/>
  <c r="CY25" i="3" s="1"/>
  <c r="DA23" i="3"/>
  <c r="DA22" i="3"/>
  <c r="DA20" i="3"/>
  <c r="J18" i="2"/>
  <c r="CL56" i="3"/>
  <c r="M56" i="7"/>
  <c r="M58" i="7" s="1"/>
  <c r="M59" i="7" s="1"/>
  <c r="N21" i="7"/>
  <c r="CI25" i="3"/>
  <c r="CP56" i="3"/>
  <c r="SK17" i="9"/>
  <c r="DC23" i="3"/>
  <c r="DC22" i="3"/>
  <c r="DC20" i="3"/>
  <c r="DA18" i="3"/>
  <c r="N76" i="7"/>
  <c r="N39" i="3" s="1"/>
  <c r="C37" i="2" s="1"/>
  <c r="I23" i="2"/>
  <c r="I7" i="1" s="1"/>
  <c r="BW27" i="3"/>
  <c r="M38" i="7"/>
  <c r="M40" i="7" s="1"/>
  <c r="CT56" i="3"/>
  <c r="CT27" i="3"/>
  <c r="DD23" i="3"/>
  <c r="DD22" i="3"/>
  <c r="DD20" i="3"/>
  <c r="DB18" i="3"/>
  <c r="K12" i="2"/>
  <c r="L12" i="2" s="1"/>
  <c r="DC18" i="3"/>
  <c r="DC25" i="3" s="1"/>
  <c r="DE23" i="3"/>
  <c r="DE22" i="3"/>
  <c r="DE20" i="3"/>
  <c r="H7" i="1"/>
  <c r="CR25" i="3"/>
  <c r="CR27" i="3" s="1"/>
  <c r="CL25" i="3"/>
  <c r="CL27" i="3" s="1"/>
  <c r="J20" i="2"/>
  <c r="CJ25" i="3"/>
  <c r="CJ27" i="3" s="1"/>
  <c r="M47" i="7"/>
  <c r="M49" i="7" s="1"/>
  <c r="M50" i="7" s="1"/>
  <c r="CU15" i="3"/>
  <c r="K9" i="2"/>
  <c r="L9" i="2" s="1"/>
  <c r="CP25" i="3"/>
  <c r="CP27" i="3" s="1"/>
  <c r="CP28" i="3" s="1"/>
  <c r="P4" i="7"/>
  <c r="P41" i="3"/>
  <c r="P6" i="3"/>
  <c r="P61" i="3" s="1"/>
  <c r="P31" i="3" s="1"/>
  <c r="P7" i="3"/>
  <c r="P59" i="3" s="1"/>
  <c r="P40" i="3" s="1"/>
  <c r="P5" i="3"/>
  <c r="Q4" i="3"/>
  <c r="CZ18" i="3"/>
  <c r="DB23" i="3"/>
  <c r="DB22" i="3"/>
  <c r="DB20" i="3"/>
  <c r="CM56" i="3"/>
  <c r="CM27" i="3"/>
  <c r="DC15" i="3"/>
  <c r="DF15" i="3"/>
  <c r="CN25" i="3"/>
  <c r="CN27" i="3" s="1"/>
  <c r="N30" i="7"/>
  <c r="N28" i="7"/>
  <c r="CU18" i="3"/>
  <c r="CW20" i="3"/>
  <c r="CW22" i="3"/>
  <c r="CW23" i="3"/>
  <c r="BZ28" i="3"/>
  <c r="DF22" i="3"/>
  <c r="DF20" i="3"/>
  <c r="DD18" i="3"/>
  <c r="DD25" i="3" s="1"/>
  <c r="DF23" i="3"/>
  <c r="M29" i="7"/>
  <c r="M31" i="7" s="1"/>
  <c r="M32" i="7" s="1"/>
  <c r="U33" i="6"/>
  <c r="S3" i="6"/>
  <c r="U32" i="6"/>
  <c r="L72" i="7"/>
  <c r="CV56" i="3"/>
  <c r="CU23" i="3"/>
  <c r="CU22" i="3"/>
  <c r="CU20" i="3"/>
  <c r="DG10" i="3"/>
  <c r="DE18" i="3" s="1"/>
  <c r="CS18" i="3"/>
  <c r="CS25" i="3" s="1"/>
  <c r="CS27" i="3" s="1"/>
  <c r="K7" i="2"/>
  <c r="J21" i="2"/>
  <c r="I56" i="2"/>
  <c r="I6" i="1"/>
  <c r="J77" i="7"/>
  <c r="J35" i="3"/>
  <c r="J42" i="3" s="1"/>
  <c r="N39" i="7"/>
  <c r="M20" i="7"/>
  <c r="M75" i="7" l="1"/>
  <c r="M38" i="3" s="1"/>
  <c r="CN28" i="3"/>
  <c r="CR28" i="3"/>
  <c r="J1" i="5"/>
  <c r="AA3" i="6"/>
  <c r="K5" i="1"/>
  <c r="K8" i="2"/>
  <c r="J65" i="4"/>
  <c r="L7" i="2"/>
  <c r="L5" i="1" s="1"/>
  <c r="J66" i="4"/>
  <c r="DA56" i="3"/>
  <c r="C32" i="2"/>
  <c r="DE56" i="3"/>
  <c r="J6" i="1"/>
  <c r="J56" i="2"/>
  <c r="N47" i="7"/>
  <c r="N49" i="7" s="1"/>
  <c r="N50" i="7" s="1"/>
  <c r="K21" i="2"/>
  <c r="L21" i="2" s="1"/>
  <c r="M72" i="7"/>
  <c r="P63" i="7"/>
  <c r="P54" i="7"/>
  <c r="P62" i="7"/>
  <c r="P45" i="7"/>
  <c r="P36" i="7"/>
  <c r="P27" i="7"/>
  <c r="P53" i="7"/>
  <c r="P44" i="7"/>
  <c r="P35" i="7"/>
  <c r="P26" i="7"/>
  <c r="P7" i="7"/>
  <c r="P12" i="7"/>
  <c r="P17" i="7"/>
  <c r="P8" i="7"/>
  <c r="P18" i="7"/>
  <c r="P9" i="7"/>
  <c r="P13" i="7"/>
  <c r="P14" i="7"/>
  <c r="M74" i="7"/>
  <c r="M37" i="3" s="1"/>
  <c r="CW25" i="3"/>
  <c r="CW27" i="3" s="1"/>
  <c r="O48" i="7"/>
  <c r="O46" i="7"/>
  <c r="CX25" i="3"/>
  <c r="CX27" i="3" s="1"/>
  <c r="N56" i="7"/>
  <c r="N58" i="7" s="1"/>
  <c r="N59" i="7" s="1"/>
  <c r="M22" i="7"/>
  <c r="R1" i="9"/>
  <c r="R8" i="9"/>
  <c r="S7" i="9" s="1"/>
  <c r="CU25" i="3"/>
  <c r="K16" i="2"/>
  <c r="L16" i="2" s="1"/>
  <c r="N68" i="7"/>
  <c r="N65" i="7"/>
  <c r="L73" i="7"/>
  <c r="L77" i="7" s="1"/>
  <c r="L23" i="7"/>
  <c r="K20" i="2"/>
  <c r="L20" i="2" s="1"/>
  <c r="J23" i="2"/>
  <c r="J7" i="1" s="1"/>
  <c r="DF56" i="3"/>
  <c r="DF27" i="3"/>
  <c r="DF28" i="3" s="1"/>
  <c r="DB25" i="3"/>
  <c r="DB27" i="3" s="1"/>
  <c r="M41" i="7"/>
  <c r="N37" i="7" s="1"/>
  <c r="O71" i="7"/>
  <c r="O34" i="3" s="1"/>
  <c r="O55" i="7"/>
  <c r="O57" i="7"/>
  <c r="CY56" i="3"/>
  <c r="CY27" i="3"/>
  <c r="CY28" i="3"/>
  <c r="CI27" i="3"/>
  <c r="Q4" i="7"/>
  <c r="Q6" i="3"/>
  <c r="Q61" i="3" s="1"/>
  <c r="Q31" i="3" s="1"/>
  <c r="Q41" i="3"/>
  <c r="R4" i="3"/>
  <c r="Q5" i="3"/>
  <c r="Q7" i="3"/>
  <c r="Q59" i="3" s="1"/>
  <c r="Q40" i="3" s="1"/>
  <c r="J52" i="3"/>
  <c r="J43" i="3"/>
  <c r="DC56" i="3"/>
  <c r="DC27" i="3"/>
  <c r="DC28" i="3" s="1"/>
  <c r="CZ25" i="3"/>
  <c r="CZ27" i="3" s="1"/>
  <c r="I25" i="2"/>
  <c r="BW28" i="3"/>
  <c r="O39" i="7"/>
  <c r="X32" i="6"/>
  <c r="V3" i="6"/>
  <c r="X33" i="6"/>
  <c r="O66" i="7"/>
  <c r="O64" i="7"/>
  <c r="CS28" i="3"/>
  <c r="K77" i="7"/>
  <c r="K35" i="3"/>
  <c r="K42" i="3" s="1"/>
  <c r="DE25" i="3"/>
  <c r="DE27" i="3" s="1"/>
  <c r="N29" i="7"/>
  <c r="N31" i="7" s="1"/>
  <c r="N32" i="7" s="1"/>
  <c r="N67" i="7"/>
  <c r="CV25" i="3"/>
  <c r="CV27" i="3" s="1"/>
  <c r="G48" i="3"/>
  <c r="G49" i="3" s="1"/>
  <c r="F53" i="3"/>
  <c r="CQ28" i="3"/>
  <c r="CU56" i="3"/>
  <c r="CU27" i="3"/>
  <c r="CU28" i="3" s="1"/>
  <c r="K13" i="2"/>
  <c r="L35" i="3"/>
  <c r="CM28" i="3"/>
  <c r="DF25" i="3"/>
  <c r="K18" i="2"/>
  <c r="L18" i="2" s="1"/>
  <c r="CJ28" i="3"/>
  <c r="CT28" i="3"/>
  <c r="DA25" i="3"/>
  <c r="DA27" i="3" s="1"/>
  <c r="J16" i="2"/>
  <c r="CL28" i="3"/>
  <c r="O21" i="7"/>
  <c r="O30" i="7"/>
  <c r="O28" i="7"/>
  <c r="DD56" i="3"/>
  <c r="DD27" i="3"/>
  <c r="DD28" i="3" s="1"/>
  <c r="DA28" i="3" l="1"/>
  <c r="DE28" i="3"/>
  <c r="O29" i="7"/>
  <c r="O31" i="7" s="1"/>
  <c r="O32" i="7" s="1"/>
  <c r="CX28" i="3"/>
  <c r="P66" i="7"/>
  <c r="P64" i="7"/>
  <c r="O65" i="7"/>
  <c r="O67" i="7" s="1"/>
  <c r="O68" i="7" s="1"/>
  <c r="O56" i="7"/>
  <c r="O58" i="7" s="1"/>
  <c r="O59" i="7" s="1"/>
  <c r="J45" i="3"/>
  <c r="Q63" i="7"/>
  <c r="Q54" i="7"/>
  <c r="Q45" i="7"/>
  <c r="Q53" i="7"/>
  <c r="Q62" i="7"/>
  <c r="Q44" i="7"/>
  <c r="Q35" i="7"/>
  <c r="Q26" i="7"/>
  <c r="Q12" i="7"/>
  <c r="Q17" i="7"/>
  <c r="Q8" i="7"/>
  <c r="Q36" i="7"/>
  <c r="Q13" i="7"/>
  <c r="Q9" i="7"/>
  <c r="Q76" i="7" s="1"/>
  <c r="Q39" i="3" s="1"/>
  <c r="Q14" i="7"/>
  <c r="Q18" i="7"/>
  <c r="Q27" i="7"/>
  <c r="Q7" i="7"/>
  <c r="K23" i="2"/>
  <c r="O47" i="7"/>
  <c r="P76" i="7"/>
  <c r="P39" i="3" s="1"/>
  <c r="M77" i="7"/>
  <c r="M35" i="3"/>
  <c r="P21" i="7"/>
  <c r="P28" i="7"/>
  <c r="P30" i="7"/>
  <c r="C11" i="1"/>
  <c r="S1" i="9"/>
  <c r="S8" i="9"/>
  <c r="T7" i="9" s="1"/>
  <c r="K52" i="3"/>
  <c r="K43" i="3"/>
  <c r="K45" i="3" s="1"/>
  <c r="N38" i="7"/>
  <c r="DB28" i="3"/>
  <c r="L36" i="3"/>
  <c r="L42" i="3" s="1"/>
  <c r="P71" i="7"/>
  <c r="P34" i="3" s="1"/>
  <c r="P39" i="7"/>
  <c r="H48" i="3"/>
  <c r="H49" i="3" s="1"/>
  <c r="G53" i="3"/>
  <c r="J25" i="2"/>
  <c r="CI28" i="3"/>
  <c r="K25" i="2"/>
  <c r="K8" i="1" s="1"/>
  <c r="CZ28" i="3"/>
  <c r="M73" i="7"/>
  <c r="M36" i="3" s="1"/>
  <c r="M23" i="7"/>
  <c r="N19" i="7" s="1"/>
  <c r="CW28" i="3"/>
  <c r="P48" i="7"/>
  <c r="K56" i="2"/>
  <c r="K6" i="1"/>
  <c r="L13" i="2"/>
  <c r="I8" i="1"/>
  <c r="L25" i="2"/>
  <c r="L8" i="1" s="1"/>
  <c r="I26" i="2"/>
  <c r="O49" i="7"/>
  <c r="O50" i="7" s="1"/>
  <c r="P46" i="7" s="1"/>
  <c r="CV28" i="3"/>
  <c r="R4" i="7"/>
  <c r="R41" i="3"/>
  <c r="R7" i="3"/>
  <c r="R59" i="3" s="1"/>
  <c r="R40" i="3" s="1"/>
  <c r="R6" i="3"/>
  <c r="R61" i="3" s="1"/>
  <c r="R31" i="3" s="1"/>
  <c r="R5" i="3"/>
  <c r="S4" i="3"/>
  <c r="P57" i="7"/>
  <c r="P55" i="7"/>
  <c r="AA33" i="6"/>
  <c r="AB33" i="6" s="1"/>
  <c r="AA32" i="6"/>
  <c r="AB32" i="6" s="1"/>
  <c r="AB3" i="6"/>
  <c r="Y3" i="6"/>
  <c r="L52" i="3" l="1"/>
  <c r="L43" i="3"/>
  <c r="P47" i="7"/>
  <c r="P49" i="7" s="1"/>
  <c r="P50" i="7" s="1"/>
  <c r="Q46" i="7" s="1"/>
  <c r="Q66" i="7"/>
  <c r="Q64" i="7"/>
  <c r="R62" i="7"/>
  <c r="R53" i="7"/>
  <c r="R63" i="7"/>
  <c r="R54" i="7"/>
  <c r="R45" i="7"/>
  <c r="R17" i="7"/>
  <c r="R35" i="7"/>
  <c r="R8" i="7"/>
  <c r="R36" i="7"/>
  <c r="R13" i="7"/>
  <c r="R44" i="7"/>
  <c r="R18" i="7"/>
  <c r="R26" i="7"/>
  <c r="R14" i="7"/>
  <c r="R27" i="7"/>
  <c r="R7" i="7"/>
  <c r="R9" i="7"/>
  <c r="R12" i="7"/>
  <c r="N74" i="7"/>
  <c r="N37" i="3" s="1"/>
  <c r="C35" i="2" s="1"/>
  <c r="N40" i="7"/>
  <c r="Q21" i="7"/>
  <c r="L6" i="1"/>
  <c r="L26" i="2"/>
  <c r="P29" i="7"/>
  <c r="P31" i="7" s="1"/>
  <c r="P32" i="7" s="1"/>
  <c r="P56" i="7"/>
  <c r="P58" i="7" s="1"/>
  <c r="P59" i="7" s="1"/>
  <c r="K26" i="2"/>
  <c r="N20" i="7"/>
  <c r="J8" i="1"/>
  <c r="J26" i="2"/>
  <c r="P65" i="7"/>
  <c r="P67" i="7" s="1"/>
  <c r="P68" i="7" s="1"/>
  <c r="S4" i="7"/>
  <c r="S41" i="3"/>
  <c r="S6" i="3"/>
  <c r="S61" i="3" s="1"/>
  <c r="S31" i="3" s="1"/>
  <c r="S7" i="3"/>
  <c r="S59" i="3" s="1"/>
  <c r="S40" i="3" s="1"/>
  <c r="T4" i="3"/>
  <c r="S5" i="3"/>
  <c r="K7" i="1"/>
  <c r="L23" i="2"/>
  <c r="L7" i="1" s="1"/>
  <c r="T8" i="9"/>
  <c r="U7" i="9" s="1"/>
  <c r="T1" i="9"/>
  <c r="Q39" i="7"/>
  <c r="Q48" i="7"/>
  <c r="I48" i="3"/>
  <c r="I49" i="3" s="1"/>
  <c r="H53" i="3"/>
  <c r="M42" i="3"/>
  <c r="Q71" i="7"/>
  <c r="Q34" i="3" s="1"/>
  <c r="Q57" i="7"/>
  <c r="Q55" i="7"/>
  <c r="Q30" i="7"/>
  <c r="Q28" i="7"/>
  <c r="Q47" i="7" l="1"/>
  <c r="R71" i="7"/>
  <c r="R34" i="3" s="1"/>
  <c r="M52" i="3"/>
  <c r="M43" i="3"/>
  <c r="M45" i="3" s="1"/>
  <c r="S62" i="7"/>
  <c r="S53" i="7"/>
  <c r="S63" i="7"/>
  <c r="S54" i="7"/>
  <c r="S44" i="7"/>
  <c r="S35" i="7"/>
  <c r="S26" i="7"/>
  <c r="S45" i="7"/>
  <c r="S36" i="7"/>
  <c r="S27" i="7"/>
  <c r="S8" i="7"/>
  <c r="S13" i="7"/>
  <c r="S18" i="7"/>
  <c r="S9" i="7"/>
  <c r="S76" i="7" s="1"/>
  <c r="S39" i="3" s="1"/>
  <c r="S7" i="7"/>
  <c r="S12" i="7"/>
  <c r="S14" i="7"/>
  <c r="S17" i="7"/>
  <c r="Q29" i="7"/>
  <c r="J48" i="3"/>
  <c r="J49" i="3" s="1"/>
  <c r="I53" i="3"/>
  <c r="Q31" i="7"/>
  <c r="Q32" i="7" s="1"/>
  <c r="R48" i="7"/>
  <c r="Q56" i="7"/>
  <c r="Q58" i="7" s="1"/>
  <c r="Q59" i="7" s="1"/>
  <c r="N72" i="7"/>
  <c r="N41" i="7"/>
  <c r="O37" i="7" s="1"/>
  <c r="R21" i="7"/>
  <c r="R57" i="7"/>
  <c r="R55" i="7"/>
  <c r="R66" i="7"/>
  <c r="R64" i="7"/>
  <c r="T4" i="7"/>
  <c r="T41" i="3"/>
  <c r="T5" i="3"/>
  <c r="T7" i="3"/>
  <c r="T59" i="3" s="1"/>
  <c r="T40" i="3" s="1"/>
  <c r="U4" i="3"/>
  <c r="T6" i="3"/>
  <c r="T61" i="3" s="1"/>
  <c r="T31" i="3" s="1"/>
  <c r="N75" i="7"/>
  <c r="N38" i="3" s="1"/>
  <c r="C36" i="2" s="1"/>
  <c r="N22" i="7"/>
  <c r="U8" i="9"/>
  <c r="V7" i="9" s="1"/>
  <c r="U1" i="9"/>
  <c r="R76" i="7"/>
  <c r="R39" i="3" s="1"/>
  <c r="R39" i="7"/>
  <c r="L45" i="3"/>
  <c r="Q49" i="7"/>
  <c r="Q50" i="7" s="1"/>
  <c r="R46" i="7" s="1"/>
  <c r="R28" i="7"/>
  <c r="R30" i="7"/>
  <c r="Q65" i="7"/>
  <c r="Q67" i="7" s="1"/>
  <c r="Q68" i="7" s="1"/>
  <c r="S71" i="7" l="1"/>
  <c r="S34" i="3" s="1"/>
  <c r="S48" i="7"/>
  <c r="S30" i="7"/>
  <c r="S28" i="7"/>
  <c r="V8" i="9"/>
  <c r="W7" i="9" s="1"/>
  <c r="V1" i="9"/>
  <c r="N73" i="7"/>
  <c r="N36" i="3" s="1"/>
  <c r="C34" i="2" s="1"/>
  <c r="N23" i="7"/>
  <c r="O19" i="7" s="1"/>
  <c r="T62" i="7"/>
  <c r="T53" i="7"/>
  <c r="T44" i="7"/>
  <c r="T45" i="7"/>
  <c r="T36" i="7"/>
  <c r="T27" i="7"/>
  <c r="T35" i="7"/>
  <c r="T13" i="7"/>
  <c r="T18" i="7"/>
  <c r="T9" i="7"/>
  <c r="T76" i="7" s="1"/>
  <c r="T39" i="3" s="1"/>
  <c r="T14" i="7"/>
  <c r="T12" i="7"/>
  <c r="T63" i="7"/>
  <c r="T54" i="7"/>
  <c r="T17" i="7"/>
  <c r="T26" i="7"/>
  <c r="T7" i="7"/>
  <c r="T8" i="7"/>
  <c r="U4" i="7"/>
  <c r="U7" i="3"/>
  <c r="U59" i="3" s="1"/>
  <c r="U40" i="3" s="1"/>
  <c r="U41" i="3"/>
  <c r="V4" i="3"/>
  <c r="U5" i="3"/>
  <c r="U6" i="3"/>
  <c r="U61" i="3" s="1"/>
  <c r="U31" i="3" s="1"/>
  <c r="S66" i="7"/>
  <c r="S64" i="7"/>
  <c r="O38" i="7"/>
  <c r="R29" i="7"/>
  <c r="R31" i="7" s="1"/>
  <c r="R32" i="7" s="1"/>
  <c r="R65" i="7"/>
  <c r="R67" i="7" s="1"/>
  <c r="R68" i="7" s="1"/>
  <c r="N35" i="3"/>
  <c r="K48" i="3"/>
  <c r="K49" i="3" s="1"/>
  <c r="J53" i="3"/>
  <c r="S21" i="7"/>
  <c r="R56" i="7"/>
  <c r="R58" i="7" s="1"/>
  <c r="R59" i="7" s="1"/>
  <c r="S57" i="7"/>
  <c r="S55" i="7"/>
  <c r="R47" i="7"/>
  <c r="R49" i="7" s="1"/>
  <c r="R50" i="7" s="1"/>
  <c r="S46" i="7" s="1"/>
  <c r="S39" i="7"/>
  <c r="N77" i="7" l="1"/>
  <c r="S47" i="7"/>
  <c r="S56" i="7"/>
  <c r="U62" i="7"/>
  <c r="U63" i="7"/>
  <c r="U54" i="7"/>
  <c r="U44" i="7"/>
  <c r="U35" i="7"/>
  <c r="U26" i="7"/>
  <c r="U18" i="7"/>
  <c r="U36" i="7"/>
  <c r="U9" i="7"/>
  <c r="U14" i="7"/>
  <c r="U7" i="7"/>
  <c r="U27" i="7"/>
  <c r="U17" i="7"/>
  <c r="U8" i="7"/>
  <c r="U13" i="7"/>
  <c r="U12" i="7"/>
  <c r="U45" i="7"/>
  <c r="U53" i="7"/>
  <c r="T66" i="7"/>
  <c r="T64" i="7"/>
  <c r="T39" i="7"/>
  <c r="W8" i="9"/>
  <c r="X7" i="9" s="1"/>
  <c r="W1" i="9"/>
  <c r="T28" i="7"/>
  <c r="T30" i="7"/>
  <c r="T48" i="7"/>
  <c r="S29" i="7"/>
  <c r="S31" i="7" s="1"/>
  <c r="S32" i="7" s="1"/>
  <c r="O74" i="7"/>
  <c r="O37" i="3" s="1"/>
  <c r="O40" i="7"/>
  <c r="T55" i="7"/>
  <c r="T57" i="7"/>
  <c r="S58" i="7"/>
  <c r="S59" i="7" s="1"/>
  <c r="L48" i="3"/>
  <c r="L49" i="3" s="1"/>
  <c r="K53" i="3"/>
  <c r="T21" i="7"/>
  <c r="S49" i="7"/>
  <c r="S50" i="7" s="1"/>
  <c r="T46" i="7" s="1"/>
  <c r="V4" i="7"/>
  <c r="V41" i="3"/>
  <c r="V5" i="3"/>
  <c r="V6" i="3"/>
  <c r="V61" i="3" s="1"/>
  <c r="V31" i="3" s="1"/>
  <c r="V7" i="3"/>
  <c r="V59" i="3" s="1"/>
  <c r="V40" i="3" s="1"/>
  <c r="W4" i="3"/>
  <c r="O20" i="7"/>
  <c r="N42" i="3"/>
  <c r="C33" i="2"/>
  <c r="S65" i="7"/>
  <c r="S67" i="7" s="1"/>
  <c r="S68" i="7" s="1"/>
  <c r="T71" i="7"/>
  <c r="T34" i="3" s="1"/>
  <c r="T47" i="7" l="1"/>
  <c r="U39" i="7"/>
  <c r="W4" i="7"/>
  <c r="W41" i="3"/>
  <c r="W5" i="3"/>
  <c r="W6" i="3"/>
  <c r="W61" i="3" s="1"/>
  <c r="W31" i="3" s="1"/>
  <c r="X4" i="3"/>
  <c r="W7" i="3"/>
  <c r="W59" i="3" s="1"/>
  <c r="W40" i="3" s="1"/>
  <c r="U71" i="7"/>
  <c r="U34" i="3" s="1"/>
  <c r="T56" i="7"/>
  <c r="T58" i="7" s="1"/>
  <c r="T59" i="7" s="1"/>
  <c r="T49" i="7"/>
  <c r="T50" i="7" s="1"/>
  <c r="U46" i="7" s="1"/>
  <c r="T65" i="7"/>
  <c r="T67" i="7" s="1"/>
  <c r="T68" i="7" s="1"/>
  <c r="U30" i="7"/>
  <c r="U28" i="7"/>
  <c r="O75" i="7"/>
  <c r="O38" i="3" s="1"/>
  <c r="O22" i="7"/>
  <c r="U57" i="7"/>
  <c r="U55" i="7"/>
  <c r="N52" i="3"/>
  <c r="C40" i="2"/>
  <c r="N43" i="3"/>
  <c r="M48" i="3"/>
  <c r="M49" i="3" s="1"/>
  <c r="L53" i="3"/>
  <c r="O72" i="7"/>
  <c r="O41" i="7"/>
  <c r="P37" i="7" s="1"/>
  <c r="U66" i="7"/>
  <c r="U64" i="7"/>
  <c r="V63" i="7"/>
  <c r="V54" i="7"/>
  <c r="V44" i="7"/>
  <c r="V62" i="7"/>
  <c r="V45" i="7"/>
  <c r="V36" i="7"/>
  <c r="V27" i="7"/>
  <c r="V53" i="7"/>
  <c r="V9" i="7"/>
  <c r="V14" i="7"/>
  <c r="V7" i="7"/>
  <c r="V26" i="7"/>
  <c r="V12" i="7"/>
  <c r="V8" i="7"/>
  <c r="V13" i="7"/>
  <c r="V17" i="7"/>
  <c r="V18" i="7"/>
  <c r="V35" i="7"/>
  <c r="T29" i="7"/>
  <c r="T31" i="7" s="1"/>
  <c r="T32" i="7" s="1"/>
  <c r="U48" i="7"/>
  <c r="U76" i="7"/>
  <c r="U39" i="3" s="1"/>
  <c r="X8" i="9"/>
  <c r="Y7" i="9" s="1"/>
  <c r="X1" i="9"/>
  <c r="U21" i="7"/>
  <c r="U47" i="7" l="1"/>
  <c r="U49" i="7" s="1"/>
  <c r="U50" i="7" s="1"/>
  <c r="V46" i="7" s="1"/>
  <c r="Y8" i="9"/>
  <c r="Z7" i="9" s="1"/>
  <c r="Y1" i="9"/>
  <c r="O35" i="3"/>
  <c r="V71" i="7"/>
  <c r="V34" i="3" s="1"/>
  <c r="O73" i="7"/>
  <c r="O36" i="3" s="1"/>
  <c r="O23" i="7"/>
  <c r="P19" i="7" s="1"/>
  <c r="V57" i="7"/>
  <c r="V55" i="7"/>
  <c r="N48" i="3"/>
  <c r="M53" i="3"/>
  <c r="V21" i="7"/>
  <c r="V76" i="7"/>
  <c r="V39" i="3" s="1"/>
  <c r="V66" i="7"/>
  <c r="V64" i="7"/>
  <c r="N45" i="3"/>
  <c r="C43" i="2" s="1"/>
  <c r="C41" i="2"/>
  <c r="U29" i="7"/>
  <c r="W63" i="7"/>
  <c r="W62" i="7"/>
  <c r="W45" i="7"/>
  <c r="W53" i="7"/>
  <c r="W54" i="7"/>
  <c r="W36" i="7"/>
  <c r="W14" i="7"/>
  <c r="W7" i="7"/>
  <c r="W44" i="7"/>
  <c r="W26" i="7"/>
  <c r="W12" i="7"/>
  <c r="W17" i="7"/>
  <c r="W13" i="7"/>
  <c r="W35" i="7"/>
  <c r="W18" i="7"/>
  <c r="W8" i="7"/>
  <c r="W27" i="7"/>
  <c r="W9" i="7"/>
  <c r="W76" i="7" s="1"/>
  <c r="W39" i="3" s="1"/>
  <c r="C10" i="1"/>
  <c r="C51" i="2"/>
  <c r="V30" i="7"/>
  <c r="V28" i="7"/>
  <c r="V39" i="7"/>
  <c r="U56" i="7"/>
  <c r="U65" i="7"/>
  <c r="U67" i="7" s="1"/>
  <c r="U68" i="7" s="1"/>
  <c r="U31" i="7"/>
  <c r="U32" i="7" s="1"/>
  <c r="V48" i="7"/>
  <c r="P38" i="7"/>
  <c r="U58" i="7"/>
  <c r="U59" i="7" s="1"/>
  <c r="X4" i="7"/>
  <c r="X41" i="3"/>
  <c r="X6" i="3"/>
  <c r="X61" i="3" s="1"/>
  <c r="X31" i="3" s="1"/>
  <c r="X7" i="3"/>
  <c r="X59" i="3" s="1"/>
  <c r="X40" i="3" s="1"/>
  <c r="X5" i="3"/>
  <c r="Y4" i="3"/>
  <c r="W71" i="7" l="1"/>
  <c r="W34" i="3" s="1"/>
  <c r="V47" i="7"/>
  <c r="V49" i="7" s="1"/>
  <c r="V50" i="7" s="1"/>
  <c r="W46" i="7" s="1"/>
  <c r="C12" i="1"/>
  <c r="W21" i="7"/>
  <c r="O42" i="3"/>
  <c r="V29" i="7"/>
  <c r="V31" i="7" s="1"/>
  <c r="V32" i="7" s="1"/>
  <c r="X63" i="7"/>
  <c r="X54" i="7"/>
  <c r="X62" i="7"/>
  <c r="X45" i="7"/>
  <c r="X36" i="7"/>
  <c r="X27" i="7"/>
  <c r="X44" i="7"/>
  <c r="X35" i="7"/>
  <c r="X26" i="7"/>
  <c r="X7" i="7"/>
  <c r="X12" i="7"/>
  <c r="X17" i="7"/>
  <c r="X53" i="7"/>
  <c r="X8" i="7"/>
  <c r="X18" i="7"/>
  <c r="X9" i="7"/>
  <c r="X76" i="7" s="1"/>
  <c r="X39" i="3" s="1"/>
  <c r="X13" i="7"/>
  <c r="X14" i="7"/>
  <c r="W39" i="7"/>
  <c r="N49" i="3"/>
  <c r="W55" i="7"/>
  <c r="W57" i="7"/>
  <c r="Y4" i="7"/>
  <c r="Y41" i="3"/>
  <c r="Y6" i="3"/>
  <c r="Y61" i="3" s="1"/>
  <c r="Y31" i="3" s="1"/>
  <c r="Z4" i="3"/>
  <c r="Y5" i="3"/>
  <c r="Y7" i="3"/>
  <c r="Y59" i="3" s="1"/>
  <c r="Y40" i="3" s="1"/>
  <c r="P74" i="7"/>
  <c r="P37" i="3" s="1"/>
  <c r="P40" i="7"/>
  <c r="W48" i="7"/>
  <c r="V65" i="7"/>
  <c r="V67" i="7" s="1"/>
  <c r="V68" i="7" s="1"/>
  <c r="V56" i="7"/>
  <c r="V58" i="7" s="1"/>
  <c r="V59" i="7" s="1"/>
  <c r="Z8" i="9"/>
  <c r="AA7" i="9" s="1"/>
  <c r="Z1" i="9"/>
  <c r="W30" i="7"/>
  <c r="W28" i="7"/>
  <c r="W66" i="7"/>
  <c r="W64" i="7"/>
  <c r="P20" i="7"/>
  <c r="O77" i="7"/>
  <c r="W47" i="7" l="1"/>
  <c r="W49" i="7" s="1"/>
  <c r="W50" i="7" s="1"/>
  <c r="X46" i="7" s="1"/>
  <c r="X21" i="7"/>
  <c r="Z4" i="7"/>
  <c r="Z7" i="3"/>
  <c r="Z59" i="3" s="1"/>
  <c r="Z40" i="3" s="1"/>
  <c r="D38" i="2" s="1"/>
  <c r="Z41" i="3"/>
  <c r="D39" i="2" s="1"/>
  <c r="Z5" i="3"/>
  <c r="AA4" i="3"/>
  <c r="Z6" i="3"/>
  <c r="Z61" i="3" s="1"/>
  <c r="Z31" i="3" s="1"/>
  <c r="O48" i="3"/>
  <c r="C47" i="2"/>
  <c r="C48" i="2"/>
  <c r="N53" i="3"/>
  <c r="X28" i="7"/>
  <c r="X30" i="7"/>
  <c r="X39" i="7"/>
  <c r="X71" i="7"/>
  <c r="X34" i="3" s="1"/>
  <c r="X48" i="7"/>
  <c r="W29" i="7"/>
  <c r="W31" i="7" s="1"/>
  <c r="W32" i="7" s="1"/>
  <c r="Y45" i="7"/>
  <c r="Y62" i="7"/>
  <c r="Y53" i="7"/>
  <c r="Y54" i="7"/>
  <c r="Y44" i="7"/>
  <c r="Y35" i="7"/>
  <c r="Y26" i="7"/>
  <c r="Y63" i="7"/>
  <c r="Y12" i="7"/>
  <c r="Y17" i="7"/>
  <c r="Y8" i="7"/>
  <c r="Y27" i="7"/>
  <c r="Y13" i="7"/>
  <c r="Y9" i="7"/>
  <c r="Y14" i="7"/>
  <c r="Y36" i="7"/>
  <c r="Y7" i="7"/>
  <c r="Y18" i="7"/>
  <c r="O52" i="3"/>
  <c r="O43" i="3"/>
  <c r="W65" i="7"/>
  <c r="W67" i="7" s="1"/>
  <c r="W68" i="7" s="1"/>
  <c r="P75" i="7"/>
  <c r="P38" i="3" s="1"/>
  <c r="P22" i="7"/>
  <c r="AA8" i="9"/>
  <c r="AB7" i="9" s="1"/>
  <c r="AA1" i="9"/>
  <c r="P72" i="7"/>
  <c r="P41" i="7"/>
  <c r="Q37" i="7" s="1"/>
  <c r="X57" i="7"/>
  <c r="X55" i="7"/>
  <c r="X66" i="7"/>
  <c r="X64" i="7"/>
  <c r="W56" i="7"/>
  <c r="W58" i="7" s="1"/>
  <c r="W59" i="7" s="1"/>
  <c r="X47" i="7" l="1"/>
  <c r="X49" i="7" s="1"/>
  <c r="X50" i="7" s="1"/>
  <c r="Y46" i="7" s="1"/>
  <c r="AA4" i="7"/>
  <c r="AA41" i="3"/>
  <c r="AA6" i="3"/>
  <c r="AA61" i="3" s="1"/>
  <c r="AA31" i="3" s="1"/>
  <c r="AA7" i="3"/>
  <c r="AA59" i="3" s="1"/>
  <c r="AA40" i="3" s="1"/>
  <c r="AB4" i="3"/>
  <c r="AA5" i="3"/>
  <c r="X29" i="7"/>
  <c r="Y30" i="7"/>
  <c r="Y28" i="7"/>
  <c r="Y57" i="7"/>
  <c r="Y55" i="7"/>
  <c r="C14" i="1"/>
  <c r="Z62" i="7"/>
  <c r="Z53" i="7"/>
  <c r="Z63" i="7"/>
  <c r="Z54" i="7"/>
  <c r="Z17" i="7"/>
  <c r="Z44" i="7"/>
  <c r="Z26" i="7"/>
  <c r="Z8" i="7"/>
  <c r="Z27" i="7"/>
  <c r="Z13" i="7"/>
  <c r="Z18" i="7"/>
  <c r="Z35" i="7"/>
  <c r="Z14" i="7"/>
  <c r="Z45" i="7"/>
  <c r="Z36" i="7"/>
  <c r="Z7" i="7"/>
  <c r="Z9" i="7"/>
  <c r="Z76" i="7" s="1"/>
  <c r="Z39" i="3" s="1"/>
  <c r="Z12" i="7"/>
  <c r="P35" i="3"/>
  <c r="Y21" i="7"/>
  <c r="Y71" i="7"/>
  <c r="Y34" i="3" s="1"/>
  <c r="C13" i="1"/>
  <c r="C55" i="2"/>
  <c r="C52" i="2"/>
  <c r="Q38" i="7"/>
  <c r="X65" i="7"/>
  <c r="X67" i="7" s="1"/>
  <c r="X68" i="7" s="1"/>
  <c r="Y48" i="7"/>
  <c r="D46" i="2"/>
  <c r="AB8" i="9"/>
  <c r="AC7" i="9" s="1"/>
  <c r="AB1" i="9"/>
  <c r="O45" i="3"/>
  <c r="O49" i="3" s="1"/>
  <c r="Y39" i="7"/>
  <c r="Y64" i="7"/>
  <c r="Y66" i="7"/>
  <c r="D29" i="2"/>
  <c r="P73" i="7"/>
  <c r="P36" i="3" s="1"/>
  <c r="P23" i="7"/>
  <c r="Q19" i="7" s="1"/>
  <c r="X56" i="7"/>
  <c r="X58" i="7" s="1"/>
  <c r="X59" i="7" s="1"/>
  <c r="Y76" i="7"/>
  <c r="Y39" i="3" s="1"/>
  <c r="X31" i="7"/>
  <c r="X32" i="7" s="1"/>
  <c r="Y47" i="7" l="1"/>
  <c r="Q74" i="7"/>
  <c r="Q37" i="3" s="1"/>
  <c r="Q40" i="7"/>
  <c r="P42" i="3"/>
  <c r="P77" i="7"/>
  <c r="Y49" i="7"/>
  <c r="Y50" i="7" s="1"/>
  <c r="Z46" i="7" s="1"/>
  <c r="Y29" i="7"/>
  <c r="Y31" i="7" s="1"/>
  <c r="Y32" i="7" s="1"/>
  <c r="Q20" i="7"/>
  <c r="P48" i="3"/>
  <c r="O53" i="3"/>
  <c r="Z21" i="7"/>
  <c r="D9" i="1"/>
  <c r="D37" i="2"/>
  <c r="Z28" i="7"/>
  <c r="Z30" i="7"/>
  <c r="AB41" i="3"/>
  <c r="AB4" i="7"/>
  <c r="AB5" i="3"/>
  <c r="AC4" i="3"/>
  <c r="AB6" i="3"/>
  <c r="AB61" i="3" s="1"/>
  <c r="AB31" i="3" s="1"/>
  <c r="AB7" i="3"/>
  <c r="AB59" i="3" s="1"/>
  <c r="AB40" i="3" s="1"/>
  <c r="AC1" i="9"/>
  <c r="AC8" i="9"/>
  <c r="AD7" i="9" s="1"/>
  <c r="Z48" i="7"/>
  <c r="Z39" i="7"/>
  <c r="Y65" i="7"/>
  <c r="Y67" i="7" s="1"/>
  <c r="Y68" i="7" s="1"/>
  <c r="Z71" i="7"/>
  <c r="Z34" i="3" s="1"/>
  <c r="AA62" i="7"/>
  <c r="AA53" i="7"/>
  <c r="AA63" i="7"/>
  <c r="AA54" i="7"/>
  <c r="AA44" i="7"/>
  <c r="AA35" i="7"/>
  <c r="AA26" i="7"/>
  <c r="AA45" i="7"/>
  <c r="AA36" i="7"/>
  <c r="AA27" i="7"/>
  <c r="AA8" i="7"/>
  <c r="AA13" i="7"/>
  <c r="AA18" i="7"/>
  <c r="AA9" i="7"/>
  <c r="AA76" i="7" s="1"/>
  <c r="AA39" i="3" s="1"/>
  <c r="AA7" i="7"/>
  <c r="AA12" i="7"/>
  <c r="AA17" i="7"/>
  <c r="AA14" i="7"/>
  <c r="Z57" i="7"/>
  <c r="Z55" i="7"/>
  <c r="Y56" i="7"/>
  <c r="Y58" i="7" s="1"/>
  <c r="Y59" i="7" s="1"/>
  <c r="Z66" i="7"/>
  <c r="Z64" i="7"/>
  <c r="Z47" i="7" l="1"/>
  <c r="AA21" i="7"/>
  <c r="Z56" i="7"/>
  <c r="Z58" i="7"/>
  <c r="Z59" i="7" s="1"/>
  <c r="AA66" i="7"/>
  <c r="AA64" i="7"/>
  <c r="Z49" i="7"/>
  <c r="Z50" i="7" s="1"/>
  <c r="AA46" i="7" s="1"/>
  <c r="AA30" i="7"/>
  <c r="AA28" i="7"/>
  <c r="AD8" i="9"/>
  <c r="AE7" i="9" s="1"/>
  <c r="AD1" i="9"/>
  <c r="AB62" i="7"/>
  <c r="AB53" i="7"/>
  <c r="AB44" i="7"/>
  <c r="AB63" i="7"/>
  <c r="AB45" i="7"/>
  <c r="AB36" i="7"/>
  <c r="AB27" i="7"/>
  <c r="AB26" i="7"/>
  <c r="AB13" i="7"/>
  <c r="AB18" i="7"/>
  <c r="AB9" i="7"/>
  <c r="AB14" i="7"/>
  <c r="AB54" i="7"/>
  <c r="AB12" i="7"/>
  <c r="AB17" i="7"/>
  <c r="AB8" i="7"/>
  <c r="AB35" i="7"/>
  <c r="AB7" i="7"/>
  <c r="Z65" i="7"/>
  <c r="Z67" i="7" s="1"/>
  <c r="Z68" i="7" s="1"/>
  <c r="AA48" i="7"/>
  <c r="D32" i="2"/>
  <c r="P52" i="3"/>
  <c r="P43" i="3"/>
  <c r="AA39" i="7"/>
  <c r="Q72" i="7"/>
  <c r="Q41" i="7"/>
  <c r="R37" i="7" s="1"/>
  <c r="AA71" i="7"/>
  <c r="AA34" i="3" s="1"/>
  <c r="Z29" i="7"/>
  <c r="Z31" i="7" s="1"/>
  <c r="Z32" i="7" s="1"/>
  <c r="AA57" i="7"/>
  <c r="AA55" i="7"/>
  <c r="AC4" i="7"/>
  <c r="AC7" i="3"/>
  <c r="AC59" i="3" s="1"/>
  <c r="AC40" i="3" s="1"/>
  <c r="AC41" i="3"/>
  <c r="AD4" i="3"/>
  <c r="AC6" i="3"/>
  <c r="AC61" i="3" s="1"/>
  <c r="AC31" i="3" s="1"/>
  <c r="AC5" i="3"/>
  <c r="Q75" i="7"/>
  <c r="Q38" i="3" s="1"/>
  <c r="Q22" i="7"/>
  <c r="AA47" i="7" l="1"/>
  <c r="AB76" i="7"/>
  <c r="AB39" i="3" s="1"/>
  <c r="AD4" i="7"/>
  <c r="AD41" i="3"/>
  <c r="AD5" i="3"/>
  <c r="AD6" i="3"/>
  <c r="AD61" i="3" s="1"/>
  <c r="AD31" i="3" s="1"/>
  <c r="AE4" i="3"/>
  <c r="AD7" i="3"/>
  <c r="AD59" i="3" s="1"/>
  <c r="AD40" i="3" s="1"/>
  <c r="AB21" i="7"/>
  <c r="AA65" i="7"/>
  <c r="AA67" i="7" s="1"/>
  <c r="AA68" i="7" s="1"/>
  <c r="P45" i="3"/>
  <c r="D11" i="1"/>
  <c r="AC62" i="7"/>
  <c r="AC63" i="7"/>
  <c r="AC54" i="7"/>
  <c r="AC53" i="7"/>
  <c r="AC44" i="7"/>
  <c r="AC35" i="7"/>
  <c r="AC26" i="7"/>
  <c r="AC18" i="7"/>
  <c r="AC27" i="7"/>
  <c r="AC9" i="7"/>
  <c r="AC14" i="7"/>
  <c r="AC7" i="7"/>
  <c r="AC45" i="7"/>
  <c r="AC36" i="7"/>
  <c r="AC17" i="7"/>
  <c r="AC8" i="7"/>
  <c r="AC12" i="7"/>
  <c r="AC13" i="7"/>
  <c r="AB71" i="7"/>
  <c r="AB34" i="3" s="1"/>
  <c r="AE8" i="9"/>
  <c r="AF7" i="9" s="1"/>
  <c r="AE1" i="9"/>
  <c r="AB28" i="7"/>
  <c r="AB30" i="7"/>
  <c r="Q73" i="7"/>
  <c r="Q36" i="3" s="1"/>
  <c r="Q23" i="7"/>
  <c r="R19" i="7" s="1"/>
  <c r="AA56" i="7"/>
  <c r="AA58" i="7" s="1"/>
  <c r="AA59" i="7" s="1"/>
  <c r="AB55" i="7" s="1"/>
  <c r="AA49" i="7"/>
  <c r="AA50" i="7" s="1"/>
  <c r="AB46" i="7" s="1"/>
  <c r="AB39" i="7"/>
  <c r="R38" i="7"/>
  <c r="AB57" i="7"/>
  <c r="AB48" i="7"/>
  <c r="AA29" i="7"/>
  <c r="AA31" i="7" s="1"/>
  <c r="AA32" i="7" s="1"/>
  <c r="Q35" i="3"/>
  <c r="AB64" i="7"/>
  <c r="AB66" i="7"/>
  <c r="AB47" i="7" l="1"/>
  <c r="AB56" i="7"/>
  <c r="AF8" i="9"/>
  <c r="AG7" i="9" s="1"/>
  <c r="AF1" i="9"/>
  <c r="Q42" i="3"/>
  <c r="AC21" i="7"/>
  <c r="AE4" i="7"/>
  <c r="AE41" i="3"/>
  <c r="AE6" i="3"/>
  <c r="AE61" i="3" s="1"/>
  <c r="AE31" i="3" s="1"/>
  <c r="AE7" i="3"/>
  <c r="AE59" i="3" s="1"/>
  <c r="AE40" i="3" s="1"/>
  <c r="AF4" i="3"/>
  <c r="AE5" i="3"/>
  <c r="AC28" i="7"/>
  <c r="AC30" i="7"/>
  <c r="Q77" i="7"/>
  <c r="AC71" i="7"/>
  <c r="AC34" i="3" s="1"/>
  <c r="AD63" i="7"/>
  <c r="AD54" i="7"/>
  <c r="AD62" i="7"/>
  <c r="AD53" i="7"/>
  <c r="AD44" i="7"/>
  <c r="AD45" i="7"/>
  <c r="AD36" i="7"/>
  <c r="AD27" i="7"/>
  <c r="AD9" i="7"/>
  <c r="AD76" i="7" s="1"/>
  <c r="AD39" i="3" s="1"/>
  <c r="AD14" i="7"/>
  <c r="AD7" i="7"/>
  <c r="AD35" i="7"/>
  <c r="AD12" i="7"/>
  <c r="AD8" i="7"/>
  <c r="AD13" i="7"/>
  <c r="AD17" i="7"/>
  <c r="AD26" i="7"/>
  <c r="AD18" i="7"/>
  <c r="AB49" i="7"/>
  <c r="AB50" i="7" s="1"/>
  <c r="AC46" i="7" s="1"/>
  <c r="AC57" i="7"/>
  <c r="AB58" i="7"/>
  <c r="AB59" i="7" s="1"/>
  <c r="AC55" i="7" s="1"/>
  <c r="AB65" i="7"/>
  <c r="AB67" i="7" s="1"/>
  <c r="AB68" i="7" s="1"/>
  <c r="R74" i="7"/>
  <c r="R37" i="3" s="1"/>
  <c r="R40" i="7"/>
  <c r="AB29" i="7"/>
  <c r="AC39" i="7"/>
  <c r="AC48" i="7"/>
  <c r="AC76" i="7"/>
  <c r="AC39" i="3" s="1"/>
  <c r="AC66" i="7"/>
  <c r="AC64" i="7"/>
  <c r="P49" i="3"/>
  <c r="R20" i="7"/>
  <c r="AB31" i="7"/>
  <c r="AB32" i="7" s="1"/>
  <c r="AD71" i="7" l="1"/>
  <c r="AD34" i="3" s="1"/>
  <c r="AC56" i="7"/>
  <c r="AC47" i="7"/>
  <c r="AC49" i="7" s="1"/>
  <c r="AC50" i="7" s="1"/>
  <c r="AD46" i="7" s="1"/>
  <c r="AD39" i="7"/>
  <c r="Q52" i="3"/>
  <c r="Q43" i="3"/>
  <c r="AD48" i="7"/>
  <c r="AC58" i="7"/>
  <c r="AC59" i="7" s="1"/>
  <c r="AD55" i="7" s="1"/>
  <c r="AE63" i="7"/>
  <c r="AE62" i="7"/>
  <c r="AE45" i="7"/>
  <c r="AE54" i="7"/>
  <c r="AE44" i="7"/>
  <c r="AE27" i="7"/>
  <c r="AE14" i="7"/>
  <c r="AE7" i="7"/>
  <c r="AE53" i="7"/>
  <c r="AE35" i="7"/>
  <c r="AE12" i="7"/>
  <c r="AE17" i="7"/>
  <c r="AE13" i="7"/>
  <c r="AE26" i="7"/>
  <c r="AE18" i="7"/>
  <c r="AE8" i="7"/>
  <c r="AE36" i="7"/>
  <c r="AE9" i="7"/>
  <c r="AG8" i="9"/>
  <c r="AH7" i="9" s="1"/>
  <c r="AG1" i="9"/>
  <c r="AF4" i="7"/>
  <c r="AF41" i="3"/>
  <c r="AF6" i="3"/>
  <c r="AF61" i="3" s="1"/>
  <c r="AF31" i="3" s="1"/>
  <c r="AF7" i="3"/>
  <c r="AF59" i="3" s="1"/>
  <c r="AF40" i="3" s="1"/>
  <c r="AF5" i="3"/>
  <c r="AG4" i="3"/>
  <c r="R75" i="7"/>
  <c r="R38" i="3" s="1"/>
  <c r="R22" i="7"/>
  <c r="AC65" i="7"/>
  <c r="AC67" i="7" s="1"/>
  <c r="AC68" i="7" s="1"/>
  <c r="Q48" i="3"/>
  <c r="P53" i="3"/>
  <c r="R72" i="7"/>
  <c r="R41" i="7"/>
  <c r="S37" i="7" s="1"/>
  <c r="AD21" i="7"/>
  <c r="AD57" i="7"/>
  <c r="AC29" i="7"/>
  <c r="AC31" i="7" s="1"/>
  <c r="AC32" i="7" s="1"/>
  <c r="AD30" i="7"/>
  <c r="AD28" i="7"/>
  <c r="AD66" i="7"/>
  <c r="AD64" i="7"/>
  <c r="AD56" i="7" l="1"/>
  <c r="AD47" i="7"/>
  <c r="AD49" i="7" s="1"/>
  <c r="AD50" i="7" s="1"/>
  <c r="AE46" i="7" s="1"/>
  <c r="AD65" i="7"/>
  <c r="AD67" i="7" s="1"/>
  <c r="AD68" i="7" s="1"/>
  <c r="AH8" i="9"/>
  <c r="AI7" i="9" s="1"/>
  <c r="AH1" i="9"/>
  <c r="AE48" i="7"/>
  <c r="R73" i="7"/>
  <c r="R36" i="3" s="1"/>
  <c r="R23" i="7"/>
  <c r="S19" i="7" s="1"/>
  <c r="AE71" i="7"/>
  <c r="AE34" i="3" s="1"/>
  <c r="AD58" i="7"/>
  <c r="AD59" i="7" s="1"/>
  <c r="AE55" i="7" s="1"/>
  <c r="AG4" i="7"/>
  <c r="AG5" i="3"/>
  <c r="AG6" i="3"/>
  <c r="AG61" i="3" s="1"/>
  <c r="AG31" i="3" s="1"/>
  <c r="AG41" i="3"/>
  <c r="AH4" i="3"/>
  <c r="AG7" i="3"/>
  <c r="AG59" i="3" s="1"/>
  <c r="AG40" i="3" s="1"/>
  <c r="AE76" i="7"/>
  <c r="AE39" i="3" s="1"/>
  <c r="S38" i="7"/>
  <c r="AE21" i="7"/>
  <c r="Q45" i="3"/>
  <c r="R35" i="3"/>
  <c r="AE57" i="7"/>
  <c r="AE39" i="7"/>
  <c r="AE66" i="7"/>
  <c r="AE64" i="7"/>
  <c r="AD29" i="7"/>
  <c r="AD31" i="7" s="1"/>
  <c r="AD32" i="7" s="1"/>
  <c r="AE30" i="7"/>
  <c r="AE28" i="7"/>
  <c r="AF63" i="7"/>
  <c r="AF54" i="7"/>
  <c r="AF62" i="7"/>
  <c r="AF45" i="7"/>
  <c r="AF36" i="7"/>
  <c r="AF27" i="7"/>
  <c r="AF53" i="7"/>
  <c r="AF44" i="7"/>
  <c r="AF35" i="7"/>
  <c r="AF26" i="7"/>
  <c r="AF7" i="7"/>
  <c r="AF12" i="7"/>
  <c r="AF17" i="7"/>
  <c r="AF8" i="7"/>
  <c r="AF18" i="7"/>
  <c r="AF9" i="7"/>
  <c r="AF76" i="7" s="1"/>
  <c r="AF39" i="3" s="1"/>
  <c r="AF13" i="7"/>
  <c r="AF14" i="7"/>
  <c r="AF71" i="7" l="1"/>
  <c r="AF34" i="3" s="1"/>
  <c r="AE47" i="7"/>
  <c r="AE49" i="7" s="1"/>
  <c r="AE50" i="7" s="1"/>
  <c r="AF46" i="7" s="1"/>
  <c r="AE56" i="7"/>
  <c r="AF21" i="7"/>
  <c r="AH4" i="7"/>
  <c r="AH7" i="3"/>
  <c r="AH59" i="3" s="1"/>
  <c r="AH40" i="3" s="1"/>
  <c r="AH41" i="3"/>
  <c r="AH6" i="3"/>
  <c r="AH61" i="3" s="1"/>
  <c r="AH31" i="3" s="1"/>
  <c r="AH5" i="3"/>
  <c r="AI4" i="3"/>
  <c r="AI1" i="9"/>
  <c r="AI8" i="9"/>
  <c r="AJ7" i="9" s="1"/>
  <c r="AF39" i="7"/>
  <c r="AE58" i="7"/>
  <c r="AE59" i="7" s="1"/>
  <c r="AF55" i="7" s="1"/>
  <c r="AF48" i="7"/>
  <c r="S74" i="7"/>
  <c r="S37" i="3" s="1"/>
  <c r="S40" i="7"/>
  <c r="AF28" i="7"/>
  <c r="AF30" i="7"/>
  <c r="S20" i="7"/>
  <c r="R42" i="3"/>
  <c r="AG45" i="7"/>
  <c r="AG54" i="7"/>
  <c r="AG53" i="7"/>
  <c r="AG44" i="7"/>
  <c r="AG35" i="7"/>
  <c r="AG26" i="7"/>
  <c r="AG12" i="7"/>
  <c r="AG17" i="7"/>
  <c r="AG8" i="7"/>
  <c r="AG36" i="7"/>
  <c r="AG13" i="7"/>
  <c r="AG63" i="7"/>
  <c r="AG9" i="7"/>
  <c r="AG76" i="7" s="1"/>
  <c r="AG39" i="3" s="1"/>
  <c r="AG14" i="7"/>
  <c r="AG18" i="7"/>
  <c r="AG62" i="7"/>
  <c r="AG27" i="7"/>
  <c r="AG7" i="7"/>
  <c r="AF57" i="7"/>
  <c r="R77" i="7"/>
  <c r="AF66" i="7"/>
  <c r="AF64" i="7"/>
  <c r="AE65" i="7"/>
  <c r="AE67" i="7" s="1"/>
  <c r="AE68" i="7" s="1"/>
  <c r="AE29" i="7"/>
  <c r="AE31" i="7" s="1"/>
  <c r="AE32" i="7" s="1"/>
  <c r="Q49" i="3"/>
  <c r="AF56" i="7" l="1"/>
  <c r="AF47" i="7"/>
  <c r="AF58" i="7"/>
  <c r="AF59" i="7" s="1"/>
  <c r="AG55" i="7" s="1"/>
  <c r="AH62" i="7"/>
  <c r="AH53" i="7"/>
  <c r="AH63" i="7"/>
  <c r="AH54" i="7"/>
  <c r="AH17" i="7"/>
  <c r="AH35" i="7"/>
  <c r="AH8" i="7"/>
  <c r="AH36" i="7"/>
  <c r="AH13" i="7"/>
  <c r="AH18" i="7"/>
  <c r="AH26" i="7"/>
  <c r="AH14" i="7"/>
  <c r="AH27" i="7"/>
  <c r="AH7" i="7"/>
  <c r="AH12" i="7"/>
  <c r="AH45" i="7"/>
  <c r="AH9" i="7"/>
  <c r="AH44" i="7"/>
  <c r="AG30" i="7"/>
  <c r="AG28" i="7"/>
  <c r="AG39" i="7"/>
  <c r="R48" i="3"/>
  <c r="Q53" i="3"/>
  <c r="AG48" i="7"/>
  <c r="AF65" i="7"/>
  <c r="AF67" i="7" s="1"/>
  <c r="AF68" i="7" s="1"/>
  <c r="AG71" i="7"/>
  <c r="AG34" i="3" s="1"/>
  <c r="S72" i="7"/>
  <c r="S41" i="7"/>
  <c r="T37" i="7" s="1"/>
  <c r="AI4" i="7"/>
  <c r="AI41" i="3"/>
  <c r="AI6" i="3"/>
  <c r="AI61" i="3" s="1"/>
  <c r="AI31" i="3" s="1"/>
  <c r="AI7" i="3"/>
  <c r="AI59" i="3" s="1"/>
  <c r="AI40" i="3" s="1"/>
  <c r="AJ4" i="3"/>
  <c r="AI5" i="3"/>
  <c r="AG57" i="7"/>
  <c r="AF29" i="7"/>
  <c r="AF31" i="7" s="1"/>
  <c r="AF32" i="7" s="1"/>
  <c r="AG21" i="7"/>
  <c r="R52" i="3"/>
  <c r="R43" i="3"/>
  <c r="AF49" i="7"/>
  <c r="AF50" i="7" s="1"/>
  <c r="AG46" i="7" s="1"/>
  <c r="AJ8" i="9"/>
  <c r="AK7" i="9" s="1"/>
  <c r="AJ1" i="9"/>
  <c r="AG66" i="7"/>
  <c r="AG64" i="7"/>
  <c r="S75" i="7"/>
  <c r="S38" i="3" s="1"/>
  <c r="S22" i="7"/>
  <c r="AG47" i="7" l="1"/>
  <c r="AG49" i="7" s="1"/>
  <c r="AG50" i="7" s="1"/>
  <c r="AH46" i="7" s="1"/>
  <c r="AG56" i="7"/>
  <c r="AK8" i="9"/>
  <c r="AL7" i="9" s="1"/>
  <c r="AK1" i="9"/>
  <c r="AH21" i="7"/>
  <c r="AH76" i="7"/>
  <c r="AH39" i="3" s="1"/>
  <c r="S35" i="3"/>
  <c r="AJ4" i="7"/>
  <c r="AJ41" i="3"/>
  <c r="AJ5" i="3"/>
  <c r="AJ7" i="3"/>
  <c r="AJ59" i="3" s="1"/>
  <c r="AJ40" i="3" s="1"/>
  <c r="AK4" i="3"/>
  <c r="AJ6" i="3"/>
  <c r="AJ61" i="3" s="1"/>
  <c r="AJ31" i="3" s="1"/>
  <c r="AH48" i="7"/>
  <c r="AH39" i="7"/>
  <c r="R45" i="3"/>
  <c r="R49" i="3" s="1"/>
  <c r="AI62" i="7"/>
  <c r="AI53" i="7"/>
  <c r="AI63" i="7"/>
  <c r="AI54" i="7"/>
  <c r="AI44" i="7"/>
  <c r="AI35" i="7"/>
  <c r="AI26" i="7"/>
  <c r="AI45" i="7"/>
  <c r="AI36" i="7"/>
  <c r="AI27" i="7"/>
  <c r="AI8" i="7"/>
  <c r="AI13" i="7"/>
  <c r="AI18" i="7"/>
  <c r="AI9" i="7"/>
  <c r="AI7" i="7"/>
  <c r="AI12" i="7"/>
  <c r="AI14" i="7"/>
  <c r="AI17" i="7"/>
  <c r="AH57" i="7"/>
  <c r="S73" i="7"/>
  <c r="S36" i="3" s="1"/>
  <c r="S23" i="7"/>
  <c r="T19" i="7" s="1"/>
  <c r="AG65" i="7"/>
  <c r="AG67" i="7" s="1"/>
  <c r="AG68" i="7" s="1"/>
  <c r="AG29" i="7"/>
  <c r="AG31" i="7" s="1"/>
  <c r="AG32" i="7" s="1"/>
  <c r="AH28" i="7"/>
  <c r="AH30" i="7"/>
  <c r="AH71" i="7"/>
  <c r="AH34" i="3" s="1"/>
  <c r="AG58" i="7"/>
  <c r="AG59" i="7" s="1"/>
  <c r="AH55" i="7" s="1"/>
  <c r="T38" i="7"/>
  <c r="AH66" i="7"/>
  <c r="AH64" i="7"/>
  <c r="S77" i="7" l="1"/>
  <c r="AH56" i="7"/>
  <c r="AH47" i="7"/>
  <c r="AH49" i="7" s="1"/>
  <c r="AH50" i="7" s="1"/>
  <c r="AI46" i="7" s="1"/>
  <c r="AI48" i="7"/>
  <c r="S42" i="3"/>
  <c r="AH29" i="7"/>
  <c r="AH31" i="7" s="1"/>
  <c r="AH32" i="7" s="1"/>
  <c r="AH65" i="7"/>
  <c r="AH67" i="7" s="1"/>
  <c r="AH68" i="7" s="1"/>
  <c r="AK4" i="7"/>
  <c r="AK7" i="3"/>
  <c r="AK59" i="3" s="1"/>
  <c r="AK40" i="3" s="1"/>
  <c r="AK41" i="3"/>
  <c r="AK5" i="3"/>
  <c r="AL4" i="3"/>
  <c r="AK6" i="3"/>
  <c r="AK61" i="3" s="1"/>
  <c r="AK31" i="3" s="1"/>
  <c r="AI76" i="7"/>
  <c r="AI39" i="3" s="1"/>
  <c r="AI57" i="7"/>
  <c r="AI39" i="7"/>
  <c r="S48" i="3"/>
  <c r="R53" i="3"/>
  <c r="AI21" i="7"/>
  <c r="T74" i="7"/>
  <c r="T37" i="3" s="1"/>
  <c r="T40" i="7"/>
  <c r="AI66" i="7"/>
  <c r="AI64" i="7"/>
  <c r="T20" i="7"/>
  <c r="AL8" i="9"/>
  <c r="AM7" i="9" s="1"/>
  <c r="AL1" i="9"/>
  <c r="AH58" i="7"/>
  <c r="AH59" i="7" s="1"/>
  <c r="AI55" i="7" s="1"/>
  <c r="AI71" i="7"/>
  <c r="AI34" i="3" s="1"/>
  <c r="AI30" i="7"/>
  <c r="AI28" i="7"/>
  <c r="AJ62" i="7"/>
  <c r="AJ54" i="7"/>
  <c r="AJ44" i="7"/>
  <c r="AJ63" i="7"/>
  <c r="AJ45" i="7"/>
  <c r="AJ36" i="7"/>
  <c r="AJ27" i="7"/>
  <c r="AJ35" i="7"/>
  <c r="AJ13" i="7"/>
  <c r="AJ53" i="7"/>
  <c r="AJ18" i="7"/>
  <c r="AJ9" i="7"/>
  <c r="AJ76" i="7" s="1"/>
  <c r="AJ39" i="3" s="1"/>
  <c r="AJ14" i="7"/>
  <c r="AJ12" i="7"/>
  <c r="AJ17" i="7"/>
  <c r="AJ26" i="7"/>
  <c r="AJ7" i="7"/>
  <c r="AJ8" i="7"/>
  <c r="AI47" i="7" l="1"/>
  <c r="AJ21" i="7"/>
  <c r="AJ57" i="7"/>
  <c r="AJ71" i="7"/>
  <c r="AJ34" i="3" s="1"/>
  <c r="AI31" i="7"/>
  <c r="AI32" i="7" s="1"/>
  <c r="AI65" i="7"/>
  <c r="AJ48" i="7"/>
  <c r="T72" i="7"/>
  <c r="T41" i="7"/>
  <c r="U37" i="7" s="1"/>
  <c r="AL4" i="7"/>
  <c r="AL41" i="3"/>
  <c r="E39" i="2" s="1"/>
  <c r="AL5" i="3"/>
  <c r="AL6" i="3"/>
  <c r="AL61" i="3" s="1"/>
  <c r="AL31" i="3" s="1"/>
  <c r="AM4" i="3"/>
  <c r="AL7" i="3"/>
  <c r="AL59" i="3" s="1"/>
  <c r="AL40" i="3" s="1"/>
  <c r="E38" i="2" s="1"/>
  <c r="AJ64" i="7"/>
  <c r="AJ66" i="7"/>
  <c r="AM8" i="9"/>
  <c r="AN7" i="9" s="1"/>
  <c r="AM1" i="9"/>
  <c r="AI56" i="7"/>
  <c r="AI58" i="7" s="1"/>
  <c r="AI59" i="7" s="1"/>
  <c r="AJ55" i="7" s="1"/>
  <c r="T75" i="7"/>
  <c r="T38" i="3" s="1"/>
  <c r="T22" i="7"/>
  <c r="AI29" i="7"/>
  <c r="AK62" i="7"/>
  <c r="AK63" i="7"/>
  <c r="AK54" i="7"/>
  <c r="AK44" i="7"/>
  <c r="AK35" i="7"/>
  <c r="AK26" i="7"/>
  <c r="AK53" i="7"/>
  <c r="AK18" i="7"/>
  <c r="AK36" i="7"/>
  <c r="AK9" i="7"/>
  <c r="AK14" i="7"/>
  <c r="AK45" i="7"/>
  <c r="AK7" i="7"/>
  <c r="AK27" i="7"/>
  <c r="AK17" i="7"/>
  <c r="AK8" i="7"/>
  <c r="AK12" i="7"/>
  <c r="AK13" i="7"/>
  <c r="AI49" i="7"/>
  <c r="AI50" i="7" s="1"/>
  <c r="AJ46" i="7" s="1"/>
  <c r="AJ28" i="7"/>
  <c r="AJ30" i="7"/>
  <c r="AJ39" i="7"/>
  <c r="AI67" i="7"/>
  <c r="AI68" i="7" s="1"/>
  <c r="S52" i="3"/>
  <c r="S43" i="3"/>
  <c r="AJ47" i="7" l="1"/>
  <c r="AJ56" i="7"/>
  <c r="AJ58" i="7" s="1"/>
  <c r="AJ59" i="7" s="1"/>
  <c r="AK55" i="7" s="1"/>
  <c r="U38" i="7"/>
  <c r="AK76" i="7"/>
  <c r="AK39" i="3" s="1"/>
  <c r="AK66" i="7"/>
  <c r="AK64" i="7"/>
  <c r="AJ65" i="7"/>
  <c r="AJ67" i="7" s="1"/>
  <c r="AJ68" i="7" s="1"/>
  <c r="T35" i="3"/>
  <c r="AK39" i="7"/>
  <c r="AK21" i="7"/>
  <c r="AM4" i="7"/>
  <c r="AM41" i="3"/>
  <c r="AM5" i="3"/>
  <c r="AN4" i="3"/>
  <c r="AM6" i="3"/>
  <c r="AM61" i="3" s="1"/>
  <c r="AM31" i="3" s="1"/>
  <c r="AM7" i="3"/>
  <c r="AM59" i="3" s="1"/>
  <c r="AM40" i="3" s="1"/>
  <c r="AK71" i="7"/>
  <c r="AK34" i="3" s="1"/>
  <c r="E29" i="2"/>
  <c r="AK30" i="7"/>
  <c r="AK28" i="7"/>
  <c r="AJ49" i="7"/>
  <c r="AJ50" i="7" s="1"/>
  <c r="AK46" i="7" s="1"/>
  <c r="AK57" i="7"/>
  <c r="S45" i="3"/>
  <c r="S49" i="3" s="1"/>
  <c r="AJ29" i="7"/>
  <c r="AJ31" i="7" s="1"/>
  <c r="AJ32" i="7" s="1"/>
  <c r="AK48" i="7"/>
  <c r="T73" i="7"/>
  <c r="T36" i="3" s="1"/>
  <c r="T23" i="7"/>
  <c r="U19" i="7" s="1"/>
  <c r="AN8" i="9"/>
  <c r="AO7" i="9" s="1"/>
  <c r="AN1" i="9"/>
  <c r="AL63" i="7"/>
  <c r="AL54" i="7"/>
  <c r="AL44" i="7"/>
  <c r="AL53" i="7"/>
  <c r="AL45" i="7"/>
  <c r="AL36" i="7"/>
  <c r="AL27" i="7"/>
  <c r="AL62" i="7"/>
  <c r="AL9" i="7"/>
  <c r="AL14" i="7"/>
  <c r="AL7" i="7"/>
  <c r="AL26" i="7"/>
  <c r="AL12" i="7"/>
  <c r="AL8" i="7"/>
  <c r="AL13" i="7"/>
  <c r="AL35" i="7"/>
  <c r="AL17" i="7"/>
  <c r="AL18" i="7"/>
  <c r="T77" i="7" l="1"/>
  <c r="AK47" i="7"/>
  <c r="AK49" i="7" s="1"/>
  <c r="AK50" i="7" s="1"/>
  <c r="AL46" i="7" s="1"/>
  <c r="AK56" i="7"/>
  <c r="AK58" i="7" s="1"/>
  <c r="AK59" i="7" s="1"/>
  <c r="AL55" i="7" s="1"/>
  <c r="E9" i="1"/>
  <c r="AM63" i="7"/>
  <c r="AM62" i="7"/>
  <c r="AM54" i="7"/>
  <c r="AM53" i="7"/>
  <c r="AM45" i="7"/>
  <c r="AM36" i="7"/>
  <c r="AM14" i="7"/>
  <c r="AM7" i="7"/>
  <c r="AM26" i="7"/>
  <c r="AM12" i="7"/>
  <c r="AM17" i="7"/>
  <c r="AM13" i="7"/>
  <c r="AM44" i="7"/>
  <c r="AM35" i="7"/>
  <c r="AM18" i="7"/>
  <c r="AM27" i="7"/>
  <c r="AM8" i="7"/>
  <c r="AM9" i="7"/>
  <c r="T48" i="3"/>
  <c r="S53" i="3"/>
  <c r="AK65" i="7"/>
  <c r="AK67" i="7" s="1"/>
  <c r="AK68" i="7" s="1"/>
  <c r="AL21" i="7"/>
  <c r="AL57" i="7"/>
  <c r="AL48" i="7"/>
  <c r="AL71" i="7"/>
  <c r="AL34" i="3" s="1"/>
  <c r="AL76" i="7"/>
  <c r="AL39" i="3" s="1"/>
  <c r="E37" i="2" s="1"/>
  <c r="AL66" i="7"/>
  <c r="AL64" i="7"/>
  <c r="T42" i="3"/>
  <c r="U74" i="7"/>
  <c r="U37" i="3" s="1"/>
  <c r="U40" i="7"/>
  <c r="AL30" i="7"/>
  <c r="AL28" i="7"/>
  <c r="AO8" i="9"/>
  <c r="AP7" i="9" s="1"/>
  <c r="AO1" i="9"/>
  <c r="AK29" i="7"/>
  <c r="AL39" i="7"/>
  <c r="U20" i="7"/>
  <c r="AK31" i="7"/>
  <c r="AK32" i="7" s="1"/>
  <c r="AN4" i="7"/>
  <c r="AN41" i="3"/>
  <c r="AN6" i="3"/>
  <c r="AN61" i="3" s="1"/>
  <c r="AN31" i="3" s="1"/>
  <c r="AN7" i="3"/>
  <c r="AN59" i="3" s="1"/>
  <c r="AN40" i="3" s="1"/>
  <c r="AN5" i="3"/>
  <c r="AO4" i="3"/>
  <c r="AL47" i="7" l="1"/>
  <c r="AL56" i="7"/>
  <c r="AL58" i="7" s="1"/>
  <c r="AL59" i="7" s="1"/>
  <c r="AM55" i="7" s="1"/>
  <c r="AM21" i="7"/>
  <c r="AP1" i="9"/>
  <c r="AP8" i="9"/>
  <c r="AQ7" i="9" s="1"/>
  <c r="AL49" i="7"/>
  <c r="AL50" i="7" s="1"/>
  <c r="AM46" i="7" s="1"/>
  <c r="AM39" i="7"/>
  <c r="T52" i="3"/>
  <c r="T43" i="3"/>
  <c r="T45" i="3" s="1"/>
  <c r="AL29" i="7"/>
  <c r="AL31" i="7" s="1"/>
  <c r="AL32" i="7" s="1"/>
  <c r="AL65" i="7"/>
  <c r="AL67" i="7" s="1"/>
  <c r="AL68" i="7" s="1"/>
  <c r="AM48" i="7"/>
  <c r="AM66" i="7"/>
  <c r="AM64" i="7"/>
  <c r="AM30" i="7"/>
  <c r="AM28" i="7"/>
  <c r="AO4" i="7"/>
  <c r="AO5" i="3"/>
  <c r="AO41" i="3"/>
  <c r="AO6" i="3"/>
  <c r="AO61" i="3" s="1"/>
  <c r="AO31" i="3" s="1"/>
  <c r="AP4" i="3"/>
  <c r="AO7" i="3"/>
  <c r="AO59" i="3" s="1"/>
  <c r="AO40" i="3" s="1"/>
  <c r="U75" i="7"/>
  <c r="U38" i="3" s="1"/>
  <c r="U22" i="7"/>
  <c r="T49" i="3"/>
  <c r="U48" i="3" s="1"/>
  <c r="AM71" i="7"/>
  <c r="AM34" i="3" s="1"/>
  <c r="AM57" i="7"/>
  <c r="AN63" i="7"/>
  <c r="AN54" i="7"/>
  <c r="AN62" i="7"/>
  <c r="AN53" i="7"/>
  <c r="AN45" i="7"/>
  <c r="AN36" i="7"/>
  <c r="AN27" i="7"/>
  <c r="AN44" i="7"/>
  <c r="AN35" i="7"/>
  <c r="AN26" i="7"/>
  <c r="AN7" i="7"/>
  <c r="AN12" i="7"/>
  <c r="AN17" i="7"/>
  <c r="AN8" i="7"/>
  <c r="AN18" i="7"/>
  <c r="AN9" i="7"/>
  <c r="AN14" i="7"/>
  <c r="AN13" i="7"/>
  <c r="U72" i="7"/>
  <c r="U41" i="7"/>
  <c r="V37" i="7" s="1"/>
  <c r="E32" i="2"/>
  <c r="AM76" i="7"/>
  <c r="AM39" i="3" s="1"/>
  <c r="AN71" i="7" l="1"/>
  <c r="AN34" i="3" s="1"/>
  <c r="T53" i="3"/>
  <c r="AM47" i="7"/>
  <c r="U35" i="3"/>
  <c r="AM29" i="7"/>
  <c r="AM65" i="7"/>
  <c r="AM67" i="7" s="1"/>
  <c r="AM68" i="7" s="1"/>
  <c r="AN48" i="7"/>
  <c r="AO45" i="7"/>
  <c r="AO63" i="7"/>
  <c r="AO62" i="7"/>
  <c r="AO44" i="7"/>
  <c r="AO35" i="7"/>
  <c r="AO26" i="7"/>
  <c r="AO53" i="7"/>
  <c r="AO12" i="7"/>
  <c r="AO17" i="7"/>
  <c r="AO8" i="7"/>
  <c r="AO27" i="7"/>
  <c r="AO13" i="7"/>
  <c r="AO9" i="7"/>
  <c r="AO14" i="7"/>
  <c r="AO7" i="7"/>
  <c r="AO54" i="7"/>
  <c r="AO18" i="7"/>
  <c r="AO36" i="7"/>
  <c r="U73" i="7"/>
  <c r="U36" i="3" s="1"/>
  <c r="U23" i="7"/>
  <c r="V19" i="7" s="1"/>
  <c r="AM31" i="7"/>
  <c r="AM32" i="7" s="1"/>
  <c r="AQ1" i="9"/>
  <c r="AQ8" i="9"/>
  <c r="AR7" i="9" s="1"/>
  <c r="AN57" i="7"/>
  <c r="AN66" i="7"/>
  <c r="AN64" i="7"/>
  <c r="AP4" i="7"/>
  <c r="AP41" i="3"/>
  <c r="AP7" i="3"/>
  <c r="AP59" i="3" s="1"/>
  <c r="AP40" i="3" s="1"/>
  <c r="AQ4" i="3"/>
  <c r="AP5" i="3"/>
  <c r="AP6" i="3"/>
  <c r="AP61" i="3" s="1"/>
  <c r="AP31" i="3" s="1"/>
  <c r="AN76" i="7"/>
  <c r="AN39" i="3" s="1"/>
  <c r="V38" i="7"/>
  <c r="E11" i="1"/>
  <c r="AN21" i="7"/>
  <c r="AN28" i="7"/>
  <c r="AN30" i="7"/>
  <c r="AM56" i="7"/>
  <c r="AM58" i="7" s="1"/>
  <c r="AM59" i="7" s="1"/>
  <c r="AN55" i="7" s="1"/>
  <c r="AM49" i="7"/>
  <c r="AM50" i="7" s="1"/>
  <c r="AN46" i="7" s="1"/>
  <c r="AN39" i="7"/>
  <c r="AN56" i="7" l="1"/>
  <c r="AN58" i="7" s="1"/>
  <c r="AN59" i="7" s="1"/>
  <c r="AO55" i="7" s="1"/>
  <c r="AN47" i="7"/>
  <c r="AN49" i="7" s="1"/>
  <c r="AN50" i="7" s="1"/>
  <c r="AO46" i="7" s="1"/>
  <c r="AN29" i="7"/>
  <c r="AN31" i="7" s="1"/>
  <c r="AN32" i="7" s="1"/>
  <c r="AP62" i="7"/>
  <c r="AP53" i="7"/>
  <c r="AP63" i="7"/>
  <c r="AP54" i="7"/>
  <c r="AP17" i="7"/>
  <c r="AP26" i="7"/>
  <c r="AP8" i="7"/>
  <c r="AP45" i="7"/>
  <c r="AP27" i="7"/>
  <c r="AP13" i="7"/>
  <c r="AP18" i="7"/>
  <c r="AP44" i="7"/>
  <c r="AP35" i="7"/>
  <c r="AP14" i="7"/>
  <c r="AP36" i="7"/>
  <c r="AP7" i="7"/>
  <c r="AP9" i="7"/>
  <c r="AP76" i="7" s="1"/>
  <c r="AP39" i="3" s="1"/>
  <c r="AP12" i="7"/>
  <c r="AN65" i="7"/>
  <c r="AN67" i="7" s="1"/>
  <c r="AN68" i="7" s="1"/>
  <c r="V20" i="7"/>
  <c r="V74" i="7"/>
  <c r="V37" i="3" s="1"/>
  <c r="V40" i="7"/>
  <c r="AO30" i="7"/>
  <c r="AO28" i="7"/>
  <c r="AO66" i="7"/>
  <c r="AO64" i="7"/>
  <c r="AO21" i="7"/>
  <c r="AO71" i="7"/>
  <c r="AO34" i="3" s="1"/>
  <c r="AO48" i="7"/>
  <c r="U42" i="3"/>
  <c r="AQ4" i="7"/>
  <c r="AQ41" i="3"/>
  <c r="AQ6" i="3"/>
  <c r="AQ61" i="3" s="1"/>
  <c r="AQ31" i="3" s="1"/>
  <c r="AQ7" i="3"/>
  <c r="AQ59" i="3" s="1"/>
  <c r="AQ40" i="3" s="1"/>
  <c r="AR4" i="3"/>
  <c r="AQ5" i="3"/>
  <c r="AO57" i="7"/>
  <c r="U77" i="7"/>
  <c r="AO39" i="7"/>
  <c r="AR8" i="9"/>
  <c r="AS7" i="9" s="1"/>
  <c r="AR1" i="9"/>
  <c r="AO76" i="7"/>
  <c r="AO39" i="3" s="1"/>
  <c r="AO47" i="7" l="1"/>
  <c r="AO56" i="7"/>
  <c r="AP21" i="7"/>
  <c r="AO58" i="7"/>
  <c r="AO59" i="7" s="1"/>
  <c r="AP55" i="7" s="1"/>
  <c r="V72" i="7"/>
  <c r="V41" i="7"/>
  <c r="W37" i="7" s="1"/>
  <c r="AS1" i="9"/>
  <c r="AS8" i="9"/>
  <c r="AT7" i="9" s="1"/>
  <c r="AQ62" i="7"/>
  <c r="AQ53" i="7"/>
  <c r="AQ63" i="7"/>
  <c r="AQ54" i="7"/>
  <c r="AQ44" i="7"/>
  <c r="AQ35" i="7"/>
  <c r="AQ26" i="7"/>
  <c r="AQ45" i="7"/>
  <c r="AQ36" i="7"/>
  <c r="AQ27" i="7"/>
  <c r="AQ8" i="7"/>
  <c r="AQ13" i="7"/>
  <c r="AQ18" i="7"/>
  <c r="AQ9" i="7"/>
  <c r="AQ7" i="7"/>
  <c r="AQ12" i="7"/>
  <c r="AQ14" i="7"/>
  <c r="AQ17" i="7"/>
  <c r="AO65" i="7"/>
  <c r="AO67" i="7"/>
  <c r="AO68" i="7" s="1"/>
  <c r="AP28" i="7"/>
  <c r="AP30" i="7"/>
  <c r="AP71" i="7"/>
  <c r="AP34" i="3" s="1"/>
  <c r="AO29" i="7"/>
  <c r="AO31" i="7" s="1"/>
  <c r="AO32" i="7" s="1"/>
  <c r="AP48" i="7"/>
  <c r="AP57" i="7"/>
  <c r="AP66" i="7"/>
  <c r="AP64" i="7"/>
  <c r="U52" i="3"/>
  <c r="U43" i="3"/>
  <c r="U45" i="3" s="1"/>
  <c r="U49" i="3" s="1"/>
  <c r="V48" i="3" s="1"/>
  <c r="AP39" i="7"/>
  <c r="AR4" i="7"/>
  <c r="AR41" i="3"/>
  <c r="AR7" i="3"/>
  <c r="AR59" i="3" s="1"/>
  <c r="AR40" i="3" s="1"/>
  <c r="AR5" i="3"/>
  <c r="AR6" i="3"/>
  <c r="AR61" i="3" s="1"/>
  <c r="AR31" i="3" s="1"/>
  <c r="AS4" i="3"/>
  <c r="AO49" i="7"/>
  <c r="AO50" i="7" s="1"/>
  <c r="AP46" i="7" s="1"/>
  <c r="V75" i="7"/>
  <c r="V38" i="3" s="1"/>
  <c r="V22" i="7"/>
  <c r="AQ71" i="7" l="1"/>
  <c r="AQ34" i="3" s="1"/>
  <c r="AP47" i="7"/>
  <c r="AP56" i="7"/>
  <c r="AQ39" i="7"/>
  <c r="AQ48" i="7"/>
  <c r="AT8" i="9"/>
  <c r="AU7" i="9" s="1"/>
  <c r="AT1" i="9"/>
  <c r="AS4" i="7"/>
  <c r="AS41" i="3"/>
  <c r="AS7" i="3"/>
  <c r="AS59" i="3" s="1"/>
  <c r="AS40" i="3" s="1"/>
  <c r="AS6" i="3"/>
  <c r="AS61" i="3" s="1"/>
  <c r="AS31" i="3" s="1"/>
  <c r="AS5" i="3"/>
  <c r="AT4" i="3"/>
  <c r="AP58" i="7"/>
  <c r="AP59" i="7" s="1"/>
  <c r="AQ55" i="7" s="1"/>
  <c r="AQ66" i="7"/>
  <c r="AQ64" i="7"/>
  <c r="AQ30" i="7"/>
  <c r="AQ28" i="7"/>
  <c r="U53" i="3"/>
  <c r="AP65" i="7"/>
  <c r="AP67" i="7" s="1"/>
  <c r="AP68" i="7" s="1"/>
  <c r="AP29" i="7"/>
  <c r="AP31" i="7" s="1"/>
  <c r="AP32" i="7" s="1"/>
  <c r="W38" i="7"/>
  <c r="V73" i="7"/>
  <c r="V36" i="3" s="1"/>
  <c r="V23" i="7"/>
  <c r="W19" i="7" s="1"/>
  <c r="AR62" i="7"/>
  <c r="AR63" i="7"/>
  <c r="AR44" i="7"/>
  <c r="AR45" i="7"/>
  <c r="AR36" i="7"/>
  <c r="AR27" i="7"/>
  <c r="AR54" i="7"/>
  <c r="AR53" i="7"/>
  <c r="AR26" i="7"/>
  <c r="AR13" i="7"/>
  <c r="AR18" i="7"/>
  <c r="AR9" i="7"/>
  <c r="AR76" i="7" s="1"/>
  <c r="AR39" i="3" s="1"/>
  <c r="AR14" i="7"/>
  <c r="AR12" i="7"/>
  <c r="AR17" i="7"/>
  <c r="AR35" i="7"/>
  <c r="AR7" i="7"/>
  <c r="AR8" i="7"/>
  <c r="AP49" i="7"/>
  <c r="AP50" i="7" s="1"/>
  <c r="AQ46" i="7" s="1"/>
  <c r="AQ21" i="7"/>
  <c r="V35" i="3"/>
  <c r="AQ76" i="7"/>
  <c r="AQ39" i="3" s="1"/>
  <c r="AQ57" i="7"/>
  <c r="V42" i="3" l="1"/>
  <c r="V77" i="7"/>
  <c r="AQ56" i="7"/>
  <c r="AQ58" i="7" s="1"/>
  <c r="AQ59" i="7" s="1"/>
  <c r="AR55" i="7" s="1"/>
  <c r="AQ47" i="7"/>
  <c r="AQ49" i="7" s="1"/>
  <c r="AQ50" i="7" s="1"/>
  <c r="AR46" i="7" s="1"/>
  <c r="V52" i="3"/>
  <c r="V43" i="3"/>
  <c r="V45" i="3" s="1"/>
  <c r="V49" i="3" s="1"/>
  <c r="W48" i="3" s="1"/>
  <c r="W20" i="7"/>
  <c r="AR71" i="7"/>
  <c r="AR34" i="3" s="1"/>
  <c r="AR57" i="7"/>
  <c r="AS62" i="7"/>
  <c r="AS53" i="7"/>
  <c r="AS63" i="7"/>
  <c r="AS54" i="7"/>
  <c r="AS44" i="7"/>
  <c r="AS35" i="7"/>
  <c r="AS26" i="7"/>
  <c r="AS18" i="7"/>
  <c r="AS45" i="7"/>
  <c r="AS27" i="7"/>
  <c r="AS9" i="7"/>
  <c r="AS76" i="7" s="1"/>
  <c r="AS39" i="3" s="1"/>
  <c r="AS14" i="7"/>
  <c r="AS7" i="7"/>
  <c r="AS36" i="7"/>
  <c r="AS17" i="7"/>
  <c r="AS8" i="7"/>
  <c r="AS12" i="7"/>
  <c r="AS13" i="7"/>
  <c r="AR28" i="7"/>
  <c r="AR30" i="7"/>
  <c r="W74" i="7"/>
  <c r="W37" i="3" s="1"/>
  <c r="W40" i="7"/>
  <c r="AR39" i="7"/>
  <c r="AR48" i="7"/>
  <c r="AQ29" i="7"/>
  <c r="AT4" i="7"/>
  <c r="AT41" i="3"/>
  <c r="AT5" i="3"/>
  <c r="AT6" i="3"/>
  <c r="AT61" i="3" s="1"/>
  <c r="AT31" i="3" s="1"/>
  <c r="AT7" i="3"/>
  <c r="AT59" i="3" s="1"/>
  <c r="AT40" i="3" s="1"/>
  <c r="AU4" i="3"/>
  <c r="AR21" i="7"/>
  <c r="AQ31" i="7"/>
  <c r="AQ32" i="7" s="1"/>
  <c r="AU8" i="9"/>
  <c r="AV7" i="9" s="1"/>
  <c r="AU1" i="9"/>
  <c r="AR64" i="7"/>
  <c r="AR66" i="7"/>
  <c r="AQ65" i="7"/>
  <c r="AQ67" i="7" s="1"/>
  <c r="AQ68" i="7" s="1"/>
  <c r="AR56" i="7" l="1"/>
  <c r="AR47" i="7"/>
  <c r="AS21" i="7"/>
  <c r="AR58" i="7"/>
  <c r="AR59" i="7" s="1"/>
  <c r="AS55" i="7" s="1"/>
  <c r="W72" i="7"/>
  <c r="W41" i="7"/>
  <c r="X37" i="7" s="1"/>
  <c r="AS71" i="7"/>
  <c r="AS34" i="3" s="1"/>
  <c r="V53" i="3"/>
  <c r="AS48" i="7"/>
  <c r="AS39" i="7"/>
  <c r="AT63" i="7"/>
  <c r="AT54" i="7"/>
  <c r="AT44" i="7"/>
  <c r="AT45" i="7"/>
  <c r="AT36" i="7"/>
  <c r="AT27" i="7"/>
  <c r="AT53" i="7"/>
  <c r="AT9" i="7"/>
  <c r="AT14" i="7"/>
  <c r="AT7" i="7"/>
  <c r="AT62" i="7"/>
  <c r="AT35" i="7"/>
  <c r="AT12" i="7"/>
  <c r="AT8" i="7"/>
  <c r="AT13" i="7"/>
  <c r="AT18" i="7"/>
  <c r="AT17" i="7"/>
  <c r="AT26" i="7"/>
  <c r="W75" i="7"/>
  <c r="W38" i="3" s="1"/>
  <c r="W22" i="7"/>
  <c r="AR65" i="7"/>
  <c r="AR67" i="7" s="1"/>
  <c r="AR68" i="7" s="1"/>
  <c r="AU4" i="7"/>
  <c r="AU41" i="3"/>
  <c r="AU6" i="3"/>
  <c r="AU61" i="3" s="1"/>
  <c r="AU31" i="3" s="1"/>
  <c r="AU7" i="3"/>
  <c r="AU59" i="3" s="1"/>
  <c r="AU40" i="3" s="1"/>
  <c r="AV4" i="3"/>
  <c r="AU5" i="3"/>
  <c r="AR49" i="7"/>
  <c r="AR50" i="7" s="1"/>
  <c r="AS46" i="7" s="1"/>
  <c r="AR29" i="7"/>
  <c r="AR31" i="7" s="1"/>
  <c r="AR32" i="7" s="1"/>
  <c r="AS57" i="7"/>
  <c r="AS66" i="7"/>
  <c r="AS64" i="7"/>
  <c r="AV8" i="9"/>
  <c r="AW7" i="9" s="1"/>
  <c r="AV1" i="9"/>
  <c r="AS28" i="7"/>
  <c r="AS30" i="7"/>
  <c r="AS56" i="7" l="1"/>
  <c r="AS47" i="7"/>
  <c r="AS49" i="7" s="1"/>
  <c r="AS50" i="7" s="1"/>
  <c r="AT46" i="7" s="1"/>
  <c r="AU63" i="7"/>
  <c r="AU62" i="7"/>
  <c r="AU45" i="7"/>
  <c r="AU54" i="7"/>
  <c r="AU27" i="7"/>
  <c r="AU14" i="7"/>
  <c r="AU7" i="7"/>
  <c r="AU35" i="7"/>
  <c r="AU12" i="7"/>
  <c r="AU17" i="7"/>
  <c r="AU13" i="7"/>
  <c r="AU26" i="7"/>
  <c r="AU18" i="7"/>
  <c r="AU9" i="7"/>
  <c r="AU76" i="7" s="1"/>
  <c r="AU39" i="3" s="1"/>
  <c r="AU44" i="7"/>
  <c r="AU36" i="7"/>
  <c r="AU8" i="7"/>
  <c r="AU53" i="7"/>
  <c r="AT57" i="7"/>
  <c r="AT66" i="7"/>
  <c r="AT64" i="7"/>
  <c r="AT76" i="7"/>
  <c r="AT39" i="3" s="1"/>
  <c r="X38" i="7"/>
  <c r="W35" i="3"/>
  <c r="AW8" i="9"/>
  <c r="AX7" i="9" s="1"/>
  <c r="AW1" i="9"/>
  <c r="AS65" i="7"/>
  <c r="AS67" i="7" s="1"/>
  <c r="AS68" i="7" s="1"/>
  <c r="AV4" i="7"/>
  <c r="AV41" i="3"/>
  <c r="AV6" i="3"/>
  <c r="AV61" i="3" s="1"/>
  <c r="AV31" i="3" s="1"/>
  <c r="AV7" i="3"/>
  <c r="AV59" i="3" s="1"/>
  <c r="AV40" i="3" s="1"/>
  <c r="AW4" i="3"/>
  <c r="AV5" i="3"/>
  <c r="AT30" i="7"/>
  <c r="AT28" i="7"/>
  <c r="AT21" i="7"/>
  <c r="AS58" i="7"/>
  <c r="AS59" i="7" s="1"/>
  <c r="AT55" i="7" s="1"/>
  <c r="AT39" i="7"/>
  <c r="AT71" i="7"/>
  <c r="AT34" i="3" s="1"/>
  <c r="AS29" i="7"/>
  <c r="AS31" i="7" s="1"/>
  <c r="AS32" i="7" s="1"/>
  <c r="W73" i="7"/>
  <c r="W36" i="3" s="1"/>
  <c r="W23" i="7"/>
  <c r="X19" i="7" s="1"/>
  <c r="AT48" i="7"/>
  <c r="AT47" i="7" l="1"/>
  <c r="AT56" i="7"/>
  <c r="AT58" i="7" s="1"/>
  <c r="AT59" i="7" s="1"/>
  <c r="AU55" i="7" s="1"/>
  <c r="X74" i="7"/>
  <c r="X37" i="3" s="1"/>
  <c r="X40" i="7"/>
  <c r="AU71" i="7"/>
  <c r="AU34" i="3" s="1"/>
  <c r="AX8" i="9"/>
  <c r="AY7" i="9" s="1"/>
  <c r="AX1" i="9"/>
  <c r="AT65" i="7"/>
  <c r="AT67" i="7" s="1"/>
  <c r="AT68" i="7" s="1"/>
  <c r="AT29" i="7"/>
  <c r="AV63" i="7"/>
  <c r="AV54" i="7"/>
  <c r="AV62" i="7"/>
  <c r="AV45" i="7"/>
  <c r="AV36" i="7"/>
  <c r="AV27" i="7"/>
  <c r="AV53" i="7"/>
  <c r="AV44" i="7"/>
  <c r="AV35" i="7"/>
  <c r="AV26" i="7"/>
  <c r="AV7" i="7"/>
  <c r="AV12" i="7"/>
  <c r="AV17" i="7"/>
  <c r="AV8" i="7"/>
  <c r="AV18" i="7"/>
  <c r="AV9" i="7"/>
  <c r="AV76" i="7" s="1"/>
  <c r="AV39" i="3" s="1"/>
  <c r="AV13" i="7"/>
  <c r="AV14" i="7"/>
  <c r="AU30" i="7"/>
  <c r="AU28" i="7"/>
  <c r="AT49" i="7"/>
  <c r="AT50" i="7" s="1"/>
  <c r="AU46" i="7" s="1"/>
  <c r="AT31" i="7"/>
  <c r="AT32" i="7" s="1"/>
  <c r="AU57" i="7"/>
  <c r="AU39" i="7"/>
  <c r="W42" i="3"/>
  <c r="AU21" i="7"/>
  <c r="X20" i="7"/>
  <c r="AU48" i="7"/>
  <c r="AW4" i="7"/>
  <c r="AW5" i="3"/>
  <c r="AW6" i="3"/>
  <c r="AW61" i="3" s="1"/>
  <c r="AW31" i="3" s="1"/>
  <c r="AX4" i="3"/>
  <c r="AW41" i="3"/>
  <c r="AW7" i="3"/>
  <c r="AW59" i="3" s="1"/>
  <c r="AW40" i="3" s="1"/>
  <c r="AU66" i="7"/>
  <c r="AU64" i="7"/>
  <c r="W77" i="7"/>
  <c r="AV71" i="7" l="1"/>
  <c r="AV34" i="3" s="1"/>
  <c r="AU56" i="7"/>
  <c r="AU58" i="7" s="1"/>
  <c r="AU59" i="7" s="1"/>
  <c r="AV55" i="7" s="1"/>
  <c r="AU47" i="7"/>
  <c r="AU49" i="7" s="1"/>
  <c r="AU50" i="7" s="1"/>
  <c r="AV46" i="7" s="1"/>
  <c r="AU65" i="7"/>
  <c r="AV57" i="7"/>
  <c r="AY8" i="9"/>
  <c r="AZ7" i="9" s="1"/>
  <c r="AY1" i="9"/>
  <c r="AV28" i="7"/>
  <c r="AV30" i="7"/>
  <c r="AV39" i="7"/>
  <c r="X75" i="7"/>
  <c r="X38" i="3" s="1"/>
  <c r="X22" i="7"/>
  <c r="AU67" i="7"/>
  <c r="AU68" i="7" s="1"/>
  <c r="AW63" i="7"/>
  <c r="AW45" i="7"/>
  <c r="AW53" i="7"/>
  <c r="AW62" i="7"/>
  <c r="AW44" i="7"/>
  <c r="AW35" i="7"/>
  <c r="AW26" i="7"/>
  <c r="AW12" i="7"/>
  <c r="AW17" i="7"/>
  <c r="AW8" i="7"/>
  <c r="AW54" i="7"/>
  <c r="AW36" i="7"/>
  <c r="AW13" i="7"/>
  <c r="AW9" i="7"/>
  <c r="AW76" i="7" s="1"/>
  <c r="AW39" i="3" s="1"/>
  <c r="AW14" i="7"/>
  <c r="AW18" i="7"/>
  <c r="AW27" i="7"/>
  <c r="AW7" i="7"/>
  <c r="AV64" i="7"/>
  <c r="AV66" i="7"/>
  <c r="X72" i="7"/>
  <c r="X41" i="7"/>
  <c r="Y37" i="7" s="1"/>
  <c r="AV21" i="7"/>
  <c r="AX4" i="7"/>
  <c r="AX7" i="3"/>
  <c r="AX59" i="3" s="1"/>
  <c r="AX40" i="3" s="1"/>
  <c r="F38" i="2" s="1"/>
  <c r="AX41" i="3"/>
  <c r="F39" i="2" s="1"/>
  <c r="AX6" i="3"/>
  <c r="AX61" i="3" s="1"/>
  <c r="AX31" i="3" s="1"/>
  <c r="AY4" i="3"/>
  <c r="AX5" i="3"/>
  <c r="W52" i="3"/>
  <c r="W43" i="3"/>
  <c r="W45" i="3" s="1"/>
  <c r="W49" i="3" s="1"/>
  <c r="X48" i="3" s="1"/>
  <c r="AU29" i="7"/>
  <c r="AU31" i="7" s="1"/>
  <c r="AU32" i="7" s="1"/>
  <c r="AV48" i="7"/>
  <c r="AV56" i="7" l="1"/>
  <c r="AV47" i="7"/>
  <c r="AV49" i="7" s="1"/>
  <c r="AV50" i="7" s="1"/>
  <c r="AW46" i="7" s="1"/>
  <c r="AY4" i="7"/>
  <c r="AY41" i="3"/>
  <c r="AY6" i="3"/>
  <c r="AY61" i="3" s="1"/>
  <c r="AY31" i="3" s="1"/>
  <c r="AY7" i="3"/>
  <c r="AY59" i="3" s="1"/>
  <c r="AY40" i="3" s="1"/>
  <c r="AZ4" i="3"/>
  <c r="AY5" i="3"/>
  <c r="AW39" i="7"/>
  <c r="AW37" i="7"/>
  <c r="F29" i="2"/>
  <c r="Y38" i="7"/>
  <c r="AW57" i="7"/>
  <c r="AV58" i="7"/>
  <c r="AV59" i="7" s="1"/>
  <c r="AW55" i="7" s="1"/>
  <c r="AW48" i="7"/>
  <c r="AW71" i="7"/>
  <c r="AW34" i="3" s="1"/>
  <c r="AW66" i="7"/>
  <c r="AW64" i="7"/>
  <c r="AW19" i="7"/>
  <c r="AW21" i="7"/>
  <c r="AW30" i="7"/>
  <c r="AW28" i="7"/>
  <c r="AX62" i="7"/>
  <c r="AX53" i="7"/>
  <c r="AX63" i="7"/>
  <c r="AX54" i="7"/>
  <c r="AX45" i="7"/>
  <c r="AX17" i="7"/>
  <c r="AX35" i="7"/>
  <c r="AX8" i="7"/>
  <c r="AX36" i="7"/>
  <c r="AX13" i="7"/>
  <c r="AX44" i="7"/>
  <c r="AX18" i="7"/>
  <c r="AX26" i="7"/>
  <c r="AX14" i="7"/>
  <c r="AX27" i="7"/>
  <c r="AX7" i="7"/>
  <c r="AX9" i="7"/>
  <c r="AX76" i="7" s="1"/>
  <c r="AX39" i="3" s="1"/>
  <c r="F37" i="2" s="1"/>
  <c r="AX12" i="7"/>
  <c r="W53" i="3"/>
  <c r="AV29" i="7"/>
  <c r="AV31" i="7" s="1"/>
  <c r="AV32" i="7" s="1"/>
  <c r="AV65" i="7"/>
  <c r="AV67" i="7" s="1"/>
  <c r="AV68" i="7" s="1"/>
  <c r="X73" i="7"/>
  <c r="X36" i="3" s="1"/>
  <c r="X23" i="7"/>
  <c r="Y19" i="7" s="1"/>
  <c r="AZ8" i="9"/>
  <c r="BA7" i="9" s="1"/>
  <c r="AZ1" i="9"/>
  <c r="X35" i="3"/>
  <c r="X77" i="7" l="1"/>
  <c r="X42" i="3"/>
  <c r="AW56" i="7"/>
  <c r="AW47" i="7"/>
  <c r="AW65" i="7"/>
  <c r="AW67" i="7" s="1"/>
  <c r="AW68" i="7" s="1"/>
  <c r="AW58" i="7"/>
  <c r="AW59" i="7" s="1"/>
  <c r="AX55" i="7" s="1"/>
  <c r="Y74" i="7"/>
  <c r="Y37" i="3" s="1"/>
  <c r="Y40" i="7"/>
  <c r="AX28" i="7"/>
  <c r="AX30" i="7"/>
  <c r="AW29" i="7"/>
  <c r="AX66" i="7"/>
  <c r="AX64" i="7"/>
  <c r="X52" i="3"/>
  <c r="X43" i="3"/>
  <c r="X45" i="3" s="1"/>
  <c r="X49" i="3" s="1"/>
  <c r="Y48" i="3" s="1"/>
  <c r="F9" i="1"/>
  <c r="BA8" i="9"/>
  <c r="BB7" i="9" s="1"/>
  <c r="BA1" i="9"/>
  <c r="AX71" i="7"/>
  <c r="AX34" i="3" s="1"/>
  <c r="AW31" i="7"/>
  <c r="AW32" i="7" s="1"/>
  <c r="Y20" i="7"/>
  <c r="AX48" i="7"/>
  <c r="AY62" i="7"/>
  <c r="AY53" i="7"/>
  <c r="AY63" i="7"/>
  <c r="AY54" i="7"/>
  <c r="AY44" i="7"/>
  <c r="AY35" i="7"/>
  <c r="AY26" i="7"/>
  <c r="AY45" i="7"/>
  <c r="AY36" i="7"/>
  <c r="AY27" i="7"/>
  <c r="AY8" i="7"/>
  <c r="AY13" i="7"/>
  <c r="AY18" i="7"/>
  <c r="AY9" i="7"/>
  <c r="AY7" i="7"/>
  <c r="AY12" i="7"/>
  <c r="AY14" i="7"/>
  <c r="AY17" i="7"/>
  <c r="AX21" i="7"/>
  <c r="AX19" i="7"/>
  <c r="AX57" i="7"/>
  <c r="AW49" i="7"/>
  <c r="AW50" i="7" s="1"/>
  <c r="AX46" i="7" s="1"/>
  <c r="AW38" i="7"/>
  <c r="AW74" i="7" s="1"/>
  <c r="AW37" i="3" s="1"/>
  <c r="AW20" i="7"/>
  <c r="AW75" i="7" s="1"/>
  <c r="AW38" i="3" s="1"/>
  <c r="AX37" i="7"/>
  <c r="AX39" i="7"/>
  <c r="AZ4" i="7"/>
  <c r="AZ41" i="3"/>
  <c r="AZ7" i="3"/>
  <c r="AZ59" i="3" s="1"/>
  <c r="AZ40" i="3" s="1"/>
  <c r="AZ5" i="3"/>
  <c r="BA4" i="3"/>
  <c r="AZ6" i="3"/>
  <c r="AZ61" i="3" s="1"/>
  <c r="AZ31" i="3" s="1"/>
  <c r="X53" i="3" l="1"/>
  <c r="AW22" i="7"/>
  <c r="AX56" i="7"/>
  <c r="AX47" i="7"/>
  <c r="AX49" i="7" s="1"/>
  <c r="AX50" i="7" s="1"/>
  <c r="AX65" i="7"/>
  <c r="AX67" i="7" s="1"/>
  <c r="AX68" i="7" s="1"/>
  <c r="AX29" i="7"/>
  <c r="AX31" i="7" s="1"/>
  <c r="AX32" i="7" s="1"/>
  <c r="BB8" i="9"/>
  <c r="BC7" i="9" s="1"/>
  <c r="BB1" i="9"/>
  <c r="AY76" i="7"/>
  <c r="AY39" i="3" s="1"/>
  <c r="Y75" i="7"/>
  <c r="Y38" i="3" s="1"/>
  <c r="Y22" i="7"/>
  <c r="Y72" i="7"/>
  <c r="Y41" i="7"/>
  <c r="Z37" i="7" s="1"/>
  <c r="AZ62" i="7"/>
  <c r="AZ53" i="7"/>
  <c r="AZ44" i="7"/>
  <c r="AZ54" i="7"/>
  <c r="AZ45" i="7"/>
  <c r="AZ36" i="7"/>
  <c r="AZ27" i="7"/>
  <c r="AZ35" i="7"/>
  <c r="AZ13" i="7"/>
  <c r="AZ18" i="7"/>
  <c r="AZ9" i="7"/>
  <c r="AZ14" i="7"/>
  <c r="AZ12" i="7"/>
  <c r="AZ17" i="7"/>
  <c r="AZ63" i="7"/>
  <c r="AZ26" i="7"/>
  <c r="AZ7" i="7"/>
  <c r="AZ8" i="7"/>
  <c r="AX38" i="7"/>
  <c r="AX40" i="7" s="1"/>
  <c r="AX41" i="7" s="1"/>
  <c r="AX58" i="7"/>
  <c r="AX59" i="7" s="1"/>
  <c r="AY55" i="7" s="1"/>
  <c r="AY21" i="7"/>
  <c r="AY19" i="7"/>
  <c r="AY48" i="7"/>
  <c r="AY46" i="7"/>
  <c r="AX20" i="7"/>
  <c r="AX22" i="7" s="1"/>
  <c r="AX23" i="7" s="1"/>
  <c r="AY57" i="7"/>
  <c r="AY66" i="7"/>
  <c r="AY64" i="7"/>
  <c r="AY39" i="7"/>
  <c r="AY37" i="7"/>
  <c r="BA4" i="7"/>
  <c r="BA7" i="3"/>
  <c r="BA59" i="3" s="1"/>
  <c r="BA40" i="3" s="1"/>
  <c r="BA41" i="3"/>
  <c r="BA5" i="3"/>
  <c r="BB4" i="3"/>
  <c r="BA6" i="3"/>
  <c r="BA61" i="3" s="1"/>
  <c r="BA31" i="3" s="1"/>
  <c r="AY71" i="7"/>
  <c r="AY34" i="3" s="1"/>
  <c r="AY30" i="7"/>
  <c r="AY28" i="7"/>
  <c r="F32" i="2"/>
  <c r="AW40" i="7"/>
  <c r="AW73" i="7" l="1"/>
  <c r="AW36" i="3" s="1"/>
  <c r="AW23" i="7"/>
  <c r="AY56" i="7"/>
  <c r="AY58" i="7" s="1"/>
  <c r="AY59" i="7" s="1"/>
  <c r="AZ55" i="7" s="1"/>
  <c r="AW72" i="7"/>
  <c r="AW41" i="7"/>
  <c r="F11" i="1"/>
  <c r="AY49" i="7"/>
  <c r="AY50" i="7" s="1"/>
  <c r="AZ19" i="7"/>
  <c r="AZ21" i="7"/>
  <c r="AZ57" i="7"/>
  <c r="AY29" i="7"/>
  <c r="AY31" i="7" s="1"/>
  <c r="AY32" i="7" s="1"/>
  <c r="AZ66" i="7"/>
  <c r="AZ28" i="7"/>
  <c r="AZ30" i="7"/>
  <c r="Y35" i="3"/>
  <c r="AY38" i="7"/>
  <c r="AZ71" i="7"/>
  <c r="AZ34" i="3" s="1"/>
  <c r="AZ37" i="7"/>
  <c r="AZ39" i="7"/>
  <c r="Y73" i="7"/>
  <c r="Y36" i="3" s="1"/>
  <c r="Y23" i="7"/>
  <c r="Z19" i="7" s="1"/>
  <c r="BC1" i="9"/>
  <c r="BC8" i="9"/>
  <c r="BD7" i="9" s="1"/>
  <c r="AY20" i="7"/>
  <c r="Z38" i="7"/>
  <c r="BA62" i="7"/>
  <c r="BA53" i="7"/>
  <c r="BA63" i="7"/>
  <c r="BA54" i="7"/>
  <c r="BA44" i="7"/>
  <c r="BA35" i="7"/>
  <c r="BA26" i="7"/>
  <c r="BA18" i="7"/>
  <c r="BA36" i="7"/>
  <c r="BA9" i="7"/>
  <c r="BA76" i="7" s="1"/>
  <c r="BA39" i="3" s="1"/>
  <c r="BA14" i="7"/>
  <c r="BA7" i="7"/>
  <c r="BA27" i="7"/>
  <c r="BA17" i="7"/>
  <c r="BA8" i="7"/>
  <c r="BA13" i="7"/>
  <c r="BA12" i="7"/>
  <c r="BA45" i="7"/>
  <c r="AY22" i="7"/>
  <c r="AX73" i="7"/>
  <c r="AX36" i="3" s="1"/>
  <c r="AY40" i="7"/>
  <c r="AX75" i="7"/>
  <c r="AX38" i="3" s="1"/>
  <c r="AX74" i="7"/>
  <c r="AX37" i="3" s="1"/>
  <c r="AZ48" i="7"/>
  <c r="AZ46" i="7"/>
  <c r="AY65" i="7"/>
  <c r="AY67" i="7" s="1"/>
  <c r="AY68" i="7" s="1"/>
  <c r="AZ64" i="7" s="1"/>
  <c r="BB4" i="7"/>
  <c r="BB41" i="3"/>
  <c r="BB5" i="3"/>
  <c r="BB6" i="3"/>
  <c r="BB61" i="3" s="1"/>
  <c r="BB31" i="3" s="1"/>
  <c r="BB7" i="3"/>
  <c r="BB59" i="3" s="1"/>
  <c r="BB40" i="3" s="1"/>
  <c r="BC4" i="3"/>
  <c r="AY47" i="7"/>
  <c r="AX72" i="7"/>
  <c r="AZ76" i="7"/>
  <c r="AZ39" i="3" s="1"/>
  <c r="AY73" i="7" l="1"/>
  <c r="AY36" i="3" s="1"/>
  <c r="AY75" i="7"/>
  <c r="AY38" i="3" s="1"/>
  <c r="AZ65" i="7"/>
  <c r="AZ67" i="7" s="1"/>
  <c r="AZ68" i="7" s="1"/>
  <c r="BA64" i="7" s="1"/>
  <c r="AZ56" i="7"/>
  <c r="BA46" i="7"/>
  <c r="BA48" i="7"/>
  <c r="AZ38" i="7"/>
  <c r="AZ40" i="7" s="1"/>
  <c r="BA71" i="7"/>
  <c r="BA34" i="3" s="1"/>
  <c r="BB63" i="7"/>
  <c r="BB54" i="7"/>
  <c r="BB53" i="7"/>
  <c r="BB44" i="7"/>
  <c r="BB62" i="7"/>
  <c r="BB45" i="7"/>
  <c r="BB36" i="7"/>
  <c r="BB27" i="7"/>
  <c r="BB9" i="7"/>
  <c r="BB14" i="7"/>
  <c r="BB7" i="7"/>
  <c r="BB26" i="7"/>
  <c r="BB12" i="7"/>
  <c r="BB8" i="7"/>
  <c r="BB13" i="7"/>
  <c r="BB17" i="7"/>
  <c r="BB35" i="7"/>
  <c r="BB18" i="7"/>
  <c r="AY72" i="7"/>
  <c r="BA30" i="7"/>
  <c r="BA28" i="7"/>
  <c r="AY41" i="7"/>
  <c r="AZ58" i="7"/>
  <c r="AZ59" i="7" s="1"/>
  <c r="BA55" i="7" s="1"/>
  <c r="AX77" i="7"/>
  <c r="AX35" i="3"/>
  <c r="AX42" i="3" s="1"/>
  <c r="AY23" i="7"/>
  <c r="AZ29" i="7"/>
  <c r="AZ31" i="7" s="1"/>
  <c r="AZ32" i="7" s="1"/>
  <c r="BA57" i="7"/>
  <c r="BD8" i="9"/>
  <c r="BE7" i="9" s="1"/>
  <c r="BD1" i="9"/>
  <c r="AY74" i="7"/>
  <c r="AY37" i="3" s="1"/>
  <c r="BA66" i="7"/>
  <c r="Z20" i="7"/>
  <c r="AZ47" i="7"/>
  <c r="AZ49" i="7" s="1"/>
  <c r="AZ50" i="7" s="1"/>
  <c r="AW77" i="7"/>
  <c r="AW35" i="3"/>
  <c r="AW42" i="3" s="1"/>
  <c r="BA37" i="7"/>
  <c r="BA39" i="7"/>
  <c r="Y42" i="3"/>
  <c r="BA21" i="7"/>
  <c r="BA19" i="7"/>
  <c r="Z74" i="7"/>
  <c r="Z37" i="3" s="1"/>
  <c r="D35" i="2" s="1"/>
  <c r="Z40" i="7"/>
  <c r="Y77" i="7"/>
  <c r="AZ20" i="7"/>
  <c r="AZ75" i="7" s="1"/>
  <c r="AZ38" i="3" s="1"/>
  <c r="BC4" i="7"/>
  <c r="BC41" i="3"/>
  <c r="BC7" i="3"/>
  <c r="BC59" i="3" s="1"/>
  <c r="BC40" i="3" s="1"/>
  <c r="BC6" i="3"/>
  <c r="BC61" i="3" s="1"/>
  <c r="BC31" i="3" s="1"/>
  <c r="BD4" i="3"/>
  <c r="BC5" i="3"/>
  <c r="BA56" i="7" l="1"/>
  <c r="BA58" i="7" s="1"/>
  <c r="BA59" i="7" s="1"/>
  <c r="BB55" i="7" s="1"/>
  <c r="BA65" i="7"/>
  <c r="Y52" i="3"/>
  <c r="Y43" i="3"/>
  <c r="Y45" i="3" s="1"/>
  <c r="Y49" i="3" s="1"/>
  <c r="Z48" i="3" s="1"/>
  <c r="AX52" i="3"/>
  <c r="AX43" i="3"/>
  <c r="AX45" i="3" s="1"/>
  <c r="AZ74" i="7"/>
  <c r="AZ37" i="3" s="1"/>
  <c r="BB57" i="7"/>
  <c r="BA47" i="7"/>
  <c r="BA49" i="7" s="1"/>
  <c r="BA50" i="7" s="1"/>
  <c r="AZ72" i="7"/>
  <c r="Z72" i="7"/>
  <c r="Z41" i="7"/>
  <c r="AA37" i="7" s="1"/>
  <c r="BE8" i="9"/>
  <c r="BF7" i="9" s="1"/>
  <c r="BE1" i="9"/>
  <c r="AY77" i="7"/>
  <c r="AY35" i="3"/>
  <c r="BA38" i="7"/>
  <c r="BB76" i="7"/>
  <c r="BB39" i="3" s="1"/>
  <c r="BB66" i="7"/>
  <c r="BA40" i="7"/>
  <c r="BA41" i="7" s="1"/>
  <c r="BB21" i="7"/>
  <c r="BB19" i="7"/>
  <c r="BA20" i="7"/>
  <c r="Z75" i="7"/>
  <c r="Z38" i="3" s="1"/>
  <c r="D36" i="2" s="1"/>
  <c r="Z22" i="7"/>
  <c r="BC63" i="7"/>
  <c r="BC62" i="7"/>
  <c r="BC54" i="7"/>
  <c r="BC45" i="7"/>
  <c r="BC36" i="7"/>
  <c r="BC14" i="7"/>
  <c r="BC7" i="7"/>
  <c r="BC44" i="7"/>
  <c r="BC26" i="7"/>
  <c r="BC12" i="7"/>
  <c r="BC17" i="7"/>
  <c r="BC13" i="7"/>
  <c r="BC53" i="7"/>
  <c r="BC35" i="7"/>
  <c r="BC18" i="7"/>
  <c r="BC27" i="7"/>
  <c r="BC8" i="7"/>
  <c r="BC9" i="7"/>
  <c r="BB71" i="7"/>
  <c r="BB34" i="3" s="1"/>
  <c r="BB30" i="7"/>
  <c r="BB28" i="7"/>
  <c r="BB39" i="7"/>
  <c r="BB37" i="7"/>
  <c r="AW52" i="3"/>
  <c r="AW43" i="3"/>
  <c r="AW45" i="3" s="1"/>
  <c r="BB48" i="7"/>
  <c r="BB46" i="7"/>
  <c r="BD4" i="7"/>
  <c r="BD41" i="3"/>
  <c r="BD6" i="3"/>
  <c r="BD61" i="3" s="1"/>
  <c r="BD31" i="3" s="1"/>
  <c r="BD7" i="3"/>
  <c r="BD59" i="3" s="1"/>
  <c r="BD40" i="3" s="1"/>
  <c r="BE4" i="3"/>
  <c r="BD5" i="3"/>
  <c r="BA67" i="7"/>
  <c r="BA68" i="7" s="1"/>
  <c r="BB64" i="7" s="1"/>
  <c r="AZ22" i="7"/>
  <c r="BA29" i="7"/>
  <c r="BA31" i="7" s="1"/>
  <c r="BA32" i="7" s="1"/>
  <c r="AZ41" i="7"/>
  <c r="BA75" i="7" l="1"/>
  <c r="BA38" i="3" s="1"/>
  <c r="BB65" i="7"/>
  <c r="BB56" i="7"/>
  <c r="BB58" i="7" s="1"/>
  <c r="BB59" i="7" s="1"/>
  <c r="BC55" i="7" s="1"/>
  <c r="BE4" i="7"/>
  <c r="BE5" i="3"/>
  <c r="BE6" i="3"/>
  <c r="BE61" i="3" s="1"/>
  <c r="BE31" i="3" s="1"/>
  <c r="BE41" i="3"/>
  <c r="BF4" i="3"/>
  <c r="BE7" i="3"/>
  <c r="BE59" i="3" s="1"/>
  <c r="BE40" i="3" s="1"/>
  <c r="BC39" i="7"/>
  <c r="BC37" i="7"/>
  <c r="BF8" i="9"/>
  <c r="BG7" i="9" s="1"/>
  <c r="BF1" i="9"/>
  <c r="BC21" i="7"/>
  <c r="BC19" i="7"/>
  <c r="BB67" i="7"/>
  <c r="BB68" i="7" s="1"/>
  <c r="BC64" i="7" s="1"/>
  <c r="Y53" i="3"/>
  <c r="BC57" i="7"/>
  <c r="BB20" i="7"/>
  <c r="BB22" i="7" s="1"/>
  <c r="BC76" i="7"/>
  <c r="BC39" i="3" s="1"/>
  <c r="BA74" i="7"/>
  <c r="BA37" i="3" s="1"/>
  <c r="AZ35" i="3"/>
  <c r="Z73" i="7"/>
  <c r="Z36" i="3" s="1"/>
  <c r="D34" i="2" s="1"/>
  <c r="Z23" i="7"/>
  <c r="AA19" i="7" s="1"/>
  <c r="BB29" i="7"/>
  <c r="BB31" i="7" s="1"/>
  <c r="BB32" i="7" s="1"/>
  <c r="BC48" i="7"/>
  <c r="BC46" i="7"/>
  <c r="AA38" i="7"/>
  <c r="BA22" i="7"/>
  <c r="BC71" i="7"/>
  <c r="BC34" i="3" s="1"/>
  <c r="Z35" i="3"/>
  <c r="BD63" i="7"/>
  <c r="BD54" i="7"/>
  <c r="BD62" i="7"/>
  <c r="BD45" i="7"/>
  <c r="BD36" i="7"/>
  <c r="BD27" i="7"/>
  <c r="BD53" i="7"/>
  <c r="BD44" i="7"/>
  <c r="BD35" i="7"/>
  <c r="BD26" i="7"/>
  <c r="BD7" i="7"/>
  <c r="BD12" i="7"/>
  <c r="BD17" i="7"/>
  <c r="BD8" i="7"/>
  <c r="BD18" i="7"/>
  <c r="BD9" i="7"/>
  <c r="BD76" i="7" s="1"/>
  <c r="BD39" i="3" s="1"/>
  <c r="BD13" i="7"/>
  <c r="BD14" i="7"/>
  <c r="BB38" i="7"/>
  <c r="BB40" i="7" s="1"/>
  <c r="BC66" i="7"/>
  <c r="AZ73" i="7"/>
  <c r="AZ36" i="3" s="1"/>
  <c r="AZ23" i="7"/>
  <c r="BB47" i="7"/>
  <c r="BB49" i="7" s="1"/>
  <c r="BB50" i="7" s="1"/>
  <c r="BC30" i="7"/>
  <c r="BC28" i="7"/>
  <c r="BA72" i="7"/>
  <c r="AY42" i="3"/>
  <c r="AZ77" i="7" l="1"/>
  <c r="BC65" i="7"/>
  <c r="BC67" i="7" s="1"/>
  <c r="BC68" i="7" s="1"/>
  <c r="BD64" i="7" s="1"/>
  <c r="BB73" i="7"/>
  <c r="BB36" i="3" s="1"/>
  <c r="BB23" i="7"/>
  <c r="BC56" i="7"/>
  <c r="BB72" i="7"/>
  <c r="BB74" i="7"/>
  <c r="BB37" i="3" s="1"/>
  <c r="BC47" i="7"/>
  <c r="BC49" i="7" s="1"/>
  <c r="BC50" i="7" s="1"/>
  <c r="BD57" i="7"/>
  <c r="AA74" i="7"/>
  <c r="AA37" i="3" s="1"/>
  <c r="AA40" i="7"/>
  <c r="AZ42" i="3"/>
  <c r="BC58" i="7"/>
  <c r="BC59" i="7" s="1"/>
  <c r="BD55" i="7" s="1"/>
  <c r="Z42" i="3"/>
  <c r="D33" i="2"/>
  <c r="BC20" i="7"/>
  <c r="BF4" i="7"/>
  <c r="BF41" i="3"/>
  <c r="BF7" i="3"/>
  <c r="BF59" i="3" s="1"/>
  <c r="BF40" i="3" s="1"/>
  <c r="BG4" i="3"/>
  <c r="BF6" i="3"/>
  <c r="BF61" i="3" s="1"/>
  <c r="BF31" i="3" s="1"/>
  <c r="BF5" i="3"/>
  <c r="BA35" i="3"/>
  <c r="BD21" i="7"/>
  <c r="BD19" i="7"/>
  <c r="Z77" i="7"/>
  <c r="BC29" i="7"/>
  <c r="BD66" i="7"/>
  <c r="AY52" i="3"/>
  <c r="AY43" i="3"/>
  <c r="BD71" i="7"/>
  <c r="BD34" i="3" s="1"/>
  <c r="BD37" i="7"/>
  <c r="BD39" i="7"/>
  <c r="AA20" i="7"/>
  <c r="BG8" i="9"/>
  <c r="BH7" i="9" s="1"/>
  <c r="BG1" i="9"/>
  <c r="BD28" i="7"/>
  <c r="BD30" i="7"/>
  <c r="BC31" i="7"/>
  <c r="BC32" i="7" s="1"/>
  <c r="BB41" i="7"/>
  <c r="BD46" i="7"/>
  <c r="BD48" i="7"/>
  <c r="BA73" i="7"/>
  <c r="BA36" i="3" s="1"/>
  <c r="BA23" i="7"/>
  <c r="BB75" i="7"/>
  <c r="BB38" i="3" s="1"/>
  <c r="BC38" i="7"/>
  <c r="BC40" i="7" s="1"/>
  <c r="BC41" i="7" s="1"/>
  <c r="BE45" i="7"/>
  <c r="BE62" i="7"/>
  <c r="BE54" i="7"/>
  <c r="BE53" i="7"/>
  <c r="BE44" i="7"/>
  <c r="BE35" i="7"/>
  <c r="BE26" i="7"/>
  <c r="BE63" i="7"/>
  <c r="BE12" i="7"/>
  <c r="BE17" i="7"/>
  <c r="BE8" i="7"/>
  <c r="BE27" i="7"/>
  <c r="BE13" i="7"/>
  <c r="BE9" i="7"/>
  <c r="BE14" i="7"/>
  <c r="BE36" i="7"/>
  <c r="BE7" i="7"/>
  <c r="BE18" i="7"/>
  <c r="BC75" i="7" l="1"/>
  <c r="BC38" i="3" s="1"/>
  <c r="BC22" i="7"/>
  <c r="BC23" i="7" s="1"/>
  <c r="BD56" i="7"/>
  <c r="BD58" i="7" s="1"/>
  <c r="BD59" i="7" s="1"/>
  <c r="BE55" i="7" s="1"/>
  <c r="BD65" i="7"/>
  <c r="BE57" i="7"/>
  <c r="BH8" i="9"/>
  <c r="BI7" i="9" s="1"/>
  <c r="BH1" i="9"/>
  <c r="BG4" i="7"/>
  <c r="BG41" i="3"/>
  <c r="BG6" i="3"/>
  <c r="BG61" i="3" s="1"/>
  <c r="BG31" i="3" s="1"/>
  <c r="BG7" i="3"/>
  <c r="BG59" i="3" s="1"/>
  <c r="BG40" i="3" s="1"/>
  <c r="BH4" i="3"/>
  <c r="BG5" i="3"/>
  <c r="BE19" i="7"/>
  <c r="BE21" i="7"/>
  <c r="BE48" i="7"/>
  <c r="BE46" i="7"/>
  <c r="BD47" i="7"/>
  <c r="BD49" i="7" s="1"/>
  <c r="BD50" i="7" s="1"/>
  <c r="AA75" i="7"/>
  <c r="AA38" i="3" s="1"/>
  <c r="AA22" i="7"/>
  <c r="BD20" i="7"/>
  <c r="AZ52" i="3"/>
  <c r="AZ43" i="3"/>
  <c r="AZ45" i="3" s="1"/>
  <c r="Z52" i="3"/>
  <c r="Z43" i="3"/>
  <c r="D40" i="2"/>
  <c r="BB77" i="7"/>
  <c r="BB35" i="3"/>
  <c r="BB42" i="3" s="1"/>
  <c r="BE71" i="7"/>
  <c r="BE34" i="3" s="1"/>
  <c r="BE39" i="7"/>
  <c r="BE37" i="7"/>
  <c r="BE66" i="7"/>
  <c r="BC74" i="7"/>
  <c r="BC37" i="3" s="1"/>
  <c r="BD67" i="7"/>
  <c r="BD68" i="7" s="1"/>
  <c r="BE64" i="7" s="1"/>
  <c r="BF62" i="7"/>
  <c r="BF53" i="7"/>
  <c r="BF63" i="7"/>
  <c r="BF54" i="7"/>
  <c r="BF17" i="7"/>
  <c r="BF44" i="7"/>
  <c r="BF26" i="7"/>
  <c r="BF8" i="7"/>
  <c r="BF27" i="7"/>
  <c r="BF13" i="7"/>
  <c r="BF18" i="7"/>
  <c r="BF35" i="7"/>
  <c r="BF14" i="7"/>
  <c r="BF45" i="7"/>
  <c r="BF36" i="7"/>
  <c r="BF7" i="7"/>
  <c r="BF9" i="7"/>
  <c r="BF12" i="7"/>
  <c r="AA72" i="7"/>
  <c r="AA41" i="7"/>
  <c r="AB37" i="7" s="1"/>
  <c r="BC72" i="7"/>
  <c r="BD31" i="7"/>
  <c r="BD32" i="7" s="1"/>
  <c r="BD38" i="7"/>
  <c r="BA77" i="7"/>
  <c r="BD29" i="7"/>
  <c r="BA42" i="3"/>
  <c r="BE76" i="7"/>
  <c r="BE39" i="3" s="1"/>
  <c r="BE30" i="7"/>
  <c r="BE28" i="7"/>
  <c r="AY45" i="3"/>
  <c r="BD75" i="7" l="1"/>
  <c r="BD38" i="3" s="1"/>
  <c r="BC73" i="7"/>
  <c r="BC36" i="3" s="1"/>
  <c r="BD74" i="7"/>
  <c r="BD37" i="3" s="1"/>
  <c r="BE65" i="7"/>
  <c r="BE56" i="7"/>
  <c r="BE58" i="7" s="1"/>
  <c r="BE59" i="7" s="1"/>
  <c r="BF55" i="7" s="1"/>
  <c r="BA52" i="3"/>
  <c r="BA43" i="3"/>
  <c r="BF76" i="7"/>
  <c r="BF39" i="3" s="1"/>
  <c r="BF28" i="7"/>
  <c r="BF30" i="7"/>
  <c r="AA73" i="7"/>
  <c r="AA36" i="3" s="1"/>
  <c r="AA23" i="7"/>
  <c r="AB19" i="7" s="1"/>
  <c r="BE20" i="7"/>
  <c r="BI1" i="9"/>
  <c r="BI8" i="9"/>
  <c r="BJ7" i="9" s="1"/>
  <c r="BD22" i="7"/>
  <c r="BF37" i="7"/>
  <c r="BF39" i="7"/>
  <c r="BH4" i="7"/>
  <c r="BH41" i="3"/>
  <c r="BH7" i="3"/>
  <c r="BH59" i="3" s="1"/>
  <c r="BH40" i="3" s="1"/>
  <c r="BH5" i="3"/>
  <c r="BI4" i="3"/>
  <c r="BH6" i="3"/>
  <c r="BH61" i="3" s="1"/>
  <c r="BH31" i="3" s="1"/>
  <c r="BC77" i="7"/>
  <c r="BC35" i="3"/>
  <c r="BB52" i="3"/>
  <c r="BB43" i="3"/>
  <c r="BB45" i="3" s="1"/>
  <c r="BD40" i="7"/>
  <c r="BF71" i="7"/>
  <c r="BF34" i="3" s="1"/>
  <c r="BE47" i="7"/>
  <c r="BE49" i="7" s="1"/>
  <c r="BE50" i="7" s="1"/>
  <c r="BF48" i="7"/>
  <c r="BF46" i="7"/>
  <c r="BE29" i="7"/>
  <c r="BE31" i="7" s="1"/>
  <c r="BE32" i="7" s="1"/>
  <c r="AB38" i="7"/>
  <c r="BF57" i="7"/>
  <c r="BE67" i="7"/>
  <c r="BE68" i="7" s="1"/>
  <c r="BF64" i="7" s="1"/>
  <c r="D10" i="1"/>
  <c r="D51" i="2"/>
  <c r="AA77" i="7"/>
  <c r="AA35" i="3"/>
  <c r="BF21" i="7"/>
  <c r="BF19" i="7"/>
  <c r="BF66" i="7"/>
  <c r="BE38" i="7"/>
  <c r="Z45" i="3"/>
  <c r="D41" i="2"/>
  <c r="BG62" i="7"/>
  <c r="BG53" i="7"/>
  <c r="BG63" i="7"/>
  <c r="BG54" i="7"/>
  <c r="BG44" i="7"/>
  <c r="BG35" i="7"/>
  <c r="BG26" i="7"/>
  <c r="BG45" i="7"/>
  <c r="BG36" i="7"/>
  <c r="BG27" i="7"/>
  <c r="BG8" i="7"/>
  <c r="BG13" i="7"/>
  <c r="BG18" i="7"/>
  <c r="BG9" i="7"/>
  <c r="BG7" i="7"/>
  <c r="BG12" i="7"/>
  <c r="BG17" i="7"/>
  <c r="BG14" i="7"/>
  <c r="BE74" i="7" l="1"/>
  <c r="BE37" i="3" s="1"/>
  <c r="BF56" i="7"/>
  <c r="BF58" i="7" s="1"/>
  <c r="BF59" i="7" s="1"/>
  <c r="BG55" i="7" s="1"/>
  <c r="BF65" i="7"/>
  <c r="BF67" i="7" s="1"/>
  <c r="BF68" i="7" s="1"/>
  <c r="BG64" i="7" s="1"/>
  <c r="BF38" i="7"/>
  <c r="BF20" i="7"/>
  <c r="BF75" i="7" s="1"/>
  <c r="BF38" i="3" s="1"/>
  <c r="BI4" i="7"/>
  <c r="BI7" i="3"/>
  <c r="BI59" i="3" s="1"/>
  <c r="BI40" i="3" s="1"/>
  <c r="BI41" i="3"/>
  <c r="BJ4" i="3"/>
  <c r="BI6" i="3"/>
  <c r="BI61" i="3" s="1"/>
  <c r="BI31" i="3" s="1"/>
  <c r="BI5" i="3"/>
  <c r="BE75" i="7"/>
  <c r="BE38" i="3" s="1"/>
  <c r="BA45" i="3"/>
  <c r="BG71" i="7"/>
  <c r="BG34" i="3" s="1"/>
  <c r="BG39" i="7"/>
  <c r="BG37" i="7"/>
  <c r="BF47" i="7"/>
  <c r="BG48" i="7"/>
  <c r="BG46" i="7"/>
  <c r="AA42" i="3"/>
  <c r="BF49" i="7"/>
  <c r="BF50" i="7" s="1"/>
  <c r="BD73" i="7"/>
  <c r="BD36" i="3" s="1"/>
  <c r="BD23" i="7"/>
  <c r="AB20" i="7"/>
  <c r="BG66" i="7"/>
  <c r="BC42" i="3"/>
  <c r="BE22" i="7"/>
  <c r="BD72" i="7"/>
  <c r="BD41" i="7"/>
  <c r="D43" i="2"/>
  <c r="Z49" i="3"/>
  <c r="BH62" i="7"/>
  <c r="BH54" i="7"/>
  <c r="BH44" i="7"/>
  <c r="BH63" i="7"/>
  <c r="BH45" i="7"/>
  <c r="BH36" i="7"/>
  <c r="BH27" i="7"/>
  <c r="BH26" i="7"/>
  <c r="BH13" i="7"/>
  <c r="BH18" i="7"/>
  <c r="BH9" i="7"/>
  <c r="BH14" i="7"/>
  <c r="BH53" i="7"/>
  <c r="BH12" i="7"/>
  <c r="BH17" i="7"/>
  <c r="BH8" i="7"/>
  <c r="BH7" i="7"/>
  <c r="BH35" i="7"/>
  <c r="BF31" i="7"/>
  <c r="BF32" i="7" s="1"/>
  <c r="BG21" i="7"/>
  <c r="BG19" i="7"/>
  <c r="AB74" i="7"/>
  <c r="AB37" i="3" s="1"/>
  <c r="AB40" i="7"/>
  <c r="BE40" i="7"/>
  <c r="BF29" i="7"/>
  <c r="BG30" i="7"/>
  <c r="BG28" i="7"/>
  <c r="BG76" i="7"/>
  <c r="BG39" i="3" s="1"/>
  <c r="BG57" i="7"/>
  <c r="BF40" i="7"/>
  <c r="BF41" i="7" s="1"/>
  <c r="BJ8" i="9"/>
  <c r="BK7" i="9" s="1"/>
  <c r="BJ1" i="9"/>
  <c r="BG65" i="7" l="1"/>
  <c r="BG67" i="7" s="1"/>
  <c r="BG68" i="7" s="1"/>
  <c r="BH64" i="7" s="1"/>
  <c r="BG56" i="7"/>
  <c r="BG58" i="7" s="1"/>
  <c r="BG59" i="7" s="1"/>
  <c r="BH55" i="7" s="1"/>
  <c r="BE72" i="7"/>
  <c r="BE41" i="7"/>
  <c r="AB72" i="7"/>
  <c r="AB41" i="7"/>
  <c r="AC37" i="7" s="1"/>
  <c r="BH71" i="7"/>
  <c r="BH34" i="3" s="1"/>
  <c r="BH28" i="7"/>
  <c r="BH30" i="7"/>
  <c r="D12" i="1"/>
  <c r="BC52" i="3"/>
  <c r="BC43" i="3"/>
  <c r="BF74" i="7"/>
  <c r="BF37" i="3" s="1"/>
  <c r="BH37" i="7"/>
  <c r="BH39" i="7"/>
  <c r="BF22" i="7"/>
  <c r="BG20" i="7"/>
  <c r="BH48" i="7"/>
  <c r="BH46" i="7"/>
  <c r="BG38" i="7"/>
  <c r="BJ4" i="7"/>
  <c r="BJ41" i="3"/>
  <c r="G39" i="2" s="1"/>
  <c r="BJ5" i="3"/>
  <c r="BJ6" i="3"/>
  <c r="BJ61" i="3" s="1"/>
  <c r="BJ31" i="3" s="1"/>
  <c r="BK4" i="3"/>
  <c r="BJ7" i="3"/>
  <c r="BJ59" i="3" s="1"/>
  <c r="BJ40" i="3" s="1"/>
  <c r="G38" i="2" s="1"/>
  <c r="BH66" i="7"/>
  <c r="BG29" i="7"/>
  <c r="BG31" i="7" s="1"/>
  <c r="BG32" i="7" s="1"/>
  <c r="BG22" i="7"/>
  <c r="BG23" i="7" s="1"/>
  <c r="BD77" i="7"/>
  <c r="BD35" i="3"/>
  <c r="AA52" i="3"/>
  <c r="AA43" i="3"/>
  <c r="BH76" i="7"/>
  <c r="BH39" i="3" s="1"/>
  <c r="BK1" i="9"/>
  <c r="BK8" i="9"/>
  <c r="BL7" i="9" s="1"/>
  <c r="BF72" i="7"/>
  <c r="BH19" i="7"/>
  <c r="BH21" i="7"/>
  <c r="BH57" i="7"/>
  <c r="BE73" i="7"/>
  <c r="BE36" i="3" s="1"/>
  <c r="BE23" i="7"/>
  <c r="BG47" i="7"/>
  <c r="BG49" i="7" s="1"/>
  <c r="BG50" i="7" s="1"/>
  <c r="BI62" i="7"/>
  <c r="BI53" i="7"/>
  <c r="BI63" i="7"/>
  <c r="BI54" i="7"/>
  <c r="BI44" i="7"/>
  <c r="BI35" i="7"/>
  <c r="BI26" i="7"/>
  <c r="BI18" i="7"/>
  <c r="BI27" i="7"/>
  <c r="BI9" i="7"/>
  <c r="BI14" i="7"/>
  <c r="BI7" i="7"/>
  <c r="BI45" i="7"/>
  <c r="BI36" i="7"/>
  <c r="BI17" i="7"/>
  <c r="BI8" i="7"/>
  <c r="BI12" i="7"/>
  <c r="BI13" i="7"/>
  <c r="AB75" i="7"/>
  <c r="AB38" i="3" s="1"/>
  <c r="AB22" i="7"/>
  <c r="AA48" i="3"/>
  <c r="D47" i="2"/>
  <c r="D48" i="2"/>
  <c r="Z53" i="3"/>
  <c r="BG74" i="7" l="1"/>
  <c r="BG37" i="3" s="1"/>
  <c r="BH65" i="7"/>
  <c r="BH56" i="7"/>
  <c r="BC45" i="3"/>
  <c r="BI21" i="7"/>
  <c r="BI19" i="7"/>
  <c r="BF35" i="3"/>
  <c r="AA45" i="3"/>
  <c r="AA49" i="3" s="1"/>
  <c r="BJ63" i="7"/>
  <c r="BJ54" i="7"/>
  <c r="BJ62" i="7"/>
  <c r="BJ44" i="7"/>
  <c r="BJ53" i="7"/>
  <c r="BJ45" i="7"/>
  <c r="BJ36" i="7"/>
  <c r="BJ27" i="7"/>
  <c r="BJ9" i="7"/>
  <c r="BJ76" i="7" s="1"/>
  <c r="BJ39" i="3" s="1"/>
  <c r="BJ14" i="7"/>
  <c r="BJ7" i="7"/>
  <c r="BJ35" i="7"/>
  <c r="BJ12" i="7"/>
  <c r="BJ8" i="7"/>
  <c r="BJ13" i="7"/>
  <c r="BJ17" i="7"/>
  <c r="BJ26" i="7"/>
  <c r="BJ18" i="7"/>
  <c r="BF73" i="7"/>
  <c r="BF36" i="3" s="1"/>
  <c r="BF23" i="7"/>
  <c r="AB35" i="3"/>
  <c r="BI28" i="7"/>
  <c r="BI30" i="7"/>
  <c r="BH20" i="7"/>
  <c r="AC38" i="7"/>
  <c r="BI71" i="7"/>
  <c r="BI34" i="3" s="1"/>
  <c r="BH67" i="7"/>
  <c r="BH68" i="7" s="1"/>
  <c r="BI64" i="7" s="1"/>
  <c r="AB73" i="7"/>
  <c r="AB36" i="3" s="1"/>
  <c r="AB23" i="7"/>
  <c r="AC19" i="7" s="1"/>
  <c r="BH38" i="7"/>
  <c r="BH40" i="7" s="1"/>
  <c r="BH47" i="7"/>
  <c r="BH49" i="7" s="1"/>
  <c r="BH50" i="7" s="1"/>
  <c r="BE77" i="7"/>
  <c r="BE35" i="3"/>
  <c r="BE42" i="3" s="1"/>
  <c r="BI39" i="7"/>
  <c r="BI37" i="7"/>
  <c r="BL8" i="9"/>
  <c r="BM7" i="9" s="1"/>
  <c r="BL1" i="9"/>
  <c r="BI46" i="7"/>
  <c r="BI48" i="7"/>
  <c r="D14" i="1"/>
  <c r="BI57" i="7"/>
  <c r="BH58" i="7"/>
  <c r="BH59" i="7" s="1"/>
  <c r="BI55" i="7" s="1"/>
  <c r="BG40" i="7"/>
  <c r="BD42" i="3"/>
  <c r="BK4" i="7"/>
  <c r="BK41" i="3"/>
  <c r="BK6" i="3"/>
  <c r="BK61" i="3" s="1"/>
  <c r="BK31" i="3" s="1"/>
  <c r="BK5" i="3"/>
  <c r="BL4" i="3"/>
  <c r="BK7" i="3"/>
  <c r="BK59" i="3" s="1"/>
  <c r="BK40" i="3" s="1"/>
  <c r="BI66" i="7"/>
  <c r="G29" i="2"/>
  <c r="BH29" i="7"/>
  <c r="BH31" i="7" s="1"/>
  <c r="BH32" i="7" s="1"/>
  <c r="D13" i="1"/>
  <c r="D55" i="2"/>
  <c r="D52" i="2"/>
  <c r="E46" i="2"/>
  <c r="BI76" i="7"/>
  <c r="BI39" i="3" s="1"/>
  <c r="BG73" i="7"/>
  <c r="BG36" i="3" s="1"/>
  <c r="BG75" i="7"/>
  <c r="BG38" i="3" s="1"/>
  <c r="AB77" i="7" l="1"/>
  <c r="BH72" i="7"/>
  <c r="BF77" i="7"/>
  <c r="BJ71" i="7"/>
  <c r="BJ34" i="3" s="1"/>
  <c r="G32" i="2" s="1"/>
  <c r="BI56" i="7"/>
  <c r="AB48" i="3"/>
  <c r="AA53" i="3"/>
  <c r="BI65" i="7"/>
  <c r="BI67" i="7" s="1"/>
  <c r="BI68" i="7" s="1"/>
  <c r="BJ64" i="7" s="1"/>
  <c r="G9" i="1"/>
  <c r="BM8" i="9"/>
  <c r="BN7" i="9" s="1"/>
  <c r="BM1" i="9"/>
  <c r="BH74" i="7"/>
  <c r="BH37" i="3" s="1"/>
  <c r="BI47" i="7"/>
  <c r="BL4" i="7"/>
  <c r="BL41" i="3"/>
  <c r="BL6" i="3"/>
  <c r="BL61" i="3" s="1"/>
  <c r="BL31" i="3" s="1"/>
  <c r="BL7" i="3"/>
  <c r="BL59" i="3" s="1"/>
  <c r="BL40" i="3" s="1"/>
  <c r="BL5" i="3"/>
  <c r="BM4" i="3"/>
  <c r="AC74" i="7"/>
  <c r="AC37" i="3" s="1"/>
  <c r="AC40" i="7"/>
  <c r="BI20" i="7"/>
  <c r="BI22" i="7" s="1"/>
  <c r="BI23" i="7" s="1"/>
  <c r="BI58" i="7"/>
  <c r="BI59" i="7" s="1"/>
  <c r="BJ55" i="7" s="1"/>
  <c r="BI38" i="7"/>
  <c r="AC20" i="7"/>
  <c r="BJ21" i="7"/>
  <c r="BJ19" i="7"/>
  <c r="BJ57" i="7"/>
  <c r="BG72" i="7"/>
  <c r="BG41" i="7"/>
  <c r="BH75" i="7"/>
  <c r="BH38" i="3" s="1"/>
  <c r="G37" i="2"/>
  <c r="BJ66" i="7"/>
  <c r="BI29" i="7"/>
  <c r="BI31" i="7" s="1"/>
  <c r="BI32" i="7" s="1"/>
  <c r="BK63" i="7"/>
  <c r="BK62" i="7"/>
  <c r="BK53" i="7"/>
  <c r="BK45" i="7"/>
  <c r="BK44" i="7"/>
  <c r="BK27" i="7"/>
  <c r="BK14" i="7"/>
  <c r="BK7" i="7"/>
  <c r="BK54" i="7"/>
  <c r="BK35" i="7"/>
  <c r="BK12" i="7"/>
  <c r="BK17" i="7"/>
  <c r="BK13" i="7"/>
  <c r="BK26" i="7"/>
  <c r="BK18" i="7"/>
  <c r="BK36" i="7"/>
  <c r="BK8" i="7"/>
  <c r="BK9" i="7"/>
  <c r="BK76" i="7" s="1"/>
  <c r="BK39" i="3" s="1"/>
  <c r="BE52" i="3"/>
  <c r="BE43" i="3"/>
  <c r="BE45" i="3" s="1"/>
  <c r="BH35" i="3"/>
  <c r="BJ30" i="7"/>
  <c r="BJ28" i="7"/>
  <c r="BJ39" i="7"/>
  <c r="BJ37" i="7"/>
  <c r="BH22" i="7"/>
  <c r="BD52" i="3"/>
  <c r="BD43" i="3"/>
  <c r="BI49" i="7"/>
  <c r="BI50" i="7" s="1"/>
  <c r="AB42" i="3"/>
  <c r="BJ48" i="7"/>
  <c r="BJ46" i="7"/>
  <c r="BF42" i="3"/>
  <c r="BH41" i="7"/>
  <c r="BI74" i="7" l="1"/>
  <c r="BI37" i="3" s="1"/>
  <c r="BJ56" i="7"/>
  <c r="BJ58" i="7" s="1"/>
  <c r="BJ59" i="7" s="1"/>
  <c r="BJ65" i="7"/>
  <c r="BD45" i="3"/>
  <c r="BK55" i="7"/>
  <c r="BK57" i="7"/>
  <c r="BK66" i="7"/>
  <c r="BM4" i="7"/>
  <c r="BM5" i="3"/>
  <c r="BM41" i="3"/>
  <c r="BM6" i="3"/>
  <c r="BM61" i="3" s="1"/>
  <c r="BM31" i="3" s="1"/>
  <c r="BN4" i="3"/>
  <c r="BM7" i="3"/>
  <c r="BM59" i="3" s="1"/>
  <c r="BM40" i="3" s="1"/>
  <c r="BJ47" i="7"/>
  <c r="BJ49" i="7" s="1"/>
  <c r="BJ50" i="7" s="1"/>
  <c r="BK39" i="7"/>
  <c r="BK37" i="7"/>
  <c r="BI73" i="7"/>
  <c r="BI36" i="3" s="1"/>
  <c r="BJ29" i="7"/>
  <c r="BJ31" i="7" s="1"/>
  <c r="BJ32" i="7" s="1"/>
  <c r="BH73" i="7"/>
  <c r="BH23" i="7"/>
  <c r="AB52" i="3"/>
  <c r="AB43" i="3"/>
  <c r="BJ38" i="7"/>
  <c r="BJ40" i="7" s="1"/>
  <c r="BK30" i="7"/>
  <c r="BK28" i="7"/>
  <c r="BI40" i="7"/>
  <c r="BJ20" i="7"/>
  <c r="BJ67" i="7"/>
  <c r="BJ68" i="7" s="1"/>
  <c r="BK64" i="7" s="1"/>
  <c r="BJ22" i="7"/>
  <c r="BJ23" i="7" s="1"/>
  <c r="G11" i="1"/>
  <c r="BK21" i="7"/>
  <c r="BK19" i="7"/>
  <c r="BK71" i="7"/>
  <c r="BK34" i="3" s="1"/>
  <c r="BK48" i="7"/>
  <c r="BK46" i="7"/>
  <c r="BI75" i="7"/>
  <c r="BI38" i="3" s="1"/>
  <c r="BL63" i="7"/>
  <c r="BL54" i="7"/>
  <c r="BL62" i="7"/>
  <c r="BL53" i="7"/>
  <c r="BL45" i="7"/>
  <c r="BL36" i="7"/>
  <c r="BL27" i="7"/>
  <c r="BL44" i="7"/>
  <c r="BL35" i="7"/>
  <c r="BL26" i="7"/>
  <c r="BL7" i="7"/>
  <c r="BL12" i="7"/>
  <c r="BL17" i="7"/>
  <c r="BL8" i="7"/>
  <c r="BL18" i="7"/>
  <c r="BL9" i="7"/>
  <c r="BL13" i="7"/>
  <c r="BL14" i="7"/>
  <c r="BN8" i="9"/>
  <c r="BO7" i="9" s="1"/>
  <c r="BN1" i="9"/>
  <c r="BF52" i="3"/>
  <c r="BF43" i="3"/>
  <c r="BF45" i="3" s="1"/>
  <c r="BG77" i="7"/>
  <c r="BG35" i="3"/>
  <c r="BG42" i="3" s="1"/>
  <c r="AC75" i="7"/>
  <c r="AC38" i="3" s="1"/>
  <c r="AC22" i="7"/>
  <c r="AC72" i="7"/>
  <c r="AC41" i="7"/>
  <c r="AD37" i="7" s="1"/>
  <c r="BJ75" i="7" l="1"/>
  <c r="BJ38" i="3" s="1"/>
  <c r="BK65" i="7"/>
  <c r="BK67" i="7" s="1"/>
  <c r="BK68" i="7" s="1"/>
  <c r="BL64" i="7" s="1"/>
  <c r="BJ72" i="7"/>
  <c r="BJ41" i="7"/>
  <c r="BL21" i="7"/>
  <c r="BL19" i="7"/>
  <c r="BK47" i="7"/>
  <c r="BK49" i="7" s="1"/>
  <c r="BK50" i="7" s="1"/>
  <c r="AC35" i="3"/>
  <c r="AC73" i="7"/>
  <c r="AC36" i="3" s="1"/>
  <c r="AC23" i="7"/>
  <c r="AD19" i="7" s="1"/>
  <c r="BL71" i="7"/>
  <c r="BL34" i="3" s="1"/>
  <c r="BL46" i="7"/>
  <c r="BL48" i="7"/>
  <c r="BJ73" i="7"/>
  <c r="BJ36" i="3" s="1"/>
  <c r="BK29" i="7"/>
  <c r="BK31" i="7" s="1"/>
  <c r="BK32" i="7" s="1"/>
  <c r="BL28" i="7" s="1"/>
  <c r="BM53" i="7"/>
  <c r="BM45" i="7"/>
  <c r="BM44" i="7"/>
  <c r="BM35" i="7"/>
  <c r="BM26" i="7"/>
  <c r="BM54" i="7"/>
  <c r="BM12" i="7"/>
  <c r="BM17" i="7"/>
  <c r="BM62" i="7"/>
  <c r="BM8" i="7"/>
  <c r="BM63" i="7"/>
  <c r="BM36" i="7"/>
  <c r="BM13" i="7"/>
  <c r="BM9" i="7"/>
  <c r="BM14" i="7"/>
  <c r="BM18" i="7"/>
  <c r="BM27" i="7"/>
  <c r="BM7" i="7"/>
  <c r="AD38" i="7"/>
  <c r="BG52" i="3"/>
  <c r="BG43" i="3"/>
  <c r="BG45" i="3" s="1"/>
  <c r="BK20" i="7"/>
  <c r="BH36" i="3"/>
  <c r="BH42" i="3" s="1"/>
  <c r="BH77" i="7"/>
  <c r="BL57" i="7"/>
  <c r="BL55" i="7"/>
  <c r="BJ74" i="7"/>
  <c r="BJ37" i="3" s="1"/>
  <c r="G35" i="2" s="1"/>
  <c r="BL66" i="7"/>
  <c r="BN4" i="7"/>
  <c r="BN41" i="3"/>
  <c r="BN7" i="3"/>
  <c r="BN59" i="3" s="1"/>
  <c r="BN40" i="3" s="1"/>
  <c r="BN6" i="3"/>
  <c r="BN61" i="3" s="1"/>
  <c r="BN31" i="3" s="1"/>
  <c r="BN5" i="3"/>
  <c r="BO4" i="3"/>
  <c r="BK56" i="7"/>
  <c r="BK58" i="7" s="1"/>
  <c r="BK59" i="7" s="1"/>
  <c r="BO8" i="9"/>
  <c r="BP7" i="9" s="1"/>
  <c r="BO1" i="9"/>
  <c r="BL76" i="7"/>
  <c r="BL39" i="3" s="1"/>
  <c r="G36" i="2"/>
  <c r="AB45" i="3"/>
  <c r="BL30" i="7"/>
  <c r="BL37" i="7"/>
  <c r="BL39" i="7"/>
  <c r="BI72" i="7"/>
  <c r="BI41" i="7"/>
  <c r="BK38" i="7"/>
  <c r="BK74" i="7" l="1"/>
  <c r="BK37" i="3" s="1"/>
  <c r="BK75" i="7"/>
  <c r="BK38" i="3" s="1"/>
  <c r="BL29" i="7"/>
  <c r="BL31" i="7" s="1"/>
  <c r="BL32" i="7" s="1"/>
  <c r="BM28" i="7" s="1"/>
  <c r="BL65" i="7"/>
  <c r="BM66" i="7"/>
  <c r="BN62" i="7"/>
  <c r="BN53" i="7"/>
  <c r="BN63" i="7"/>
  <c r="BN54" i="7"/>
  <c r="BN17" i="7"/>
  <c r="BN35" i="7"/>
  <c r="BN8" i="7"/>
  <c r="BN36" i="7"/>
  <c r="BN13" i="7"/>
  <c r="BN18" i="7"/>
  <c r="BN26" i="7"/>
  <c r="BN14" i="7"/>
  <c r="BN27" i="7"/>
  <c r="BN7" i="7"/>
  <c r="BN44" i="7"/>
  <c r="BN12" i="7"/>
  <c r="BN45" i="7"/>
  <c r="BN9" i="7"/>
  <c r="BN76" i="7" s="1"/>
  <c r="BN39" i="3" s="1"/>
  <c r="BM30" i="7"/>
  <c r="BL47" i="7"/>
  <c r="BL49" i="7" s="1"/>
  <c r="BL50" i="7" s="1"/>
  <c r="BP8" i="9"/>
  <c r="BQ7" i="9" s="1"/>
  <c r="BP1" i="9"/>
  <c r="BI77" i="7"/>
  <c r="BI35" i="3"/>
  <c r="BI42" i="3" s="1"/>
  <c r="BL67" i="7"/>
  <c r="BL68" i="7" s="1"/>
  <c r="BM64" i="7" s="1"/>
  <c r="BL56" i="7"/>
  <c r="BL58" i="7" s="1"/>
  <c r="BL59" i="7" s="1"/>
  <c r="BM19" i="7"/>
  <c r="BM21" i="7"/>
  <c r="BM71" i="7"/>
  <c r="BM34" i="3" s="1"/>
  <c r="BK40" i="7"/>
  <c r="BL20" i="7"/>
  <c r="BL40" i="7"/>
  <c r="AD20" i="7"/>
  <c r="AB49" i="3"/>
  <c r="BM57" i="7"/>
  <c r="BM55" i="7"/>
  <c r="BH52" i="3"/>
  <c r="BH43" i="3"/>
  <c r="BH45" i="3" s="1"/>
  <c r="G34" i="2"/>
  <c r="AC42" i="3"/>
  <c r="BJ77" i="7"/>
  <c r="BJ35" i="3"/>
  <c r="BL22" i="7"/>
  <c r="BL23" i="7" s="1"/>
  <c r="BO4" i="7"/>
  <c r="BO41" i="3"/>
  <c r="BO6" i="3"/>
  <c r="BO61" i="3" s="1"/>
  <c r="BO31" i="3" s="1"/>
  <c r="BO7" i="3"/>
  <c r="BO59" i="3" s="1"/>
  <c r="BO40" i="3" s="1"/>
  <c r="BP4" i="3"/>
  <c r="BO5" i="3"/>
  <c r="AD74" i="7"/>
  <c r="AD37" i="3" s="1"/>
  <c r="AD40" i="7"/>
  <c r="BM76" i="7"/>
  <c r="BM39" i="3" s="1"/>
  <c r="BL38" i="7"/>
  <c r="BK22" i="7"/>
  <c r="BM39" i="7"/>
  <c r="BM37" i="7"/>
  <c r="AC77" i="7"/>
  <c r="BM48" i="7"/>
  <c r="BM46" i="7"/>
  <c r="BM65" i="7" l="1"/>
  <c r="BM29" i="7"/>
  <c r="BN21" i="7"/>
  <c r="BN19" i="7"/>
  <c r="BN37" i="7"/>
  <c r="BN39" i="7"/>
  <c r="BM38" i="7"/>
  <c r="BM40" i="7" s="1"/>
  <c r="BJ42" i="3"/>
  <c r="G33" i="2"/>
  <c r="BL72" i="7"/>
  <c r="BM47" i="7"/>
  <c r="BM49" i="7" s="1"/>
  <c r="BM50" i="7" s="1"/>
  <c r="BP4" i="7"/>
  <c r="BP41" i="3"/>
  <c r="BP7" i="3"/>
  <c r="BP59" i="3" s="1"/>
  <c r="BP40" i="3" s="1"/>
  <c r="BP5" i="3"/>
  <c r="BP6" i="3"/>
  <c r="BP61" i="3" s="1"/>
  <c r="BP31" i="3" s="1"/>
  <c r="BQ4" i="3"/>
  <c r="BM56" i="7"/>
  <c r="BM58" i="7" s="1"/>
  <c r="BM59" i="7" s="1"/>
  <c r="BM20" i="7"/>
  <c r="BM75" i="7" s="1"/>
  <c r="BM38" i="3" s="1"/>
  <c r="BQ8" i="9"/>
  <c r="BR7" i="9" s="1"/>
  <c r="BQ1" i="9"/>
  <c r="BM67" i="7"/>
  <c r="BM68" i="7" s="1"/>
  <c r="BN64" i="7" s="1"/>
  <c r="AC52" i="3"/>
  <c r="AC43" i="3"/>
  <c r="BN71" i="7"/>
  <c r="BN34" i="3" s="1"/>
  <c r="BL75" i="7"/>
  <c r="BL38" i="3" s="1"/>
  <c r="BN57" i="7"/>
  <c r="BN55" i="7"/>
  <c r="AD72" i="7"/>
  <c r="AD41" i="7"/>
  <c r="AE37" i="7" s="1"/>
  <c r="BL73" i="7"/>
  <c r="BL36" i="3" s="1"/>
  <c r="BK72" i="7"/>
  <c r="BK41" i="7"/>
  <c r="BN48" i="7"/>
  <c r="BN46" i="7"/>
  <c r="BK73" i="7"/>
  <c r="BK36" i="3" s="1"/>
  <c r="BK23" i="7"/>
  <c r="BL41" i="7"/>
  <c r="AC48" i="3"/>
  <c r="AB53" i="3"/>
  <c r="BN30" i="7"/>
  <c r="BL74" i="7"/>
  <c r="BL37" i="3" s="1"/>
  <c r="BO62" i="7"/>
  <c r="BO53" i="7"/>
  <c r="BO63" i="7"/>
  <c r="BO54" i="7"/>
  <c r="BO44" i="7"/>
  <c r="BO35" i="7"/>
  <c r="BO26" i="7"/>
  <c r="BO45" i="7"/>
  <c r="BO36" i="7"/>
  <c r="BO27" i="7"/>
  <c r="BO8" i="7"/>
  <c r="BO13" i="7"/>
  <c r="BO18" i="7"/>
  <c r="BO9" i="7"/>
  <c r="BO76" i="7" s="1"/>
  <c r="BO39" i="3" s="1"/>
  <c r="BO7" i="7"/>
  <c r="BO12" i="7"/>
  <c r="BO14" i="7"/>
  <c r="BO17" i="7"/>
  <c r="AD75" i="7"/>
  <c r="AD38" i="3" s="1"/>
  <c r="AD22" i="7"/>
  <c r="BI52" i="3"/>
  <c r="BI43" i="3"/>
  <c r="BI45" i="3" s="1"/>
  <c r="BM31" i="7"/>
  <c r="BM32" i="7" s="1"/>
  <c r="BN28" i="7" s="1"/>
  <c r="BN66" i="7"/>
  <c r="BN65" i="7" l="1"/>
  <c r="BN29" i="7"/>
  <c r="AE38" i="7"/>
  <c r="BO21" i="7"/>
  <c r="BO19" i="7"/>
  <c r="BN56" i="7"/>
  <c r="BN58" i="7" s="1"/>
  <c r="BN59" i="7" s="1"/>
  <c r="BN20" i="7"/>
  <c r="BN75" i="7" s="1"/>
  <c r="BN38" i="3" s="1"/>
  <c r="AC45" i="3"/>
  <c r="AC49" i="3" s="1"/>
  <c r="BR8" i="9"/>
  <c r="BS7" i="9" s="1"/>
  <c r="BR1" i="9"/>
  <c r="BM72" i="7"/>
  <c r="AD73" i="7"/>
  <c r="AD36" i="3" s="1"/>
  <c r="AD23" i="7"/>
  <c r="AE19" i="7" s="1"/>
  <c r="BO57" i="7"/>
  <c r="BO55" i="7"/>
  <c r="BN47" i="7"/>
  <c r="BN49" i="7" s="1"/>
  <c r="BN50" i="7" s="1"/>
  <c r="BP62" i="7"/>
  <c r="BP44" i="7"/>
  <c r="BP63" i="7"/>
  <c r="BP54" i="7"/>
  <c r="BP45" i="7"/>
  <c r="BP36" i="7"/>
  <c r="BP27" i="7"/>
  <c r="BP35" i="7"/>
  <c r="BP13" i="7"/>
  <c r="BP18" i="7"/>
  <c r="BP9" i="7"/>
  <c r="BP76" i="7" s="1"/>
  <c r="BP39" i="3" s="1"/>
  <c r="BP14" i="7"/>
  <c r="BP12" i="7"/>
  <c r="BP17" i="7"/>
  <c r="BP7" i="7"/>
  <c r="BP53" i="7"/>
  <c r="BP26" i="7"/>
  <c r="BP8" i="7"/>
  <c r="BM74" i="7"/>
  <c r="BM37" i="3" s="1"/>
  <c r="BN31" i="7"/>
  <c r="BN32" i="7" s="1"/>
  <c r="BO28" i="7" s="1"/>
  <c r="AD77" i="7"/>
  <c r="AD35" i="3"/>
  <c r="BJ52" i="3"/>
  <c r="BJ43" i="3"/>
  <c r="G40" i="2"/>
  <c r="BO66" i="7"/>
  <c r="BO71" i="7"/>
  <c r="BO34" i="3" s="1"/>
  <c r="BO30" i="7"/>
  <c r="BM41" i="7"/>
  <c r="BN67" i="7"/>
  <c r="BN68" i="7" s="1"/>
  <c r="BO64" i="7" s="1"/>
  <c r="BO39" i="7"/>
  <c r="BO37" i="7"/>
  <c r="BK77" i="7"/>
  <c r="BK35" i="3"/>
  <c r="BQ4" i="7"/>
  <c r="BQ41" i="3"/>
  <c r="BQ7" i="3"/>
  <c r="BQ59" i="3" s="1"/>
  <c r="BQ40" i="3" s="1"/>
  <c r="BR4" i="3"/>
  <c r="BQ6" i="3"/>
  <c r="BQ61" i="3" s="1"/>
  <c r="BQ31" i="3" s="1"/>
  <c r="BQ5" i="3"/>
  <c r="BM22" i="7"/>
  <c r="BO48" i="7"/>
  <c r="BO46" i="7"/>
  <c r="BL77" i="7"/>
  <c r="BL35" i="3"/>
  <c r="BL42" i="3" s="1"/>
  <c r="BN38" i="7"/>
  <c r="BN40" i="7" s="1"/>
  <c r="BN41" i="7" s="1"/>
  <c r="BN22" i="7" l="1"/>
  <c r="BN73" i="7" s="1"/>
  <c r="BN36" i="3" s="1"/>
  <c r="BO29" i="7"/>
  <c r="BO65" i="7"/>
  <c r="BO67" i="7" s="1"/>
  <c r="BO68" i="7" s="1"/>
  <c r="BP64" i="7" s="1"/>
  <c r="BP66" i="7"/>
  <c r="AE74" i="7"/>
  <c r="AE37" i="3" s="1"/>
  <c r="AE40" i="7"/>
  <c r="BN72" i="7"/>
  <c r="BP19" i="7"/>
  <c r="BP21" i="7"/>
  <c r="AE20" i="7"/>
  <c r="BM73" i="7"/>
  <c r="BM36" i="3" s="1"/>
  <c r="BM23" i="7"/>
  <c r="AD42" i="3"/>
  <c r="BN23" i="7"/>
  <c r="BO31" i="7"/>
  <c r="BO32" i="7" s="1"/>
  <c r="BP28" i="7" s="1"/>
  <c r="BO38" i="7"/>
  <c r="BO40" i="7" s="1"/>
  <c r="BM35" i="3"/>
  <c r="BO50" i="7"/>
  <c r="BO47" i="7"/>
  <c r="BP71" i="7"/>
  <c r="BP34" i="3" s="1"/>
  <c r="BP37" i="7"/>
  <c r="BP39" i="7"/>
  <c r="BS1" i="9"/>
  <c r="BS8" i="9"/>
  <c r="BT7" i="9" s="1"/>
  <c r="BK42" i="3"/>
  <c r="BP30" i="7"/>
  <c r="G51" i="2"/>
  <c r="G10" i="1"/>
  <c r="BP48" i="7"/>
  <c r="BP46" i="7"/>
  <c r="BO56" i="7"/>
  <c r="BO58" i="7" s="1"/>
  <c r="BO59" i="7" s="1"/>
  <c r="BO20" i="7"/>
  <c r="BO75" i="7" s="1"/>
  <c r="BO38" i="3" s="1"/>
  <c r="BL52" i="3"/>
  <c r="BL43" i="3"/>
  <c r="BL45" i="3" s="1"/>
  <c r="BR4" i="7"/>
  <c r="BR5" i="3"/>
  <c r="BR6" i="3"/>
  <c r="BR61" i="3" s="1"/>
  <c r="BR31" i="3" s="1"/>
  <c r="BR41" i="3"/>
  <c r="BS4" i="3"/>
  <c r="BR7" i="3"/>
  <c r="BR59" i="3" s="1"/>
  <c r="BR40" i="3" s="1"/>
  <c r="BO49" i="7"/>
  <c r="BN74" i="7"/>
  <c r="BN37" i="3" s="1"/>
  <c r="BQ62" i="7"/>
  <c r="BQ53" i="7"/>
  <c r="BQ63" i="7"/>
  <c r="BQ54" i="7"/>
  <c r="BQ44" i="7"/>
  <c r="BQ35" i="7"/>
  <c r="BQ26" i="7"/>
  <c r="BQ18" i="7"/>
  <c r="BQ36" i="7"/>
  <c r="BQ9" i="7"/>
  <c r="BQ14" i="7"/>
  <c r="BQ45" i="7"/>
  <c r="BQ7" i="7"/>
  <c r="BQ27" i="7"/>
  <c r="BQ17" i="7"/>
  <c r="BQ8" i="7"/>
  <c r="BQ12" i="7"/>
  <c r="BQ13" i="7"/>
  <c r="AD48" i="3"/>
  <c r="AC53" i="3"/>
  <c r="BJ45" i="3"/>
  <c r="G43" i="2" s="1"/>
  <c r="G12" i="1" s="1"/>
  <c r="G41" i="2"/>
  <c r="BP55" i="7"/>
  <c r="BP57" i="7"/>
  <c r="BO22" i="7" l="1"/>
  <c r="BO23" i="7" s="1"/>
  <c r="BM42" i="3"/>
  <c r="BM77" i="7"/>
  <c r="BP29" i="7"/>
  <c r="BP31" i="7" s="1"/>
  <c r="BP32" i="7" s="1"/>
  <c r="BQ28" i="7" s="1"/>
  <c r="BP65" i="7"/>
  <c r="BK52" i="3"/>
  <c r="BK43" i="3"/>
  <c r="BQ71" i="7"/>
  <c r="BQ34" i="3" s="1"/>
  <c r="BT8" i="9"/>
  <c r="BU7" i="9" s="1"/>
  <c r="BT1" i="9"/>
  <c r="AE75" i="7"/>
  <c r="AE38" i="3" s="1"/>
  <c r="AE22" i="7"/>
  <c r="BP67" i="7"/>
  <c r="BP68" i="7" s="1"/>
  <c r="BQ64" i="7" s="1"/>
  <c r="BO72" i="7"/>
  <c r="BP56" i="7"/>
  <c r="BP58" i="7" s="1"/>
  <c r="BP59" i="7" s="1"/>
  <c r="BQ30" i="7"/>
  <c r="BS4" i="7"/>
  <c r="BS41" i="3"/>
  <c r="BT4" i="3"/>
  <c r="BS7" i="3"/>
  <c r="BS59" i="3" s="1"/>
  <c r="BS40" i="3" s="1"/>
  <c r="BS6" i="3"/>
  <c r="BS61" i="3" s="1"/>
  <c r="BS31" i="3" s="1"/>
  <c r="BS5" i="3"/>
  <c r="BM52" i="3"/>
  <c r="BM43" i="3"/>
  <c r="BM45" i="3" s="1"/>
  <c r="BP20" i="7"/>
  <c r="BQ46" i="7"/>
  <c r="BQ48" i="7"/>
  <c r="BQ57" i="7"/>
  <c r="BQ55" i="7"/>
  <c r="BP38" i="7"/>
  <c r="AD52" i="3"/>
  <c r="AD43" i="3"/>
  <c r="BQ66" i="7"/>
  <c r="BO41" i="7"/>
  <c r="BN77" i="7"/>
  <c r="BN35" i="3"/>
  <c r="BN42" i="3" s="1"/>
  <c r="BQ76" i="7"/>
  <c r="BQ39" i="3" s="1"/>
  <c r="BO74" i="7"/>
  <c r="BO37" i="3" s="1"/>
  <c r="AE72" i="7"/>
  <c r="AE41" i="7"/>
  <c r="AF37" i="7" s="1"/>
  <c r="BQ21" i="7"/>
  <c r="BQ19" i="7"/>
  <c r="BO73" i="7"/>
  <c r="BO36" i="3" s="1"/>
  <c r="BQ37" i="7"/>
  <c r="BQ39" i="7"/>
  <c r="BR63" i="7"/>
  <c r="BR54" i="7"/>
  <c r="BR44" i="7"/>
  <c r="BR45" i="7"/>
  <c r="BR36" i="7"/>
  <c r="BR27" i="7"/>
  <c r="BR62" i="7"/>
  <c r="BR53" i="7"/>
  <c r="BR9" i="7"/>
  <c r="BR14" i="7"/>
  <c r="BR7" i="7"/>
  <c r="BR26" i="7"/>
  <c r="BR12" i="7"/>
  <c r="BR8" i="7"/>
  <c r="BR13" i="7"/>
  <c r="BR35" i="7"/>
  <c r="BR17" i="7"/>
  <c r="BR18" i="7"/>
  <c r="BP47" i="7"/>
  <c r="BP49" i="7" s="1"/>
  <c r="BP50" i="7" s="1"/>
  <c r="BP75" i="7" l="1"/>
  <c r="BP38" i="3" s="1"/>
  <c r="BQ29" i="7"/>
  <c r="BQ31" i="7" s="1"/>
  <c r="BQ32" i="7" s="1"/>
  <c r="BR28" i="7" s="1"/>
  <c r="BQ65" i="7"/>
  <c r="BR48" i="7"/>
  <c r="BR46" i="7"/>
  <c r="BP22" i="7"/>
  <c r="BK45" i="3"/>
  <c r="BR57" i="7"/>
  <c r="BR55" i="7"/>
  <c r="BR71" i="7"/>
  <c r="BR34" i="3" s="1"/>
  <c r="BR66" i="7"/>
  <c r="BN52" i="3"/>
  <c r="BN43" i="3"/>
  <c r="BN45" i="3" s="1"/>
  <c r="BQ67" i="7"/>
  <c r="BQ68" i="7" s="1"/>
  <c r="BR64" i="7" s="1"/>
  <c r="BS63" i="7"/>
  <c r="BS62" i="7"/>
  <c r="BS53" i="7"/>
  <c r="BS45" i="7"/>
  <c r="BS36" i="7"/>
  <c r="BS14" i="7"/>
  <c r="BS54" i="7"/>
  <c r="BS7" i="7"/>
  <c r="BS26" i="7"/>
  <c r="BS12" i="7"/>
  <c r="BS17" i="7"/>
  <c r="BS13" i="7"/>
  <c r="BS44" i="7"/>
  <c r="BS35" i="7"/>
  <c r="BS18" i="7"/>
  <c r="BS27" i="7"/>
  <c r="BS8" i="7"/>
  <c r="BS9" i="7"/>
  <c r="BS76" i="7" s="1"/>
  <c r="BS39" i="3" s="1"/>
  <c r="AE73" i="7"/>
  <c r="AE36" i="3" s="1"/>
  <c r="AE23" i="7"/>
  <c r="AF19" i="7" s="1"/>
  <c r="BT4" i="7"/>
  <c r="BT41" i="3"/>
  <c r="BT6" i="3"/>
  <c r="BT61" i="3" s="1"/>
  <c r="BT31" i="3" s="1"/>
  <c r="BT7" i="3"/>
  <c r="BT59" i="3" s="1"/>
  <c r="BT40" i="3" s="1"/>
  <c r="BU4" i="3"/>
  <c r="BT5" i="3"/>
  <c r="BQ20" i="7"/>
  <c r="BP74" i="7"/>
  <c r="BP37" i="3" s="1"/>
  <c r="BR76" i="7"/>
  <c r="BR39" i="3" s="1"/>
  <c r="AF38" i="7"/>
  <c r="BQ56" i="7"/>
  <c r="BQ58" i="7" s="1"/>
  <c r="BQ59" i="7" s="1"/>
  <c r="AE35" i="3"/>
  <c r="BP40" i="7"/>
  <c r="BR21" i="7"/>
  <c r="BR19" i="7"/>
  <c r="BR30" i="7"/>
  <c r="AD45" i="3"/>
  <c r="AD49" i="3" s="1"/>
  <c r="BU8" i="9"/>
  <c r="BV7" i="9" s="1"/>
  <c r="BU1" i="9"/>
  <c r="BO77" i="7"/>
  <c r="BO35" i="3"/>
  <c r="BQ38" i="7"/>
  <c r="BQ40" i="7" s="1"/>
  <c r="BR39" i="7"/>
  <c r="BR37" i="7"/>
  <c r="BQ47" i="7"/>
  <c r="BQ49" i="7" s="1"/>
  <c r="BQ50" i="7" s="1"/>
  <c r="BQ75" i="7" l="1"/>
  <c r="BQ38" i="3" s="1"/>
  <c r="BQ72" i="7"/>
  <c r="BQ41" i="7"/>
  <c r="BR65" i="7"/>
  <c r="BR67" i="7" s="1"/>
  <c r="BR68" i="7" s="1"/>
  <c r="BS64" i="7" s="1"/>
  <c r="BR29" i="7"/>
  <c r="BR31" i="7" s="1"/>
  <c r="BR32" i="7" s="1"/>
  <c r="BS28" i="7" s="1"/>
  <c r="AF20" i="7"/>
  <c r="BS48" i="7"/>
  <c r="BS46" i="7"/>
  <c r="BQ22" i="7"/>
  <c r="BR20" i="7"/>
  <c r="BS71" i="7"/>
  <c r="BS34" i="3" s="1"/>
  <c r="BP73" i="7"/>
  <c r="BP36" i="3" s="1"/>
  <c r="BP23" i="7"/>
  <c r="BR47" i="7"/>
  <c r="BR49" i="7" s="1"/>
  <c r="BR50" i="7" s="1"/>
  <c r="BR22" i="7"/>
  <c r="BS66" i="7"/>
  <c r="BV8" i="9"/>
  <c r="BW7" i="9" s="1"/>
  <c r="BV1" i="9"/>
  <c r="BS30" i="7"/>
  <c r="BR56" i="7"/>
  <c r="BR38" i="7"/>
  <c r="BR40" i="7"/>
  <c r="BR41" i="7" s="1"/>
  <c r="AF74" i="7"/>
  <c r="AF37" i="3" s="1"/>
  <c r="AF40" i="7"/>
  <c r="AE48" i="3"/>
  <c r="AD53" i="3"/>
  <c r="BS21" i="7"/>
  <c r="BS19" i="7"/>
  <c r="BS55" i="7"/>
  <c r="BS57" i="7"/>
  <c r="BR58" i="7"/>
  <c r="BR59" i="7" s="1"/>
  <c r="BQ74" i="7"/>
  <c r="BQ37" i="3" s="1"/>
  <c r="AE42" i="3"/>
  <c r="BU4" i="7"/>
  <c r="BU41" i="3"/>
  <c r="BU5" i="3"/>
  <c r="BU6" i="3"/>
  <c r="BU61" i="3" s="1"/>
  <c r="BU31" i="3" s="1"/>
  <c r="BV4" i="3"/>
  <c r="BU7" i="3"/>
  <c r="BU59" i="3" s="1"/>
  <c r="BU40" i="3" s="1"/>
  <c r="BP72" i="7"/>
  <c r="BP41" i="7"/>
  <c r="BO42" i="3"/>
  <c r="AE77" i="7"/>
  <c r="BT63" i="7"/>
  <c r="BT54" i="7"/>
  <c r="BT62" i="7"/>
  <c r="BT45" i="7"/>
  <c r="BT36" i="7"/>
  <c r="BT27" i="7"/>
  <c r="BT53" i="7"/>
  <c r="BT44" i="7"/>
  <c r="BT35" i="7"/>
  <c r="BT26" i="7"/>
  <c r="BT7" i="7"/>
  <c r="BT12" i="7"/>
  <c r="BT17" i="7"/>
  <c r="BT8" i="7"/>
  <c r="BT18" i="7"/>
  <c r="BT9" i="7"/>
  <c r="BT76" i="7" s="1"/>
  <c r="BT39" i="3" s="1"/>
  <c r="BT14" i="7"/>
  <c r="BT13" i="7"/>
  <c r="BS39" i="7"/>
  <c r="BS37" i="7"/>
  <c r="BR75" i="7" l="1"/>
  <c r="BR38" i="3" s="1"/>
  <c r="BS29" i="7"/>
  <c r="BS31" i="7" s="1"/>
  <c r="BS32" i="7" s="1"/>
  <c r="BT28" i="7" s="1"/>
  <c r="BS65" i="7"/>
  <c r="BT66" i="7"/>
  <c r="BV4" i="7"/>
  <c r="BV7" i="3"/>
  <c r="BV59" i="3" s="1"/>
  <c r="BV40" i="3" s="1"/>
  <c r="H38" i="2" s="1"/>
  <c r="BW4" i="3"/>
  <c r="BV41" i="3"/>
  <c r="H39" i="2" s="1"/>
  <c r="BV5" i="3"/>
  <c r="BV6" i="3"/>
  <c r="BV61" i="3" s="1"/>
  <c r="BV31" i="3" s="1"/>
  <c r="BS67" i="7"/>
  <c r="BS68" i="7" s="1"/>
  <c r="BT64" i="7" s="1"/>
  <c r="AF72" i="7"/>
  <c r="AF41" i="7"/>
  <c r="AG37" i="7" s="1"/>
  <c r="AF75" i="7"/>
  <c r="AF38" i="3" s="1"/>
  <c r="AF22" i="7"/>
  <c r="BS56" i="7"/>
  <c r="BS58" i="7" s="1"/>
  <c r="BS59" i="7" s="1"/>
  <c r="BR73" i="7"/>
  <c r="BR36" i="3" s="1"/>
  <c r="BR23" i="7"/>
  <c r="BT30" i="7"/>
  <c r="BS20" i="7"/>
  <c r="BS75" i="7" s="1"/>
  <c r="BS38" i="3" s="1"/>
  <c r="BT71" i="7"/>
  <c r="BT34" i="3" s="1"/>
  <c r="BT37" i="7"/>
  <c r="BT39" i="7"/>
  <c r="BO52" i="3"/>
  <c r="BO43" i="3"/>
  <c r="BU45" i="7"/>
  <c r="BU63" i="7"/>
  <c r="BU54" i="7"/>
  <c r="BU62" i="7"/>
  <c r="BU44" i="7"/>
  <c r="BU35" i="7"/>
  <c r="BU26" i="7"/>
  <c r="BU12" i="7"/>
  <c r="BU17" i="7"/>
  <c r="BU8" i="7"/>
  <c r="BU53" i="7"/>
  <c r="BU27" i="7"/>
  <c r="BU13" i="7"/>
  <c r="BU9" i="7"/>
  <c r="BU14" i="7"/>
  <c r="BU7" i="7"/>
  <c r="BU18" i="7"/>
  <c r="BU36" i="7"/>
  <c r="BW8" i="9"/>
  <c r="BX7" i="9" s="1"/>
  <c r="BW1" i="9"/>
  <c r="BQ73" i="7"/>
  <c r="BQ36" i="3" s="1"/>
  <c r="BQ23" i="7"/>
  <c r="BT46" i="7"/>
  <c r="BT48" i="7"/>
  <c r="BR74" i="7"/>
  <c r="BR37" i="3" s="1"/>
  <c r="BS47" i="7"/>
  <c r="BS49" i="7" s="1"/>
  <c r="BS50" i="7" s="1"/>
  <c r="BR72" i="7"/>
  <c r="BS38" i="7"/>
  <c r="BS40" i="7"/>
  <c r="BP77" i="7"/>
  <c r="BP35" i="3"/>
  <c r="AE52" i="3"/>
  <c r="AE43" i="3"/>
  <c r="BT21" i="7"/>
  <c r="BT19" i="7"/>
  <c r="BT57" i="7"/>
  <c r="BT55" i="7"/>
  <c r="BQ35" i="3"/>
  <c r="BU71" i="7" l="1"/>
  <c r="BU34" i="3" s="1"/>
  <c r="BQ42" i="3"/>
  <c r="BQ43" i="3" s="1"/>
  <c r="BQ45" i="3" s="1"/>
  <c r="BQ77" i="7"/>
  <c r="BT29" i="7"/>
  <c r="BT65" i="7"/>
  <c r="BU39" i="7"/>
  <c r="BU37" i="7"/>
  <c r="BU48" i="7"/>
  <c r="BU46" i="7"/>
  <c r="BV62" i="7"/>
  <c r="BV53" i="7"/>
  <c r="BV63" i="7"/>
  <c r="BV54" i="7"/>
  <c r="BV17" i="7"/>
  <c r="BV26" i="7"/>
  <c r="BV8" i="7"/>
  <c r="BV45" i="7"/>
  <c r="BV27" i="7"/>
  <c r="BV13" i="7"/>
  <c r="BV18" i="7"/>
  <c r="BV44" i="7"/>
  <c r="BV35" i="7"/>
  <c r="BV14" i="7"/>
  <c r="BV36" i="7"/>
  <c r="BV7" i="7"/>
  <c r="BV9" i="7"/>
  <c r="BV76" i="7" s="1"/>
  <c r="BV39" i="3" s="1"/>
  <c r="BV12" i="7"/>
  <c r="BS72" i="7"/>
  <c r="AF73" i="7"/>
  <c r="AF36" i="3" s="1"/>
  <c r="AF23" i="7"/>
  <c r="AG19" i="7" s="1"/>
  <c r="BT67" i="7"/>
  <c r="BT68" i="7" s="1"/>
  <c r="BU64" i="7" s="1"/>
  <c r="BU66" i="7"/>
  <c r="BO45" i="3"/>
  <c r="BT31" i="7"/>
  <c r="BT32" i="7" s="1"/>
  <c r="BU28" i="7" s="1"/>
  <c r="BQ52" i="3"/>
  <c r="BT47" i="7"/>
  <c r="BT49" i="7" s="1"/>
  <c r="BT50" i="7" s="1"/>
  <c r="BS41" i="7"/>
  <c r="BU76" i="7"/>
  <c r="BU39" i="3" s="1"/>
  <c r="H29" i="2"/>
  <c r="H9" i="1" s="1"/>
  <c r="AG38" i="7"/>
  <c r="BU19" i="7"/>
  <c r="BU21" i="7"/>
  <c r="BT56" i="7"/>
  <c r="BT58" i="7" s="1"/>
  <c r="BT59" i="7" s="1"/>
  <c r="BU30" i="7"/>
  <c r="AF35" i="3"/>
  <c r="BS74" i="7"/>
  <c r="BS37" i="3" s="1"/>
  <c r="AE45" i="3"/>
  <c r="AE49" i="3" s="1"/>
  <c r="BR77" i="7"/>
  <c r="BR35" i="3"/>
  <c r="BR42" i="3" s="1"/>
  <c r="BP42" i="3"/>
  <c r="BT20" i="7"/>
  <c r="BT75" i="7" s="1"/>
  <c r="BT38" i="3" s="1"/>
  <c r="BX8" i="9"/>
  <c r="BY7" i="9" s="1"/>
  <c r="BX1" i="9"/>
  <c r="BT22" i="7"/>
  <c r="BS22" i="7"/>
  <c r="BU57" i="7"/>
  <c r="BU55" i="7"/>
  <c r="BT38" i="7"/>
  <c r="BT74" i="7" s="1"/>
  <c r="BT37" i="3" s="1"/>
  <c r="BW4" i="7"/>
  <c r="BW41" i="3"/>
  <c r="BW6" i="3"/>
  <c r="BW61" i="3" s="1"/>
  <c r="BW31" i="3" s="1"/>
  <c r="BW7" i="3"/>
  <c r="BW59" i="3" s="1"/>
  <c r="BW40" i="3" s="1"/>
  <c r="BX4" i="3"/>
  <c r="BW5" i="3"/>
  <c r="BT73" i="7" l="1"/>
  <c r="BT36" i="3" s="1"/>
  <c r="BU65" i="7"/>
  <c r="BU29" i="7"/>
  <c r="BV37" i="7"/>
  <c r="BV39" i="7"/>
  <c r="AF48" i="3"/>
  <c r="AE53" i="3"/>
  <c r="AF42" i="3"/>
  <c r="BU20" i="7"/>
  <c r="BU75" i="7" s="1"/>
  <c r="BU38" i="3" s="1"/>
  <c r="BV71" i="7"/>
  <c r="BV34" i="3" s="1"/>
  <c r="BU38" i="7"/>
  <c r="BU40" i="7" s="1"/>
  <c r="BT23" i="7"/>
  <c r="BU56" i="7"/>
  <c r="BU58" i="7" s="1"/>
  <c r="BU59" i="7" s="1"/>
  <c r="BX4" i="7"/>
  <c r="BX7" i="3"/>
  <c r="BX59" i="3" s="1"/>
  <c r="BX40" i="3" s="1"/>
  <c r="BX41" i="3"/>
  <c r="BX5" i="3"/>
  <c r="BX6" i="3"/>
  <c r="BX61" i="3" s="1"/>
  <c r="BX31" i="3" s="1"/>
  <c r="BY4" i="3"/>
  <c r="BP52" i="3"/>
  <c r="BP43" i="3"/>
  <c r="AF77" i="7"/>
  <c r="BV57" i="7"/>
  <c r="BV55" i="7"/>
  <c r="BS73" i="7"/>
  <c r="BS36" i="3" s="1"/>
  <c r="BS23" i="7"/>
  <c r="BT40" i="7"/>
  <c r="AG74" i="7"/>
  <c r="AG37" i="3" s="1"/>
  <c r="AG40" i="7"/>
  <c r="BU67" i="7"/>
  <c r="BU68" i="7" s="1"/>
  <c r="BV64" i="7" s="1"/>
  <c r="BS35" i="3"/>
  <c r="BV21" i="7"/>
  <c r="BV19" i="7"/>
  <c r="BV66" i="7"/>
  <c r="BR52" i="3"/>
  <c r="BR43" i="3"/>
  <c r="BR45" i="3" s="1"/>
  <c r="BU31" i="7"/>
  <c r="BU32" i="7" s="1"/>
  <c r="BV28" i="7" s="1"/>
  <c r="H37" i="2"/>
  <c r="BV30" i="7"/>
  <c r="BW62" i="7"/>
  <c r="BW53" i="7"/>
  <c r="BW63" i="7"/>
  <c r="BW54" i="7"/>
  <c r="BW44" i="7"/>
  <c r="BW35" i="7"/>
  <c r="BW26" i="7"/>
  <c r="BW45" i="7"/>
  <c r="BW36" i="7"/>
  <c r="BW27" i="7"/>
  <c r="BW8" i="7"/>
  <c r="BW13" i="7"/>
  <c r="BW18" i="7"/>
  <c r="BW9" i="7"/>
  <c r="BW7" i="7"/>
  <c r="BW12" i="7"/>
  <c r="BW14" i="7"/>
  <c r="BW17" i="7"/>
  <c r="BY1" i="9"/>
  <c r="BY8" i="9"/>
  <c r="BZ7" i="9" s="1"/>
  <c r="AG20" i="7"/>
  <c r="BV48" i="7"/>
  <c r="BV46" i="7"/>
  <c r="BU47" i="7"/>
  <c r="BU49" i="7" s="1"/>
  <c r="BU50" i="7" s="1"/>
  <c r="BS77" i="7" l="1"/>
  <c r="BV65" i="7"/>
  <c r="BV29" i="7"/>
  <c r="BV31" i="7" s="1"/>
  <c r="BV32" i="7" s="1"/>
  <c r="BW28" i="7" s="1"/>
  <c r="BW39" i="7"/>
  <c r="BW37" i="7"/>
  <c r="BW48" i="7"/>
  <c r="BW46" i="7"/>
  <c r="BX62" i="7"/>
  <c r="BX63" i="7"/>
  <c r="BX54" i="7"/>
  <c r="BX44" i="7"/>
  <c r="BX53" i="7"/>
  <c r="BX45" i="7"/>
  <c r="BX36" i="7"/>
  <c r="BX27" i="7"/>
  <c r="BX26" i="7"/>
  <c r="BX13" i="7"/>
  <c r="BX18" i="7"/>
  <c r="BX9" i="7"/>
  <c r="BX76" i="7" s="1"/>
  <c r="BX39" i="3" s="1"/>
  <c r="BX14" i="7"/>
  <c r="BX12" i="7"/>
  <c r="BX17" i="7"/>
  <c r="BX7" i="7"/>
  <c r="BX35" i="7"/>
  <c r="BX8" i="7"/>
  <c r="AG72" i="7"/>
  <c r="AG41" i="7"/>
  <c r="AH37" i="7" s="1"/>
  <c r="BU72" i="7"/>
  <c r="AF52" i="3"/>
  <c r="AF43" i="3"/>
  <c r="AF45" i="3" s="1"/>
  <c r="AF49" i="3" s="1"/>
  <c r="AG48" i="3" s="1"/>
  <c r="BV38" i="7"/>
  <c r="BV74" i="7" s="1"/>
  <c r="BV37" i="3" s="1"/>
  <c r="H35" i="2" s="1"/>
  <c r="BW76" i="7"/>
  <c r="BW39" i="3" s="1"/>
  <c r="BV56" i="7"/>
  <c r="BW21" i="7"/>
  <c r="BW19" i="7"/>
  <c r="BV67" i="7"/>
  <c r="BV68" i="7" s="1"/>
  <c r="BW64" i="7" s="1"/>
  <c r="BT72" i="7"/>
  <c r="BT41" i="7"/>
  <c r="BV58" i="7"/>
  <c r="BV59" i="7" s="1"/>
  <c r="BY4" i="7"/>
  <c r="BY41" i="3"/>
  <c r="BY7" i="3"/>
  <c r="BY59" i="3" s="1"/>
  <c r="BY40" i="3" s="1"/>
  <c r="BY5" i="3"/>
  <c r="BY6" i="3"/>
  <c r="BY61" i="3" s="1"/>
  <c r="BY31" i="3" s="1"/>
  <c r="BZ4" i="3"/>
  <c r="BV47" i="7"/>
  <c r="BV49" i="7" s="1"/>
  <c r="BV50" i="7" s="1"/>
  <c r="BP45" i="3"/>
  <c r="BW57" i="7"/>
  <c r="BW55" i="7"/>
  <c r="BV20" i="7"/>
  <c r="BV75" i="7" s="1"/>
  <c r="BV38" i="3" s="1"/>
  <c r="H36" i="2" s="1"/>
  <c r="BU74" i="7"/>
  <c r="BU37" i="3" s="1"/>
  <c r="AG75" i="7"/>
  <c r="AG38" i="3" s="1"/>
  <c r="AG22" i="7"/>
  <c r="BZ8" i="9"/>
  <c r="CA7" i="9" s="1"/>
  <c r="BZ1" i="9"/>
  <c r="BW66" i="7"/>
  <c r="BU41" i="7"/>
  <c r="BW71" i="7"/>
  <c r="BW34" i="3" s="1"/>
  <c r="BW30" i="7"/>
  <c r="BS42" i="3"/>
  <c r="H32" i="2"/>
  <c r="H11" i="1" s="1"/>
  <c r="BU22" i="7"/>
  <c r="BW65" i="7" l="1"/>
  <c r="BW29" i="7"/>
  <c r="BW31" i="7" s="1"/>
  <c r="BW32" i="7" s="1"/>
  <c r="BX28" i="7" s="1"/>
  <c r="BS52" i="3"/>
  <c r="BS43" i="3"/>
  <c r="BW67" i="7"/>
  <c r="BW68" i="7" s="1"/>
  <c r="BX64" i="7" s="1"/>
  <c r="AH38" i="7"/>
  <c r="BW38" i="7"/>
  <c r="BX55" i="7"/>
  <c r="BX57" i="7"/>
  <c r="BX66" i="7"/>
  <c r="BT77" i="7"/>
  <c r="BT35" i="3"/>
  <c r="BT42" i="3" s="1"/>
  <c r="BV40" i="7"/>
  <c r="AG73" i="7"/>
  <c r="AG36" i="3" s="1"/>
  <c r="AG23" i="7"/>
  <c r="AH19" i="7" s="1"/>
  <c r="BW20" i="7"/>
  <c r="BW22" i="7" s="1"/>
  <c r="BZ4" i="7"/>
  <c r="BZ41" i="3"/>
  <c r="BZ5" i="3"/>
  <c r="BZ6" i="3"/>
  <c r="BZ61" i="3" s="1"/>
  <c r="BZ31" i="3" s="1"/>
  <c r="BZ7" i="3"/>
  <c r="BZ59" i="3" s="1"/>
  <c r="BZ40" i="3" s="1"/>
  <c r="CA4" i="3"/>
  <c r="BU73" i="7"/>
  <c r="BU36" i="3" s="1"/>
  <c r="BU23" i="7"/>
  <c r="BX30" i="7"/>
  <c r="BX19" i="7"/>
  <c r="BX21" i="7"/>
  <c r="BV22" i="7"/>
  <c r="AF53" i="3"/>
  <c r="BX71" i="7"/>
  <c r="BX34" i="3" s="1"/>
  <c r="BX37" i="7"/>
  <c r="BX39" i="7"/>
  <c r="BW47" i="7"/>
  <c r="AG35" i="3"/>
  <c r="BW56" i="7"/>
  <c r="BW58" i="7" s="1"/>
  <c r="BW59" i="7" s="1"/>
  <c r="CA1" i="9"/>
  <c r="CA8" i="9"/>
  <c r="CB7" i="9" s="1"/>
  <c r="BY62" i="7"/>
  <c r="BY53" i="7"/>
  <c r="BY63" i="7"/>
  <c r="BY54" i="7"/>
  <c r="BY44" i="7"/>
  <c r="BY35" i="7"/>
  <c r="BY26" i="7"/>
  <c r="BY18" i="7"/>
  <c r="BY45" i="7"/>
  <c r="BY27" i="7"/>
  <c r="BY9" i="7"/>
  <c r="BY14" i="7"/>
  <c r="BY7" i="7"/>
  <c r="BY36" i="7"/>
  <c r="BY17" i="7"/>
  <c r="BY8" i="7"/>
  <c r="BY12" i="7"/>
  <c r="BY13" i="7"/>
  <c r="BU35" i="3"/>
  <c r="BX48" i="7"/>
  <c r="BX46" i="7"/>
  <c r="BW49" i="7"/>
  <c r="BW50" i="7" s="1"/>
  <c r="AG42" i="3" l="1"/>
  <c r="BU77" i="7"/>
  <c r="BU42" i="3"/>
  <c r="AG77" i="7"/>
  <c r="BW73" i="7"/>
  <c r="BW36" i="3" s="1"/>
  <c r="BW75" i="7"/>
  <c r="BW38" i="3" s="1"/>
  <c r="BX29" i="7"/>
  <c r="BX31" i="7" s="1"/>
  <c r="BX32" i="7" s="1"/>
  <c r="BY28" i="7" s="1"/>
  <c r="BX65" i="7"/>
  <c r="BX67" i="7" s="1"/>
  <c r="BX68" i="7" s="1"/>
  <c r="BY64" i="7" s="1"/>
  <c r="BY71" i="7"/>
  <c r="BY34" i="3" s="1"/>
  <c r="CB8" i="9"/>
  <c r="CC7" i="9" s="1"/>
  <c r="CB1" i="9"/>
  <c r="BX38" i="7"/>
  <c r="BV72" i="7"/>
  <c r="BV41" i="7"/>
  <c r="BW74" i="7"/>
  <c r="BW37" i="3" s="1"/>
  <c r="AH74" i="7"/>
  <c r="AH37" i="3" s="1"/>
  <c r="AH40" i="7"/>
  <c r="BY39" i="7"/>
  <c r="BY37" i="7"/>
  <c r="BU52" i="3"/>
  <c r="BU43" i="3"/>
  <c r="BU45" i="3" s="1"/>
  <c r="BY57" i="7"/>
  <c r="BY55" i="7"/>
  <c r="BZ63" i="7"/>
  <c r="BZ54" i="7"/>
  <c r="BZ44" i="7"/>
  <c r="BZ53" i="7"/>
  <c r="BZ45" i="7"/>
  <c r="BZ36" i="7"/>
  <c r="BZ27" i="7"/>
  <c r="BZ9" i="7"/>
  <c r="BZ62" i="7"/>
  <c r="BZ14" i="7"/>
  <c r="BZ7" i="7"/>
  <c r="BZ35" i="7"/>
  <c r="BZ12" i="7"/>
  <c r="BZ8" i="7"/>
  <c r="BZ13" i="7"/>
  <c r="BZ18" i="7"/>
  <c r="BZ17" i="7"/>
  <c r="BZ26" i="7"/>
  <c r="BY76" i="7"/>
  <c r="BY39" i="3" s="1"/>
  <c r="BY66" i="7"/>
  <c r="AG52" i="3"/>
  <c r="AG43" i="3"/>
  <c r="AG45" i="3" s="1"/>
  <c r="AG49" i="3" s="1"/>
  <c r="AH48" i="3" s="1"/>
  <c r="BW23" i="7"/>
  <c r="BX47" i="7"/>
  <c r="BX49" i="7" s="1"/>
  <c r="BX50" i="7" s="1"/>
  <c r="BY30" i="7"/>
  <c r="BV73" i="7"/>
  <c r="BV36" i="3" s="1"/>
  <c r="H34" i="2" s="1"/>
  <c r="BV23" i="7"/>
  <c r="BT52" i="3"/>
  <c r="BT43" i="3"/>
  <c r="BT45" i="3" s="1"/>
  <c r="BW40" i="7"/>
  <c r="BY46" i="7"/>
  <c r="BY48" i="7"/>
  <c r="CA4" i="7"/>
  <c r="CA41" i="3"/>
  <c r="CA5" i="3"/>
  <c r="CA6" i="3"/>
  <c r="CA61" i="3" s="1"/>
  <c r="CA31" i="3" s="1"/>
  <c r="CB4" i="3"/>
  <c r="CA7" i="3"/>
  <c r="CA59" i="3" s="1"/>
  <c r="CA40" i="3" s="1"/>
  <c r="AH20" i="7"/>
  <c r="BY21" i="7"/>
  <c r="BY19" i="7"/>
  <c r="BX20" i="7"/>
  <c r="BX56" i="7"/>
  <c r="BX58" i="7" s="1"/>
  <c r="BX59" i="7" s="1"/>
  <c r="BS45" i="3"/>
  <c r="BX75" i="7" l="1"/>
  <c r="BX38" i="3" s="1"/>
  <c r="BX22" i="7"/>
  <c r="BX73" i="7" s="1"/>
  <c r="BX36" i="3" s="1"/>
  <c r="BY65" i="7"/>
  <c r="BY29" i="7"/>
  <c r="BY31" i="7" s="1"/>
  <c r="BY32" i="7" s="1"/>
  <c r="BZ28" i="7" s="1"/>
  <c r="BZ57" i="7"/>
  <c r="BZ55" i="7"/>
  <c r="BY38" i="7"/>
  <c r="BY40" i="7" s="1"/>
  <c r="CC8" i="9"/>
  <c r="CD7" i="9" s="1"/>
  <c r="CC1" i="9"/>
  <c r="BZ71" i="7"/>
  <c r="BZ34" i="3" s="1"/>
  <c r="BZ66" i="7"/>
  <c r="BV77" i="7"/>
  <c r="BV35" i="3"/>
  <c r="BX23" i="7"/>
  <c r="BZ21" i="7"/>
  <c r="BZ19" i="7"/>
  <c r="BZ76" i="7"/>
  <c r="BZ39" i="3" s="1"/>
  <c r="AH72" i="7"/>
  <c r="AH41" i="7"/>
  <c r="AI37" i="7" s="1"/>
  <c r="CB4" i="7"/>
  <c r="CB6" i="3"/>
  <c r="CB61" i="3" s="1"/>
  <c r="CB31" i="3" s="1"/>
  <c r="CB41" i="3"/>
  <c r="CB7" i="3"/>
  <c r="CB59" i="3" s="1"/>
  <c r="CB40" i="3" s="1"/>
  <c r="CB5" i="3"/>
  <c r="CC4" i="3"/>
  <c r="BW72" i="7"/>
  <c r="BW41" i="7"/>
  <c r="BZ30" i="7"/>
  <c r="BY56" i="7"/>
  <c r="BY58" i="7" s="1"/>
  <c r="BY59" i="7" s="1"/>
  <c r="BX74" i="7"/>
  <c r="BX37" i="3" s="1"/>
  <c r="AH75" i="7"/>
  <c r="AH38" i="3" s="1"/>
  <c r="AH22" i="7"/>
  <c r="BY47" i="7"/>
  <c r="BY49" i="7" s="1"/>
  <c r="BY50" i="7" s="1"/>
  <c r="BY67" i="7"/>
  <c r="BY68" i="7" s="1"/>
  <c r="BZ64" i="7" s="1"/>
  <c r="BZ39" i="7"/>
  <c r="BZ37" i="7"/>
  <c r="BY20" i="7"/>
  <c r="BY75" i="7" s="1"/>
  <c r="BY38" i="3" s="1"/>
  <c r="AG53" i="3"/>
  <c r="BZ48" i="7"/>
  <c r="BZ46" i="7"/>
  <c r="CA63" i="7"/>
  <c r="CA62" i="7"/>
  <c r="CA53" i="7"/>
  <c r="CA54" i="7"/>
  <c r="CA45" i="7"/>
  <c r="CA27" i="7"/>
  <c r="CA14" i="7"/>
  <c r="CA7" i="7"/>
  <c r="CA35" i="7"/>
  <c r="CA12" i="7"/>
  <c r="CA17" i="7"/>
  <c r="CA13" i="7"/>
  <c r="CA26" i="7"/>
  <c r="CA18" i="7"/>
  <c r="CA44" i="7"/>
  <c r="CA9" i="7"/>
  <c r="CA76" i="7" s="1"/>
  <c r="CA39" i="3" s="1"/>
  <c r="CA8" i="7"/>
  <c r="CA36" i="7"/>
  <c r="BX40" i="7"/>
  <c r="BZ29" i="7" l="1"/>
  <c r="BZ65" i="7"/>
  <c r="CA39" i="7"/>
  <c r="CA37" i="7"/>
  <c r="BZ20" i="7"/>
  <c r="BZ75" i="7" s="1"/>
  <c r="BZ38" i="3" s="1"/>
  <c r="BZ56" i="7"/>
  <c r="BZ58" i="7" s="1"/>
  <c r="BZ59" i="7" s="1"/>
  <c r="BZ22" i="7"/>
  <c r="BZ67" i="7"/>
  <c r="BZ68" i="7" s="1"/>
  <c r="CA64" i="7" s="1"/>
  <c r="CA66" i="7"/>
  <c r="BY22" i="7"/>
  <c r="BZ31" i="7"/>
  <c r="BZ32" i="7" s="1"/>
  <c r="CA28" i="7" s="1"/>
  <c r="CA21" i="7"/>
  <c r="CA19" i="7"/>
  <c r="CA48" i="7"/>
  <c r="CA46" i="7"/>
  <c r="BZ47" i="7"/>
  <c r="BZ49" i="7" s="1"/>
  <c r="BZ50" i="7" s="1"/>
  <c r="AH73" i="7"/>
  <c r="AH36" i="3" s="1"/>
  <c r="AH23" i="7"/>
  <c r="AI19" i="7" s="1"/>
  <c r="AI38" i="7"/>
  <c r="BV42" i="3"/>
  <c r="H33" i="2"/>
  <c r="CD8" i="9"/>
  <c r="CE7" i="9" s="1"/>
  <c r="CD1" i="9"/>
  <c r="CA55" i="7"/>
  <c r="CA57" i="7"/>
  <c r="BZ38" i="7"/>
  <c r="BW77" i="7"/>
  <c r="BW35" i="3"/>
  <c r="AH77" i="7"/>
  <c r="AH35" i="3"/>
  <c r="AH42" i="3" s="1"/>
  <c r="BY74" i="7"/>
  <c r="BY37" i="3" s="1"/>
  <c r="CA30" i="7"/>
  <c r="CB63" i="7"/>
  <c r="CB54" i="7"/>
  <c r="CB62" i="7"/>
  <c r="CB53" i="7"/>
  <c r="CB45" i="7"/>
  <c r="CB36" i="7"/>
  <c r="CB27" i="7"/>
  <c r="CB44" i="7"/>
  <c r="CB35" i="7"/>
  <c r="CB26" i="7"/>
  <c r="CB7" i="7"/>
  <c r="CB12" i="7"/>
  <c r="CB17" i="7"/>
  <c r="CB8" i="7"/>
  <c r="CB18" i="7"/>
  <c r="CB9" i="7"/>
  <c r="CB13" i="7"/>
  <c r="CB14" i="7"/>
  <c r="BX72" i="7"/>
  <c r="BX41" i="7"/>
  <c r="CA71" i="7"/>
  <c r="CA34" i="3" s="1"/>
  <c r="BZ40" i="7"/>
  <c r="BZ41" i="7" s="1"/>
  <c r="CC4" i="7"/>
  <c r="CC41" i="3"/>
  <c r="CC5" i="3"/>
  <c r="CC6" i="3"/>
  <c r="CC61" i="3" s="1"/>
  <c r="CC31" i="3" s="1"/>
  <c r="CD4" i="3"/>
  <c r="CC7" i="3"/>
  <c r="CC59" i="3" s="1"/>
  <c r="CC40" i="3" s="1"/>
  <c r="BY72" i="7"/>
  <c r="BY41" i="7"/>
  <c r="CA65" i="7" l="1"/>
  <c r="CA29" i="7"/>
  <c r="CA56" i="7"/>
  <c r="CA38" i="7"/>
  <c r="CA40" i="7" s="1"/>
  <c r="AH52" i="3"/>
  <c r="AH43" i="3"/>
  <c r="AH45" i="3" s="1"/>
  <c r="AH49" i="3" s="1"/>
  <c r="AI48" i="3" s="1"/>
  <c r="CB57" i="7"/>
  <c r="CB55" i="7"/>
  <c r="CB66" i="7"/>
  <c r="CE8" i="9"/>
  <c r="CF7" i="9" s="1"/>
  <c r="CE1" i="9"/>
  <c r="BY73" i="7"/>
  <c r="BY36" i="3" s="1"/>
  <c r="BY23" i="7"/>
  <c r="BZ73" i="7"/>
  <c r="BZ36" i="3" s="1"/>
  <c r="AI20" i="7"/>
  <c r="CA47" i="7"/>
  <c r="CA49" i="7" s="1"/>
  <c r="CA50" i="7" s="1"/>
  <c r="CD4" i="7"/>
  <c r="CD41" i="3"/>
  <c r="CD7" i="3"/>
  <c r="CD59" i="3" s="1"/>
  <c r="CD40" i="3" s="1"/>
  <c r="CD6" i="3"/>
  <c r="CD61" i="3" s="1"/>
  <c r="CD31" i="3" s="1"/>
  <c r="CD5" i="3"/>
  <c r="CE4" i="3"/>
  <c r="BX77" i="7"/>
  <c r="BX35" i="3"/>
  <c r="BX42" i="3" s="1"/>
  <c r="CB76" i="7"/>
  <c r="CB39" i="3" s="1"/>
  <c r="CC63" i="7"/>
  <c r="CC54" i="7"/>
  <c r="CC45" i="7"/>
  <c r="CC53" i="7"/>
  <c r="CC62" i="7"/>
  <c r="CC44" i="7"/>
  <c r="CC35" i="7"/>
  <c r="CC26" i="7"/>
  <c r="CC12" i="7"/>
  <c r="CC17" i="7"/>
  <c r="CC8" i="7"/>
  <c r="CC36" i="7"/>
  <c r="CC13" i="7"/>
  <c r="CC9" i="7"/>
  <c r="CC14" i="7"/>
  <c r="CC18" i="7"/>
  <c r="CC27" i="7"/>
  <c r="CC7" i="7"/>
  <c r="CB21" i="7"/>
  <c r="CB19" i="7"/>
  <c r="CB30" i="7"/>
  <c r="CA31" i="7"/>
  <c r="CA32" i="7" s="1"/>
  <c r="CB28" i="7" s="1"/>
  <c r="BZ74" i="7"/>
  <c r="BZ37" i="3" s="1"/>
  <c r="BV52" i="3"/>
  <c r="BV43" i="3"/>
  <c r="H40" i="2"/>
  <c r="BW42" i="3"/>
  <c r="BZ72" i="7"/>
  <c r="CB37" i="7"/>
  <c r="CB39" i="7"/>
  <c r="CA20" i="7"/>
  <c r="CA75" i="7" s="1"/>
  <c r="CA38" i="3" s="1"/>
  <c r="CA67" i="7"/>
  <c r="CA68" i="7" s="1"/>
  <c r="CB64" i="7" s="1"/>
  <c r="BY77" i="7"/>
  <c r="BY35" i="3"/>
  <c r="BY42" i="3" s="1"/>
  <c r="CB71" i="7"/>
  <c r="CB34" i="3" s="1"/>
  <c r="CB46" i="7"/>
  <c r="CB48" i="7"/>
  <c r="CA58" i="7"/>
  <c r="CA59" i="7" s="1"/>
  <c r="AI74" i="7"/>
  <c r="AI37" i="3" s="1"/>
  <c r="AI40" i="7"/>
  <c r="CA22" i="7"/>
  <c r="BZ23" i="7"/>
  <c r="CA73" i="7" l="1"/>
  <c r="CA36" i="3" s="1"/>
  <c r="CC71" i="7"/>
  <c r="CC34" i="3" s="1"/>
  <c r="CB65" i="7"/>
  <c r="CB29" i="7"/>
  <c r="BV45" i="3"/>
  <c r="H43" i="2" s="1"/>
  <c r="H12" i="1" s="1"/>
  <c r="H41" i="2"/>
  <c r="CC48" i="7"/>
  <c r="CC46" i="7"/>
  <c r="CB56" i="7"/>
  <c r="CB58" i="7" s="1"/>
  <c r="CB59" i="7" s="1"/>
  <c r="CC57" i="7"/>
  <c r="CC55" i="7"/>
  <c r="AI72" i="7"/>
  <c r="AI41" i="7"/>
  <c r="AJ37" i="7" s="1"/>
  <c r="CC66" i="7"/>
  <c r="BZ77" i="7"/>
  <c r="BZ35" i="3"/>
  <c r="BZ42" i="3" s="1"/>
  <c r="CC19" i="7"/>
  <c r="CC21" i="7"/>
  <c r="BX52" i="3"/>
  <c r="BX43" i="3"/>
  <c r="BX45" i="3" s="1"/>
  <c r="CF8" i="9"/>
  <c r="CG7" i="9" s="1"/>
  <c r="CF1" i="9"/>
  <c r="AH53" i="3"/>
  <c r="CC30" i="7"/>
  <c r="BW52" i="3"/>
  <c r="BW43" i="3"/>
  <c r="CA23" i="7"/>
  <c r="CB31" i="7"/>
  <c r="CB32" i="7" s="1"/>
  <c r="CC28" i="7" s="1"/>
  <c r="CC76" i="7"/>
  <c r="CC39" i="3" s="1"/>
  <c r="CB67" i="7"/>
  <c r="CB68" i="7" s="1"/>
  <c r="CC64" i="7" s="1"/>
  <c r="CA72" i="7"/>
  <c r="CD62" i="7"/>
  <c r="CD53" i="7"/>
  <c r="CD63" i="7"/>
  <c r="CD54" i="7"/>
  <c r="CD45" i="7"/>
  <c r="CD17" i="7"/>
  <c r="CD35" i="7"/>
  <c r="CD8" i="7"/>
  <c r="CD36" i="7"/>
  <c r="CD13" i="7"/>
  <c r="CD44" i="7"/>
  <c r="CD18" i="7"/>
  <c r="CD26" i="7"/>
  <c r="CD14" i="7"/>
  <c r="CD27" i="7"/>
  <c r="CD7" i="7"/>
  <c r="CD9" i="7"/>
  <c r="CD12" i="7"/>
  <c r="CB47" i="7"/>
  <c r="CB49" i="7" s="1"/>
  <c r="CB50" i="7" s="1"/>
  <c r="CE4" i="7"/>
  <c r="CE41" i="3"/>
  <c r="CE6" i="3"/>
  <c r="CE61" i="3" s="1"/>
  <c r="CE31" i="3" s="1"/>
  <c r="CE7" i="3"/>
  <c r="CE59" i="3" s="1"/>
  <c r="CE40" i="3" s="1"/>
  <c r="CF4" i="3"/>
  <c r="CE5" i="3"/>
  <c r="CA74" i="7"/>
  <c r="CA37" i="3" s="1"/>
  <c r="BY52" i="3"/>
  <c r="BY43" i="3"/>
  <c r="BY45" i="3" s="1"/>
  <c r="CB38" i="7"/>
  <c r="CB74" i="7" s="1"/>
  <c r="CB37" i="3" s="1"/>
  <c r="H51" i="2"/>
  <c r="H10" i="1"/>
  <c r="CB20" i="7"/>
  <c r="CB22" i="7" s="1"/>
  <c r="CB73" i="7" s="1"/>
  <c r="CB36" i="3" s="1"/>
  <c r="CC39" i="7"/>
  <c r="CC37" i="7"/>
  <c r="AI75" i="7"/>
  <c r="AI38" i="3" s="1"/>
  <c r="AI22" i="7"/>
  <c r="CA41" i="7"/>
  <c r="CD71" i="7" l="1"/>
  <c r="CD34" i="3" s="1"/>
  <c r="CB40" i="7"/>
  <c r="CB41" i="7" s="1"/>
  <c r="CB75" i="7"/>
  <c r="CB38" i="3" s="1"/>
  <c r="CC29" i="7"/>
  <c r="CC31" i="7" s="1"/>
  <c r="CC32" i="7" s="1"/>
  <c r="CD28" i="7" s="1"/>
  <c r="CC65" i="7"/>
  <c r="CC67" i="7" s="1"/>
  <c r="CC68" i="7" s="1"/>
  <c r="CD64" i="7" s="1"/>
  <c r="CD48" i="7"/>
  <c r="CD46" i="7"/>
  <c r="CD21" i="7"/>
  <c r="CD19" i="7"/>
  <c r="CD57" i="7"/>
  <c r="CD55" i="7"/>
  <c r="CC38" i="7"/>
  <c r="CC40" i="7" s="1"/>
  <c r="CF4" i="7"/>
  <c r="CF41" i="3"/>
  <c r="CF7" i="3"/>
  <c r="CF59" i="3" s="1"/>
  <c r="CF40" i="3" s="1"/>
  <c r="CF5" i="3"/>
  <c r="CG4" i="3"/>
  <c r="CF6" i="3"/>
  <c r="CF61" i="3" s="1"/>
  <c r="CF31" i="3" s="1"/>
  <c r="CD66" i="7"/>
  <c r="CC20" i="7"/>
  <c r="AJ38" i="7"/>
  <c r="AI73" i="7"/>
  <c r="AI36" i="3" s="1"/>
  <c r="AI23" i="7"/>
  <c r="AJ19" i="7" s="1"/>
  <c r="CB72" i="7"/>
  <c r="BZ52" i="3"/>
  <c r="BZ43" i="3"/>
  <c r="BZ45" i="3" s="1"/>
  <c r="AI35" i="3"/>
  <c r="CC47" i="7"/>
  <c r="CC49" i="7" s="1"/>
  <c r="CC50" i="7" s="1"/>
  <c r="CD76" i="7"/>
  <c r="CD39" i="3" s="1"/>
  <c r="BW45" i="3"/>
  <c r="CG8" i="9"/>
  <c r="CH7" i="9" s="1"/>
  <c r="CG1" i="9"/>
  <c r="CC56" i="7"/>
  <c r="CD37" i="7"/>
  <c r="CD39" i="7"/>
  <c r="CB23" i="7"/>
  <c r="CE62" i="7"/>
  <c r="CE53" i="7"/>
  <c r="CE63" i="7"/>
  <c r="CE54" i="7"/>
  <c r="CE44" i="7"/>
  <c r="CE35" i="7"/>
  <c r="CE26" i="7"/>
  <c r="CE45" i="7"/>
  <c r="CE36" i="7"/>
  <c r="CE27" i="7"/>
  <c r="CE8" i="7"/>
  <c r="CE13" i="7"/>
  <c r="CE18" i="7"/>
  <c r="CE9" i="7"/>
  <c r="CE7" i="7"/>
  <c r="CE12" i="7"/>
  <c r="CE14" i="7"/>
  <c r="CE17" i="7"/>
  <c r="CD30" i="7"/>
  <c r="CA77" i="7"/>
  <c r="CA35" i="3"/>
  <c r="CC58" i="7"/>
  <c r="CC59" i="7" s="1"/>
  <c r="AI42" i="3" l="1"/>
  <c r="AI77" i="7"/>
  <c r="CC75" i="7"/>
  <c r="CC38" i="3" s="1"/>
  <c r="CE71" i="7"/>
  <c r="CE34" i="3" s="1"/>
  <c r="CD65" i="7"/>
  <c r="CD67" i="7" s="1"/>
  <c r="CD68" i="7" s="1"/>
  <c r="CE64" i="7" s="1"/>
  <c r="CD29" i="7"/>
  <c r="CE39" i="7"/>
  <c r="CE37" i="7"/>
  <c r="CC72" i="7"/>
  <c r="CF62" i="7"/>
  <c r="CF53" i="7"/>
  <c r="CF44" i="7"/>
  <c r="CF45" i="7"/>
  <c r="CF36" i="7"/>
  <c r="CF27" i="7"/>
  <c r="CF54" i="7"/>
  <c r="CF35" i="7"/>
  <c r="CF13" i="7"/>
  <c r="CF18" i="7"/>
  <c r="CF63" i="7"/>
  <c r="CF9" i="7"/>
  <c r="CF14" i="7"/>
  <c r="CF12" i="7"/>
  <c r="CF17" i="7"/>
  <c r="CF71" i="7" s="1"/>
  <c r="CF34" i="3" s="1"/>
  <c r="CF26" i="7"/>
  <c r="CF7" i="7"/>
  <c r="CF8" i="7"/>
  <c r="CD47" i="7"/>
  <c r="CH8" i="9"/>
  <c r="CI7" i="9" s="1"/>
  <c r="CH1" i="9"/>
  <c r="AI53" i="3"/>
  <c r="AI52" i="3"/>
  <c r="AI43" i="3"/>
  <c r="AI45" i="3" s="1"/>
  <c r="AI49" i="3" s="1"/>
  <c r="AJ48" i="3" s="1"/>
  <c r="CB77" i="7"/>
  <c r="CB35" i="3"/>
  <c r="CB42" i="3" s="1"/>
  <c r="CC74" i="7"/>
  <c r="CC37" i="3" s="1"/>
  <c r="CD49" i="7"/>
  <c r="CD50" i="7" s="1"/>
  <c r="CE76" i="7"/>
  <c r="CE39" i="3" s="1"/>
  <c r="CD38" i="7"/>
  <c r="CD40" i="7" s="1"/>
  <c r="AJ20" i="7"/>
  <c r="CC41" i="7"/>
  <c r="CE48" i="7"/>
  <c r="CE46" i="7"/>
  <c r="CA42" i="3"/>
  <c r="CE21" i="7"/>
  <c r="CE19" i="7"/>
  <c r="CC22" i="7"/>
  <c r="CG4" i="7"/>
  <c r="CG7" i="3"/>
  <c r="CG59" i="3" s="1"/>
  <c r="CG40" i="3" s="1"/>
  <c r="CG41" i="3"/>
  <c r="CG5" i="3"/>
  <c r="CG6" i="3"/>
  <c r="CG61" i="3" s="1"/>
  <c r="CG31" i="3" s="1"/>
  <c r="CH4" i="3"/>
  <c r="CD56" i="7"/>
  <c r="CD58" i="7" s="1"/>
  <c r="CD59" i="7" s="1"/>
  <c r="CE57" i="7"/>
  <c r="CE55" i="7"/>
  <c r="CE66" i="7"/>
  <c r="AJ74" i="7"/>
  <c r="AJ37" i="3" s="1"/>
  <c r="AJ40" i="7"/>
  <c r="CD31" i="7"/>
  <c r="CD32" i="7" s="1"/>
  <c r="CE28" i="7" s="1"/>
  <c r="CE30" i="7"/>
  <c r="CD20" i="7"/>
  <c r="CD75" i="7" s="1"/>
  <c r="CD38" i="3" s="1"/>
  <c r="CE65" i="7" l="1"/>
  <c r="CE29" i="7"/>
  <c r="CC35" i="3"/>
  <c r="CF55" i="7"/>
  <c r="CF57" i="7"/>
  <c r="CD22" i="7"/>
  <c r="CF30" i="7"/>
  <c r="CE38" i="7"/>
  <c r="CE40" i="7" s="1"/>
  <c r="CC73" i="7"/>
  <c r="CC36" i="3" s="1"/>
  <c r="CC23" i="7"/>
  <c r="CE67" i="7"/>
  <c r="CE68" i="7" s="1"/>
  <c r="CF64" i="7" s="1"/>
  <c r="CE20" i="7"/>
  <c r="CE75" i="7" s="1"/>
  <c r="CE38" i="3" s="1"/>
  <c r="CB52" i="3"/>
  <c r="CB43" i="3"/>
  <c r="CB45" i="3" s="1"/>
  <c r="CF37" i="7"/>
  <c r="CF39" i="7"/>
  <c r="AJ72" i="7"/>
  <c r="AJ41" i="7"/>
  <c r="AK37" i="7" s="1"/>
  <c r="AJ75" i="7"/>
  <c r="AJ38" i="3" s="1"/>
  <c r="AJ22" i="7"/>
  <c r="CF76" i="7"/>
  <c r="CF39" i="3" s="1"/>
  <c r="CF48" i="7"/>
  <c r="CF46" i="7"/>
  <c r="CI1" i="9"/>
  <c r="CI8" i="9"/>
  <c r="CJ7" i="9" s="1"/>
  <c r="CE56" i="7"/>
  <c r="CF66" i="7"/>
  <c r="CE31" i="7"/>
  <c r="CE32" i="7" s="1"/>
  <c r="CF28" i="7" s="1"/>
  <c r="CE58" i="7"/>
  <c r="CE59" i="7" s="1"/>
  <c r="CD74" i="7"/>
  <c r="CD37" i="3" s="1"/>
  <c r="CF19" i="7"/>
  <c r="CF21" i="7"/>
  <c r="CH4" i="7"/>
  <c r="CH41" i="3"/>
  <c r="I39" i="2" s="1"/>
  <c r="CH5" i="3"/>
  <c r="CH6" i="3"/>
  <c r="CH61" i="3" s="1"/>
  <c r="CH31" i="3" s="1"/>
  <c r="CH7" i="3"/>
  <c r="CH59" i="3" s="1"/>
  <c r="CH40" i="3" s="1"/>
  <c r="I38" i="2" s="1"/>
  <c r="CI4" i="3"/>
  <c r="CD72" i="7"/>
  <c r="CA52" i="3"/>
  <c r="CA43" i="3"/>
  <c r="CG62" i="7"/>
  <c r="CG53" i="7"/>
  <c r="CG63" i="7"/>
  <c r="CG54" i="7"/>
  <c r="CG44" i="7"/>
  <c r="CG35" i="7"/>
  <c r="CG26" i="7"/>
  <c r="CG18" i="7"/>
  <c r="CG36" i="7"/>
  <c r="CG9" i="7"/>
  <c r="CG14" i="7"/>
  <c r="CG7" i="7"/>
  <c r="CG27" i="7"/>
  <c r="CG17" i="7"/>
  <c r="CG8" i="7"/>
  <c r="CG45" i="7"/>
  <c r="CG13" i="7"/>
  <c r="CG12" i="7"/>
  <c r="CE47" i="7"/>
  <c r="CE49" i="7" s="1"/>
  <c r="CE50" i="7" s="1"/>
  <c r="CD41" i="7"/>
  <c r="CE22" i="7" l="1"/>
  <c r="CF29" i="7"/>
  <c r="CF65" i="7"/>
  <c r="CG76" i="7"/>
  <c r="CG39" i="3" s="1"/>
  <c r="AJ73" i="7"/>
  <c r="AJ36" i="3" s="1"/>
  <c r="AJ23" i="7"/>
  <c r="AK19" i="7" s="1"/>
  <c r="CF56" i="7"/>
  <c r="CF58" i="7" s="1"/>
  <c r="CF59" i="7" s="1"/>
  <c r="I29" i="2"/>
  <c r="I9" i="1" s="1"/>
  <c r="CF38" i="7"/>
  <c r="CF40" i="7" s="1"/>
  <c r="CC42" i="3"/>
  <c r="CI4" i="7"/>
  <c r="CI41" i="3"/>
  <c r="CI5" i="3"/>
  <c r="CI7" i="3"/>
  <c r="CI59" i="3" s="1"/>
  <c r="CI40" i="3" s="1"/>
  <c r="CI6" i="3"/>
  <c r="CI61" i="3" s="1"/>
  <c r="CI31" i="3" s="1"/>
  <c r="CJ4" i="3"/>
  <c r="CE72" i="7"/>
  <c r="CG37" i="7"/>
  <c r="CG39" i="7"/>
  <c r="CG21" i="7"/>
  <c r="CG19" i="7"/>
  <c r="CE73" i="7"/>
  <c r="CE36" i="3" s="1"/>
  <c r="CE41" i="7"/>
  <c r="CC77" i="7"/>
  <c r="CA45" i="3"/>
  <c r="CJ8" i="9"/>
  <c r="CK7" i="9" s="1"/>
  <c r="CJ1" i="9"/>
  <c r="CE74" i="7"/>
  <c r="CE37" i="3" s="1"/>
  <c r="CG66" i="7"/>
  <c r="CF31" i="7"/>
  <c r="CF32" i="7" s="1"/>
  <c r="CG28" i="7" s="1"/>
  <c r="CG71" i="7"/>
  <c r="CG34" i="3" s="1"/>
  <c r="CH63" i="7"/>
  <c r="CH54" i="7"/>
  <c r="CH44" i="7"/>
  <c r="CH62" i="7"/>
  <c r="CH45" i="7"/>
  <c r="CH36" i="7"/>
  <c r="CH27" i="7"/>
  <c r="CH9" i="7"/>
  <c r="CH14" i="7"/>
  <c r="CH53" i="7"/>
  <c r="CH7" i="7"/>
  <c r="CH26" i="7"/>
  <c r="CH12" i="7"/>
  <c r="CH8" i="7"/>
  <c r="CH13" i="7"/>
  <c r="CH17" i="7"/>
  <c r="CH18" i="7"/>
  <c r="CH35" i="7"/>
  <c r="CG30" i="7"/>
  <c r="CF47" i="7"/>
  <c r="AK38" i="7"/>
  <c r="CG46" i="7"/>
  <c r="CG48" i="7"/>
  <c r="CF67" i="7"/>
  <c r="CF68" i="7" s="1"/>
  <c r="CG64" i="7" s="1"/>
  <c r="CG57" i="7"/>
  <c r="CG55" i="7"/>
  <c r="CD35" i="3"/>
  <c r="CF20" i="7"/>
  <c r="CF75" i="7" s="1"/>
  <c r="CF38" i="3" s="1"/>
  <c r="CF49" i="7"/>
  <c r="CF50" i="7" s="1"/>
  <c r="AJ77" i="7"/>
  <c r="AJ35" i="3"/>
  <c r="AJ42" i="3" s="1"/>
  <c r="CE23" i="7"/>
  <c r="CD73" i="7"/>
  <c r="CD36" i="3" s="1"/>
  <c r="CD23" i="7"/>
  <c r="CF22" i="7" l="1"/>
  <c r="CG65" i="7"/>
  <c r="CG29" i="7"/>
  <c r="CF72" i="7"/>
  <c r="CF41" i="7"/>
  <c r="CH30" i="7"/>
  <c r="CG38" i="7"/>
  <c r="CG40" i="7" s="1"/>
  <c r="CC52" i="3"/>
  <c r="CC43" i="3"/>
  <c r="AJ52" i="3"/>
  <c r="AJ43" i="3"/>
  <c r="AJ45" i="3" s="1"/>
  <c r="AJ49" i="3" s="1"/>
  <c r="AK48" i="3" s="1"/>
  <c r="CH39" i="7"/>
  <c r="CH37" i="7"/>
  <c r="CE77" i="7"/>
  <c r="CE35" i="3"/>
  <c r="CE42" i="3" s="1"/>
  <c r="AK20" i="7"/>
  <c r="CH48" i="7"/>
  <c r="CH46" i="7"/>
  <c r="CJ4" i="7"/>
  <c r="CJ41" i="3"/>
  <c r="CJ6" i="3"/>
  <c r="CJ61" i="3" s="1"/>
  <c r="CJ31" i="3" s="1"/>
  <c r="CJ7" i="3"/>
  <c r="CJ59" i="3" s="1"/>
  <c r="CJ40" i="3" s="1"/>
  <c r="CJ5" i="3"/>
  <c r="CK4" i="3"/>
  <c r="CF74" i="7"/>
  <c r="CF37" i="3" s="1"/>
  <c r="CG67" i="7"/>
  <c r="CG68" i="7" s="1"/>
  <c r="CH64" i="7" s="1"/>
  <c r="CG47" i="7"/>
  <c r="CG49" i="7" s="1"/>
  <c r="CG50" i="7" s="1"/>
  <c r="CG20" i="7"/>
  <c r="CG75" i="7" s="1"/>
  <c r="CG38" i="3" s="1"/>
  <c r="CH57" i="7"/>
  <c r="CH55" i="7"/>
  <c r="CD77" i="7"/>
  <c r="CH66" i="7"/>
  <c r="CK8" i="9"/>
  <c r="CL7" i="9" s="1"/>
  <c r="CK1" i="9"/>
  <c r="CG31" i="7"/>
  <c r="CG32" i="7" s="1"/>
  <c r="CH28" i="7" s="1"/>
  <c r="CD42" i="3"/>
  <c r="AK74" i="7"/>
  <c r="AK37" i="3" s="1"/>
  <c r="AK40" i="7"/>
  <c r="CH21" i="7"/>
  <c r="CH19" i="7"/>
  <c r="CG56" i="7"/>
  <c r="CG58" i="7" s="1"/>
  <c r="CG59" i="7" s="1"/>
  <c r="CH71" i="7"/>
  <c r="CH34" i="3" s="1"/>
  <c r="CH76" i="7"/>
  <c r="CH39" i="3" s="1"/>
  <c r="I37" i="2" s="1"/>
  <c r="CI63" i="7"/>
  <c r="CI62" i="7"/>
  <c r="CI53" i="7"/>
  <c r="CI45" i="7"/>
  <c r="CI54" i="7"/>
  <c r="CI36" i="7"/>
  <c r="CI14" i="7"/>
  <c r="CI7" i="7"/>
  <c r="CI44" i="7"/>
  <c r="CI26" i="7"/>
  <c r="CI12" i="7"/>
  <c r="CI17" i="7"/>
  <c r="CI13" i="7"/>
  <c r="CI35" i="7"/>
  <c r="CI18" i="7"/>
  <c r="CI8" i="7"/>
  <c r="CI27" i="7"/>
  <c r="CI9" i="7"/>
  <c r="CI76" i="7" s="1"/>
  <c r="CI39" i="3" s="1"/>
  <c r="CG22" i="7" l="1"/>
  <c r="CG73" i="7" s="1"/>
  <c r="CG36" i="3" s="1"/>
  <c r="CF73" i="7"/>
  <c r="CF36" i="3" s="1"/>
  <c r="CF23" i="7"/>
  <c r="CH29" i="7"/>
  <c r="CH65" i="7"/>
  <c r="CC45" i="3"/>
  <c r="CH20" i="7"/>
  <c r="CH75" i="7" s="1"/>
  <c r="CH38" i="3" s="1"/>
  <c r="I36" i="2" s="1"/>
  <c r="CG23" i="7"/>
  <c r="CJ63" i="7"/>
  <c r="CJ54" i="7"/>
  <c r="CJ62" i="7"/>
  <c r="CJ53" i="7"/>
  <c r="CJ45" i="7"/>
  <c r="CJ36" i="7"/>
  <c r="CJ27" i="7"/>
  <c r="CJ44" i="7"/>
  <c r="CJ35" i="7"/>
  <c r="CJ26" i="7"/>
  <c r="CJ7" i="7"/>
  <c r="CJ12" i="7"/>
  <c r="CJ17" i="7"/>
  <c r="CJ8" i="7"/>
  <c r="CJ18" i="7"/>
  <c r="CJ9" i="7"/>
  <c r="CJ13" i="7"/>
  <c r="CJ14" i="7"/>
  <c r="CH38" i="7"/>
  <c r="CH47" i="7"/>
  <c r="CH49" i="7" s="1"/>
  <c r="CH50" i="7" s="1"/>
  <c r="CG72" i="7"/>
  <c r="AK72" i="7"/>
  <c r="AK41" i="7"/>
  <c r="AL37" i="7" s="1"/>
  <c r="CL1" i="9"/>
  <c r="CL8" i="9"/>
  <c r="CM7" i="9" s="1"/>
  <c r="CG74" i="7"/>
  <c r="CG37" i="3" s="1"/>
  <c r="CF77" i="7"/>
  <c r="CF35" i="3"/>
  <c r="CF42" i="3" s="1"/>
  <c r="CK4" i="7"/>
  <c r="CK41" i="3"/>
  <c r="CK5" i="3"/>
  <c r="CK6" i="3"/>
  <c r="CK61" i="3" s="1"/>
  <c r="CK31" i="3" s="1"/>
  <c r="CL4" i="3"/>
  <c r="CK7" i="3"/>
  <c r="CK59" i="3" s="1"/>
  <c r="CK40" i="3" s="1"/>
  <c r="CG41" i="7"/>
  <c r="CI30" i="7"/>
  <c r="CH67" i="7"/>
  <c r="CH68" i="7" s="1"/>
  <c r="AJ53" i="3"/>
  <c r="CI66" i="7"/>
  <c r="CI64" i="7"/>
  <c r="I32" i="2"/>
  <c r="I11" i="1" s="1"/>
  <c r="CD52" i="3"/>
  <c r="CD43" i="3"/>
  <c r="CD45" i="3" s="1"/>
  <c r="AK75" i="7"/>
  <c r="AK38" i="3" s="1"/>
  <c r="AK22" i="7"/>
  <c r="CI21" i="7"/>
  <c r="CI19" i="7"/>
  <c r="CI39" i="7"/>
  <c r="CI37" i="7"/>
  <c r="CI55" i="7"/>
  <c r="CI57" i="7"/>
  <c r="CI71" i="7"/>
  <c r="CI34" i="3" s="1"/>
  <c r="CI48" i="7"/>
  <c r="CI46" i="7"/>
  <c r="CH56" i="7"/>
  <c r="CH58" i="7" s="1"/>
  <c r="CH59" i="7" s="1"/>
  <c r="CE52" i="3"/>
  <c r="CE43" i="3"/>
  <c r="CE45" i="3" s="1"/>
  <c r="CH31" i="7"/>
  <c r="CH32" i="7" s="1"/>
  <c r="CI28" i="7" s="1"/>
  <c r="CH22" i="7" l="1"/>
  <c r="CH23" i="7" s="1"/>
  <c r="CI29" i="7"/>
  <c r="CI31" i="7" s="1"/>
  <c r="CI32" i="7" s="1"/>
  <c r="CJ28" i="7" s="1"/>
  <c r="AL38" i="7"/>
  <c r="CH74" i="7"/>
  <c r="CH37" i="3" s="1"/>
  <c r="I35" i="2" s="1"/>
  <c r="CI20" i="7"/>
  <c r="CI22" i="7" s="1"/>
  <c r="AK35" i="3"/>
  <c r="CJ57" i="7"/>
  <c r="CJ55" i="7"/>
  <c r="CI65" i="7"/>
  <c r="CI67" i="7" s="1"/>
  <c r="CI68" i="7" s="1"/>
  <c r="CF52" i="3"/>
  <c r="CF43" i="3"/>
  <c r="CF45" i="3" s="1"/>
  <c r="CG77" i="7"/>
  <c r="CG35" i="3"/>
  <c r="CG42" i="3" s="1"/>
  <c r="CJ64" i="7"/>
  <c r="CJ66" i="7"/>
  <c r="CJ76" i="7"/>
  <c r="CJ39" i="3" s="1"/>
  <c r="CL4" i="7"/>
  <c r="CL41" i="3"/>
  <c r="CL7" i="3"/>
  <c r="CL59" i="3" s="1"/>
  <c r="CL40" i="3" s="1"/>
  <c r="CL5" i="3"/>
  <c r="CM4" i="3"/>
  <c r="CL6" i="3"/>
  <c r="CL61" i="3" s="1"/>
  <c r="CL31" i="3" s="1"/>
  <c r="CH40" i="7"/>
  <c r="CJ21" i="7"/>
  <c r="CJ19" i="7"/>
  <c r="CJ30" i="7"/>
  <c r="CK45" i="7"/>
  <c r="CK62" i="7"/>
  <c r="CK54" i="7"/>
  <c r="CK44" i="7"/>
  <c r="CK35" i="7"/>
  <c r="CK26" i="7"/>
  <c r="CK63" i="7"/>
  <c r="CK53" i="7"/>
  <c r="CK12" i="7"/>
  <c r="CK17" i="7"/>
  <c r="CK8" i="7"/>
  <c r="CK27" i="7"/>
  <c r="CK13" i="7"/>
  <c r="CK9" i="7"/>
  <c r="CK14" i="7"/>
  <c r="CK36" i="7"/>
  <c r="CK7" i="7"/>
  <c r="CK18" i="7"/>
  <c r="CJ37" i="7"/>
  <c r="CJ39" i="7"/>
  <c r="CI47" i="7"/>
  <c r="CI49" i="7" s="1"/>
  <c r="CI50" i="7" s="1"/>
  <c r="AK73" i="7"/>
  <c r="AK36" i="3" s="1"/>
  <c r="AK23" i="7"/>
  <c r="AL19" i="7" s="1"/>
  <c r="CI56" i="7"/>
  <c r="CI58" i="7" s="1"/>
  <c r="CI59" i="7" s="1"/>
  <c r="CI38" i="7"/>
  <c r="CM8" i="9"/>
  <c r="CN7" i="9" s="1"/>
  <c r="CM1" i="9"/>
  <c r="CJ71" i="7"/>
  <c r="CJ34" i="3" s="1"/>
  <c r="CJ46" i="7"/>
  <c r="CJ48" i="7"/>
  <c r="CI73" i="7" l="1"/>
  <c r="CI36" i="3" s="1"/>
  <c r="CI75" i="7"/>
  <c r="CI38" i="3" s="1"/>
  <c r="CH73" i="7"/>
  <c r="CH36" i="3" s="1"/>
  <c r="I34" i="2" s="1"/>
  <c r="CI74" i="7"/>
  <c r="CI37" i="3" s="1"/>
  <c r="CJ29" i="7"/>
  <c r="AL20" i="7"/>
  <c r="CJ56" i="7"/>
  <c r="CJ58" i="7" s="1"/>
  <c r="CJ59" i="7" s="1"/>
  <c r="CK30" i="7"/>
  <c r="CH72" i="7"/>
  <c r="CH41" i="7"/>
  <c r="CG52" i="3"/>
  <c r="CG43" i="3"/>
  <c r="CG45" i="3" s="1"/>
  <c r="CK57" i="7"/>
  <c r="CK55" i="7"/>
  <c r="AK42" i="3"/>
  <c r="AL74" i="7"/>
  <c r="AL37" i="3" s="1"/>
  <c r="E35" i="2" s="1"/>
  <c r="AL40" i="7"/>
  <c r="CK19" i="7"/>
  <c r="CK21" i="7"/>
  <c r="CK71" i="7"/>
  <c r="CK34" i="3" s="1"/>
  <c r="CM4" i="7"/>
  <c r="CM41" i="3"/>
  <c r="CM6" i="3"/>
  <c r="CM61" i="3" s="1"/>
  <c r="CM31" i="3" s="1"/>
  <c r="CM7" i="3"/>
  <c r="CM59" i="3" s="1"/>
  <c r="CM40" i="3" s="1"/>
  <c r="CN4" i="3"/>
  <c r="CM5" i="3"/>
  <c r="AK77" i="7"/>
  <c r="CN8" i="9"/>
  <c r="CO7" i="9" s="1"/>
  <c r="CN1" i="9"/>
  <c r="CK48" i="7"/>
  <c r="CK46" i="7"/>
  <c r="CJ47" i="7"/>
  <c r="CJ49" i="7" s="1"/>
  <c r="CJ50" i="7" s="1"/>
  <c r="CI40" i="7"/>
  <c r="CK39" i="7"/>
  <c r="CK37" i="7"/>
  <c r="CJ31" i="7"/>
  <c r="CJ32" i="7" s="1"/>
  <c r="CK28" i="7" s="1"/>
  <c r="CI23" i="7"/>
  <c r="CJ40" i="7"/>
  <c r="CJ41" i="7" s="1"/>
  <c r="CK64" i="7"/>
  <c r="CK66" i="7"/>
  <c r="CJ38" i="7"/>
  <c r="CK76" i="7"/>
  <c r="CK39" i="3" s="1"/>
  <c r="CJ20" i="7"/>
  <c r="CJ75" i="7" s="1"/>
  <c r="CJ38" i="3" s="1"/>
  <c r="CL62" i="7"/>
  <c r="CL53" i="7"/>
  <c r="CL63" i="7"/>
  <c r="CL54" i="7"/>
  <c r="CL17" i="7"/>
  <c r="CL44" i="7"/>
  <c r="CL26" i="7"/>
  <c r="CL8" i="7"/>
  <c r="CL27" i="7"/>
  <c r="CL13" i="7"/>
  <c r="CL18" i="7"/>
  <c r="CL35" i="7"/>
  <c r="CL14" i="7"/>
  <c r="CL45" i="7"/>
  <c r="CL36" i="7"/>
  <c r="CL7" i="7"/>
  <c r="CL9" i="7"/>
  <c r="CL76" i="7" s="1"/>
  <c r="CL39" i="3" s="1"/>
  <c r="CL12" i="7"/>
  <c r="CJ65" i="7"/>
  <c r="CJ67" i="7" s="1"/>
  <c r="CJ68" i="7" s="1"/>
  <c r="CK29" i="7" l="1"/>
  <c r="CJ22" i="7"/>
  <c r="AK52" i="3"/>
  <c r="AK43" i="3"/>
  <c r="AK45" i="3" s="1"/>
  <c r="AK49" i="3" s="1"/>
  <c r="AL48" i="3" s="1"/>
  <c r="CO8" i="9"/>
  <c r="CP7" i="9" s="1"/>
  <c r="CO1" i="9"/>
  <c r="CM62" i="7"/>
  <c r="CM53" i="7"/>
  <c r="CM63" i="7"/>
  <c r="CM54" i="7"/>
  <c r="CM44" i="7"/>
  <c r="CM35" i="7"/>
  <c r="CM26" i="7"/>
  <c r="CM45" i="7"/>
  <c r="CM36" i="7"/>
  <c r="CM27" i="7"/>
  <c r="CM8" i="7"/>
  <c r="CM13" i="7"/>
  <c r="CM18" i="7"/>
  <c r="CM9" i="7"/>
  <c r="CM76" i="7" s="1"/>
  <c r="CM39" i="3" s="1"/>
  <c r="CM7" i="7"/>
  <c r="CM12" i="7"/>
  <c r="CM17" i="7"/>
  <c r="CM14" i="7"/>
  <c r="AL75" i="7"/>
  <c r="AL38" i="3" s="1"/>
  <c r="E36" i="2" s="1"/>
  <c r="AL22" i="7"/>
  <c r="CL48" i="7"/>
  <c r="CL46" i="7"/>
  <c r="CL71" i="7"/>
  <c r="CL34" i="3" s="1"/>
  <c r="CH77" i="7"/>
  <c r="CH35" i="3"/>
  <c r="CI72" i="7"/>
  <c r="CI41" i="7"/>
  <c r="CL57" i="7"/>
  <c r="CL55" i="7"/>
  <c r="CJ74" i="7"/>
  <c r="CJ37" i="3" s="1"/>
  <c r="CK56" i="7"/>
  <c r="CK58" i="7" s="1"/>
  <c r="CK59" i="7" s="1"/>
  <c r="CL37" i="7"/>
  <c r="CL39" i="7"/>
  <c r="CL21" i="7"/>
  <c r="CL19" i="7"/>
  <c r="CL66" i="7"/>
  <c r="CL64" i="7"/>
  <c r="CK20" i="7"/>
  <c r="CK22" i="7" s="1"/>
  <c r="CK31" i="7"/>
  <c r="CK32" i="7" s="1"/>
  <c r="CL28" i="7" s="1"/>
  <c r="CJ72" i="7"/>
  <c r="CK38" i="7"/>
  <c r="CK40" i="7" s="1"/>
  <c r="CK47" i="7"/>
  <c r="CK49" i="7" s="1"/>
  <c r="CK50" i="7" s="1"/>
  <c r="CN4" i="7"/>
  <c r="CN41" i="3"/>
  <c r="CN7" i="3"/>
  <c r="CN59" i="3" s="1"/>
  <c r="CN40" i="3" s="1"/>
  <c r="CN5" i="3"/>
  <c r="CO4" i="3"/>
  <c r="CN6" i="3"/>
  <c r="CN61" i="3" s="1"/>
  <c r="CN31" i="3" s="1"/>
  <c r="CL30" i="7"/>
  <c r="CK65" i="7"/>
  <c r="CK67" i="7" s="1"/>
  <c r="CK68" i="7" s="1"/>
  <c r="AL72" i="7"/>
  <c r="AL41" i="7"/>
  <c r="AM37" i="7" s="1"/>
  <c r="CK73" i="7" l="1"/>
  <c r="CK36" i="3" s="1"/>
  <c r="CK72" i="7"/>
  <c r="CM71" i="7"/>
  <c r="CM34" i="3" s="1"/>
  <c r="CL29" i="7"/>
  <c r="CL31" i="7" s="1"/>
  <c r="CL32" i="7" s="1"/>
  <c r="CM28" i="7" s="1"/>
  <c r="CK35" i="3"/>
  <c r="CL65" i="7"/>
  <c r="CL67" i="7" s="1"/>
  <c r="CL68" i="7" s="1"/>
  <c r="CO4" i="7"/>
  <c r="CO41" i="3"/>
  <c r="CO7" i="3"/>
  <c r="CO59" i="3" s="1"/>
  <c r="CO40" i="3" s="1"/>
  <c r="CO5" i="3"/>
  <c r="CP4" i="3"/>
  <c r="CO6" i="3"/>
  <c r="CO61" i="3" s="1"/>
  <c r="CO31" i="3" s="1"/>
  <c r="CK41" i="7"/>
  <c r="CK23" i="7"/>
  <c r="CM39" i="7"/>
  <c r="CM37" i="7"/>
  <c r="CP8" i="9"/>
  <c r="CQ7" i="9" s="1"/>
  <c r="CP1" i="9"/>
  <c r="CL20" i="7"/>
  <c r="CL75" i="7" s="1"/>
  <c r="CL38" i="3" s="1"/>
  <c r="CL56" i="7"/>
  <c r="CL47" i="7"/>
  <c r="CM48" i="7"/>
  <c r="CM46" i="7"/>
  <c r="CN62" i="7"/>
  <c r="CN44" i="7"/>
  <c r="CN63" i="7"/>
  <c r="CN53" i="7"/>
  <c r="CN45" i="7"/>
  <c r="CN36" i="7"/>
  <c r="CN27" i="7"/>
  <c r="CN26" i="7"/>
  <c r="CN13" i="7"/>
  <c r="CN18" i="7"/>
  <c r="CN9" i="7"/>
  <c r="CN76" i="7" s="1"/>
  <c r="CN39" i="3" s="1"/>
  <c r="CN14" i="7"/>
  <c r="CN12" i="7"/>
  <c r="CN17" i="7"/>
  <c r="CN71" i="7" s="1"/>
  <c r="CN34" i="3" s="1"/>
  <c r="CN54" i="7"/>
  <c r="CN8" i="7"/>
  <c r="CN35" i="7"/>
  <c r="CN7" i="7"/>
  <c r="CJ35" i="3"/>
  <c r="CL58" i="7"/>
  <c r="CL59" i="7" s="1"/>
  <c r="CL49" i="7"/>
  <c r="CL50" i="7" s="1"/>
  <c r="CM21" i="7"/>
  <c r="CM19" i="7"/>
  <c r="CM57" i="7"/>
  <c r="CM55" i="7"/>
  <c r="AM38" i="7"/>
  <c r="AL73" i="7"/>
  <c r="AL36" i="3" s="1"/>
  <c r="E34" i="2" s="1"/>
  <c r="AL23" i="7"/>
  <c r="AM19" i="7" s="1"/>
  <c r="AL77" i="7"/>
  <c r="AL35" i="3"/>
  <c r="CI77" i="7"/>
  <c r="CI35" i="3"/>
  <c r="CM66" i="7"/>
  <c r="CM64" i="7"/>
  <c r="AK53" i="3"/>
  <c r="CL38" i="7"/>
  <c r="CL74" i="7" s="1"/>
  <c r="CL37" i="3" s="1"/>
  <c r="CK74" i="7"/>
  <c r="CK37" i="3" s="1"/>
  <c r="CK75" i="7"/>
  <c r="CK38" i="3" s="1"/>
  <c r="CH42" i="3"/>
  <c r="I33" i="2"/>
  <c r="CM30" i="7"/>
  <c r="CJ73" i="7"/>
  <c r="CJ36" i="3" s="1"/>
  <c r="CJ23" i="7"/>
  <c r="CL40" i="7" l="1"/>
  <c r="CL41" i="7" s="1"/>
  <c r="CL22" i="7"/>
  <c r="CM29" i="7"/>
  <c r="CM31" i="7" s="1"/>
  <c r="CM32" i="7" s="1"/>
  <c r="CN28" i="7" s="1"/>
  <c r="CN55" i="7"/>
  <c r="CN57" i="7"/>
  <c r="AM74" i="7"/>
  <c r="AM37" i="3" s="1"/>
  <c r="AM40" i="7"/>
  <c r="CN37" i="7"/>
  <c r="CN39" i="7"/>
  <c r="CM47" i="7"/>
  <c r="CO62" i="7"/>
  <c r="CO53" i="7"/>
  <c r="CO63" i="7"/>
  <c r="CO54" i="7"/>
  <c r="CO44" i="7"/>
  <c r="CO35" i="7"/>
  <c r="CO26" i="7"/>
  <c r="CO18" i="7"/>
  <c r="CO27" i="7"/>
  <c r="CO9" i="7"/>
  <c r="CO14" i="7"/>
  <c r="CO7" i="7"/>
  <c r="CO45" i="7"/>
  <c r="CO36" i="7"/>
  <c r="CO17" i="7"/>
  <c r="CO8" i="7"/>
  <c r="CO12" i="7"/>
  <c r="CO13" i="7"/>
  <c r="CI42" i="3"/>
  <c r="CN30" i="7"/>
  <c r="CN48" i="7"/>
  <c r="CN46" i="7"/>
  <c r="CM49" i="7"/>
  <c r="CM50" i="7" s="1"/>
  <c r="CM56" i="7"/>
  <c r="CM58" i="7" s="1"/>
  <c r="CM59" i="7" s="1"/>
  <c r="CJ42" i="3"/>
  <c r="CQ1" i="9"/>
  <c r="CQ8" i="9"/>
  <c r="CR7" i="9" s="1"/>
  <c r="CJ77" i="7"/>
  <c r="CK42" i="3"/>
  <c r="CN19" i="7"/>
  <c r="CN21" i="7"/>
  <c r="CP4" i="7"/>
  <c r="CP41" i="3"/>
  <c r="CP5" i="3"/>
  <c r="CP6" i="3"/>
  <c r="CP61" i="3" s="1"/>
  <c r="CP31" i="3" s="1"/>
  <c r="CQ4" i="3"/>
  <c r="CP7" i="3"/>
  <c r="CP59" i="3" s="1"/>
  <c r="CP40" i="3" s="1"/>
  <c r="CK77" i="7"/>
  <c r="CN64" i="7"/>
  <c r="CN66" i="7"/>
  <c r="CH52" i="3"/>
  <c r="CH43" i="3"/>
  <c r="I40" i="2"/>
  <c r="CM65" i="7"/>
  <c r="CM67" i="7" s="1"/>
  <c r="CM68" i="7" s="1"/>
  <c r="AM20" i="7"/>
  <c r="CM20" i="7"/>
  <c r="CM75" i="7" s="1"/>
  <c r="CM38" i="3" s="1"/>
  <c r="AL42" i="3"/>
  <c r="E33" i="2"/>
  <c r="CM22" i="7"/>
  <c r="CM38" i="7"/>
  <c r="CM73" i="7" l="1"/>
  <c r="CM36" i="3" s="1"/>
  <c r="CM23" i="7"/>
  <c r="CL72" i="7"/>
  <c r="CL73" i="7"/>
  <c r="CL36" i="3" s="1"/>
  <c r="CL23" i="7"/>
  <c r="CN29" i="7"/>
  <c r="CN31" i="7" s="1"/>
  <c r="CN32" i="7" s="1"/>
  <c r="CO28" i="7" s="1"/>
  <c r="CH45" i="3"/>
  <c r="I43" i="2" s="1"/>
  <c r="I12" i="1" s="1"/>
  <c r="I41" i="2"/>
  <c r="CO57" i="7"/>
  <c r="CO55" i="7"/>
  <c r="CK52" i="3"/>
  <c r="CK43" i="3"/>
  <c r="CK45" i="3" s="1"/>
  <c r="CO30" i="7"/>
  <c r="CQ4" i="7"/>
  <c r="CQ41" i="3"/>
  <c r="CQ5" i="3"/>
  <c r="CQ7" i="3"/>
  <c r="CQ59" i="3" s="1"/>
  <c r="CQ40" i="3" s="1"/>
  <c r="CQ6" i="3"/>
  <c r="CQ61" i="3" s="1"/>
  <c r="CQ31" i="3" s="1"/>
  <c r="CR4" i="3"/>
  <c r="CI52" i="3"/>
  <c r="CI43" i="3"/>
  <c r="AM72" i="7"/>
  <c r="AM41" i="7"/>
  <c r="AN37" i="7" s="1"/>
  <c r="CN65" i="7"/>
  <c r="CN67" i="7" s="1"/>
  <c r="CN68" i="7" s="1"/>
  <c r="CO21" i="7"/>
  <c r="CO19" i="7"/>
  <c r="CO66" i="7"/>
  <c r="CO64" i="7"/>
  <c r="CO76" i="7"/>
  <c r="CO39" i="3" s="1"/>
  <c r="AM75" i="7"/>
  <c r="AM38" i="3" s="1"/>
  <c r="AM22" i="7"/>
  <c r="CN47" i="7"/>
  <c r="AL52" i="3"/>
  <c r="AL43" i="3"/>
  <c r="E40" i="2"/>
  <c r="CP63" i="7"/>
  <c r="CP54" i="7"/>
  <c r="CP62" i="7"/>
  <c r="CP44" i="7"/>
  <c r="CP45" i="7"/>
  <c r="CP36" i="7"/>
  <c r="CP27" i="7"/>
  <c r="CP9" i="7"/>
  <c r="CP76" i="7" s="1"/>
  <c r="CP39" i="3" s="1"/>
  <c r="CP53" i="7"/>
  <c r="CP14" i="7"/>
  <c r="CP7" i="7"/>
  <c r="CP35" i="7"/>
  <c r="CP12" i="7"/>
  <c r="CP8" i="7"/>
  <c r="CP13" i="7"/>
  <c r="CP17" i="7"/>
  <c r="CP26" i="7"/>
  <c r="CP18" i="7"/>
  <c r="CR8" i="9"/>
  <c r="CS7" i="9" s="1"/>
  <c r="CR1" i="9"/>
  <c r="CN49" i="7"/>
  <c r="CN50" i="7" s="1"/>
  <c r="CO71" i="7"/>
  <c r="CO34" i="3" s="1"/>
  <c r="CN56" i="7"/>
  <c r="CN58" i="7" s="1"/>
  <c r="CN59" i="7" s="1"/>
  <c r="CO39" i="7"/>
  <c r="CO37" i="7"/>
  <c r="CM74" i="7"/>
  <c r="CM37" i="3" s="1"/>
  <c r="CM40" i="7"/>
  <c r="CL77" i="7"/>
  <c r="CL35" i="3"/>
  <c r="I51" i="2"/>
  <c r="I10" i="1"/>
  <c r="CN20" i="7"/>
  <c r="CN75" i="7" s="1"/>
  <c r="CN38" i="3" s="1"/>
  <c r="CJ52" i="3"/>
  <c r="CJ43" i="3"/>
  <c r="CJ45" i="3" s="1"/>
  <c r="CO46" i="7"/>
  <c r="CO48" i="7"/>
  <c r="CN38" i="7"/>
  <c r="CN22" i="7" l="1"/>
  <c r="CN73" i="7"/>
  <c r="CN36" i="3" s="1"/>
  <c r="CO29" i="7"/>
  <c r="CO31" i="7" s="1"/>
  <c r="CO32" i="7" s="1"/>
  <c r="CP28" i="7" s="1"/>
  <c r="CP71" i="7"/>
  <c r="CP34" i="3" s="1"/>
  <c r="E51" i="2"/>
  <c r="E10" i="1"/>
  <c r="CP30" i="7"/>
  <c r="AL45" i="3"/>
  <c r="E41" i="2"/>
  <c r="CO65" i="7"/>
  <c r="CO67" i="7" s="1"/>
  <c r="CO68" i="7" s="1"/>
  <c r="CR4" i="7"/>
  <c r="CR41" i="3"/>
  <c r="CR6" i="3"/>
  <c r="CR61" i="3" s="1"/>
  <c r="CR31" i="3" s="1"/>
  <c r="CR7" i="3"/>
  <c r="CR59" i="3" s="1"/>
  <c r="CR40" i="3" s="1"/>
  <c r="CR5" i="3"/>
  <c r="CS4" i="3"/>
  <c r="CP66" i="7"/>
  <c r="CP64" i="7"/>
  <c r="CO56" i="7"/>
  <c r="CO58" i="7" s="1"/>
  <c r="CO59" i="7" s="1"/>
  <c r="CP39" i="7"/>
  <c r="CP37" i="7"/>
  <c r="CL42" i="3"/>
  <c r="CN23" i="7"/>
  <c r="CP48" i="7"/>
  <c r="CP46" i="7"/>
  <c r="AN38" i="7"/>
  <c r="CO20" i="7"/>
  <c r="CO75" i="7" s="1"/>
  <c r="CO38" i="3" s="1"/>
  <c r="AM35" i="3"/>
  <c r="CN74" i="7"/>
  <c r="CN37" i="3" s="1"/>
  <c r="CO47" i="7"/>
  <c r="CO49" i="7" s="1"/>
  <c r="CO50" i="7" s="1"/>
  <c r="CN40" i="7"/>
  <c r="CS8" i="9"/>
  <c r="CT7" i="9" s="1"/>
  <c r="CS1" i="9"/>
  <c r="CI45" i="3"/>
  <c r="CM72" i="7"/>
  <c r="CM41" i="7"/>
  <c r="CO38" i="7"/>
  <c r="CP21" i="7"/>
  <c r="CP19" i="7"/>
  <c r="CP57" i="7"/>
  <c r="CP55" i="7"/>
  <c r="AM73" i="7"/>
  <c r="AM36" i="3" s="1"/>
  <c r="AM23" i="7"/>
  <c r="AN19" i="7" s="1"/>
  <c r="CQ63" i="7"/>
  <c r="CQ62" i="7"/>
  <c r="CQ53" i="7"/>
  <c r="CQ45" i="7"/>
  <c r="CQ54" i="7"/>
  <c r="CQ44" i="7"/>
  <c r="CQ27" i="7"/>
  <c r="CQ14" i="7"/>
  <c r="CQ7" i="7"/>
  <c r="CQ35" i="7"/>
  <c r="CQ12" i="7"/>
  <c r="CQ17" i="7"/>
  <c r="CQ13" i="7"/>
  <c r="CQ26" i="7"/>
  <c r="CQ18" i="7"/>
  <c r="CQ8" i="7"/>
  <c r="CQ36" i="7"/>
  <c r="CQ9" i="7"/>
  <c r="CQ76" i="7" s="1"/>
  <c r="CQ39" i="3" s="1"/>
  <c r="CO74" i="7" l="1"/>
  <c r="CO37" i="3" s="1"/>
  <c r="CO22" i="7"/>
  <c r="CO73" i="7" s="1"/>
  <c r="CO36" i="3" s="1"/>
  <c r="CP29" i="7"/>
  <c r="CP47" i="7"/>
  <c r="CS4" i="7"/>
  <c r="CS41" i="3"/>
  <c r="CS5" i="3"/>
  <c r="CS6" i="3"/>
  <c r="CS61" i="3" s="1"/>
  <c r="CS31" i="3" s="1"/>
  <c r="CT4" i="3"/>
  <c r="CS7" i="3"/>
  <c r="CS59" i="3" s="1"/>
  <c r="CS40" i="3" s="1"/>
  <c r="CQ66" i="7"/>
  <c r="CQ64" i="7"/>
  <c r="CP49" i="7"/>
  <c r="CP50" i="7" s="1"/>
  <c r="CP38" i="7"/>
  <c r="CP40" i="7" s="1"/>
  <c r="E43" i="2"/>
  <c r="AL49" i="3"/>
  <c r="AN74" i="7"/>
  <c r="AN37" i="3" s="1"/>
  <c r="AN40" i="7"/>
  <c r="AN20" i="7"/>
  <c r="CQ30" i="7"/>
  <c r="CT8" i="9"/>
  <c r="CU7" i="9" s="1"/>
  <c r="CT1" i="9"/>
  <c r="CP31" i="7"/>
  <c r="CP32" i="7" s="1"/>
  <c r="CQ28" i="7" s="1"/>
  <c r="CQ21" i="7"/>
  <c r="CQ19" i="7"/>
  <c r="AM77" i="7"/>
  <c r="CP56" i="7"/>
  <c r="CP58" i="7" s="1"/>
  <c r="CP59" i="7" s="1"/>
  <c r="CM77" i="7"/>
  <c r="CM35" i="3"/>
  <c r="CN72" i="7"/>
  <c r="CN41" i="7"/>
  <c r="CO40" i="7"/>
  <c r="CQ39" i="7"/>
  <c r="CQ37" i="7"/>
  <c r="CQ55" i="7"/>
  <c r="CQ57" i="7"/>
  <c r="CL52" i="3"/>
  <c r="CL43" i="3"/>
  <c r="CR63" i="7"/>
  <c r="CR54" i="7"/>
  <c r="CR62" i="7"/>
  <c r="CR53" i="7"/>
  <c r="CR45" i="7"/>
  <c r="CR36" i="7"/>
  <c r="CR27" i="7"/>
  <c r="CR44" i="7"/>
  <c r="CR35" i="7"/>
  <c r="CR26" i="7"/>
  <c r="CR7" i="7"/>
  <c r="CR12" i="7"/>
  <c r="CR17" i="7"/>
  <c r="CR8" i="7"/>
  <c r="CR18" i="7"/>
  <c r="CR9" i="7"/>
  <c r="CR13" i="7"/>
  <c r="CR14" i="7"/>
  <c r="AM42" i="3"/>
  <c r="CQ71" i="7"/>
  <c r="CQ34" i="3" s="1"/>
  <c r="CQ48" i="7"/>
  <c r="CQ46" i="7"/>
  <c r="CP20" i="7"/>
  <c r="CP75" i="7" s="1"/>
  <c r="CP38" i="3" s="1"/>
  <c r="CP65" i="7"/>
  <c r="CP67" i="7" s="1"/>
  <c r="CP68" i="7" s="1"/>
  <c r="CO23" i="7" l="1"/>
  <c r="CQ29" i="7"/>
  <c r="AN72" i="7"/>
  <c r="AN41" i="7"/>
  <c r="AO37" i="7" s="1"/>
  <c r="CQ65" i="7"/>
  <c r="CQ67" i="7" s="1"/>
  <c r="CQ68" i="7" s="1"/>
  <c r="CR76" i="7"/>
  <c r="CR39" i="3" s="1"/>
  <c r="CO72" i="7"/>
  <c r="CO41" i="7"/>
  <c r="CU1" i="9"/>
  <c r="CU8" i="9"/>
  <c r="CV7" i="9" s="1"/>
  <c r="CS45" i="7"/>
  <c r="CS54" i="7"/>
  <c r="CS53" i="7"/>
  <c r="CS44" i="7"/>
  <c r="CS35" i="7"/>
  <c r="CS26" i="7"/>
  <c r="CS62" i="7"/>
  <c r="CS12" i="7"/>
  <c r="CS63" i="7"/>
  <c r="CS17" i="7"/>
  <c r="CS8" i="7"/>
  <c r="CS36" i="7"/>
  <c r="CS13" i="7"/>
  <c r="CS9" i="7"/>
  <c r="CS14" i="7"/>
  <c r="CS18" i="7"/>
  <c r="CS27" i="7"/>
  <c r="CS7" i="7"/>
  <c r="CR66" i="7"/>
  <c r="CR64" i="7"/>
  <c r="CR30" i="7"/>
  <c r="CL45" i="3"/>
  <c r="CP22" i="7"/>
  <c r="CQ47" i="7"/>
  <c r="CQ49" i="7" s="1"/>
  <c r="CQ50" i="7" s="1"/>
  <c r="CQ38" i="7"/>
  <c r="CQ40" i="7" s="1"/>
  <c r="CR37" i="7"/>
  <c r="CR39" i="7"/>
  <c r="CQ20" i="7"/>
  <c r="CQ31" i="7"/>
  <c r="CQ32" i="7" s="1"/>
  <c r="CR28" i="7" s="1"/>
  <c r="AM48" i="3"/>
  <c r="E47" i="2"/>
  <c r="E48" i="2"/>
  <c r="AL53" i="3"/>
  <c r="CR21" i="7"/>
  <c r="CR19" i="7"/>
  <c r="CR71" i="7"/>
  <c r="CR34" i="3" s="1"/>
  <c r="CR46" i="7"/>
  <c r="CR48" i="7"/>
  <c r="CN77" i="7"/>
  <c r="CN35" i="3"/>
  <c r="CN42" i="3" s="1"/>
  <c r="CP72" i="7"/>
  <c r="E12" i="1"/>
  <c r="CM42" i="3"/>
  <c r="CP41" i="7"/>
  <c r="CT4" i="7"/>
  <c r="CT7" i="3"/>
  <c r="CT59" i="3" s="1"/>
  <c r="CT40" i="3" s="1"/>
  <c r="J38" i="2" s="1"/>
  <c r="CT41" i="3"/>
  <c r="J39" i="2" s="1"/>
  <c r="CT6" i="3"/>
  <c r="CT61" i="3" s="1"/>
  <c r="CT31" i="3" s="1"/>
  <c r="CT5" i="3"/>
  <c r="CU4" i="3"/>
  <c r="CR57" i="7"/>
  <c r="CR55" i="7"/>
  <c r="AM52" i="3"/>
  <c r="AM43" i="3"/>
  <c r="CQ56" i="7"/>
  <c r="CQ58" i="7" s="1"/>
  <c r="CQ59" i="7" s="1"/>
  <c r="AN75" i="7"/>
  <c r="AN38" i="3" s="1"/>
  <c r="AN22" i="7"/>
  <c r="CP74" i="7"/>
  <c r="CP37" i="3" s="1"/>
  <c r="CQ75" i="7" l="1"/>
  <c r="CQ38" i="3" s="1"/>
  <c r="CR29" i="7"/>
  <c r="CS71" i="7"/>
  <c r="CS34" i="3" s="1"/>
  <c r="CS57" i="7"/>
  <c r="CS55" i="7"/>
  <c r="CT62" i="7"/>
  <c r="CT53" i="7"/>
  <c r="CT63" i="7"/>
  <c r="CT54" i="7"/>
  <c r="CT17" i="7"/>
  <c r="CT35" i="7"/>
  <c r="CT8" i="7"/>
  <c r="CT36" i="7"/>
  <c r="CT13" i="7"/>
  <c r="CT18" i="7"/>
  <c r="CT26" i="7"/>
  <c r="CT14" i="7"/>
  <c r="CT27" i="7"/>
  <c r="CT7" i="7"/>
  <c r="CT45" i="7"/>
  <c r="CT12" i="7"/>
  <c r="CT9" i="7"/>
  <c r="CT76" i="7" s="1"/>
  <c r="CT39" i="3" s="1"/>
  <c r="J37" i="2" s="1"/>
  <c r="CT44" i="7"/>
  <c r="CR56" i="7"/>
  <c r="CR58" i="7" s="1"/>
  <c r="CR59" i="7" s="1"/>
  <c r="CP35" i="3"/>
  <c r="CP73" i="7"/>
  <c r="CP36" i="3" s="1"/>
  <c r="CP23" i="7"/>
  <c r="CS30" i="7"/>
  <c r="CS64" i="7"/>
  <c r="CS66" i="7"/>
  <c r="CS48" i="7"/>
  <c r="CS46" i="7"/>
  <c r="CO77" i="7"/>
  <c r="CO35" i="3"/>
  <c r="CR20" i="7"/>
  <c r="CR75" i="7" s="1"/>
  <c r="CR38" i="3" s="1"/>
  <c r="CQ22" i="7"/>
  <c r="CS19" i="7"/>
  <c r="CS21" i="7"/>
  <c r="CM52" i="3"/>
  <c r="CM43" i="3"/>
  <c r="CN52" i="3"/>
  <c r="CN43" i="3"/>
  <c r="CN45" i="3" s="1"/>
  <c r="CR38" i="7"/>
  <c r="CR40" i="7" s="1"/>
  <c r="AO38" i="7"/>
  <c r="CU4" i="7"/>
  <c r="CU41" i="3"/>
  <c r="CU6" i="3"/>
  <c r="CU61" i="3" s="1"/>
  <c r="CU31" i="3" s="1"/>
  <c r="CU7" i="3"/>
  <c r="CU59" i="3" s="1"/>
  <c r="CU40" i="3" s="1"/>
  <c r="CV4" i="3"/>
  <c r="CU5" i="3"/>
  <c r="AM45" i="3"/>
  <c r="AM49" i="3" s="1"/>
  <c r="J29" i="2"/>
  <c r="J9" i="1" s="1"/>
  <c r="E14" i="1"/>
  <c r="CR31" i="7"/>
  <c r="CR32" i="7" s="1"/>
  <c r="CS28" i="7" s="1"/>
  <c r="CS76" i="7"/>
  <c r="CS39" i="3" s="1"/>
  <c r="CV8" i="9"/>
  <c r="CW7" i="9" s="1"/>
  <c r="CV1" i="9"/>
  <c r="AN77" i="7"/>
  <c r="AN35" i="3"/>
  <c r="CQ72" i="7"/>
  <c r="E13" i="1"/>
  <c r="E55" i="2"/>
  <c r="E52" i="2"/>
  <c r="CQ74" i="7"/>
  <c r="CQ37" i="3" s="1"/>
  <c r="AN73" i="7"/>
  <c r="AN36" i="3" s="1"/>
  <c r="AN23" i="7"/>
  <c r="AO19" i="7" s="1"/>
  <c r="CR47" i="7"/>
  <c r="CR49" i="7" s="1"/>
  <c r="CR50" i="7" s="1"/>
  <c r="F46" i="2"/>
  <c r="CQ41" i="7"/>
  <c r="CR65" i="7"/>
  <c r="CR67" i="7" s="1"/>
  <c r="CR68" i="7" s="1"/>
  <c r="CS39" i="7"/>
  <c r="CS37" i="7"/>
  <c r="CR22" i="7" l="1"/>
  <c r="AN48" i="3"/>
  <c r="AM53" i="3"/>
  <c r="CS29" i="7"/>
  <c r="CS31" i="7" s="1"/>
  <c r="CS32" i="7" s="1"/>
  <c r="CT28" i="7" s="1"/>
  <c r="CS47" i="7"/>
  <c r="CR73" i="7"/>
  <c r="CR36" i="3" s="1"/>
  <c r="CT39" i="7"/>
  <c r="CT37" i="7"/>
  <c r="CP42" i="3"/>
  <c r="CT48" i="7"/>
  <c r="CT46" i="7"/>
  <c r="CS56" i="7"/>
  <c r="CS58" i="7" s="1"/>
  <c r="CS59" i="7" s="1"/>
  <c r="CM45" i="3"/>
  <c r="CR72" i="7"/>
  <c r="CP77" i="7"/>
  <c r="CS20" i="7"/>
  <c r="CS75" i="7" s="1"/>
  <c r="CS38" i="3" s="1"/>
  <c r="CV4" i="7"/>
  <c r="CV41" i="3"/>
  <c r="CV7" i="3"/>
  <c r="CV59" i="3" s="1"/>
  <c r="CV40" i="3" s="1"/>
  <c r="CV5" i="3"/>
  <c r="CV6" i="3"/>
  <c r="CV61" i="3" s="1"/>
  <c r="CV31" i="3" s="1"/>
  <c r="CW4" i="3"/>
  <c r="CQ73" i="7"/>
  <c r="CQ36" i="3" s="1"/>
  <c r="CQ23" i="7"/>
  <c r="CS65" i="7"/>
  <c r="CS67" i="7" s="1"/>
  <c r="CS68" i="7" s="1"/>
  <c r="CT30" i="7"/>
  <c r="CT71" i="7"/>
  <c r="CT34" i="3" s="1"/>
  <c r="AO74" i="7"/>
  <c r="AO37" i="3" s="1"/>
  <c r="AO40" i="7"/>
  <c r="CR41" i="7"/>
  <c r="CR23" i="7"/>
  <c r="CT57" i="7"/>
  <c r="CT55" i="7"/>
  <c r="CU62" i="7"/>
  <c r="CU53" i="7"/>
  <c r="CU63" i="7"/>
  <c r="CU54" i="7"/>
  <c r="CU44" i="7"/>
  <c r="CU35" i="7"/>
  <c r="CU26" i="7"/>
  <c r="CU45" i="7"/>
  <c r="CU36" i="7"/>
  <c r="CU27" i="7"/>
  <c r="CU8" i="7"/>
  <c r="CU13" i="7"/>
  <c r="CU18" i="7"/>
  <c r="CU9" i="7"/>
  <c r="CU76" i="7" s="1"/>
  <c r="CU39" i="3" s="1"/>
  <c r="CU7" i="7"/>
  <c r="CU12" i="7"/>
  <c r="CU14" i="7"/>
  <c r="CU17" i="7"/>
  <c r="CW8" i="9"/>
  <c r="CX7" i="9" s="1"/>
  <c r="CW1" i="9"/>
  <c r="CS49" i="7"/>
  <c r="CS50" i="7" s="1"/>
  <c r="AO20" i="7"/>
  <c r="CR74" i="7"/>
  <c r="CR37" i="3" s="1"/>
  <c r="CT66" i="7"/>
  <c r="CT64" i="7"/>
  <c r="CS38" i="7"/>
  <c r="CS74" i="7" s="1"/>
  <c r="CS37" i="3" s="1"/>
  <c r="CQ35" i="3"/>
  <c r="AN42" i="3"/>
  <c r="CO42" i="3"/>
  <c r="CT21" i="7"/>
  <c r="CT19" i="7"/>
  <c r="CQ42" i="3" l="1"/>
  <c r="CQ77" i="7"/>
  <c r="CT29" i="7"/>
  <c r="CT47" i="7"/>
  <c r="CT49" i="7" s="1"/>
  <c r="CT50" i="7" s="1"/>
  <c r="CT31" i="7"/>
  <c r="CT32" i="7" s="1"/>
  <c r="AN52" i="3"/>
  <c r="AN43" i="3"/>
  <c r="CT65" i="7"/>
  <c r="CT67" i="7" s="1"/>
  <c r="CT68" i="7" s="1"/>
  <c r="CU21" i="7"/>
  <c r="CU19" i="7"/>
  <c r="CS22" i="7"/>
  <c r="CU57" i="7"/>
  <c r="CU55" i="7"/>
  <c r="CR77" i="7"/>
  <c r="CR35" i="3"/>
  <c r="CR42" i="3" s="1"/>
  <c r="CP52" i="3"/>
  <c r="CP43" i="3"/>
  <c r="CP45" i="3" s="1"/>
  <c r="CT38" i="7"/>
  <c r="AO75" i="7"/>
  <c r="AO38" i="3" s="1"/>
  <c r="AO22" i="7"/>
  <c r="CV62" i="7"/>
  <c r="CV54" i="7"/>
  <c r="CV53" i="7"/>
  <c r="CV44" i="7"/>
  <c r="CV63" i="7"/>
  <c r="CV45" i="7"/>
  <c r="CV36" i="7"/>
  <c r="CV27" i="7"/>
  <c r="CV35" i="7"/>
  <c r="CV13" i="7"/>
  <c r="CV18" i="7"/>
  <c r="CV9" i="7"/>
  <c r="CV76" i="7" s="1"/>
  <c r="CV39" i="3" s="1"/>
  <c r="CV14" i="7"/>
  <c r="CV12" i="7"/>
  <c r="CV17" i="7"/>
  <c r="CV26" i="7"/>
  <c r="CV7" i="7"/>
  <c r="CV8" i="7"/>
  <c r="CU66" i="7"/>
  <c r="CU64" i="7"/>
  <c r="AO72" i="7"/>
  <c r="AO41" i="7"/>
  <c r="AP37" i="7" s="1"/>
  <c r="CU71" i="7"/>
  <c r="CU34" i="3" s="1"/>
  <c r="CU30" i="7"/>
  <c r="CU28" i="7"/>
  <c r="CT40" i="7"/>
  <c r="CT20" i="7"/>
  <c r="CT75" i="7" s="1"/>
  <c r="CT38" i="3" s="1"/>
  <c r="J36" i="2" s="1"/>
  <c r="CX8" i="9"/>
  <c r="CY7" i="9" s="1"/>
  <c r="CX1" i="9"/>
  <c r="CS40" i="7"/>
  <c r="CU39" i="7"/>
  <c r="CU37" i="7"/>
  <c r="CW4" i="7"/>
  <c r="CW41" i="3"/>
  <c r="CW7" i="3"/>
  <c r="CW59" i="3" s="1"/>
  <c r="CW40" i="3" s="1"/>
  <c r="CX4" i="3"/>
  <c r="CW5" i="3"/>
  <c r="CW6" i="3"/>
  <c r="CW61" i="3" s="1"/>
  <c r="CW31" i="3" s="1"/>
  <c r="CQ52" i="3"/>
  <c r="CQ43" i="3"/>
  <c r="CQ45" i="3" s="1"/>
  <c r="CO52" i="3"/>
  <c r="CO43" i="3"/>
  <c r="CU48" i="7"/>
  <c r="CU46" i="7"/>
  <c r="CT56" i="7"/>
  <c r="CT58" i="7" s="1"/>
  <c r="CT59" i="7" s="1"/>
  <c r="J32" i="2"/>
  <c r="J11" i="1" s="1"/>
  <c r="CU29" i="7" l="1"/>
  <c r="CU31" i="7" s="1"/>
  <c r="CU32" i="7" s="1"/>
  <c r="CV55" i="7"/>
  <c r="CV57" i="7"/>
  <c r="CU20" i="7"/>
  <c r="CY8" i="9"/>
  <c r="CZ7" i="9" s="1"/>
  <c r="CY1" i="9"/>
  <c r="CV28" i="7"/>
  <c r="CV30" i="7"/>
  <c r="CX4" i="7"/>
  <c r="CX41" i="3"/>
  <c r="CX5" i="3"/>
  <c r="CX6" i="3"/>
  <c r="CX61" i="3" s="1"/>
  <c r="CX31" i="3" s="1"/>
  <c r="CY4" i="3"/>
  <c r="CX7" i="3"/>
  <c r="CX59" i="3" s="1"/>
  <c r="CX40" i="3" s="1"/>
  <c r="CU47" i="7"/>
  <c r="CU49" i="7" s="1"/>
  <c r="CU50" i="7" s="1"/>
  <c r="CT22" i="7"/>
  <c r="CV71" i="7"/>
  <c r="CV34" i="3" s="1"/>
  <c r="CV39" i="7"/>
  <c r="CV37" i="7"/>
  <c r="AO73" i="7"/>
  <c r="AO36" i="3" s="1"/>
  <c r="AO23" i="7"/>
  <c r="AP19" i="7" s="1"/>
  <c r="CR52" i="3"/>
  <c r="CR43" i="3"/>
  <c r="CR45" i="3" s="1"/>
  <c r="AP38" i="7"/>
  <c r="CV48" i="7"/>
  <c r="CV46" i="7"/>
  <c r="CW62" i="7"/>
  <c r="CW53" i="7"/>
  <c r="CW63" i="7"/>
  <c r="CW54" i="7"/>
  <c r="CW44" i="7"/>
  <c r="CW35" i="7"/>
  <c r="CW26" i="7"/>
  <c r="CW18" i="7"/>
  <c r="CW36" i="7"/>
  <c r="CW9" i="7"/>
  <c r="CW76" i="7" s="1"/>
  <c r="CW39" i="3" s="1"/>
  <c r="CW14" i="7"/>
  <c r="CW45" i="7"/>
  <c r="CW7" i="7"/>
  <c r="CW27" i="7"/>
  <c r="CW17" i="7"/>
  <c r="CW8" i="7"/>
  <c r="CW12" i="7"/>
  <c r="CW13" i="7"/>
  <c r="CU38" i="7"/>
  <c r="CT72" i="7"/>
  <c r="AO35" i="3"/>
  <c r="CV64" i="7"/>
  <c r="CV66" i="7"/>
  <c r="CT74" i="7"/>
  <c r="CT37" i="3" s="1"/>
  <c r="J35" i="2" s="1"/>
  <c r="CU56" i="7"/>
  <c r="CU58" i="7" s="1"/>
  <c r="CU59" i="7" s="1"/>
  <c r="CT41" i="7"/>
  <c r="AN45" i="3"/>
  <c r="CU40" i="7"/>
  <c r="CU41" i="7" s="1"/>
  <c r="CU65" i="7"/>
  <c r="CU67" i="7" s="1"/>
  <c r="CU68" i="7" s="1"/>
  <c r="CO45" i="3"/>
  <c r="CS72" i="7"/>
  <c r="CS41" i="7"/>
  <c r="CV19" i="7"/>
  <c r="CV21" i="7"/>
  <c r="CS73" i="7"/>
  <c r="CS36" i="3" s="1"/>
  <c r="CS23" i="7"/>
  <c r="CU75" i="7" l="1"/>
  <c r="CU38" i="3" s="1"/>
  <c r="CV29" i="7"/>
  <c r="CV20" i="7"/>
  <c r="CU74" i="7"/>
  <c r="CU37" i="3" s="1"/>
  <c r="CW66" i="7"/>
  <c r="CW64" i="7"/>
  <c r="CV38" i="7"/>
  <c r="CV40" i="7" s="1"/>
  <c r="CV41" i="7" s="1"/>
  <c r="CY4" i="7"/>
  <c r="CY41" i="3"/>
  <c r="CY5" i="3"/>
  <c r="CZ4" i="3"/>
  <c r="CY6" i="3"/>
  <c r="CY61" i="3" s="1"/>
  <c r="CY31" i="3" s="1"/>
  <c r="CY7" i="3"/>
  <c r="CY59" i="3" s="1"/>
  <c r="CY40" i="3" s="1"/>
  <c r="CW57" i="7"/>
  <c r="CW55" i="7"/>
  <c r="AP74" i="7"/>
  <c r="AP37" i="3" s="1"/>
  <c r="AP40" i="7"/>
  <c r="CV56" i="7"/>
  <c r="CV58" i="7" s="1"/>
  <c r="CV59" i="7" s="1"/>
  <c r="CV22" i="7"/>
  <c r="CV23" i="7" s="1"/>
  <c r="CV65" i="7"/>
  <c r="CV67" i="7" s="1"/>
  <c r="CV68" i="7" s="1"/>
  <c r="CW21" i="7"/>
  <c r="CW19" i="7"/>
  <c r="CT73" i="7"/>
  <c r="CT36" i="3" s="1"/>
  <c r="J34" i="2" s="1"/>
  <c r="CT23" i="7"/>
  <c r="CZ8" i="9"/>
  <c r="DA7" i="9" s="1"/>
  <c r="CZ1" i="9"/>
  <c r="CW39" i="7"/>
  <c r="CW37" i="7"/>
  <c r="AN49" i="3"/>
  <c r="AO42" i="3"/>
  <c r="CW71" i="7"/>
  <c r="CW34" i="3" s="1"/>
  <c r="CX63" i="7"/>
  <c r="CX54" i="7"/>
  <c r="CX44" i="7"/>
  <c r="CX53" i="7"/>
  <c r="CX45" i="7"/>
  <c r="CX36" i="7"/>
  <c r="CX27" i="7"/>
  <c r="CX62" i="7"/>
  <c r="CX9" i="7"/>
  <c r="CX14" i="7"/>
  <c r="CX7" i="7"/>
  <c r="CX26" i="7"/>
  <c r="CX12" i="7"/>
  <c r="CX8" i="7"/>
  <c r="CX13" i="7"/>
  <c r="CX35" i="7"/>
  <c r="CX17" i="7"/>
  <c r="CX18" i="7"/>
  <c r="CS77" i="7"/>
  <c r="CS35" i="3"/>
  <c r="CS42" i="3" s="1"/>
  <c r="AO77" i="7"/>
  <c r="CW30" i="7"/>
  <c r="CW28" i="7"/>
  <c r="CU22" i="7"/>
  <c r="CW46" i="7"/>
  <c r="CW48" i="7"/>
  <c r="CU72" i="7"/>
  <c r="CT35" i="3"/>
  <c r="CV47" i="7"/>
  <c r="CV49" i="7" s="1"/>
  <c r="CV50" i="7" s="1"/>
  <c r="AP20" i="7"/>
  <c r="CV31" i="7"/>
  <c r="CV32" i="7" s="1"/>
  <c r="CT77" i="7" l="1"/>
  <c r="CX39" i="7"/>
  <c r="CX37" i="7"/>
  <c r="AO52" i="3"/>
  <c r="AO43" i="3"/>
  <c r="DA8" i="9"/>
  <c r="DB7" i="9" s="1"/>
  <c r="DA1" i="9"/>
  <c r="CW56" i="7"/>
  <c r="CW58" i="7" s="1"/>
  <c r="CW59" i="7" s="1"/>
  <c r="CY63" i="7"/>
  <c r="CY62" i="7"/>
  <c r="CY53" i="7"/>
  <c r="CY54" i="7"/>
  <c r="CY45" i="7"/>
  <c r="CY36" i="7"/>
  <c r="CY14" i="7"/>
  <c r="CY7" i="7"/>
  <c r="CY26" i="7"/>
  <c r="CY12" i="7"/>
  <c r="CY17" i="7"/>
  <c r="CY13" i="7"/>
  <c r="CY44" i="7"/>
  <c r="CY35" i="7"/>
  <c r="CY18" i="7"/>
  <c r="CY27" i="7"/>
  <c r="CY8" i="7"/>
  <c r="CY9" i="7"/>
  <c r="CX30" i="7"/>
  <c r="CX28" i="7"/>
  <c r="CX48" i="7"/>
  <c r="CX46" i="7"/>
  <c r="AO48" i="3"/>
  <c r="AN53" i="3"/>
  <c r="CV73" i="7"/>
  <c r="CV36" i="3" s="1"/>
  <c r="CS52" i="3"/>
  <c r="CS43" i="3"/>
  <c r="CU35" i="3"/>
  <c r="AP75" i="7"/>
  <c r="AP38" i="3" s="1"/>
  <c r="AP22" i="7"/>
  <c r="CV74" i="7"/>
  <c r="CV37" i="3" s="1"/>
  <c r="CW65" i="7"/>
  <c r="CX57" i="7"/>
  <c r="CX55" i="7"/>
  <c r="CW67" i="7"/>
  <c r="CW68" i="7" s="1"/>
  <c r="CW47" i="7"/>
  <c r="CW49" i="7" s="1"/>
  <c r="CW50" i="7" s="1"/>
  <c r="CX21" i="7"/>
  <c r="CX19" i="7"/>
  <c r="CW29" i="7"/>
  <c r="CW31" i="7" s="1"/>
  <c r="CW32" i="7" s="1"/>
  <c r="CX71" i="7"/>
  <c r="CX34" i="3" s="1"/>
  <c r="CX66" i="7"/>
  <c r="CX64" i="7"/>
  <c r="CW38" i="7"/>
  <c r="CW40" i="7" s="1"/>
  <c r="CV72" i="7"/>
  <c r="CZ4" i="7"/>
  <c r="CZ6" i="3"/>
  <c r="CZ61" i="3" s="1"/>
  <c r="CZ31" i="3" s="1"/>
  <c r="CZ7" i="3"/>
  <c r="CZ59" i="3" s="1"/>
  <c r="CZ40" i="3" s="1"/>
  <c r="DA4" i="3"/>
  <c r="CZ5" i="3"/>
  <c r="CZ41" i="3"/>
  <c r="CW20" i="7"/>
  <c r="CW75" i="7" s="1"/>
  <c r="CW38" i="3" s="1"/>
  <c r="CU73" i="7"/>
  <c r="CU36" i="3" s="1"/>
  <c r="CU23" i="7"/>
  <c r="CX76" i="7"/>
  <c r="CX39" i="3" s="1"/>
  <c r="CT42" i="3"/>
  <c r="J33" i="2"/>
  <c r="AP72" i="7"/>
  <c r="AP41" i="7"/>
  <c r="AQ37" i="7" s="1"/>
  <c r="CV75" i="7"/>
  <c r="CV38" i="3" s="1"/>
  <c r="CW74" i="7" l="1"/>
  <c r="CW37" i="3" s="1"/>
  <c r="CW72" i="7"/>
  <c r="DA4" i="7"/>
  <c r="DA41" i="3"/>
  <c r="DA5" i="3"/>
  <c r="DA6" i="3"/>
  <c r="DA61" i="3" s="1"/>
  <c r="DA31" i="3" s="1"/>
  <c r="DB4" i="3"/>
  <c r="DA7" i="3"/>
  <c r="DA59" i="3" s="1"/>
  <c r="DA40" i="3" s="1"/>
  <c r="CY48" i="7"/>
  <c r="CY46" i="7"/>
  <c r="DB8" i="9"/>
  <c r="DC7" i="9" s="1"/>
  <c r="DB1" i="9"/>
  <c r="CS45" i="3"/>
  <c r="AP35" i="3"/>
  <c r="AP73" i="7"/>
  <c r="AP36" i="3" s="1"/>
  <c r="AP23" i="7"/>
  <c r="AQ19" i="7" s="1"/>
  <c r="CX29" i="7"/>
  <c r="CX31" i="7" s="1"/>
  <c r="CX32" i="7" s="1"/>
  <c r="CY55" i="7"/>
  <c r="CY57" i="7"/>
  <c r="CX65" i="7"/>
  <c r="CX67" i="7" s="1"/>
  <c r="CX68" i="7" s="1"/>
  <c r="CY71" i="7"/>
  <c r="CY34" i="3" s="1"/>
  <c r="AO45" i="3"/>
  <c r="AO49" i="3" s="1"/>
  <c r="CX47" i="7"/>
  <c r="CX49" i="7" s="1"/>
  <c r="CX50" i="7" s="1"/>
  <c r="CZ63" i="7"/>
  <c r="CZ54" i="7"/>
  <c r="CZ62" i="7"/>
  <c r="CZ53" i="7"/>
  <c r="CZ45" i="7"/>
  <c r="CZ36" i="7"/>
  <c r="CZ27" i="7"/>
  <c r="CZ44" i="7"/>
  <c r="CZ35" i="7"/>
  <c r="CZ26" i="7"/>
  <c r="CZ7" i="7"/>
  <c r="CZ12" i="7"/>
  <c r="CZ17" i="7"/>
  <c r="CZ8" i="7"/>
  <c r="CZ18" i="7"/>
  <c r="CZ9" i="7"/>
  <c r="CZ14" i="7"/>
  <c r="CZ13" i="7"/>
  <c r="CW22" i="7"/>
  <c r="CV77" i="7"/>
  <c r="CV35" i="3"/>
  <c r="CV42" i="3" s="1"/>
  <c r="CX20" i="7"/>
  <c r="CX22" i="7" s="1"/>
  <c r="CX56" i="7"/>
  <c r="CX58" i="7" s="1"/>
  <c r="CX59" i="7" s="1"/>
  <c r="CU42" i="3"/>
  <c r="CY76" i="7"/>
  <c r="CY39" i="3" s="1"/>
  <c r="AQ38" i="7"/>
  <c r="CW35" i="3"/>
  <c r="CU77" i="7"/>
  <c r="CY66" i="7"/>
  <c r="CY64" i="7"/>
  <c r="CT52" i="3"/>
  <c r="CT43" i="3"/>
  <c r="CT45" i="3" s="1"/>
  <c r="J43" i="2" s="1"/>
  <c r="J12" i="1" s="1"/>
  <c r="CW41" i="7"/>
  <c r="J40" i="2"/>
  <c r="CY30" i="7"/>
  <c r="CY28" i="7"/>
  <c r="CX38" i="7"/>
  <c r="CY21" i="7"/>
  <c r="CY19" i="7"/>
  <c r="CY39" i="7"/>
  <c r="CY37" i="7"/>
  <c r="CX73" i="7" l="1"/>
  <c r="CX36" i="3" s="1"/>
  <c r="CX74" i="7"/>
  <c r="CX37" i="3" s="1"/>
  <c r="CX75" i="7"/>
  <c r="CX38" i="3" s="1"/>
  <c r="CU52" i="3"/>
  <c r="CU43" i="3"/>
  <c r="CZ57" i="7"/>
  <c r="CZ55" i="7"/>
  <c r="CZ66" i="7"/>
  <c r="CZ64" i="7"/>
  <c r="J41" i="2"/>
  <c r="CZ76" i="7"/>
  <c r="CZ39" i="3" s="1"/>
  <c r="AQ20" i="7"/>
  <c r="DB4" i="7"/>
  <c r="DB41" i="3"/>
  <c r="DB7" i="3"/>
  <c r="DB59" i="3" s="1"/>
  <c r="DB40" i="3" s="1"/>
  <c r="DB5" i="3"/>
  <c r="DC4" i="3"/>
  <c r="DB6" i="3"/>
  <c r="DB61" i="3" s="1"/>
  <c r="DB31" i="3" s="1"/>
  <c r="CZ28" i="7"/>
  <c r="CZ30" i="7"/>
  <c r="CZ37" i="7"/>
  <c r="CZ39" i="7"/>
  <c r="DC1" i="9"/>
  <c r="DC8" i="9"/>
  <c r="DD7" i="9" s="1"/>
  <c r="CY38" i="7"/>
  <c r="CY40" i="7" s="1"/>
  <c r="CY65" i="7"/>
  <c r="CX23" i="7"/>
  <c r="CX40" i="7"/>
  <c r="AP48" i="3"/>
  <c r="AO53" i="3"/>
  <c r="CV52" i="3"/>
  <c r="CV43" i="3"/>
  <c r="CV45" i="3" s="1"/>
  <c r="CZ71" i="7"/>
  <c r="CZ34" i="3" s="1"/>
  <c r="CZ46" i="7"/>
  <c r="CZ48" i="7"/>
  <c r="CY47" i="7"/>
  <c r="CY49" i="7" s="1"/>
  <c r="CY50" i="7" s="1"/>
  <c r="CY29" i="7"/>
  <c r="CY31" i="7" s="1"/>
  <c r="CY32" i="7" s="1"/>
  <c r="CY67" i="7"/>
  <c r="CY68" i="7" s="1"/>
  <c r="CY20" i="7"/>
  <c r="CY22" i="7" s="1"/>
  <c r="CY23" i="7" s="1"/>
  <c r="J51" i="2"/>
  <c r="J10" i="1"/>
  <c r="CY56" i="7"/>
  <c r="CY58" i="7" s="1"/>
  <c r="CY59" i="7" s="1"/>
  <c r="AP42" i="3"/>
  <c r="DA53" i="7"/>
  <c r="DA45" i="7"/>
  <c r="DA63" i="7"/>
  <c r="DA62" i="7"/>
  <c r="DA44" i="7"/>
  <c r="DA35" i="7"/>
  <c r="DA26" i="7"/>
  <c r="DA12" i="7"/>
  <c r="DA17" i="7"/>
  <c r="DA8" i="7"/>
  <c r="DA27" i="7"/>
  <c r="DA13" i="7"/>
  <c r="DA9" i="7"/>
  <c r="DA76" i="7" s="1"/>
  <c r="DA39" i="3" s="1"/>
  <c r="DA54" i="7"/>
  <c r="DA14" i="7"/>
  <c r="DA7" i="7"/>
  <c r="DA18" i="7"/>
  <c r="DA36" i="7"/>
  <c r="CZ21" i="7"/>
  <c r="CZ19" i="7"/>
  <c r="AQ74" i="7"/>
  <c r="AQ37" i="3" s="1"/>
  <c r="AQ40" i="7"/>
  <c r="CW73" i="7"/>
  <c r="CW23" i="7"/>
  <c r="AP77" i="7"/>
  <c r="AQ72" i="7" l="1"/>
  <c r="AQ41" i="7"/>
  <c r="AR37" i="7" s="1"/>
  <c r="DA57" i="7"/>
  <c r="DA55" i="7"/>
  <c r="AP52" i="3"/>
  <c r="AP43" i="3"/>
  <c r="DD8" i="9"/>
  <c r="DE7" i="9" s="1"/>
  <c r="DD1" i="9"/>
  <c r="CZ47" i="7"/>
  <c r="CZ49" i="7" s="1"/>
  <c r="CZ50" i="7" s="1"/>
  <c r="CX72" i="7"/>
  <c r="CX41" i="7"/>
  <c r="AQ75" i="7"/>
  <c r="AQ38" i="3" s="1"/>
  <c r="AQ22" i="7"/>
  <c r="CZ20" i="7"/>
  <c r="CZ22" i="7" s="1"/>
  <c r="CY72" i="7"/>
  <c r="CU45" i="3"/>
  <c r="DA30" i="7"/>
  <c r="DA28" i="7"/>
  <c r="DA66" i="7"/>
  <c r="DA64" i="7"/>
  <c r="DC4" i="7"/>
  <c r="DC41" i="3"/>
  <c r="DC6" i="3"/>
  <c r="DC61" i="3" s="1"/>
  <c r="DC31" i="3" s="1"/>
  <c r="DC7" i="3"/>
  <c r="DC59" i="3" s="1"/>
  <c r="DC40" i="3" s="1"/>
  <c r="DD4" i="3"/>
  <c r="DC5" i="3"/>
  <c r="DA39" i="7"/>
  <c r="DA37" i="7"/>
  <c r="DA48" i="7"/>
  <c r="DA46" i="7"/>
  <c r="CZ38" i="7"/>
  <c r="CZ65" i="7"/>
  <c r="CZ67" i="7" s="1"/>
  <c r="CZ68" i="7" s="1"/>
  <c r="CW36" i="3"/>
  <c r="CW77" i="7"/>
  <c r="DA19" i="7"/>
  <c r="DA21" i="7"/>
  <c r="DA71" i="7"/>
  <c r="DA34" i="3" s="1"/>
  <c r="CY74" i="7"/>
  <c r="CY37" i="3" s="1"/>
  <c r="CY73" i="7"/>
  <c r="CY36" i="3" s="1"/>
  <c r="CY75" i="7"/>
  <c r="CY38" i="3" s="1"/>
  <c r="CY41" i="7"/>
  <c r="CZ29" i="7"/>
  <c r="CZ31" i="7" s="1"/>
  <c r="CZ32" i="7" s="1"/>
  <c r="DB62" i="7"/>
  <c r="DB53" i="7"/>
  <c r="DB63" i="7"/>
  <c r="DB54" i="7"/>
  <c r="DB17" i="7"/>
  <c r="DB26" i="7"/>
  <c r="DB8" i="7"/>
  <c r="DB45" i="7"/>
  <c r="DB27" i="7"/>
  <c r="DB13" i="7"/>
  <c r="DB18" i="7"/>
  <c r="DB44" i="7"/>
  <c r="DB35" i="7"/>
  <c r="DB14" i="7"/>
  <c r="DB36" i="7"/>
  <c r="DB7" i="7"/>
  <c r="DB9" i="7"/>
  <c r="DB76" i="7" s="1"/>
  <c r="DB39" i="3" s="1"/>
  <c r="DB12" i="7"/>
  <c r="CZ56" i="7"/>
  <c r="CZ58" i="7" s="1"/>
  <c r="CZ59" i="7" s="1"/>
  <c r="DB48" i="7" l="1"/>
  <c r="DB46" i="7"/>
  <c r="CY77" i="7"/>
  <c r="CY35" i="3"/>
  <c r="CY42" i="3" s="1"/>
  <c r="AP45" i="3"/>
  <c r="AP49" i="3" s="1"/>
  <c r="DB39" i="7"/>
  <c r="DB37" i="7"/>
  <c r="DD4" i="7"/>
  <c r="DD41" i="3"/>
  <c r="DD7" i="3"/>
  <c r="DD59" i="3" s="1"/>
  <c r="DD40" i="3" s="1"/>
  <c r="DD5" i="3"/>
  <c r="DD6" i="3"/>
  <c r="DD61" i="3" s="1"/>
  <c r="DD31" i="3" s="1"/>
  <c r="DE4" i="3"/>
  <c r="DA29" i="7"/>
  <c r="DA31" i="7" s="1"/>
  <c r="DA32" i="7" s="1"/>
  <c r="DA65" i="7"/>
  <c r="DA67" i="7" s="1"/>
  <c r="DA68" i="7" s="1"/>
  <c r="CZ74" i="7"/>
  <c r="CZ37" i="3" s="1"/>
  <c r="CZ75" i="7"/>
  <c r="CZ38" i="3" s="1"/>
  <c r="DA56" i="7"/>
  <c r="DB57" i="7"/>
  <c r="DB55" i="7"/>
  <c r="DA20" i="7"/>
  <c r="AQ73" i="7"/>
  <c r="AQ36" i="3" s="1"/>
  <c r="AQ23" i="7"/>
  <c r="AR19" i="7" s="1"/>
  <c r="DE1" i="9"/>
  <c r="DE8" i="9"/>
  <c r="DF7" i="9" s="1"/>
  <c r="DA58" i="7"/>
  <c r="DA59" i="7" s="1"/>
  <c r="DB28" i="7"/>
  <c r="DB30" i="7"/>
  <c r="CX77" i="7"/>
  <c r="CX35" i="3"/>
  <c r="DB71" i="7"/>
  <c r="DB34" i="3" s="1"/>
  <c r="DA22" i="7"/>
  <c r="DA23" i="7" s="1"/>
  <c r="CZ73" i="7"/>
  <c r="CZ36" i="3" s="1"/>
  <c r="DB21" i="7"/>
  <c r="DB19" i="7"/>
  <c r="DB66" i="7"/>
  <c r="DB64" i="7"/>
  <c r="DC62" i="7"/>
  <c r="DC53" i="7"/>
  <c r="DC63" i="7"/>
  <c r="DC54" i="7"/>
  <c r="DC44" i="7"/>
  <c r="DC35" i="7"/>
  <c r="DC26" i="7"/>
  <c r="DC45" i="7"/>
  <c r="DC36" i="7"/>
  <c r="DC27" i="7"/>
  <c r="DC8" i="7"/>
  <c r="DC13" i="7"/>
  <c r="DC18" i="7"/>
  <c r="DC9" i="7"/>
  <c r="DC7" i="7"/>
  <c r="DC12" i="7"/>
  <c r="DC14" i="7"/>
  <c r="DC17" i="7"/>
  <c r="AR38" i="7"/>
  <c r="DA47" i="7"/>
  <c r="DA49" i="7" s="1"/>
  <c r="DA50" i="7" s="1"/>
  <c r="CZ23" i="7"/>
  <c r="CW42" i="3"/>
  <c r="DA38" i="7"/>
  <c r="CZ40" i="7"/>
  <c r="AQ77" i="7"/>
  <c r="AQ35" i="3"/>
  <c r="DA74" i="7" l="1"/>
  <c r="DA37" i="3" s="1"/>
  <c r="DC21" i="7"/>
  <c r="DC19" i="7"/>
  <c r="AQ48" i="3"/>
  <c r="AP53" i="3"/>
  <c r="DC57" i="7"/>
  <c r="DC55" i="7"/>
  <c r="DF8" i="9"/>
  <c r="DG7" i="9" s="1"/>
  <c r="DF1" i="9"/>
  <c r="DB56" i="7"/>
  <c r="DB58" i="7" s="1"/>
  <c r="DB59" i="7" s="1"/>
  <c r="CY52" i="3"/>
  <c r="CY43" i="3"/>
  <c r="CY45" i="3" s="1"/>
  <c r="DC30" i="7"/>
  <c r="DC28" i="7"/>
  <c r="AR20" i="7"/>
  <c r="DD62" i="7"/>
  <c r="DD63" i="7"/>
  <c r="DD44" i="7"/>
  <c r="DD45" i="7"/>
  <c r="DD36" i="7"/>
  <c r="DD27" i="7"/>
  <c r="DD54" i="7"/>
  <c r="DD53" i="7"/>
  <c r="DD26" i="7"/>
  <c r="DD13" i="7"/>
  <c r="DD18" i="7"/>
  <c r="DD9" i="7"/>
  <c r="DD14" i="7"/>
  <c r="DD12" i="7"/>
  <c r="DD17" i="7"/>
  <c r="DD35" i="7"/>
  <c r="DD7" i="7"/>
  <c r="DD8" i="7"/>
  <c r="DC39" i="7"/>
  <c r="DC37" i="7"/>
  <c r="CX42" i="3"/>
  <c r="DB47" i="7"/>
  <c r="CW52" i="3"/>
  <c r="CW43" i="3"/>
  <c r="AR74" i="7"/>
  <c r="AR37" i="3" s="1"/>
  <c r="AR40" i="7"/>
  <c r="AQ42" i="3"/>
  <c r="DC48" i="7"/>
  <c r="DC46" i="7"/>
  <c r="DB65" i="7"/>
  <c r="DB67" i="7" s="1"/>
  <c r="DB68" i="7" s="1"/>
  <c r="DB38" i="7"/>
  <c r="DB49" i="7"/>
  <c r="DB50" i="7" s="1"/>
  <c r="DC66" i="7"/>
  <c r="DC64" i="7"/>
  <c r="DC71" i="7"/>
  <c r="DC34" i="3" s="1"/>
  <c r="DE4" i="7"/>
  <c r="DE7" i="3"/>
  <c r="DE59" i="3" s="1"/>
  <c r="DE40" i="3" s="1"/>
  <c r="DE41" i="3"/>
  <c r="DE5" i="3"/>
  <c r="DE6" i="3"/>
  <c r="DE61" i="3" s="1"/>
  <c r="DE31" i="3" s="1"/>
  <c r="DF4" i="3"/>
  <c r="DA73" i="7"/>
  <c r="DA36" i="3" s="1"/>
  <c r="CZ72" i="7"/>
  <c r="CZ41" i="7"/>
  <c r="DC76" i="7"/>
  <c r="DC39" i="3" s="1"/>
  <c r="DB20" i="7"/>
  <c r="DB29" i="7"/>
  <c r="DB31" i="7" s="1"/>
  <c r="DB32" i="7" s="1"/>
  <c r="DA75" i="7"/>
  <c r="DA38" i="3" s="1"/>
  <c r="DA40" i="7"/>
  <c r="DB74" i="7" l="1"/>
  <c r="DB37" i="3" s="1"/>
  <c r="DB75" i="7"/>
  <c r="DB38" i="3" s="1"/>
  <c r="DB40" i="7"/>
  <c r="DD64" i="7"/>
  <c r="DD66" i="7"/>
  <c r="DA72" i="7"/>
  <c r="DA41" i="7"/>
  <c r="DC65" i="7"/>
  <c r="DE62" i="7"/>
  <c r="DE53" i="7"/>
  <c r="DE63" i="7"/>
  <c r="DE54" i="7"/>
  <c r="DE44" i="7"/>
  <c r="DE35" i="7"/>
  <c r="DE26" i="7"/>
  <c r="DE18" i="7"/>
  <c r="DE45" i="7"/>
  <c r="DE27" i="7"/>
  <c r="DE9" i="7"/>
  <c r="DE14" i="7"/>
  <c r="DE7" i="7"/>
  <c r="DE36" i="7"/>
  <c r="DE17" i="7"/>
  <c r="DE8" i="7"/>
  <c r="DE12" i="7"/>
  <c r="DE13" i="7"/>
  <c r="AQ52" i="3"/>
  <c r="AQ43" i="3"/>
  <c r="CZ77" i="7"/>
  <c r="CZ35" i="3"/>
  <c r="DC67" i="7"/>
  <c r="DC68" i="7" s="1"/>
  <c r="AR72" i="7"/>
  <c r="AR41" i="7"/>
  <c r="AS37" i="7" s="1"/>
  <c r="DD71" i="7"/>
  <c r="DD34" i="3" s="1"/>
  <c r="DD55" i="7"/>
  <c r="DD57" i="7"/>
  <c r="AR75" i="7"/>
  <c r="AR38" i="3" s="1"/>
  <c r="AR22" i="7"/>
  <c r="DB72" i="7"/>
  <c r="DB41" i="7"/>
  <c r="DD28" i="7"/>
  <c r="DD30" i="7"/>
  <c r="DB22" i="7"/>
  <c r="DF4" i="7"/>
  <c r="DF41" i="3"/>
  <c r="K39" i="2" s="1"/>
  <c r="L39" i="2" s="1"/>
  <c r="DF5" i="3"/>
  <c r="DF6" i="3"/>
  <c r="DF61" i="3" s="1"/>
  <c r="DF31" i="3" s="1"/>
  <c r="DF7" i="3"/>
  <c r="DF59" i="3" s="1"/>
  <c r="DF40" i="3" s="1"/>
  <c r="K38" i="2" s="1"/>
  <c r="L38" i="2" s="1"/>
  <c r="DG4" i="3"/>
  <c r="DC20" i="7"/>
  <c r="DC22" i="7" s="1"/>
  <c r="CW45" i="3"/>
  <c r="DD76" i="7"/>
  <c r="DD39" i="3" s="1"/>
  <c r="DD48" i="7"/>
  <c r="DD46" i="7"/>
  <c r="DG1" i="9"/>
  <c r="DG8" i="9"/>
  <c r="DH7" i="9" s="1"/>
  <c r="CX52" i="3"/>
  <c r="CX43" i="3"/>
  <c r="CX45" i="3" s="1"/>
  <c r="DD39" i="7"/>
  <c r="DD37" i="7"/>
  <c r="DC29" i="7"/>
  <c r="DC31" i="7" s="1"/>
  <c r="DC32" i="7" s="1"/>
  <c r="DC38" i="7"/>
  <c r="DC47" i="7"/>
  <c r="DC49" i="7" s="1"/>
  <c r="DC50" i="7" s="1"/>
  <c r="DD19" i="7"/>
  <c r="DD21" i="7"/>
  <c r="DC56" i="7"/>
  <c r="DC58" i="7" s="1"/>
  <c r="DC59" i="7" s="1"/>
  <c r="DD47" i="7" l="1"/>
  <c r="DG5" i="3"/>
  <c r="DG6" i="3"/>
  <c r="DG7" i="3"/>
  <c r="DH4" i="3"/>
  <c r="DD29" i="7"/>
  <c r="DD56" i="7"/>
  <c r="DD58" i="7" s="1"/>
  <c r="DD59" i="7" s="1"/>
  <c r="DE39" i="7"/>
  <c r="DE37" i="7"/>
  <c r="DA77" i="7"/>
  <c r="DA35" i="3"/>
  <c r="DA42" i="3" s="1"/>
  <c r="AQ45" i="3"/>
  <c r="AQ49" i="3" s="1"/>
  <c r="AS38" i="7"/>
  <c r="AR35" i="3"/>
  <c r="DE76" i="7"/>
  <c r="DE39" i="3" s="1"/>
  <c r="DE66" i="7"/>
  <c r="DE64" i="7"/>
  <c r="DE28" i="7"/>
  <c r="DE30" i="7"/>
  <c r="DD49" i="7"/>
  <c r="DD50" i="7" s="1"/>
  <c r="DE57" i="7"/>
  <c r="DE55" i="7"/>
  <c r="DB35" i="3"/>
  <c r="AR73" i="7"/>
  <c r="AR36" i="3" s="1"/>
  <c r="AR23" i="7"/>
  <c r="AS19" i="7" s="1"/>
  <c r="CZ42" i="3"/>
  <c r="DE46" i="7"/>
  <c r="DE48" i="7"/>
  <c r="DD65" i="7"/>
  <c r="DD67" i="7" s="1"/>
  <c r="DD68" i="7" s="1"/>
  <c r="DE21" i="7"/>
  <c r="DE19" i="7"/>
  <c r="K29" i="2"/>
  <c r="DC74" i="7"/>
  <c r="DC37" i="3" s="1"/>
  <c r="DC73" i="7"/>
  <c r="DC36" i="3" s="1"/>
  <c r="DH8" i="9"/>
  <c r="DI7" i="9" s="1"/>
  <c r="DH1" i="9"/>
  <c r="DF63" i="7"/>
  <c r="DF54" i="7"/>
  <c r="DF44" i="7"/>
  <c r="DG44" i="7" s="1"/>
  <c r="DF45" i="7"/>
  <c r="DF36" i="7"/>
  <c r="DF27" i="7"/>
  <c r="DF53" i="7"/>
  <c r="DG53" i="7" s="1"/>
  <c r="DF9" i="7"/>
  <c r="DF14" i="7"/>
  <c r="DG14" i="7" s="1"/>
  <c r="DF7" i="7"/>
  <c r="DF35" i="7"/>
  <c r="DG35" i="7" s="1"/>
  <c r="DF12" i="7"/>
  <c r="DF8" i="7"/>
  <c r="DF13" i="7"/>
  <c r="DF18" i="7"/>
  <c r="DF17" i="7"/>
  <c r="DF62" i="7"/>
  <c r="DG62" i="7" s="1"/>
  <c r="DF26" i="7"/>
  <c r="DG26" i="7" s="1"/>
  <c r="DD20" i="7"/>
  <c r="DC75" i="7"/>
  <c r="DC38" i="3" s="1"/>
  <c r="DB73" i="7"/>
  <c r="DB36" i="3" s="1"/>
  <c r="DB23" i="7"/>
  <c r="DC40" i="7"/>
  <c r="DD38" i="7"/>
  <c r="DC23" i="7"/>
  <c r="DD31" i="7"/>
  <c r="DD32" i="7" s="1"/>
  <c r="DE71" i="7"/>
  <c r="DE34" i="3" s="1"/>
  <c r="DD74" i="7" l="1"/>
  <c r="DD37" i="3" s="1"/>
  <c r="DD75" i="7"/>
  <c r="DD38" i="3" s="1"/>
  <c r="DD22" i="7"/>
  <c r="CZ52" i="3"/>
  <c r="CZ43" i="3"/>
  <c r="AR42" i="3"/>
  <c r="DH6" i="3"/>
  <c r="DH7" i="3"/>
  <c r="DH5" i="3"/>
  <c r="DF71" i="7"/>
  <c r="DG17" i="7"/>
  <c r="DF21" i="7"/>
  <c r="DF19" i="7"/>
  <c r="DI8" i="9"/>
  <c r="DJ7" i="9" s="1"/>
  <c r="DI1" i="9"/>
  <c r="AS20" i="7"/>
  <c r="AR77" i="7"/>
  <c r="DF30" i="7"/>
  <c r="DF28" i="7"/>
  <c r="DD73" i="7"/>
  <c r="DD36" i="3" s="1"/>
  <c r="DE38" i="7"/>
  <c r="DG8" i="7"/>
  <c r="DF39" i="7"/>
  <c r="DF37" i="7"/>
  <c r="DE29" i="7"/>
  <c r="DE31" i="7" s="1"/>
  <c r="DE32" i="7" s="1"/>
  <c r="AS74" i="7"/>
  <c r="AS37" i="3" s="1"/>
  <c r="AS40" i="7"/>
  <c r="DG13" i="7"/>
  <c r="DG12" i="7"/>
  <c r="C87" i="7" s="1"/>
  <c r="DF48" i="7"/>
  <c r="DF46" i="7"/>
  <c r="DB42" i="3"/>
  <c r="DC72" i="7"/>
  <c r="DC41" i="7"/>
  <c r="DD23" i="7"/>
  <c r="K9" i="1"/>
  <c r="L29" i="2"/>
  <c r="L9" i="1" s="1"/>
  <c r="DE47" i="7"/>
  <c r="DE49" i="7" s="1"/>
  <c r="DE50" i="7" s="1"/>
  <c r="DB77" i="7"/>
  <c r="DE65" i="7"/>
  <c r="DE67" i="7" s="1"/>
  <c r="DE68" i="7" s="1"/>
  <c r="DF76" i="7"/>
  <c r="DG9" i="7"/>
  <c r="DG7" i="7"/>
  <c r="C86" i="7" s="1"/>
  <c r="DF57" i="7"/>
  <c r="DF55" i="7"/>
  <c r="DE56" i="7"/>
  <c r="DE58" i="7" s="1"/>
  <c r="DE59" i="7" s="1"/>
  <c r="AR48" i="3"/>
  <c r="AQ53" i="3"/>
  <c r="DD40" i="7"/>
  <c r="DF66" i="7"/>
  <c r="DF64" i="7"/>
  <c r="DE20" i="7"/>
  <c r="DA52" i="3"/>
  <c r="DA43" i="3"/>
  <c r="DA45" i="3" s="1"/>
  <c r="DE74" i="7" l="1"/>
  <c r="DE37" i="3" s="1"/>
  <c r="AS72" i="7"/>
  <c r="AS41" i="7"/>
  <c r="AT37" i="7" s="1"/>
  <c r="AS75" i="7"/>
  <c r="AS38" i="3" s="1"/>
  <c r="AS22" i="7"/>
  <c r="AR49" i="3"/>
  <c r="AS48" i="3" s="1"/>
  <c r="DJ8" i="9"/>
  <c r="DK7" i="9" s="1"/>
  <c r="DJ1" i="9"/>
  <c r="AR52" i="3"/>
  <c r="AR43" i="3"/>
  <c r="AR45" i="3" s="1"/>
  <c r="DF20" i="7"/>
  <c r="DF22" i="7" s="1"/>
  <c r="DF47" i="7"/>
  <c r="DG47" i="7" s="1"/>
  <c r="DF39" i="3"/>
  <c r="K37" i="2" s="1"/>
  <c r="L37" i="2" s="1"/>
  <c r="DG76" i="7"/>
  <c r="DF38" i="7"/>
  <c r="DF40" i="7" s="1"/>
  <c r="DF29" i="7"/>
  <c r="DG29" i="7" s="1"/>
  <c r="DG21" i="7"/>
  <c r="CZ45" i="3"/>
  <c r="DG48" i="7"/>
  <c r="DG39" i="7"/>
  <c r="DG30" i="7"/>
  <c r="DE75" i="7"/>
  <c r="DE38" i="3" s="1"/>
  <c r="DF65" i="7"/>
  <c r="DG65" i="7" s="1"/>
  <c r="DF56" i="7"/>
  <c r="DG56" i="7" s="1"/>
  <c r="DC77" i="7"/>
  <c r="DC35" i="3"/>
  <c r="DF34" i="3"/>
  <c r="DG71" i="7"/>
  <c r="DG66" i="7"/>
  <c r="DD72" i="7"/>
  <c r="DD41" i="7"/>
  <c r="DG57" i="7"/>
  <c r="DB52" i="3"/>
  <c r="DB43" i="3"/>
  <c r="DB45" i="3" s="1"/>
  <c r="DE40" i="7"/>
  <c r="DE22" i="7"/>
  <c r="DF67" i="7" l="1"/>
  <c r="DG67" i="7" s="1"/>
  <c r="C85" i="7" s="1"/>
  <c r="DF58" i="7"/>
  <c r="DG58" i="7" s="1"/>
  <c r="C84" i="7" s="1"/>
  <c r="DF31" i="7"/>
  <c r="DG31" i="7" s="1"/>
  <c r="C81" i="7" s="1"/>
  <c r="DF68" i="7"/>
  <c r="DK8" i="9"/>
  <c r="DL7" i="9" s="1"/>
  <c r="DK1" i="9"/>
  <c r="K32" i="2"/>
  <c r="DF32" i="7"/>
  <c r="DF75" i="7"/>
  <c r="AS73" i="7"/>
  <c r="AS36" i="3" s="1"/>
  <c r="AS23" i="7"/>
  <c r="AT19" i="7" s="1"/>
  <c r="DF23" i="7"/>
  <c r="DE73" i="7"/>
  <c r="DE36" i="3" s="1"/>
  <c r="DE23" i="7"/>
  <c r="DF41" i="7"/>
  <c r="AT38" i="7"/>
  <c r="DC42" i="3"/>
  <c r="DD77" i="7"/>
  <c r="DD35" i="3"/>
  <c r="DD42" i="3" s="1"/>
  <c r="DE72" i="7"/>
  <c r="DE41" i="7"/>
  <c r="DF49" i="7"/>
  <c r="DF74" i="7"/>
  <c r="AR53" i="3"/>
  <c r="AS35" i="3"/>
  <c r="AS77" i="7" l="1"/>
  <c r="DF73" i="7"/>
  <c r="DF59" i="7"/>
  <c r="AS42" i="3"/>
  <c r="AS52" i="3" s="1"/>
  <c r="DF37" i="3"/>
  <c r="K35" i="2" s="1"/>
  <c r="DC52" i="3"/>
  <c r="DC43" i="3"/>
  <c r="DC45" i="3" s="1"/>
  <c r="DG49" i="7"/>
  <c r="C83" i="7" s="1"/>
  <c r="DF50" i="7"/>
  <c r="AT74" i="7"/>
  <c r="AT37" i="3" s="1"/>
  <c r="AT40" i="7"/>
  <c r="DE77" i="7"/>
  <c r="DE35" i="3"/>
  <c r="DE42" i="3" s="1"/>
  <c r="DF38" i="3"/>
  <c r="K36" i="2" s="1"/>
  <c r="DF36" i="3"/>
  <c r="K34" i="2" s="1"/>
  <c r="DD52" i="3"/>
  <c r="DD43" i="3"/>
  <c r="DD45" i="3" s="1"/>
  <c r="AT20" i="7"/>
  <c r="AS43" i="3"/>
  <c r="AS45" i="3" s="1"/>
  <c r="AS49" i="3" s="1"/>
  <c r="AT48" i="3" s="1"/>
  <c r="DF72" i="7"/>
  <c r="K11" i="1"/>
  <c r="L32" i="2"/>
  <c r="L11" i="1" s="1"/>
  <c r="DL8" i="9"/>
  <c r="DM7" i="9" s="1"/>
  <c r="DL1" i="9"/>
  <c r="AS53" i="3" l="1"/>
  <c r="DM8" i="9"/>
  <c r="DN7" i="9" s="1"/>
  <c r="DM1" i="9"/>
  <c r="DE52" i="3"/>
  <c r="DE43" i="3"/>
  <c r="DE45" i="3" s="1"/>
  <c r="AT72" i="7"/>
  <c r="AT41" i="7"/>
  <c r="AU37" i="7" s="1"/>
  <c r="AT75" i="7"/>
  <c r="AT22" i="7"/>
  <c r="DF77" i="7"/>
  <c r="DF35" i="3"/>
  <c r="AT73" i="7" l="1"/>
  <c r="AT23" i="7"/>
  <c r="AU19" i="7" s="1"/>
  <c r="AT38" i="3"/>
  <c r="DN8" i="9"/>
  <c r="DO7" i="9" s="1"/>
  <c r="DN1" i="9"/>
  <c r="AU38" i="7"/>
  <c r="DF42" i="3"/>
  <c r="K33" i="2"/>
  <c r="AT77" i="7"/>
  <c r="AT35" i="3"/>
  <c r="DO1" i="9" l="1"/>
  <c r="DO8" i="9"/>
  <c r="DP7" i="9" s="1"/>
  <c r="AU20" i="7"/>
  <c r="DF52" i="3"/>
  <c r="DF43" i="3"/>
  <c r="K40" i="2"/>
  <c r="AU74" i="7"/>
  <c r="AU40" i="7"/>
  <c r="AT36" i="3"/>
  <c r="AT42" i="3" s="1"/>
  <c r="AT52" i="3" l="1"/>
  <c r="AT43" i="3"/>
  <c r="AT45" i="3" s="1"/>
  <c r="AT49" i="3" s="1"/>
  <c r="AU48" i="3" s="1"/>
  <c r="DF45" i="3"/>
  <c r="K43" i="2" s="1"/>
  <c r="K12" i="1" s="1"/>
  <c r="K41" i="2"/>
  <c r="AU75" i="7"/>
  <c r="AU22" i="7"/>
  <c r="AU72" i="7"/>
  <c r="AU41" i="7"/>
  <c r="AV37" i="7" s="1"/>
  <c r="AU37" i="3"/>
  <c r="K10" i="1"/>
  <c r="K51" i="2"/>
  <c r="DP8" i="9"/>
  <c r="DQ7" i="9" s="1"/>
  <c r="DP1" i="9"/>
  <c r="AU38" i="3" l="1"/>
  <c r="AU73" i="7"/>
  <c r="AU77" i="7" s="1"/>
  <c r="AU23" i="7"/>
  <c r="AV19" i="7" s="1"/>
  <c r="AV38" i="7"/>
  <c r="AT53" i="3"/>
  <c r="DQ8" i="9"/>
  <c r="DR7" i="9" s="1"/>
  <c r="DQ1" i="9"/>
  <c r="AU35" i="3"/>
  <c r="AV74" i="7" l="1"/>
  <c r="AV40" i="7"/>
  <c r="DG38" i="7"/>
  <c r="AV20" i="7"/>
  <c r="AU36" i="3"/>
  <c r="AU42" i="3" s="1"/>
  <c r="DR8" i="9"/>
  <c r="DS7" i="9" s="1"/>
  <c r="DR1" i="9"/>
  <c r="AU52" i="3" l="1"/>
  <c r="AU43" i="3"/>
  <c r="AU45" i="3" s="1"/>
  <c r="AU49" i="3" s="1"/>
  <c r="AV48" i="3" s="1"/>
  <c r="AV75" i="7"/>
  <c r="AV22" i="7"/>
  <c r="DG20" i="7"/>
  <c r="AV72" i="7"/>
  <c r="DG40" i="7"/>
  <c r="C82" i="7" s="1"/>
  <c r="AV41" i="7"/>
  <c r="DS8" i="9"/>
  <c r="DT7" i="9" s="1"/>
  <c r="DS1" i="9"/>
  <c r="AV37" i="3"/>
  <c r="F35" i="2" s="1"/>
  <c r="L35" i="2" s="1"/>
  <c r="DG74" i="7"/>
  <c r="AV35" i="3" l="1"/>
  <c r="DG72" i="7"/>
  <c r="AV73" i="7"/>
  <c r="DG22" i="7"/>
  <c r="C80" i="7" s="1"/>
  <c r="AV23" i="7"/>
  <c r="AV38" i="3"/>
  <c r="F36" i="2" s="1"/>
  <c r="L36" i="2" s="1"/>
  <c r="DG75" i="7"/>
  <c r="DT8" i="9"/>
  <c r="DU7" i="9" s="1"/>
  <c r="DT1" i="9"/>
  <c r="AU53" i="3"/>
  <c r="AV36" i="3" l="1"/>
  <c r="F34" i="2" s="1"/>
  <c r="L34" i="2" s="1"/>
  <c r="DG73" i="7"/>
  <c r="DG77" i="7" s="1"/>
  <c r="DU1" i="9"/>
  <c r="DU8" i="9"/>
  <c r="DV7" i="9" s="1"/>
  <c r="F33" i="2"/>
  <c r="L33" i="2" s="1"/>
  <c r="AV77" i="7"/>
  <c r="AV42" i="3" l="1"/>
  <c r="AV52" i="3" s="1"/>
  <c r="DV8" i="9"/>
  <c r="DW7" i="9" s="1"/>
  <c r="DV1" i="9"/>
  <c r="F40" i="2" l="1"/>
  <c r="AV43" i="3"/>
  <c r="F41" i="2" s="1"/>
  <c r="L41" i="2" s="1"/>
  <c r="DW8" i="9"/>
  <c r="DX7" i="9" s="1"/>
  <c r="DW1" i="9"/>
  <c r="F51" i="2"/>
  <c r="F10" i="1"/>
  <c r="L40" i="2"/>
  <c r="AV45" i="3"/>
  <c r="F43" i="2" l="1"/>
  <c r="AV49" i="3"/>
  <c r="L10" i="1"/>
  <c r="L51" i="2"/>
  <c r="DX8" i="9"/>
  <c r="DY7" i="9" s="1"/>
  <c r="DX1" i="9"/>
  <c r="DY8" i="9" l="1"/>
  <c r="DZ7" i="9" s="1"/>
  <c r="DY1" i="9"/>
  <c r="AW48" i="3"/>
  <c r="AW49" i="3" s="1"/>
  <c r="AV53" i="3"/>
  <c r="F12" i="1"/>
  <c r="L43" i="2"/>
  <c r="L12" i="1" s="1"/>
  <c r="AX48" i="3" l="1"/>
  <c r="AX49" i="3" s="1"/>
  <c r="AW53" i="3"/>
  <c r="DZ8" i="9"/>
  <c r="EA7" i="9" s="1"/>
  <c r="DZ1" i="9"/>
  <c r="EA8" i="9" l="1"/>
  <c r="EB7" i="9" s="1"/>
  <c r="EA1" i="9"/>
  <c r="AY48" i="3"/>
  <c r="F47" i="2"/>
  <c r="AX53" i="3"/>
  <c r="F48" i="2"/>
  <c r="F14" i="1" l="1"/>
  <c r="F55" i="2"/>
  <c r="F13" i="1"/>
  <c r="F52" i="2"/>
  <c r="AY49" i="3"/>
  <c r="G46" i="2"/>
  <c r="EB8" i="9"/>
  <c r="EC7" i="9" s="1"/>
  <c r="EB1" i="9"/>
  <c r="AZ48" i="3" l="1"/>
  <c r="AZ49" i="3" s="1"/>
  <c r="AY53" i="3"/>
  <c r="EC8" i="9"/>
  <c r="ED7" i="9" s="1"/>
  <c r="EC1" i="9"/>
  <c r="ED8" i="9" l="1"/>
  <c r="EE7" i="9" s="1"/>
  <c r="ED1" i="9"/>
  <c r="BA48" i="3"/>
  <c r="BA49" i="3" s="1"/>
  <c r="AZ53" i="3"/>
  <c r="BB48" i="3" l="1"/>
  <c r="BB49" i="3" s="1"/>
  <c r="BA53" i="3"/>
  <c r="EE8" i="9"/>
  <c r="EF7" i="9" s="1"/>
  <c r="EE1" i="9"/>
  <c r="EF8" i="9" l="1"/>
  <c r="EG7" i="9" s="1"/>
  <c r="EF1" i="9"/>
  <c r="BC48" i="3"/>
  <c r="BC49" i="3" s="1"/>
  <c r="BB53" i="3"/>
  <c r="BD48" i="3" l="1"/>
  <c r="BD49" i="3" s="1"/>
  <c r="BC53" i="3"/>
  <c r="EG8" i="9"/>
  <c r="EH7" i="9" s="1"/>
  <c r="EG1" i="9"/>
  <c r="EH1" i="9" l="1"/>
  <c r="EH8" i="9"/>
  <c r="EI7" i="9" s="1"/>
  <c r="BE48" i="3"/>
  <c r="BE49" i="3" s="1"/>
  <c r="BD53" i="3"/>
  <c r="BF48" i="3" l="1"/>
  <c r="BF49" i="3" s="1"/>
  <c r="BE53" i="3"/>
  <c r="EI8" i="9"/>
  <c r="EJ7" i="9" s="1"/>
  <c r="EI1" i="9"/>
  <c r="EJ8" i="9" l="1"/>
  <c r="EK7" i="9" s="1"/>
  <c r="EJ1" i="9"/>
  <c r="BG48" i="3"/>
  <c r="BG49" i="3" s="1"/>
  <c r="BF53" i="3"/>
  <c r="BH48" i="3" l="1"/>
  <c r="BH49" i="3" s="1"/>
  <c r="BG53" i="3"/>
  <c r="EK1" i="9"/>
  <c r="EK8" i="9"/>
  <c r="EL7" i="9" s="1"/>
  <c r="EL8" i="9" l="1"/>
  <c r="EM7" i="9" s="1"/>
  <c r="EL1" i="9"/>
  <c r="BI48" i="3"/>
  <c r="BI49" i="3" s="1"/>
  <c r="BH53" i="3"/>
  <c r="BJ48" i="3" l="1"/>
  <c r="BJ49" i="3" s="1"/>
  <c r="BI53" i="3"/>
  <c r="EM8" i="9"/>
  <c r="EN7" i="9" s="1"/>
  <c r="EM1" i="9"/>
  <c r="EN8" i="9" l="1"/>
  <c r="EO7" i="9" s="1"/>
  <c r="EN1" i="9"/>
  <c r="BK48" i="3"/>
  <c r="G47" i="2"/>
  <c r="BJ53" i="3"/>
  <c r="G48" i="2"/>
  <c r="G14" i="1" l="1"/>
  <c r="BK49" i="3"/>
  <c r="H46" i="2"/>
  <c r="G55" i="2"/>
  <c r="G13" i="1"/>
  <c r="G52" i="2"/>
  <c r="EO8" i="9"/>
  <c r="EP7" i="9" s="1"/>
  <c r="EO1" i="9"/>
  <c r="EP8" i="9" l="1"/>
  <c r="EQ7" i="9" s="1"/>
  <c r="EP1" i="9"/>
  <c r="BL48" i="3"/>
  <c r="BL49" i="3" s="1"/>
  <c r="BK53" i="3"/>
  <c r="BM48" i="3" l="1"/>
  <c r="BM49" i="3" s="1"/>
  <c r="BL53" i="3"/>
  <c r="EQ8" i="9"/>
  <c r="ER7" i="9" s="1"/>
  <c r="EQ1" i="9"/>
  <c r="ER8" i="9" l="1"/>
  <c r="ES7" i="9" s="1"/>
  <c r="ER1" i="9"/>
  <c r="BN48" i="3"/>
  <c r="BN49" i="3" s="1"/>
  <c r="BM53" i="3"/>
  <c r="BO48" i="3" l="1"/>
  <c r="BO49" i="3" s="1"/>
  <c r="BN53" i="3"/>
  <c r="ES8" i="9"/>
  <c r="ET7" i="9" s="1"/>
  <c r="ES1" i="9"/>
  <c r="ET1" i="9" l="1"/>
  <c r="ET8" i="9"/>
  <c r="EU7" i="9" s="1"/>
  <c r="BP48" i="3"/>
  <c r="BP49" i="3" s="1"/>
  <c r="BO53" i="3"/>
  <c r="EU8" i="9" l="1"/>
  <c r="EV7" i="9" s="1"/>
  <c r="EU1" i="9"/>
  <c r="BQ48" i="3"/>
  <c r="BQ49" i="3" s="1"/>
  <c r="BP53" i="3"/>
  <c r="BR48" i="3" l="1"/>
  <c r="BR49" i="3" s="1"/>
  <c r="BQ53" i="3"/>
  <c r="EV8" i="9"/>
  <c r="EW7" i="9" s="1"/>
  <c r="EV1" i="9"/>
  <c r="EW8" i="9" l="1"/>
  <c r="EX7" i="9" s="1"/>
  <c r="EW1" i="9"/>
  <c r="BS48" i="3"/>
  <c r="BS49" i="3" s="1"/>
  <c r="BR53" i="3"/>
  <c r="BT48" i="3" l="1"/>
  <c r="BT49" i="3" s="1"/>
  <c r="BS53" i="3"/>
  <c r="EX8" i="9"/>
  <c r="EY7" i="9" s="1"/>
  <c r="EX1" i="9"/>
  <c r="EY8" i="9" l="1"/>
  <c r="EZ7" i="9" s="1"/>
  <c r="EY1" i="9"/>
  <c r="BU48" i="3"/>
  <c r="BU49" i="3" s="1"/>
  <c r="BT53" i="3"/>
  <c r="BV48" i="3" l="1"/>
  <c r="BV49" i="3" s="1"/>
  <c r="BU53" i="3"/>
  <c r="EZ8" i="9"/>
  <c r="FA7" i="9" s="1"/>
  <c r="EZ1" i="9"/>
  <c r="FA1" i="9" l="1"/>
  <c r="FA8" i="9"/>
  <c r="FB7" i="9" s="1"/>
  <c r="BW48" i="3"/>
  <c r="H47" i="2"/>
  <c r="BV53" i="3"/>
  <c r="H48" i="2"/>
  <c r="H14" i="1" s="1"/>
  <c r="H55" i="2" l="1"/>
  <c r="H13" i="1"/>
  <c r="H52" i="2"/>
  <c r="BW49" i="3"/>
  <c r="I46" i="2"/>
  <c r="FB8" i="9"/>
  <c r="FC7" i="9" s="1"/>
  <c r="FB1" i="9"/>
  <c r="FC8" i="9" l="1"/>
  <c r="FD7" i="9" s="1"/>
  <c r="FC1" i="9"/>
  <c r="BX48" i="3"/>
  <c r="BX49" i="3" s="1"/>
  <c r="BW53" i="3"/>
  <c r="BY48" i="3" l="1"/>
  <c r="BY49" i="3" s="1"/>
  <c r="BX53" i="3"/>
  <c r="FD8" i="9"/>
  <c r="FE7" i="9" s="1"/>
  <c r="FD1" i="9"/>
  <c r="FE8" i="9" l="1"/>
  <c r="FF7" i="9" s="1"/>
  <c r="FE1" i="9"/>
  <c r="BZ48" i="3"/>
  <c r="BZ49" i="3" s="1"/>
  <c r="BY53" i="3"/>
  <c r="CA48" i="3" l="1"/>
  <c r="CA49" i="3" s="1"/>
  <c r="BZ53" i="3"/>
  <c r="FF8" i="9"/>
  <c r="FG7" i="9" s="1"/>
  <c r="FF1" i="9"/>
  <c r="FG8" i="9" l="1"/>
  <c r="FH7" i="9" s="1"/>
  <c r="FG1" i="9"/>
  <c r="CB48" i="3"/>
  <c r="CB49" i="3" s="1"/>
  <c r="CA53" i="3"/>
  <c r="CC48" i="3" l="1"/>
  <c r="CC49" i="3" s="1"/>
  <c r="CB53" i="3"/>
  <c r="FH8" i="9"/>
  <c r="FI7" i="9" s="1"/>
  <c r="FH1" i="9"/>
  <c r="FI8" i="9" l="1"/>
  <c r="FJ7" i="9" s="1"/>
  <c r="FI1" i="9"/>
  <c r="CD48" i="3"/>
  <c r="CD49" i="3" s="1"/>
  <c r="CC53" i="3"/>
  <c r="CE48" i="3" l="1"/>
  <c r="CE49" i="3" s="1"/>
  <c r="CD53" i="3"/>
  <c r="FJ8" i="9"/>
  <c r="FK7" i="9" s="1"/>
  <c r="FJ1" i="9"/>
  <c r="FK8" i="9" l="1"/>
  <c r="FL7" i="9" s="1"/>
  <c r="FK1" i="9"/>
  <c r="CF48" i="3"/>
  <c r="CF49" i="3" s="1"/>
  <c r="CE53" i="3"/>
  <c r="CG48" i="3" l="1"/>
  <c r="CG49" i="3" s="1"/>
  <c r="CF53" i="3"/>
  <c r="FL8" i="9"/>
  <c r="FM7" i="9" s="1"/>
  <c r="FL1" i="9"/>
  <c r="FM8" i="9" l="1"/>
  <c r="FN7" i="9" s="1"/>
  <c r="FM1" i="9"/>
  <c r="CH48" i="3"/>
  <c r="CH49" i="3" s="1"/>
  <c r="CG53" i="3"/>
  <c r="CI48" i="3" l="1"/>
  <c r="I47" i="2"/>
  <c r="CH53" i="3"/>
  <c r="I48" i="2"/>
  <c r="I14" i="1" s="1"/>
  <c r="FN1" i="9"/>
  <c r="FN8" i="9"/>
  <c r="FO7" i="9" s="1"/>
  <c r="FO8" i="9" l="1"/>
  <c r="FP7" i="9" s="1"/>
  <c r="FO1" i="9"/>
  <c r="I13" i="1"/>
  <c r="I55" i="2"/>
  <c r="I52" i="2"/>
  <c r="CI49" i="3"/>
  <c r="J46" i="2"/>
  <c r="CJ48" i="3" l="1"/>
  <c r="CJ49" i="3" s="1"/>
  <c r="CI53" i="3"/>
  <c r="FP8" i="9"/>
  <c r="FQ7" i="9" s="1"/>
  <c r="FP1" i="9"/>
  <c r="FQ1" i="9" l="1"/>
  <c r="FQ8" i="9"/>
  <c r="FR7" i="9" s="1"/>
  <c r="CK48" i="3"/>
  <c r="CK49" i="3" s="1"/>
  <c r="CJ53" i="3"/>
  <c r="CL48" i="3" l="1"/>
  <c r="CL49" i="3" s="1"/>
  <c r="CK53" i="3"/>
  <c r="FR8" i="9"/>
  <c r="FS7" i="9" s="1"/>
  <c r="FR1" i="9"/>
  <c r="FS8" i="9" l="1"/>
  <c r="FT7" i="9" s="1"/>
  <c r="FS1" i="9"/>
  <c r="CM48" i="3"/>
  <c r="CM49" i="3" s="1"/>
  <c r="CL53" i="3"/>
  <c r="CN48" i="3" l="1"/>
  <c r="CN49" i="3" s="1"/>
  <c r="CM53" i="3"/>
  <c r="FT8" i="9"/>
  <c r="FU7" i="9" s="1"/>
  <c r="FT1" i="9"/>
  <c r="FU8" i="9" l="1"/>
  <c r="FV7" i="9" s="1"/>
  <c r="FU1" i="9"/>
  <c r="CO48" i="3"/>
  <c r="CO49" i="3" s="1"/>
  <c r="CN53" i="3"/>
  <c r="CP48" i="3" l="1"/>
  <c r="CP49" i="3" s="1"/>
  <c r="CO53" i="3"/>
  <c r="FV8" i="9"/>
  <c r="FW7" i="9" s="1"/>
  <c r="FV1" i="9"/>
  <c r="FW8" i="9" l="1"/>
  <c r="FX7" i="9" s="1"/>
  <c r="FW1" i="9"/>
  <c r="CQ48" i="3"/>
  <c r="CQ49" i="3" s="1"/>
  <c r="CP53" i="3"/>
  <c r="CR48" i="3" l="1"/>
  <c r="CR49" i="3" s="1"/>
  <c r="CQ53" i="3"/>
  <c r="FX8" i="9"/>
  <c r="FY7" i="9" s="1"/>
  <c r="FX1" i="9"/>
  <c r="FY8" i="9" l="1"/>
  <c r="FZ7" i="9" s="1"/>
  <c r="FY1" i="9"/>
  <c r="CS48" i="3"/>
  <c r="CS49" i="3" s="1"/>
  <c r="CR53" i="3"/>
  <c r="CT48" i="3" l="1"/>
  <c r="CT49" i="3" s="1"/>
  <c r="CS53" i="3"/>
  <c r="FZ8" i="9"/>
  <c r="GA7" i="9" s="1"/>
  <c r="FZ1" i="9"/>
  <c r="GA8" i="9" l="1"/>
  <c r="GB7" i="9" s="1"/>
  <c r="GA1" i="9"/>
  <c r="CU48" i="3"/>
  <c r="J47" i="2"/>
  <c r="CT53" i="3"/>
  <c r="J48" i="2"/>
  <c r="J14" i="1" s="1"/>
  <c r="J13" i="1" l="1"/>
  <c r="J55" i="2"/>
  <c r="J52" i="2"/>
  <c r="CU49" i="3"/>
  <c r="K46" i="2"/>
  <c r="GB8" i="9"/>
  <c r="GC7" i="9" s="1"/>
  <c r="GB1" i="9"/>
  <c r="CV48" i="3" l="1"/>
  <c r="CV49" i="3" s="1"/>
  <c r="CU53" i="3"/>
  <c r="GC8" i="9"/>
  <c r="GD7" i="9" s="1"/>
  <c r="GC1" i="9"/>
  <c r="GD8" i="9" l="1"/>
  <c r="GE7" i="9" s="1"/>
  <c r="GD1" i="9"/>
  <c r="CW48" i="3"/>
  <c r="CW49" i="3" s="1"/>
  <c r="CV53" i="3"/>
  <c r="CX48" i="3" l="1"/>
  <c r="CX49" i="3" s="1"/>
  <c r="CW53" i="3"/>
  <c r="GE8" i="9"/>
  <c r="GF7" i="9" s="1"/>
  <c r="GE1" i="9"/>
  <c r="GF8" i="9" l="1"/>
  <c r="GG7" i="9" s="1"/>
  <c r="GF1" i="9"/>
  <c r="CY48" i="3"/>
  <c r="CY49" i="3" s="1"/>
  <c r="CX53" i="3"/>
  <c r="CZ48" i="3" l="1"/>
  <c r="CZ49" i="3" s="1"/>
  <c r="CY53" i="3"/>
  <c r="GG1" i="9"/>
  <c r="GG8" i="9"/>
  <c r="GH7" i="9" s="1"/>
  <c r="GH8" i="9" l="1"/>
  <c r="GI7" i="9" s="1"/>
  <c r="GH1" i="9"/>
  <c r="DA48" i="3"/>
  <c r="DA49" i="3" s="1"/>
  <c r="CZ53" i="3"/>
  <c r="DB48" i="3" l="1"/>
  <c r="DB49" i="3" s="1"/>
  <c r="DA53" i="3"/>
  <c r="GI8" i="9"/>
  <c r="GJ7" i="9" s="1"/>
  <c r="GI1" i="9"/>
  <c r="GJ8" i="9" l="1"/>
  <c r="GK7" i="9" s="1"/>
  <c r="GJ1" i="9"/>
  <c r="DC48" i="3"/>
  <c r="DC49" i="3" s="1"/>
  <c r="DB53" i="3"/>
  <c r="DD48" i="3" l="1"/>
  <c r="DD49" i="3" s="1"/>
  <c r="DC53" i="3"/>
  <c r="GK8" i="9"/>
  <c r="GL7" i="9" s="1"/>
  <c r="GK1" i="9"/>
  <c r="GL1" i="9" l="1"/>
  <c r="GL8" i="9"/>
  <c r="GM7" i="9" s="1"/>
  <c r="DE48" i="3"/>
  <c r="DE49" i="3" s="1"/>
  <c r="DD53" i="3"/>
  <c r="DF48" i="3" l="1"/>
  <c r="DF49" i="3" s="1"/>
  <c r="DE53" i="3"/>
  <c r="GM8" i="9"/>
  <c r="GN7" i="9" s="1"/>
  <c r="GM1" i="9"/>
  <c r="K47" i="2" l="1"/>
  <c r="DF53" i="3"/>
  <c r="K48" i="2"/>
  <c r="GN8" i="9"/>
  <c r="GO7" i="9" s="1"/>
  <c r="GN1" i="9"/>
  <c r="GO8" i="9" l="1"/>
  <c r="GP7" i="9" s="1"/>
  <c r="GO1" i="9"/>
  <c r="K14" i="1"/>
  <c r="L48" i="2"/>
  <c r="L14" i="1" s="1"/>
  <c r="L47" i="2"/>
  <c r="L13" i="1" s="1"/>
  <c r="K13" i="1"/>
  <c r="K55" i="2"/>
  <c r="K52" i="2"/>
  <c r="GP8" i="9" l="1"/>
  <c r="GQ7" i="9" s="1"/>
  <c r="GP1" i="9"/>
  <c r="GQ8" i="9" l="1"/>
  <c r="GR7" i="9" s="1"/>
  <c r="GQ1" i="9"/>
  <c r="GR8" i="9" l="1"/>
  <c r="GS7" i="9" s="1"/>
  <c r="GR1" i="9"/>
  <c r="GS8" i="9" l="1"/>
  <c r="GT7" i="9" s="1"/>
  <c r="GS1" i="9"/>
  <c r="GT8" i="9" l="1"/>
  <c r="GU7" i="9" s="1"/>
  <c r="GT1" i="9"/>
  <c r="GU8" i="9" l="1"/>
  <c r="GV7" i="9" s="1"/>
  <c r="GU1" i="9"/>
  <c r="GV8" i="9" l="1"/>
  <c r="GW7" i="9" s="1"/>
  <c r="GV1" i="9"/>
  <c r="GW1" i="9" l="1"/>
  <c r="GW8" i="9"/>
  <c r="GX7" i="9" s="1"/>
  <c r="GX8" i="9" l="1"/>
  <c r="GY7" i="9" s="1"/>
  <c r="GX1" i="9"/>
  <c r="GY8" i="9" l="1"/>
  <c r="GZ7" i="9" s="1"/>
  <c r="GY1" i="9"/>
  <c r="GZ8" i="9" l="1"/>
  <c r="HA7" i="9" s="1"/>
  <c r="GZ1" i="9"/>
  <c r="HA8" i="9" l="1"/>
  <c r="HB7" i="9" s="1"/>
  <c r="HA1" i="9"/>
  <c r="HB8" i="9" l="1"/>
  <c r="HC7" i="9" s="1"/>
  <c r="HB1" i="9"/>
  <c r="HC8" i="9" l="1"/>
  <c r="HD7" i="9" s="1"/>
  <c r="HC1" i="9"/>
  <c r="HD8" i="9" l="1"/>
  <c r="HE7" i="9" s="1"/>
  <c r="HD1" i="9"/>
  <c r="HE1" i="9" l="1"/>
  <c r="HE8" i="9"/>
  <c r="HF7" i="9" s="1"/>
  <c r="HF8" i="9" l="1"/>
  <c r="HG7" i="9" s="1"/>
  <c r="HF1" i="9"/>
  <c r="HG8" i="9" l="1"/>
  <c r="HH7" i="9" s="1"/>
  <c r="HG1" i="9"/>
  <c r="HH8" i="9" l="1"/>
  <c r="HI7" i="9" s="1"/>
  <c r="HH1" i="9"/>
  <c r="HI8" i="9" l="1"/>
  <c r="HJ7" i="9" s="1"/>
  <c r="HI1" i="9"/>
  <c r="HJ8" i="9" l="1"/>
  <c r="HK7" i="9" s="1"/>
  <c r="HJ1" i="9"/>
  <c r="HK8" i="9" l="1"/>
  <c r="HL7" i="9" s="1"/>
  <c r="HK1" i="9"/>
  <c r="HL8" i="9" l="1"/>
  <c r="HM7" i="9" s="1"/>
  <c r="HL1" i="9"/>
  <c r="HM8" i="9" l="1"/>
  <c r="HN7" i="9" s="1"/>
  <c r="HM1" i="9"/>
  <c r="HN8" i="9" l="1"/>
  <c r="HO7" i="9" s="1"/>
  <c r="HN1" i="9"/>
  <c r="HO8" i="9" l="1"/>
  <c r="HP7" i="9" s="1"/>
  <c r="HO1" i="9"/>
  <c r="HP8" i="9" l="1"/>
  <c r="HQ7" i="9" s="1"/>
  <c r="HP1" i="9"/>
  <c r="HQ8" i="9" l="1"/>
  <c r="HR7" i="9" s="1"/>
  <c r="HQ1" i="9"/>
  <c r="HR8" i="9" l="1"/>
  <c r="HS7" i="9" s="1"/>
  <c r="HR1" i="9"/>
  <c r="HS1" i="9" l="1"/>
  <c r="HS8" i="9"/>
  <c r="HT7" i="9" s="1"/>
  <c r="HT8" i="9" l="1"/>
  <c r="HU7" i="9" s="1"/>
  <c r="HT1" i="9"/>
  <c r="HU1" i="9" l="1"/>
  <c r="HU8" i="9"/>
  <c r="HV7" i="9" s="1"/>
  <c r="HV8" i="9" l="1"/>
  <c r="HW7" i="9" s="1"/>
  <c r="HV1" i="9"/>
  <c r="HW8" i="9" l="1"/>
  <c r="HX7" i="9" s="1"/>
  <c r="HW1" i="9"/>
  <c r="HX8" i="9" l="1"/>
  <c r="HY7" i="9" s="1"/>
  <c r="HX1" i="9"/>
  <c r="HY8" i="9" l="1"/>
  <c r="HZ7" i="9" s="1"/>
  <c r="HY1" i="9"/>
  <c r="HZ8" i="9" l="1"/>
  <c r="IA7" i="9" s="1"/>
  <c r="HZ1" i="9"/>
  <c r="IA1" i="9" l="1"/>
  <c r="IA8" i="9"/>
  <c r="IB7" i="9" s="1"/>
  <c r="IB8" i="9" l="1"/>
  <c r="IC7" i="9" s="1"/>
  <c r="IB1" i="9"/>
  <c r="IC8" i="9" l="1"/>
  <c r="ID7" i="9" s="1"/>
  <c r="IC1" i="9"/>
  <c r="ID8" i="9" l="1"/>
  <c r="IE7" i="9" s="1"/>
  <c r="ID1" i="9"/>
  <c r="IE8" i="9" l="1"/>
  <c r="IF7" i="9" s="1"/>
  <c r="IE1" i="9"/>
  <c r="IF8" i="9" l="1"/>
  <c r="IG7" i="9" s="1"/>
  <c r="IF1" i="9"/>
  <c r="IG8" i="9" l="1"/>
  <c r="IH7" i="9" s="1"/>
  <c r="IG1" i="9"/>
  <c r="IH8" i="9" l="1"/>
  <c r="II7" i="9" s="1"/>
  <c r="IH1" i="9"/>
  <c r="II8" i="9" l="1"/>
  <c r="IJ7" i="9" s="1"/>
  <c r="II1" i="9"/>
  <c r="IJ8" i="9" l="1"/>
  <c r="IK7" i="9" s="1"/>
  <c r="IJ1" i="9"/>
  <c r="IK8" i="9" l="1"/>
  <c r="IL7" i="9" s="1"/>
  <c r="IK1" i="9"/>
  <c r="IL8" i="9" l="1"/>
  <c r="IM7" i="9" s="1"/>
  <c r="IL1" i="9"/>
  <c r="IM8" i="9" l="1"/>
  <c r="IN7" i="9" s="1"/>
  <c r="IM1" i="9"/>
  <c r="IN8" i="9" l="1"/>
  <c r="IO7" i="9" s="1"/>
  <c r="IN1" i="9"/>
  <c r="IO8" i="9" l="1"/>
  <c r="IP7" i="9" s="1"/>
  <c r="IO1" i="9"/>
  <c r="IP8" i="9" l="1"/>
  <c r="IQ7" i="9" s="1"/>
  <c r="IP1" i="9"/>
  <c r="IQ8" i="9" l="1"/>
  <c r="IR7" i="9" s="1"/>
  <c r="IQ1" i="9"/>
  <c r="IR8" i="9" l="1"/>
  <c r="IS7" i="9" s="1"/>
  <c r="IR1" i="9"/>
  <c r="IS8" i="9" l="1"/>
  <c r="IT7" i="9" s="1"/>
  <c r="IS1" i="9"/>
  <c r="IT8" i="9" l="1"/>
  <c r="IU7" i="9" s="1"/>
  <c r="IT1" i="9"/>
  <c r="IU1" i="9" l="1"/>
  <c r="IU8" i="9"/>
  <c r="IV7" i="9" s="1"/>
  <c r="IV8" i="9" l="1"/>
  <c r="IW7" i="9" s="1"/>
  <c r="IV1" i="9"/>
  <c r="IW8" i="9" l="1"/>
  <c r="IX7" i="9" s="1"/>
  <c r="IW1" i="9"/>
  <c r="IX8" i="9" l="1"/>
  <c r="IY7" i="9" s="1"/>
  <c r="IX1" i="9"/>
  <c r="IY8" i="9" l="1"/>
  <c r="IZ7" i="9" s="1"/>
  <c r="IY1" i="9"/>
  <c r="IZ8" i="9" l="1"/>
  <c r="JA7" i="9" s="1"/>
  <c r="IZ1" i="9"/>
  <c r="JA8" i="9" l="1"/>
  <c r="JB7" i="9" s="1"/>
  <c r="JA1" i="9"/>
  <c r="JB8" i="9" l="1"/>
  <c r="JC7" i="9" s="1"/>
  <c r="JB1" i="9"/>
  <c r="JC8" i="9" l="1"/>
  <c r="JD7" i="9" s="1"/>
  <c r="JC1" i="9"/>
  <c r="JD8" i="9" l="1"/>
  <c r="JE7" i="9" s="1"/>
  <c r="JD1" i="9"/>
  <c r="JE8" i="9" l="1"/>
  <c r="JF7" i="9" s="1"/>
  <c r="JE1" i="9"/>
  <c r="JF8" i="9" l="1"/>
  <c r="JG7" i="9" s="1"/>
  <c r="JF1" i="9"/>
  <c r="JG8" i="9" l="1"/>
  <c r="JH7" i="9" s="1"/>
  <c r="JG1" i="9"/>
  <c r="JH8" i="9" l="1"/>
  <c r="JI7" i="9" s="1"/>
  <c r="JH1" i="9"/>
  <c r="JI8" i="9" l="1"/>
  <c r="JJ7" i="9" s="1"/>
  <c r="JI1" i="9"/>
  <c r="JJ8" i="9" l="1"/>
  <c r="JK7" i="9" s="1"/>
  <c r="JJ1" i="9"/>
  <c r="JK8" i="9" l="1"/>
  <c r="JL7" i="9" s="1"/>
  <c r="JK1" i="9"/>
  <c r="JL8" i="9" l="1"/>
  <c r="JM7" i="9" s="1"/>
  <c r="JL1" i="9"/>
  <c r="JM8" i="9" l="1"/>
  <c r="JN7" i="9" s="1"/>
  <c r="JM1" i="9"/>
  <c r="JN8" i="9" l="1"/>
  <c r="JO7" i="9" s="1"/>
  <c r="JN1" i="9"/>
  <c r="JO8" i="9" l="1"/>
  <c r="JP7" i="9" s="1"/>
  <c r="JO1" i="9"/>
  <c r="JP8" i="9" l="1"/>
  <c r="JQ7" i="9" s="1"/>
  <c r="JP1" i="9"/>
  <c r="JQ8" i="9" l="1"/>
  <c r="JR7" i="9" s="1"/>
  <c r="JQ1" i="9"/>
  <c r="JR8" i="9" l="1"/>
  <c r="JS7" i="9" s="1"/>
  <c r="JR1" i="9"/>
  <c r="JS1" i="9" l="1"/>
  <c r="JS8" i="9"/>
  <c r="JT7" i="9" s="1"/>
  <c r="JT8" i="9" l="1"/>
  <c r="JU7" i="9" s="1"/>
  <c r="JT1" i="9"/>
  <c r="JU8" i="9" l="1"/>
  <c r="JV7" i="9" s="1"/>
  <c r="JU1" i="9"/>
  <c r="JV8" i="9" l="1"/>
  <c r="JW7" i="9" s="1"/>
  <c r="JV1" i="9"/>
  <c r="JW8" i="9" l="1"/>
  <c r="JX7" i="9" s="1"/>
  <c r="JW1" i="9"/>
  <c r="JX8" i="9" l="1"/>
  <c r="JY7" i="9" s="1"/>
  <c r="JX1" i="9"/>
  <c r="JY8" i="9" l="1"/>
  <c r="JZ7" i="9" s="1"/>
  <c r="JY1" i="9"/>
  <c r="JZ8" i="9" l="1"/>
  <c r="KA7" i="9" s="1"/>
  <c r="JZ1" i="9"/>
  <c r="KA8" i="9" l="1"/>
  <c r="KB7" i="9" s="1"/>
  <c r="KA1" i="9"/>
  <c r="KB8" i="9" l="1"/>
  <c r="KC7" i="9" s="1"/>
  <c r="KB1" i="9"/>
  <c r="KC8" i="9" l="1"/>
  <c r="KD7" i="9" s="1"/>
  <c r="KC1" i="9"/>
  <c r="KD8" i="9" l="1"/>
  <c r="KE7" i="9" s="1"/>
  <c r="KD1" i="9"/>
  <c r="KE8" i="9" l="1"/>
  <c r="KF7" i="9" s="1"/>
  <c r="KE1" i="9"/>
  <c r="KF8" i="9" l="1"/>
  <c r="KG7" i="9" s="1"/>
  <c r="KF1" i="9"/>
  <c r="KG8" i="9" l="1"/>
  <c r="KH7" i="9" s="1"/>
  <c r="KG1" i="9"/>
  <c r="KH8" i="9" l="1"/>
  <c r="KI7" i="9" s="1"/>
  <c r="KH1" i="9"/>
  <c r="KI8" i="9" l="1"/>
  <c r="KJ7" i="9" s="1"/>
  <c r="KI1" i="9"/>
  <c r="KJ8" i="9" l="1"/>
  <c r="KK7" i="9" s="1"/>
  <c r="KJ1" i="9"/>
  <c r="KK8" i="9" l="1"/>
  <c r="KL7" i="9" s="1"/>
  <c r="KK1" i="9"/>
  <c r="KL1" i="9" l="1"/>
  <c r="KL8" i="9"/>
  <c r="KM7" i="9" s="1"/>
  <c r="KM8" i="9" l="1"/>
  <c r="KN7" i="9" s="1"/>
  <c r="KM1" i="9"/>
  <c r="KN1" i="9" l="1"/>
  <c r="KN8" i="9"/>
  <c r="KO7" i="9" s="1"/>
  <c r="KO8" i="9" l="1"/>
  <c r="KP7" i="9" s="1"/>
  <c r="KO1" i="9"/>
  <c r="KP8" i="9" l="1"/>
  <c r="KQ7" i="9" s="1"/>
  <c r="KP1" i="9"/>
  <c r="KQ8" i="9" l="1"/>
  <c r="KR7" i="9" s="1"/>
  <c r="KQ1" i="9"/>
  <c r="KR8" i="9" l="1"/>
  <c r="KS7" i="9" s="1"/>
  <c r="KR1" i="9"/>
  <c r="KS8" i="9" l="1"/>
  <c r="KT7" i="9" s="1"/>
  <c r="KS1" i="9"/>
  <c r="KT8" i="9" l="1"/>
  <c r="KU7" i="9" s="1"/>
  <c r="KT1" i="9"/>
  <c r="KU8" i="9" l="1"/>
  <c r="KV7" i="9" s="1"/>
  <c r="KU1" i="9"/>
  <c r="KV8" i="9" l="1"/>
  <c r="KW7" i="9" s="1"/>
  <c r="KV1" i="9"/>
  <c r="KW8" i="9" l="1"/>
  <c r="KX7" i="9" s="1"/>
  <c r="KW1" i="9"/>
  <c r="KX8" i="9" l="1"/>
  <c r="KY7" i="9" s="1"/>
  <c r="KX1" i="9"/>
  <c r="KY8" i="9" l="1"/>
  <c r="KZ7" i="9" s="1"/>
  <c r="KY1" i="9"/>
  <c r="KZ8" i="9" l="1"/>
  <c r="LA7" i="9" s="1"/>
  <c r="KZ1" i="9"/>
  <c r="LA8" i="9" l="1"/>
  <c r="LB7" i="9" s="1"/>
  <c r="LA1" i="9"/>
  <c r="LB8" i="9" l="1"/>
  <c r="LC7" i="9" s="1"/>
  <c r="LB1" i="9"/>
  <c r="LC8" i="9" l="1"/>
  <c r="LD7" i="9" s="1"/>
  <c r="LC1" i="9"/>
  <c r="LD8" i="9" l="1"/>
  <c r="LE7" i="9" s="1"/>
  <c r="LD1" i="9"/>
  <c r="LE8" i="9" l="1"/>
  <c r="LF7" i="9" s="1"/>
  <c r="LE1" i="9"/>
  <c r="LF8" i="9" l="1"/>
  <c r="LG7" i="9" s="1"/>
  <c r="LF1" i="9"/>
  <c r="LG8" i="9" l="1"/>
  <c r="LH7" i="9" s="1"/>
  <c r="LG1" i="9"/>
  <c r="LH8" i="9" l="1"/>
  <c r="LI7" i="9" s="1"/>
  <c r="LH1" i="9"/>
  <c r="LI8" i="9" l="1"/>
  <c r="LJ7" i="9" s="1"/>
  <c r="LI1" i="9"/>
  <c r="LJ8" i="9" l="1"/>
  <c r="LK7" i="9" s="1"/>
  <c r="LJ1" i="9"/>
  <c r="LK8" i="9" l="1"/>
  <c r="LL7" i="9" s="1"/>
  <c r="LK1" i="9"/>
  <c r="LL8" i="9" l="1"/>
  <c r="LM7" i="9" s="1"/>
  <c r="LL1" i="9"/>
  <c r="LM8" i="9" l="1"/>
  <c r="LN7" i="9" s="1"/>
  <c r="LM1" i="9"/>
  <c r="LN8" i="9" l="1"/>
  <c r="LO7" i="9" s="1"/>
  <c r="LN1" i="9"/>
  <c r="LO8" i="9" l="1"/>
  <c r="LP7" i="9" s="1"/>
  <c r="LO1" i="9"/>
  <c r="LP8" i="9" l="1"/>
  <c r="LQ7" i="9" s="1"/>
  <c r="LP1" i="9"/>
  <c r="LQ8" i="9" l="1"/>
  <c r="LR7" i="9" s="1"/>
  <c r="LQ1" i="9"/>
  <c r="LR8" i="9" l="1"/>
  <c r="LS7" i="9" s="1"/>
  <c r="LR1" i="9"/>
  <c r="LS8" i="9" l="1"/>
  <c r="LT7" i="9" s="1"/>
  <c r="LS1" i="9"/>
  <c r="LT8" i="9" l="1"/>
  <c r="LU7" i="9" s="1"/>
  <c r="LT1" i="9"/>
  <c r="LU8" i="9" l="1"/>
  <c r="LV7" i="9" s="1"/>
  <c r="LU1" i="9"/>
  <c r="LV1" i="9" l="1"/>
  <c r="LV8" i="9"/>
  <c r="LW7" i="9" s="1"/>
  <c r="LW1" i="9" l="1"/>
  <c r="LW8" i="9"/>
  <c r="LX7" i="9" s="1"/>
  <c r="LX8" i="9" l="1"/>
  <c r="LY7" i="9" s="1"/>
  <c r="LX1" i="9"/>
  <c r="LY8" i="9" l="1"/>
  <c r="LZ7" i="9" s="1"/>
  <c r="LY1" i="9"/>
  <c r="LZ8" i="9" l="1"/>
  <c r="MA7" i="9" s="1"/>
  <c r="LZ1" i="9"/>
  <c r="MA8" i="9" l="1"/>
  <c r="MB7" i="9" s="1"/>
  <c r="MA1" i="9"/>
  <c r="MB8" i="9" l="1"/>
  <c r="MC7" i="9" s="1"/>
  <c r="MB1" i="9"/>
  <c r="MC8" i="9" l="1"/>
  <c r="MD7" i="9" s="1"/>
  <c r="MC1" i="9"/>
  <c r="MD8" i="9" l="1"/>
  <c r="ME7" i="9" s="1"/>
  <c r="MD1" i="9"/>
  <c r="ME8" i="9" l="1"/>
  <c r="MF7" i="9" s="1"/>
  <c r="ME1" i="9"/>
  <c r="MF8" i="9" l="1"/>
  <c r="MG7" i="9" s="1"/>
  <c r="MF1" i="9"/>
  <c r="MG8" i="9" l="1"/>
  <c r="MH7" i="9" s="1"/>
  <c r="MG1" i="9"/>
  <c r="MH8" i="9" l="1"/>
  <c r="MI7" i="9" s="1"/>
  <c r="MH1" i="9"/>
  <c r="MI8" i="9" l="1"/>
  <c r="MJ7" i="9" s="1"/>
  <c r="MI1" i="9"/>
  <c r="MJ8" i="9" l="1"/>
  <c r="MK7" i="9" s="1"/>
  <c r="MJ1" i="9"/>
  <c r="MK8" i="9" l="1"/>
  <c r="ML7" i="9" s="1"/>
  <c r="MK1" i="9"/>
  <c r="ML8" i="9" l="1"/>
  <c r="MM7" i="9" s="1"/>
  <c r="ML1" i="9"/>
  <c r="MM8" i="9" l="1"/>
  <c r="MN7" i="9" s="1"/>
  <c r="MM1" i="9"/>
  <c r="MN1" i="9" l="1"/>
  <c r="MN8" i="9"/>
  <c r="MO7" i="9" s="1"/>
  <c r="MO8" i="9" l="1"/>
  <c r="MP7" i="9" s="1"/>
  <c r="MO1" i="9"/>
  <c r="MP8" i="9" l="1"/>
  <c r="MQ7" i="9" s="1"/>
  <c r="MP1" i="9"/>
  <c r="MQ1" i="9" l="1"/>
  <c r="MQ8" i="9"/>
  <c r="MR7" i="9" s="1"/>
  <c r="MR8" i="9" l="1"/>
  <c r="MS7" i="9" s="1"/>
  <c r="MR1" i="9"/>
  <c r="MS8" i="9" l="1"/>
  <c r="MT7" i="9" s="1"/>
  <c r="MS1" i="9"/>
  <c r="MT8" i="9" l="1"/>
  <c r="MU7" i="9" s="1"/>
  <c r="MT1" i="9"/>
  <c r="MU8" i="9" l="1"/>
  <c r="MV7" i="9" s="1"/>
  <c r="MU1" i="9"/>
  <c r="MV8" i="9" l="1"/>
  <c r="MW7" i="9" s="1"/>
  <c r="MV1" i="9"/>
  <c r="MW8" i="9" l="1"/>
  <c r="MX7" i="9" s="1"/>
  <c r="MW1" i="9"/>
  <c r="MX8" i="9" l="1"/>
  <c r="MY7" i="9" s="1"/>
  <c r="MX1" i="9"/>
  <c r="MY8" i="9" l="1"/>
  <c r="MZ7" i="9" s="1"/>
  <c r="MY1" i="9"/>
  <c r="MZ8" i="9" l="1"/>
  <c r="NA7" i="9" s="1"/>
  <c r="MZ1" i="9"/>
  <c r="NA8" i="9" l="1"/>
  <c r="NB7" i="9" s="1"/>
  <c r="NA1" i="9"/>
  <c r="NB8" i="9" l="1"/>
  <c r="NC7" i="9" s="1"/>
  <c r="NB1" i="9"/>
  <c r="NC8" i="9" l="1"/>
  <c r="ND7" i="9" s="1"/>
  <c r="NC1" i="9"/>
  <c r="ND8" i="9" l="1"/>
  <c r="NE7" i="9" s="1"/>
  <c r="ND1" i="9"/>
  <c r="NE8" i="9" l="1"/>
  <c r="NF7" i="9" s="1"/>
  <c r="NE1" i="9"/>
  <c r="NF8" i="9" l="1"/>
  <c r="NG7" i="9" s="1"/>
  <c r="NF1" i="9"/>
  <c r="NG1" i="9" l="1"/>
  <c r="NG8" i="9"/>
  <c r="NH7" i="9" s="1"/>
  <c r="NH8" i="9" l="1"/>
  <c r="NI7" i="9" s="1"/>
  <c r="NH1" i="9"/>
  <c r="NI8" i="9" l="1"/>
  <c r="NJ7" i="9" s="1"/>
  <c r="NI1" i="9"/>
  <c r="NJ1" i="9" l="1"/>
  <c r="NJ8" i="9"/>
  <c r="NK7" i="9" s="1"/>
  <c r="NK8" i="9" l="1"/>
  <c r="NL7" i="9" s="1"/>
  <c r="NK1" i="9"/>
  <c r="NL8" i="9" l="1"/>
  <c r="NM7" i="9" s="1"/>
  <c r="NL1" i="9"/>
  <c r="NM8" i="9" l="1"/>
  <c r="NN7" i="9" s="1"/>
  <c r="NM1" i="9"/>
  <c r="NN8" i="9" l="1"/>
  <c r="NO7" i="9" s="1"/>
  <c r="NN1" i="9"/>
  <c r="NO8" i="9" l="1"/>
  <c r="NP7" i="9" s="1"/>
  <c r="NO1" i="9"/>
  <c r="NP8" i="9" l="1"/>
  <c r="NQ7" i="9" s="1"/>
  <c r="NP1" i="9"/>
  <c r="NQ8" i="9" l="1"/>
  <c r="NR7" i="9" s="1"/>
  <c r="NQ1" i="9"/>
  <c r="NR8" i="9" l="1"/>
  <c r="NS7" i="9" s="1"/>
  <c r="NR1" i="9"/>
  <c r="NS1" i="9" l="1"/>
  <c r="NS8" i="9"/>
  <c r="NT7" i="9" s="1"/>
  <c r="NT8" i="9" l="1"/>
  <c r="NU7" i="9" s="1"/>
  <c r="NT1" i="9"/>
  <c r="NU8" i="9" l="1"/>
  <c r="NV7" i="9" s="1"/>
  <c r="NU1" i="9"/>
  <c r="NV8" i="9" l="1"/>
  <c r="NW7" i="9" s="1"/>
  <c r="NV1" i="9"/>
  <c r="NW8" i="9" l="1"/>
  <c r="NX7" i="9" s="1"/>
  <c r="NW1" i="9"/>
  <c r="NX8" i="9" l="1"/>
  <c r="NY7" i="9" s="1"/>
  <c r="NX1" i="9"/>
  <c r="NY8" i="9" l="1"/>
  <c r="NZ7" i="9" s="1"/>
  <c r="NY1" i="9"/>
  <c r="NZ8" i="9" l="1"/>
  <c r="OA7" i="9" s="1"/>
  <c r="NZ1" i="9"/>
  <c r="OA8" i="9" l="1"/>
  <c r="OB7" i="9" s="1"/>
  <c r="OA1" i="9"/>
  <c r="OB8" i="9" l="1"/>
  <c r="OC7" i="9" s="1"/>
  <c r="OB1" i="9"/>
  <c r="OC8" i="9" l="1"/>
  <c r="OD7" i="9" s="1"/>
  <c r="OC1" i="9"/>
  <c r="OD8" i="9" l="1"/>
  <c r="OE7" i="9" s="1"/>
  <c r="OD1" i="9"/>
  <c r="OE8" i="9" l="1"/>
  <c r="OF7" i="9" s="1"/>
  <c r="OE1" i="9"/>
  <c r="OF8" i="9" l="1"/>
  <c r="OG7" i="9" s="1"/>
  <c r="OF1" i="9"/>
  <c r="OG8" i="9" l="1"/>
  <c r="OH7" i="9" s="1"/>
  <c r="OG1" i="9"/>
  <c r="OH8" i="9" l="1"/>
  <c r="OI7" i="9" s="1"/>
  <c r="OH1" i="9"/>
  <c r="OI8" i="9" l="1"/>
  <c r="OJ7" i="9" s="1"/>
  <c r="OI1" i="9"/>
  <c r="OJ8" i="9" l="1"/>
  <c r="OK7" i="9" s="1"/>
  <c r="OJ1" i="9"/>
  <c r="OK8" i="9" l="1"/>
  <c r="OL7" i="9" s="1"/>
  <c r="OK1" i="9"/>
  <c r="OL8" i="9" l="1"/>
  <c r="OM7" i="9" s="1"/>
  <c r="OL1" i="9"/>
  <c r="OM8" i="9" l="1"/>
  <c r="ON7" i="9" s="1"/>
  <c r="OM1" i="9"/>
  <c r="ON8" i="9" l="1"/>
  <c r="OO7" i="9" s="1"/>
  <c r="ON1" i="9"/>
  <c r="OO8" i="9" l="1"/>
  <c r="OP7" i="9" s="1"/>
  <c r="OO1" i="9"/>
  <c r="OP8" i="9" l="1"/>
  <c r="OQ7" i="9" s="1"/>
  <c r="OP1" i="9"/>
  <c r="OQ8" i="9" l="1"/>
  <c r="OR7" i="9" s="1"/>
  <c r="OQ1" i="9"/>
  <c r="OR8" i="9" l="1"/>
  <c r="OS7" i="9" s="1"/>
  <c r="OR1" i="9"/>
  <c r="OS8" i="9" l="1"/>
  <c r="OT7" i="9" s="1"/>
  <c r="OS1" i="9"/>
  <c r="OT8" i="9" l="1"/>
  <c r="OU7" i="9" s="1"/>
  <c r="OT1" i="9"/>
  <c r="OU8" i="9" l="1"/>
  <c r="OV7" i="9" s="1"/>
  <c r="OU1" i="9"/>
  <c r="OV8" i="9" l="1"/>
  <c r="OW7" i="9" s="1"/>
  <c r="OV1" i="9"/>
  <c r="OW8" i="9" l="1"/>
  <c r="OX7" i="9" s="1"/>
  <c r="OW1" i="9"/>
  <c r="OX8" i="9" l="1"/>
  <c r="OY7" i="9" s="1"/>
  <c r="OX1" i="9"/>
  <c r="OY1" i="9" l="1"/>
  <c r="OY8" i="9"/>
  <c r="OZ7" i="9" s="1"/>
  <c r="OZ8" i="9" l="1"/>
  <c r="PA7" i="9" s="1"/>
  <c r="OZ1" i="9"/>
  <c r="PA8" i="9" l="1"/>
  <c r="PB7" i="9" s="1"/>
  <c r="PA1" i="9"/>
  <c r="PB8" i="9" l="1"/>
  <c r="PC7" i="9" s="1"/>
  <c r="PB1" i="9"/>
  <c r="PC8" i="9" l="1"/>
  <c r="PD7" i="9" s="1"/>
  <c r="PC1" i="9"/>
  <c r="PD8" i="9" l="1"/>
  <c r="PE7" i="9" s="1"/>
  <c r="PD1" i="9"/>
  <c r="PE8" i="9" l="1"/>
  <c r="PF7" i="9" s="1"/>
  <c r="PE1" i="9"/>
  <c r="PF8" i="9" l="1"/>
  <c r="PG7" i="9" s="1"/>
  <c r="PF1" i="9"/>
  <c r="PG8" i="9" l="1"/>
  <c r="PH7" i="9" s="1"/>
  <c r="PG1" i="9"/>
  <c r="PH8" i="9" l="1"/>
  <c r="PI7" i="9" s="1"/>
  <c r="PH1" i="9"/>
  <c r="PI1" i="9" l="1"/>
  <c r="PI8" i="9"/>
  <c r="PJ7" i="9" s="1"/>
  <c r="PJ8" i="9" l="1"/>
  <c r="PK7" i="9" s="1"/>
  <c r="PJ1" i="9"/>
  <c r="PK8" i="9" l="1"/>
  <c r="PL7" i="9" s="1"/>
  <c r="PK1" i="9"/>
  <c r="PL8" i="9" l="1"/>
  <c r="PM7" i="9" s="1"/>
  <c r="PL1" i="9"/>
  <c r="PM8" i="9" l="1"/>
  <c r="PN7" i="9" s="1"/>
  <c r="PM1" i="9"/>
  <c r="PN8" i="9" l="1"/>
  <c r="PO7" i="9" s="1"/>
  <c r="PN1" i="9"/>
  <c r="PO8" i="9" l="1"/>
  <c r="PP7" i="9" s="1"/>
  <c r="PO1" i="9"/>
  <c r="PP8" i="9" l="1"/>
  <c r="PQ7" i="9" s="1"/>
  <c r="PP1" i="9"/>
  <c r="PQ8" i="9" l="1"/>
  <c r="PR7" i="9" s="1"/>
  <c r="PQ1" i="9"/>
  <c r="PR8" i="9" l="1"/>
  <c r="PS7" i="9" s="1"/>
  <c r="PR1" i="9"/>
  <c r="PS8" i="9" l="1"/>
  <c r="PT7" i="9" s="1"/>
  <c r="PS1" i="9"/>
  <c r="PT1" i="9" l="1"/>
  <c r="PT8" i="9"/>
  <c r="PU7" i="9" s="1"/>
  <c r="PU8" i="9" l="1"/>
  <c r="PV7" i="9" s="1"/>
  <c r="PU1" i="9"/>
  <c r="PV8" i="9" l="1"/>
  <c r="PW7" i="9" s="1"/>
  <c r="PV1" i="9"/>
  <c r="PW8" i="9" l="1"/>
  <c r="PX7" i="9" s="1"/>
  <c r="PW1" i="9"/>
  <c r="PX8" i="9" l="1"/>
  <c r="PY7" i="9" s="1"/>
  <c r="PX1" i="9"/>
  <c r="PY8" i="9" l="1"/>
  <c r="PZ7" i="9" s="1"/>
  <c r="PY1" i="9"/>
  <c r="PZ8" i="9" l="1"/>
  <c r="QA7" i="9" s="1"/>
  <c r="PZ1" i="9"/>
  <c r="QA8" i="9" l="1"/>
  <c r="QB7" i="9" s="1"/>
  <c r="QA1" i="9"/>
  <c r="QB8" i="9" l="1"/>
  <c r="QC7" i="9" s="1"/>
  <c r="QB1" i="9"/>
  <c r="QC8" i="9" l="1"/>
  <c r="QD7" i="9" s="1"/>
  <c r="QC1" i="9"/>
  <c r="QD8" i="9" l="1"/>
  <c r="QE7" i="9" s="1"/>
  <c r="QD1" i="9"/>
  <c r="QE8" i="9" l="1"/>
  <c r="QF7" i="9" s="1"/>
  <c r="QE1" i="9"/>
  <c r="QF8" i="9" l="1"/>
  <c r="QG7" i="9" s="1"/>
  <c r="QF1" i="9"/>
  <c r="QG8" i="9" l="1"/>
  <c r="QH7" i="9" s="1"/>
  <c r="QG1" i="9"/>
  <c r="QH8" i="9" l="1"/>
  <c r="QI7" i="9" s="1"/>
  <c r="QH1" i="9"/>
  <c r="QI8" i="9" l="1"/>
  <c r="QJ7" i="9" s="1"/>
  <c r="QI1" i="9"/>
  <c r="QJ8" i="9" l="1"/>
  <c r="QK7" i="9" s="1"/>
  <c r="QJ1" i="9"/>
  <c r="QK8" i="9" l="1"/>
  <c r="QL7" i="9" s="1"/>
  <c r="QK1" i="9"/>
  <c r="QL8" i="9" l="1"/>
  <c r="QM7" i="9" s="1"/>
  <c r="QL1" i="9"/>
  <c r="QM1" i="9" l="1"/>
  <c r="QM8" i="9"/>
  <c r="QN7" i="9" s="1"/>
  <c r="QN8" i="9" l="1"/>
  <c r="QO7" i="9" s="1"/>
  <c r="QN1" i="9"/>
  <c r="QO8" i="9" l="1"/>
  <c r="QP7" i="9" s="1"/>
  <c r="QO1" i="9"/>
  <c r="QP8" i="9" l="1"/>
  <c r="QQ7" i="9" s="1"/>
  <c r="QP1" i="9"/>
  <c r="QQ8" i="9" l="1"/>
  <c r="QR7" i="9" s="1"/>
  <c r="QQ1" i="9"/>
  <c r="QR8" i="9" l="1"/>
  <c r="QS7" i="9" s="1"/>
  <c r="QR1" i="9"/>
  <c r="QS8" i="9" l="1"/>
  <c r="QT7" i="9" s="1"/>
  <c r="QS1" i="9"/>
  <c r="QT8" i="9" l="1"/>
  <c r="QU7" i="9" s="1"/>
  <c r="QT1" i="9"/>
  <c r="QU8" i="9" l="1"/>
  <c r="QV7" i="9" s="1"/>
  <c r="QU1" i="9"/>
  <c r="QV8" i="9" l="1"/>
  <c r="QW7" i="9" s="1"/>
  <c r="QV1" i="9"/>
  <c r="QW8" i="9" l="1"/>
  <c r="QX7" i="9" s="1"/>
  <c r="QW1" i="9"/>
  <c r="QX8" i="9" l="1"/>
  <c r="QY7" i="9" s="1"/>
  <c r="QX1" i="9"/>
  <c r="QY8" i="9" l="1"/>
  <c r="QZ7" i="9" s="1"/>
  <c r="QY1" i="9"/>
  <c r="QZ8" i="9" l="1"/>
  <c r="RA7" i="9" s="1"/>
  <c r="QZ1" i="9"/>
  <c r="RA8" i="9" l="1"/>
  <c r="RB7" i="9" s="1"/>
  <c r="RA1" i="9"/>
  <c r="RB8" i="9" l="1"/>
  <c r="RC7" i="9" s="1"/>
  <c r="RB1" i="9"/>
  <c r="RC8" i="9" l="1"/>
  <c r="RD7" i="9" s="1"/>
  <c r="RC1" i="9"/>
  <c r="RD8" i="9" l="1"/>
  <c r="RE7" i="9" s="1"/>
  <c r="RD1" i="9"/>
  <c r="RE8" i="9" l="1"/>
  <c r="RF7" i="9" s="1"/>
  <c r="RE1" i="9"/>
  <c r="RF8" i="9" l="1"/>
  <c r="RG7" i="9" s="1"/>
  <c r="RF1" i="9"/>
  <c r="RG8" i="9" l="1"/>
  <c r="RH7" i="9" s="1"/>
  <c r="RG1" i="9"/>
  <c r="RH8" i="9" l="1"/>
  <c r="RI7" i="9" s="1"/>
  <c r="RH1" i="9"/>
  <c r="RI8" i="9" l="1"/>
  <c r="RJ7" i="9" s="1"/>
  <c r="RI1" i="9"/>
  <c r="RJ8" i="9" l="1"/>
  <c r="RK7" i="9" s="1"/>
  <c r="RJ1" i="9"/>
  <c r="RK8" i="9" l="1"/>
  <c r="RL7" i="9" s="1"/>
  <c r="RK1" i="9"/>
  <c r="RL8" i="9" l="1"/>
  <c r="RM7" i="9" s="1"/>
  <c r="RL1" i="9"/>
  <c r="RM8" i="9" l="1"/>
  <c r="RN7" i="9" s="1"/>
  <c r="RM1" i="9"/>
  <c r="RN8" i="9" l="1"/>
  <c r="RO7" i="9" s="1"/>
  <c r="RN1" i="9"/>
  <c r="RO8" i="9" l="1"/>
  <c r="RP7" i="9" s="1"/>
  <c r="RO1" i="9"/>
  <c r="RP8" i="9" l="1"/>
  <c r="RQ7" i="9" s="1"/>
  <c r="RP1" i="9"/>
  <c r="RQ8" i="9" l="1"/>
  <c r="RR7" i="9" s="1"/>
  <c r="RQ1" i="9"/>
  <c r="RR8" i="9" l="1"/>
  <c r="RS7" i="9" s="1"/>
  <c r="RR1" i="9"/>
  <c r="RS1" i="9" l="1"/>
  <c r="RS8" i="9"/>
  <c r="RT7" i="9" s="1"/>
  <c r="RT8" i="9" l="1"/>
  <c r="RU7" i="9" s="1"/>
  <c r="RT1" i="9"/>
  <c r="RU8" i="9" l="1"/>
  <c r="RV7" i="9" s="1"/>
  <c r="RU1" i="9"/>
  <c r="RV8" i="9" l="1"/>
  <c r="RW7" i="9" s="1"/>
  <c r="RV1" i="9"/>
  <c r="RW8" i="9" l="1"/>
  <c r="RX7" i="9" s="1"/>
  <c r="RW1" i="9"/>
  <c r="RX8" i="9" l="1"/>
  <c r="RY7" i="9" s="1"/>
  <c r="RX1" i="9"/>
  <c r="RY8" i="9" l="1"/>
  <c r="RZ7" i="9" s="1"/>
  <c r="RY1" i="9"/>
  <c r="RZ8" i="9" l="1"/>
  <c r="SA7" i="9" s="1"/>
  <c r="RZ1" i="9"/>
  <c r="SA8" i="9" l="1"/>
  <c r="SB7" i="9" s="1"/>
  <c r="SA1" i="9"/>
  <c r="SB8" i="9" l="1"/>
  <c r="SC7" i="9" s="1"/>
  <c r="SB1" i="9"/>
  <c r="SC8" i="9" l="1"/>
  <c r="SD7" i="9" s="1"/>
  <c r="SC1" i="9"/>
  <c r="SD8" i="9" l="1"/>
  <c r="SE7" i="9" s="1"/>
  <c r="SD1" i="9"/>
  <c r="SE8" i="9" l="1"/>
  <c r="SF7" i="9" s="1"/>
  <c r="SE1" i="9"/>
  <c r="SF8" i="9" l="1"/>
  <c r="SG7" i="9" s="1"/>
  <c r="SF1" i="9"/>
  <c r="SG8" i="9" l="1"/>
  <c r="SH7" i="9" s="1"/>
  <c r="SG1" i="9"/>
  <c r="SH8" i="9" l="1"/>
  <c r="SI7" i="9" s="1"/>
  <c r="SH1" i="9"/>
  <c r="SI8" i="9" l="1"/>
  <c r="SJ7" i="9" s="1"/>
  <c r="SI1" i="9"/>
  <c r="SJ8" i="9" l="1"/>
  <c r="SK7" i="9" s="1"/>
  <c r="SJ1" i="9"/>
  <c r="SK8" i="9" l="1"/>
  <c r="SL7" i="9" s="1"/>
  <c r="SK1" i="9"/>
  <c r="SL8" i="9" l="1"/>
  <c r="SM7" i="9" s="1"/>
  <c r="SL1" i="9"/>
  <c r="SM8" i="9" l="1"/>
  <c r="SN7" i="9" s="1"/>
  <c r="SM1" i="9"/>
  <c r="SN8" i="9" l="1"/>
  <c r="SO7" i="9" s="1"/>
  <c r="SN1" i="9"/>
  <c r="SO8" i="9" l="1"/>
  <c r="SP7" i="9" s="1"/>
  <c r="SO1" i="9"/>
  <c r="SP8" i="9" l="1"/>
  <c r="SQ7" i="9" s="1"/>
  <c r="SP1" i="9"/>
  <c r="SQ1" i="9" l="1"/>
  <c r="SQ8" i="9"/>
  <c r="SR7" i="9" s="1"/>
  <c r="SR8" i="9" l="1"/>
  <c r="SS7" i="9" s="1"/>
  <c r="SR1" i="9"/>
  <c r="SS8" i="9" l="1"/>
  <c r="ST7" i="9" s="1"/>
  <c r="SS1" i="9"/>
  <c r="ST8" i="9" l="1"/>
  <c r="SU7" i="9" s="1"/>
  <c r="ST1" i="9"/>
  <c r="SU8" i="9" l="1"/>
  <c r="SV7" i="9" s="1"/>
  <c r="SU1" i="9"/>
  <c r="SV8" i="9" l="1"/>
  <c r="SW7" i="9" s="1"/>
  <c r="SV1" i="9"/>
  <c r="SW8" i="9" l="1"/>
  <c r="SX7" i="9" s="1"/>
  <c r="SW1" i="9"/>
  <c r="SX8" i="9" l="1"/>
  <c r="SY7" i="9" s="1"/>
  <c r="SX1" i="9"/>
  <c r="SY1" i="9" l="1"/>
  <c r="SY8" i="9"/>
  <c r="SZ7" i="9" s="1"/>
  <c r="SZ8" i="9" l="1"/>
  <c r="TA7" i="9" s="1"/>
  <c r="SZ1" i="9"/>
  <c r="TA8" i="9" l="1"/>
  <c r="TB7" i="9" s="1"/>
  <c r="TA1" i="9"/>
  <c r="TB8" i="9" l="1"/>
  <c r="TC7" i="9" s="1"/>
  <c r="TB1" i="9"/>
  <c r="TC8" i="9" l="1"/>
  <c r="TD7" i="9" s="1"/>
  <c r="TC1" i="9"/>
  <c r="TD8" i="9" l="1"/>
  <c r="TE7" i="9" s="1"/>
  <c r="TD1" i="9"/>
  <c r="TE8" i="9" l="1"/>
  <c r="TF7" i="9" s="1"/>
  <c r="TE1" i="9"/>
  <c r="TF8" i="9" l="1"/>
  <c r="TG7" i="9" s="1"/>
  <c r="TF1" i="9"/>
  <c r="TG8" i="9" l="1"/>
  <c r="TH7" i="9" s="1"/>
  <c r="TG1" i="9"/>
  <c r="TH8" i="9" l="1"/>
  <c r="TI7" i="9" s="1"/>
  <c r="TH1" i="9"/>
  <c r="TI8" i="9" l="1"/>
  <c r="TJ7" i="9" s="1"/>
  <c r="TI1" i="9"/>
  <c r="TJ8" i="9" l="1"/>
  <c r="TK7" i="9" s="1"/>
  <c r="TJ1" i="9"/>
  <c r="TK8" i="9" l="1"/>
  <c r="TL7" i="9" s="1"/>
  <c r="TK1" i="9"/>
  <c r="TL8" i="9" l="1"/>
  <c r="TM7" i="9" s="1"/>
  <c r="TL1" i="9"/>
  <c r="TM8" i="9" l="1"/>
  <c r="TN7" i="9" s="1"/>
  <c r="TM1" i="9"/>
  <c r="TN8" i="9" l="1"/>
  <c r="TN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0" authorId="0" shapeId="0" xr:uid="{00000000-0006-0000-0100-000001000000}">
      <text>
        <r>
          <rPr>
            <sz val="10"/>
            <rFont val="Arial"/>
            <family val="2"/>
          </rPr>
          <t>Letra = factura de venta a crédito con fecha de pago. Descontarla = cederla al banco para recibir el dinero antes, a cambio de un interés.</t>
        </r>
      </text>
    </comment>
    <comment ref="A11" authorId="0" shapeId="0" xr:uid="{00000000-0006-0000-0100-000002000000}">
      <text>
        <r>
          <rPr>
            <sz val="10"/>
            <rFont val="Arial"/>
            <family val="2"/>
          </rPr>
          <t>Letras o facturas a crédito que cobras tú directamente al cliente, sin pasar por el banco.</t>
        </r>
      </text>
    </comment>
    <comment ref="A12" authorId="0" shapeId="0" xr:uid="{00000000-0006-0000-0100-000003000000}">
      <text>
        <r>
          <rPr>
            <sz val="10"/>
            <rFont val="Arial"/>
            <family val="2"/>
          </rPr>
          <t>Ventas a crédito que nunca se logran cobrar. Se restan de la cobranza.</t>
        </r>
      </text>
    </comment>
    <comment ref="A21" authorId="0" shapeId="0" xr:uid="{00000000-0006-0000-0100-000004000000}">
      <text>
        <r>
          <rPr>
            <sz val="10"/>
            <rFont val="Arial"/>
            <family val="2"/>
          </rPr>
          <t>Letras o cheques que el cliente no pagó al vencimiento y se "protestan" formalmente; tienen un costo.</t>
        </r>
      </text>
    </comment>
    <comment ref="A25" authorId="0" shapeId="0" xr:uid="{00000000-0006-0000-0100-000005000000}">
      <text>
        <r>
          <rPr>
            <sz val="10"/>
            <rFont val="Arial"/>
            <family val="2"/>
          </rPr>
          <t>Lo que genera el negocio antes de inversiones y deuda: ingresos operativos − egresos operativos.</t>
        </r>
      </text>
    </comment>
    <comment ref="A29" authorId="0" shapeId="0" xr:uid="{00000000-0006-0000-0100-000006000000}">
      <text>
        <r>
          <rPr>
            <sz val="10"/>
            <rFont val="Arial"/>
            <family val="2"/>
          </rPr>
          <t>Compra de activos que duran años: mejoras, racks, mobiliario y camiones.</t>
        </r>
      </text>
    </comment>
    <comment ref="A32" authorId="0" shapeId="0" xr:uid="{00000000-0006-0000-0100-000007000000}">
      <text>
        <r>
          <rPr>
            <sz val="10"/>
            <rFont val="Arial"/>
            <family val="2"/>
          </rPr>
          <t>Momento en que el banco deposita el dinero del préstamo en tu caja.</t>
        </r>
      </text>
    </comment>
    <comment ref="A33" authorId="0" shapeId="0" xr:uid="{00000000-0006-0000-0100-000008000000}">
      <text>
        <r>
          <rPr>
            <sz val="10"/>
            <rFont val="Arial"/>
            <family val="2"/>
          </rPr>
          <t>Préstamo bancario a varios años. Aquí financia mejoras de almacén, racks y mobiliario.</t>
        </r>
      </text>
    </comment>
    <comment ref="A34" authorId="0" shapeId="0" xr:uid="{00000000-0006-0000-0100-000009000000}">
      <text>
        <r>
          <rPr>
            <sz val="10"/>
            <rFont val="Arial"/>
            <family val="2"/>
          </rPr>
          <t>Arrendamiento financiero: el banco compra el activo (los camiones) y tú lo pagas en cuotas; el activo queda para la empresa.</t>
        </r>
      </text>
    </comment>
    <comment ref="A35" authorId="0" shapeId="0" xr:uid="{00000000-0006-0000-0100-00000A000000}">
      <text>
        <r>
          <rPr>
            <sz val="10"/>
            <rFont val="Arial"/>
            <family val="2"/>
          </rPr>
          <t>Préstamo bancario a varios años. Aquí financia mejoras de almacén, racks y mobiliario.</t>
        </r>
      </text>
    </comment>
    <comment ref="A36" authorId="0" shapeId="0" xr:uid="{00000000-0006-0000-0100-00000B000000}">
      <text>
        <r>
          <rPr>
            <sz val="10"/>
            <rFont val="Arial"/>
            <family val="2"/>
          </rPr>
          <t>Arrendamiento financiero: el banco compra el activo (los camiones) y tú lo pagas en cuotas; el activo queda para la empresa.</t>
        </r>
      </text>
    </comment>
    <comment ref="A37" authorId="0" shapeId="0" xr:uid="{00000000-0006-0000-0100-00000C000000}">
      <text>
        <r>
          <rPr>
            <sz val="10"/>
            <rFont val="Arial"/>
            <family val="2"/>
          </rPr>
          <t>Impuesto General a las Ventas (18% en Perú); el banco lo cobra junto con la cuota.</t>
        </r>
      </text>
    </comment>
    <comment ref="A38" authorId="0" shapeId="0" xr:uid="{00000000-0006-0000-0100-00000D000000}">
      <text>
        <r>
          <rPr>
            <sz val="10"/>
            <rFont val="Arial"/>
            <family val="2"/>
          </rPr>
          <t>Letra = factura de venta a crédito con fecha de pago. Descontarla = cederla al banco para recibir el dinero antes, a cambio de un interés.</t>
        </r>
      </text>
    </comment>
    <comment ref="A39" authorId="0" shapeId="0" xr:uid="{00000000-0006-0000-0100-00000E000000}">
      <text>
        <r>
          <rPr>
            <sz val="10"/>
            <rFont val="Arial"/>
            <family val="2"/>
          </rPr>
          <t>Corto plazo: préstamos que se pagan en pocos meses. Son pagos puntuales que ingresas en Supuestos.</t>
        </r>
      </text>
    </comment>
    <comment ref="A40" authorId="0" shapeId="0" xr:uid="{00000000-0006-0000-0100-00000F000000}">
      <text>
        <r>
          <rPr>
            <sz val="10"/>
            <rFont val="Arial"/>
            <family val="2"/>
          </rPr>
          <t>Todo lo que pagas por tus deudas en el período: capital + intereses + cargos.</t>
        </r>
      </text>
    </comment>
    <comment ref="A48" authorId="0" shapeId="0" xr:uid="{00000000-0006-0000-0100-000010000000}">
      <text>
        <r>
          <rPr>
            <sz val="10"/>
            <rFont val="Arial"/>
            <family val="2"/>
          </rPr>
          <t>La caja más baja que se alcanza en algún mes del año. Si es negativa, ese mes falta plata.</t>
        </r>
      </text>
    </comment>
    <comment ref="A50" authorId="0" shapeId="0" xr:uid="{00000000-0006-0000-0100-000011000000}">
      <text>
        <r>
          <rPr>
            <sz val="10"/>
            <rFont val="Arial"/>
            <family val="2"/>
          </rPr>
          <t>Cuántas veces el flujo (o la caja) alcanza para pagar la deuda del período. Más de 1.0x = alcanza.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2" authorId="0" shapeId="0" xr:uid="{00000000-0006-0000-0200-000001000000}">
      <text>
        <r>
          <rPr>
            <sz val="10"/>
            <rFont val="Arial"/>
            <family val="2"/>
          </rPr>
          <t>Letra = factura de venta a crédito con fecha de pago. Descontarla = cederla al banco para recibir el dinero antes, a cambio de un interés.</t>
        </r>
      </text>
    </comment>
    <comment ref="A13" authorId="0" shapeId="0" xr:uid="{00000000-0006-0000-0200-000002000000}">
      <text>
        <r>
          <rPr>
            <sz val="10"/>
            <rFont val="Arial"/>
            <family val="2"/>
          </rPr>
          <t>Letras o facturas a crédito que cobras tú directamente al cliente, sin pasar por el banco.</t>
        </r>
      </text>
    </comment>
    <comment ref="A14" authorId="0" shapeId="0" xr:uid="{00000000-0006-0000-0200-000003000000}">
      <text>
        <r>
          <rPr>
            <sz val="10"/>
            <rFont val="Arial"/>
            <family val="2"/>
          </rPr>
          <t>Ventas a crédito que nunca se logran cobrar. Se restan de la cobranza.</t>
        </r>
      </text>
    </comment>
    <comment ref="A23" authorId="0" shapeId="0" xr:uid="{00000000-0006-0000-0200-000004000000}">
      <text>
        <r>
          <rPr>
            <sz val="10"/>
            <rFont val="Arial"/>
            <family val="2"/>
          </rPr>
          <t>Letras o cheques que el cliente no pagó al vencimiento y se "protestan" formalmente; tienen un costo.</t>
        </r>
      </text>
    </comment>
    <comment ref="A27" authorId="0" shapeId="0" xr:uid="{00000000-0006-0000-0200-000005000000}">
      <text>
        <r>
          <rPr>
            <sz val="10"/>
            <rFont val="Arial"/>
            <family val="2"/>
          </rPr>
          <t>Lo que genera el negocio antes de inversiones y deuda: ingresos operativos − egresos operativos.</t>
        </r>
      </text>
    </comment>
    <comment ref="A31" authorId="0" shapeId="0" xr:uid="{00000000-0006-0000-0200-000006000000}">
      <text>
        <r>
          <rPr>
            <sz val="10"/>
            <rFont val="Arial"/>
            <family val="2"/>
          </rPr>
          <t>Compra de activos que duran años: mejoras, racks, mobiliario y camiones.</t>
        </r>
      </text>
    </comment>
    <comment ref="A34" authorId="0" shapeId="0" xr:uid="{00000000-0006-0000-0200-000007000000}">
      <text>
        <r>
          <rPr>
            <sz val="10"/>
            <rFont val="Arial"/>
            <family val="2"/>
          </rPr>
          <t>Momento en que el banco deposita el dinero del préstamo en tu caja.</t>
        </r>
      </text>
    </comment>
    <comment ref="A35" authorId="0" shapeId="0" xr:uid="{00000000-0006-0000-0200-000008000000}">
      <text>
        <r>
          <rPr>
            <sz val="10"/>
            <rFont val="Arial"/>
            <family val="2"/>
          </rPr>
          <t>Préstamo bancario a varios años. Aquí financia mejoras de almacén, racks y mobiliario.</t>
        </r>
      </text>
    </comment>
    <comment ref="A36" authorId="0" shapeId="0" xr:uid="{00000000-0006-0000-0200-000009000000}">
      <text>
        <r>
          <rPr>
            <sz val="10"/>
            <rFont val="Arial"/>
            <family val="2"/>
          </rPr>
          <t>Arrendamiento financiero: el banco compra el activo (los camiones) y tú lo pagas en cuotas; el activo queda para la empresa.</t>
        </r>
      </text>
    </comment>
    <comment ref="A37" authorId="0" shapeId="0" xr:uid="{00000000-0006-0000-0200-00000A000000}">
      <text>
        <r>
          <rPr>
            <sz val="10"/>
            <rFont val="Arial"/>
            <family val="2"/>
          </rPr>
          <t>Préstamo bancario a varios años. Aquí financia mejoras de almacén, racks y mobiliario.</t>
        </r>
      </text>
    </comment>
    <comment ref="A38" authorId="0" shapeId="0" xr:uid="{00000000-0006-0000-0200-00000B000000}">
      <text>
        <r>
          <rPr>
            <sz val="10"/>
            <rFont val="Arial"/>
            <family val="2"/>
          </rPr>
          <t>Arrendamiento financiero: el banco compra el activo (los camiones) y tú lo pagas en cuotas; el activo queda para la empresa.</t>
        </r>
      </text>
    </comment>
    <comment ref="A39" authorId="0" shapeId="0" xr:uid="{00000000-0006-0000-0200-00000C000000}">
      <text>
        <r>
          <rPr>
            <sz val="10"/>
            <rFont val="Arial"/>
            <family val="2"/>
          </rPr>
          <t>Impuesto General a las Ventas (18% en Perú); el banco lo cobra junto con la cuota.</t>
        </r>
      </text>
    </comment>
    <comment ref="A40" authorId="0" shapeId="0" xr:uid="{00000000-0006-0000-0200-00000D000000}">
      <text>
        <r>
          <rPr>
            <sz val="10"/>
            <rFont val="Arial"/>
            <family val="2"/>
          </rPr>
          <t>Letra = factura de venta a crédito con fecha de pago. Descontarla = cederla al banco para recibir el dinero antes, a cambio de un interés.</t>
        </r>
      </text>
    </comment>
    <comment ref="A41" authorId="0" shapeId="0" xr:uid="{00000000-0006-0000-0200-00000E000000}">
      <text>
        <r>
          <rPr>
            <sz val="10"/>
            <rFont val="Arial"/>
            <family val="2"/>
          </rPr>
          <t>Corto plazo: préstamos que se pagan en pocos meses. Son pagos puntuales que ingresas en Supuestos.</t>
        </r>
      </text>
    </comment>
    <comment ref="A42" authorId="0" shapeId="0" xr:uid="{00000000-0006-0000-0200-00000F000000}">
      <text>
        <r>
          <rPr>
            <sz val="10"/>
            <rFont val="Arial"/>
            <family val="2"/>
          </rPr>
          <t>Todo lo que pagas por tus deudas en el período: capital + intereses + cargos.</t>
        </r>
      </text>
    </comment>
    <comment ref="A51" authorId="0" shapeId="0" xr:uid="{00000000-0006-0000-0200-000010000000}">
      <text>
        <r>
          <rPr>
            <sz val="10"/>
            <rFont val="Arial"/>
            <family val="2"/>
          </rPr>
          <t>Cuántas veces el flujo (o la caja) alcanza para pagar la deuda del período. Más de 1.0x = alcanza.</t>
        </r>
      </text>
    </comment>
    <comment ref="A59" authorId="0" shapeId="0" xr:uid="{00000000-0006-0000-0200-000011000000}">
      <text>
        <r>
          <rPr>
            <sz val="10"/>
            <rFont val="Arial"/>
            <family val="2"/>
          </rPr>
          <t>Tasa Efectiva Anual: lo que cuesta un préstamo en 12 meses, contando intereses sobre intereses. Es la tasa que te dice el banco. Aquí se convierte la TEA de letras en la tasa del mes según sus días.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7" authorId="0" shapeId="0" xr:uid="{00000000-0006-0000-0300-000001000000}">
      <text>
        <r>
          <rPr>
            <sz val="10"/>
            <rFont val="Arial"/>
            <family val="2"/>
          </rPr>
          <t>Por cada S/ 1 vendido, cuánto se compra de mercadería. Las compras se pagan 2 meses antes de la venta.</t>
        </r>
      </text>
    </comment>
    <comment ref="A18" authorId="0" shapeId="0" xr:uid="{00000000-0006-0000-0300-000002000000}">
      <text>
        <r>
          <rPr>
            <sz val="10"/>
            <rFont val="Arial"/>
            <family val="2"/>
          </rPr>
          <t>Cuánto sube la planilla cada enero. Sale de la hoja Headcount.</t>
        </r>
      </text>
    </comment>
    <comment ref="A19" authorId="0" shapeId="0" xr:uid="{00000000-0006-0000-0300-000003000000}">
      <text>
        <r>
          <rPr>
            <sz val="10"/>
            <rFont val="Arial"/>
            <family val="2"/>
          </rPr>
          <t>Cuánto sube la planilla cada enero. Sale de la hoja Headcount.</t>
        </r>
      </text>
    </comment>
    <comment ref="A20" authorId="0" shapeId="0" xr:uid="{00000000-0006-0000-0300-000004000000}">
      <text>
        <r>
          <rPr>
            <sz val="10"/>
            <rFont val="Arial"/>
            <family val="2"/>
          </rPr>
          <t>Mes (1 a 12) en que sale de caja la inversión del año.</t>
        </r>
      </text>
    </comment>
    <comment ref="A23" authorId="0" shapeId="0" xr:uid="{00000000-0006-0000-0300-000005000000}">
      <text>
        <r>
          <rPr>
            <sz val="10"/>
            <rFont val="Arial"/>
            <family val="2"/>
          </rPr>
          <t>Tasa Efectiva Anual: lo que cuesta un préstamo en 12 meses, contando intereses sobre intereses. Es la tasa que te dice el banco. Aquí es lo que cuesta adelantar el cobro de letras.</t>
        </r>
      </text>
    </comment>
    <comment ref="A24" authorId="0" shapeId="0" xr:uid="{00000000-0006-0000-0300-000006000000}">
      <text>
        <r>
          <rPr>
            <sz val="10"/>
            <rFont val="Arial"/>
            <family val="2"/>
          </rPr>
          <t>Dinero que tiene la empresa el 1 de enero de 2026. Todo el flujo parte de aquí.</t>
        </r>
      </text>
    </comment>
    <comment ref="B34" authorId="0" shapeId="0" xr:uid="{00000000-0006-0000-0300-00000C000000}">
      <text>
        <r>
          <rPr>
            <sz val="10"/>
            <rFont val="Arial"/>
            <family val="2"/>
          </rPr>
          <t>MP = mediano plazo; LEASING = arrendamiento financiero (camiones). Ver glosario en la hoja Resumen.</t>
        </r>
      </text>
    </comment>
    <comment ref="C34" authorId="0" shapeId="0" xr:uid="{00000000-0006-0000-0300-00000D000000}">
      <text>
        <r>
          <rPr>
            <sz val="10"/>
            <rFont val="Arial"/>
            <family val="2"/>
          </rPr>
          <t>Monto del préstamo en soles. Sale de la hoja Inversiones.</t>
        </r>
      </text>
    </comment>
    <comment ref="D34" authorId="0" shapeId="0" xr:uid="{00000000-0006-0000-0300-00000E000000}">
      <text>
        <r>
          <rPr>
            <sz val="10"/>
            <rFont val="Arial"/>
            <family val="2"/>
          </rPr>
          <t>Tasa Efectiva Anual: lo que cuesta un préstamo en 12 meses, contando intereses sobre intereses. Es la tasa que te dice el banco.</t>
        </r>
      </text>
    </comment>
    <comment ref="E34" authorId="0" shapeId="0" xr:uid="{00000000-0006-0000-0300-00000F000000}">
      <text>
        <r>
          <rPr>
            <sz val="10"/>
            <rFont val="Arial"/>
            <family val="2"/>
          </rPr>
          <t>Número de cuotas mensuales del préstamo.</t>
        </r>
      </text>
    </comment>
    <comment ref="F34" authorId="0" shapeId="0" xr:uid="{00000000-0006-0000-0300-000010000000}">
      <text>
        <r>
          <rPr>
            <sz val="10"/>
            <rFont val="Arial"/>
            <family val="2"/>
          </rPr>
          <t>Tasa Efectiva Mensual: la TEA llevada a un mes, (1+TEA)^(30/360)−1. Es el % que se cobra cada mes sobre la deuda pendiente.</t>
        </r>
      </text>
    </comment>
    <comment ref="G34" authorId="0" shapeId="0" xr:uid="{00000000-0006-0000-0300-000011000000}">
      <text>
        <r>
          <rPr>
            <sz val="10"/>
            <rFont val="Arial"/>
            <family val="2"/>
          </rPr>
          <t>Pago fijo mensual de un préstamo. Incluye una parte de capital y una parte de intereses. Se calcula con la función PMT de Excel.</t>
        </r>
      </text>
    </comment>
    <comment ref="H34" authorId="0" shapeId="0" xr:uid="{00000000-0006-0000-0300-000012000000}">
      <text>
        <r>
          <rPr>
            <sz val="10"/>
            <rFont val="Arial"/>
            <family val="2"/>
          </rPr>
          <t>Fecha de la primera cuota. Debe ser día 1 del mes.</t>
        </r>
      </text>
    </comment>
    <comment ref="I34" authorId="0" shapeId="0" xr:uid="{00000000-0006-0000-0300-000013000000}">
      <text>
        <r>
          <rPr>
            <sz val="10"/>
            <rFont val="Arial"/>
            <family val="2"/>
          </rPr>
          <t>Momento en que el banco deposita el dinero del préstamo en tu caja. Debe ser día 1 del mes.</t>
        </r>
      </text>
    </comment>
    <comment ref="A45" authorId="0" shapeId="0" xr:uid="{00000000-0006-0000-0300-000007000000}">
      <text>
        <r>
          <rPr>
            <sz val="10"/>
            <rFont val="Arial"/>
            <family val="2"/>
          </rPr>
          <t>Corto plazo: préstamos que se pagan en pocos meses.</t>
        </r>
      </text>
    </comment>
    <comment ref="A46" authorId="0" shapeId="0" xr:uid="{00000000-0006-0000-0300-000008000000}">
      <text>
        <r>
          <rPr>
            <sz val="10"/>
            <rFont val="Arial"/>
            <family val="2"/>
          </rPr>
          <t>Corto plazo: préstamos que se pagan en pocos meses.</t>
        </r>
      </text>
    </comment>
    <comment ref="A47" authorId="0" shapeId="0" xr:uid="{00000000-0006-0000-0300-000009000000}">
      <text>
        <r>
          <rPr>
            <sz val="10"/>
            <rFont val="Arial"/>
            <family val="2"/>
          </rPr>
          <t>Corto plazo: préstamos que se pagan en pocos meses.</t>
        </r>
      </text>
    </comment>
    <comment ref="A58" authorId="0" shapeId="0" xr:uid="{00000000-0006-0000-0300-00000A000000}">
      <text>
        <r>
          <rPr>
            <sz val="10"/>
            <rFont val="Arial"/>
            <family val="2"/>
          </rPr>
          <t>Letras o cheques que el cliente no pagó al vencimiento y se "protestan" formalmente; tienen un costo.</t>
        </r>
      </text>
    </comment>
    <comment ref="A59" authorId="0" shapeId="0" xr:uid="{00000000-0006-0000-0300-00000B000000}">
      <text>
        <r>
          <rPr>
            <sz val="10"/>
            <rFont val="Arial"/>
            <family val="2"/>
          </rPr>
          <t>Ventas a crédito que nunca se logran cobrar. Se restan de la cobranza.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600-000001000000}">
      <text>
        <r>
          <rPr>
            <sz val="10"/>
            <rFont val="Arial"/>
            <family val="2"/>
          </rPr>
          <t>Tasa Efectiva Mensual: la TEA llevada a un mes, (1+TEA)^(30/360)−1. Es el % que se cobra cada mes sobre la deuda pendiente.</t>
        </r>
      </text>
    </comment>
    <comment ref="A6" authorId="0" shapeId="0" xr:uid="{00000000-0006-0000-0600-000002000000}">
      <text>
        <r>
          <rPr>
            <sz val="10"/>
            <rFont val="Arial"/>
            <family val="2"/>
          </rPr>
          <t>Préstamo bancario a varios años. Aquí financia mejoras de almacén, racks y mobiliario.</t>
        </r>
      </text>
    </comment>
    <comment ref="A7" authorId="0" shapeId="0" xr:uid="{00000000-0006-0000-0600-000003000000}">
      <text>
        <r>
          <rPr>
            <sz val="10"/>
            <rFont val="Arial"/>
            <family val="2"/>
          </rPr>
          <t>La parte de la cuota que reduce lo que debes (el dinero prestado).</t>
        </r>
      </text>
    </comment>
    <comment ref="A8" authorId="0" shapeId="0" xr:uid="{00000000-0006-0000-0600-000004000000}">
      <text>
        <r>
          <rPr>
            <sz val="10"/>
            <rFont val="Arial"/>
            <family val="2"/>
          </rPr>
          <t>El costo del dinero: la parte de la cuota que se paga al banco por prestarte.</t>
        </r>
      </text>
    </comment>
    <comment ref="A9" authorId="0" shapeId="0" xr:uid="{00000000-0006-0000-0600-000005000000}">
      <text>
        <r>
          <rPr>
            <sz val="10"/>
            <rFont val="Arial"/>
            <family val="2"/>
          </rPr>
          <t>Impuestos y comisiones que el banco cobra junto con la cuota (IGV, portes, etc.).</t>
        </r>
      </text>
    </comment>
    <comment ref="A11" authorId="0" shapeId="0" xr:uid="{00000000-0006-0000-0600-000006000000}">
      <text>
        <r>
          <rPr>
            <sz val="10"/>
            <rFont val="Arial"/>
            <family val="2"/>
          </rPr>
          <t>Arrendamiento financiero: el banco compra el activo (los camiones) y tú lo pagas en cuotas; el activo queda para la empresa.</t>
        </r>
      </text>
    </comment>
    <comment ref="A12" authorId="0" shapeId="0" xr:uid="{00000000-0006-0000-0600-000007000000}">
      <text>
        <r>
          <rPr>
            <sz val="10"/>
            <rFont val="Arial"/>
            <family val="2"/>
          </rPr>
          <t>La parte de la cuota que reduce lo que debes (el dinero prestado).</t>
        </r>
      </text>
    </comment>
    <comment ref="A13" authorId="0" shapeId="0" xr:uid="{00000000-0006-0000-0600-000008000000}">
      <text>
        <r>
          <rPr>
            <sz val="10"/>
            <rFont val="Arial"/>
            <family val="2"/>
          </rPr>
          <t>El costo del dinero: la parte de la cuota que se paga al banco por prestarte.</t>
        </r>
      </text>
    </comment>
    <comment ref="A14" authorId="0" shapeId="0" xr:uid="{00000000-0006-0000-0600-000009000000}">
      <text>
        <r>
          <rPr>
            <sz val="10"/>
            <rFont val="Arial"/>
            <family val="2"/>
          </rPr>
          <t>Impuestos y comisiones que el banco cobra junto con la cuota (IGV, portes, etc.).</t>
        </r>
      </text>
    </comment>
    <comment ref="A16" authorId="0" shapeId="0" xr:uid="{00000000-0006-0000-0600-00000A000000}">
      <text>
        <r>
          <rPr>
            <sz val="10"/>
            <rFont val="Arial"/>
            <family val="2"/>
          </rPr>
          <t>Arrendamiento financiero: el banco compra el activo (los camiones) y tú lo pagas en cuotas; el activo queda para la empresa.</t>
        </r>
      </text>
    </comment>
    <comment ref="A17" authorId="0" shapeId="0" xr:uid="{00000000-0006-0000-0600-00000B000000}">
      <text>
        <r>
          <rPr>
            <sz val="10"/>
            <rFont val="Arial"/>
            <family val="2"/>
          </rPr>
          <t>Momento en que el banco deposita el dinero del préstamo en tu caja.</t>
        </r>
      </text>
    </comment>
    <comment ref="A19" authorId="0" shapeId="0" xr:uid="{00000000-0006-0000-0600-00000C000000}">
      <text>
        <r>
          <rPr>
            <sz val="10"/>
            <rFont val="Arial"/>
            <family val="2"/>
          </rPr>
          <t>Lo que todavía debes. Sube con el desembolso y baja con el capital que pagas.</t>
        </r>
      </text>
    </comment>
    <comment ref="A20" authorId="0" shapeId="0" xr:uid="{00000000-0006-0000-0600-00000D000000}">
      <text>
        <r>
          <rPr>
            <sz val="10"/>
            <rFont val="Arial"/>
            <family val="2"/>
          </rPr>
          <t>El costo del dinero: la parte de la cuota que se paga al banco por prestarte.</t>
        </r>
      </text>
    </comment>
    <comment ref="A21" authorId="0" shapeId="0" xr:uid="{00000000-0006-0000-0600-00000E000000}">
      <text>
        <r>
          <rPr>
            <sz val="10"/>
            <rFont val="Arial"/>
            <family val="2"/>
          </rPr>
          <t>Pago fijo mensual de un préstamo. Incluye una parte de capital y una parte de intereses.</t>
        </r>
      </text>
    </comment>
    <comment ref="A22" authorId="0" shapeId="0" xr:uid="{00000000-0006-0000-0600-00000F000000}">
      <text>
        <r>
          <rPr>
            <sz val="10"/>
            <rFont val="Arial"/>
            <family val="2"/>
          </rPr>
          <t>La parte de la cuota que reduce lo que debes (el dinero prestado).</t>
        </r>
      </text>
    </comment>
    <comment ref="A23" authorId="0" shapeId="0" xr:uid="{00000000-0006-0000-0600-000010000000}">
      <text>
        <r>
          <rPr>
            <sz val="10"/>
            <rFont val="Arial"/>
            <family val="2"/>
          </rPr>
          <t>Lo que todavía debes. Sube con el desembolso y baja con el capital que pagas.</t>
        </r>
      </text>
    </comment>
    <comment ref="A25" authorId="0" shapeId="0" xr:uid="{00000000-0006-0000-0600-000011000000}">
      <text>
        <r>
          <rPr>
            <sz val="10"/>
            <rFont val="Arial"/>
            <family val="2"/>
          </rPr>
          <t>Arrendamiento financiero: el banco compra el activo (los camiones) y tú lo pagas en cuotas; el activo queda para la empresa.</t>
        </r>
      </text>
    </comment>
    <comment ref="A26" authorId="0" shapeId="0" xr:uid="{00000000-0006-0000-0600-000012000000}">
      <text>
        <r>
          <rPr>
            <sz val="10"/>
            <rFont val="Arial"/>
            <family val="2"/>
          </rPr>
          <t>Momento en que el banco deposita el dinero del préstamo en tu caja.</t>
        </r>
      </text>
    </comment>
    <comment ref="A28" authorId="0" shapeId="0" xr:uid="{00000000-0006-0000-0600-000013000000}">
      <text>
        <r>
          <rPr>
            <sz val="10"/>
            <rFont val="Arial"/>
            <family val="2"/>
          </rPr>
          <t>Lo que todavía debes. Sube con el desembolso y baja con el capital que pagas.</t>
        </r>
      </text>
    </comment>
    <comment ref="A29" authorId="0" shapeId="0" xr:uid="{00000000-0006-0000-0600-000014000000}">
      <text>
        <r>
          <rPr>
            <sz val="10"/>
            <rFont val="Arial"/>
            <family val="2"/>
          </rPr>
          <t>El costo del dinero: la parte de la cuota que se paga al banco por prestarte.</t>
        </r>
      </text>
    </comment>
    <comment ref="A30" authorId="0" shapeId="0" xr:uid="{00000000-0006-0000-0600-000015000000}">
      <text>
        <r>
          <rPr>
            <sz val="10"/>
            <rFont val="Arial"/>
            <family val="2"/>
          </rPr>
          <t>Pago fijo mensual de un préstamo. Incluye una parte de capital y una parte de intereses.</t>
        </r>
      </text>
    </comment>
    <comment ref="A31" authorId="0" shapeId="0" xr:uid="{00000000-0006-0000-0600-000016000000}">
      <text>
        <r>
          <rPr>
            <sz val="10"/>
            <rFont val="Arial"/>
            <family val="2"/>
          </rPr>
          <t>La parte de la cuota que reduce lo que debes (el dinero prestado).</t>
        </r>
      </text>
    </comment>
    <comment ref="A32" authorId="0" shapeId="0" xr:uid="{00000000-0006-0000-0600-000017000000}">
      <text>
        <r>
          <rPr>
            <sz val="10"/>
            <rFont val="Arial"/>
            <family val="2"/>
          </rPr>
          <t>Lo que todavía debes. Sube con el desembolso y baja con el capital que pagas.</t>
        </r>
      </text>
    </comment>
    <comment ref="A34" authorId="0" shapeId="0" xr:uid="{00000000-0006-0000-0600-000018000000}">
      <text>
        <r>
          <rPr>
            <sz val="10"/>
            <rFont val="Arial"/>
            <family val="2"/>
          </rPr>
          <t>Préstamo bancario a varios años. Aquí financia mejoras de almacén, racks y mobiliario.</t>
        </r>
      </text>
    </comment>
    <comment ref="A35" authorId="0" shapeId="0" xr:uid="{00000000-0006-0000-0600-000019000000}">
      <text>
        <r>
          <rPr>
            <sz val="10"/>
            <rFont val="Arial"/>
            <family val="2"/>
          </rPr>
          <t>Momento en que el banco deposita el dinero del préstamo en tu caja.</t>
        </r>
      </text>
    </comment>
    <comment ref="A37" authorId="0" shapeId="0" xr:uid="{00000000-0006-0000-0600-00001A000000}">
      <text>
        <r>
          <rPr>
            <sz val="10"/>
            <rFont val="Arial"/>
            <family val="2"/>
          </rPr>
          <t>Lo que todavía debes. Sube con el desembolso y baja con el capital que pagas.</t>
        </r>
      </text>
    </comment>
    <comment ref="A38" authorId="0" shapeId="0" xr:uid="{00000000-0006-0000-0600-00001B000000}">
      <text>
        <r>
          <rPr>
            <sz val="10"/>
            <rFont val="Arial"/>
            <family val="2"/>
          </rPr>
          <t>El costo del dinero: la parte de la cuota que se paga al banco por prestarte.</t>
        </r>
      </text>
    </comment>
    <comment ref="A39" authorId="0" shapeId="0" xr:uid="{00000000-0006-0000-0600-00001C000000}">
      <text>
        <r>
          <rPr>
            <sz val="10"/>
            <rFont val="Arial"/>
            <family val="2"/>
          </rPr>
          <t>Pago fijo mensual de un préstamo. Incluye una parte de capital y una parte de intereses.</t>
        </r>
      </text>
    </comment>
    <comment ref="A40" authorId="0" shapeId="0" xr:uid="{00000000-0006-0000-0600-00001D000000}">
      <text>
        <r>
          <rPr>
            <sz val="10"/>
            <rFont val="Arial"/>
            <family val="2"/>
          </rPr>
          <t>La parte de la cuota que reduce lo que debes (el dinero prestado).</t>
        </r>
      </text>
    </comment>
    <comment ref="A41" authorId="0" shapeId="0" xr:uid="{00000000-0006-0000-0600-00001E000000}">
      <text>
        <r>
          <rPr>
            <sz val="10"/>
            <rFont val="Arial"/>
            <family val="2"/>
          </rPr>
          <t>Lo que todavía debes. Sube con el desembolso y baja con el capital que pagas.</t>
        </r>
      </text>
    </comment>
    <comment ref="A43" authorId="0" shapeId="0" xr:uid="{00000000-0006-0000-0600-00001F000000}">
      <text>
        <r>
          <rPr>
            <sz val="10"/>
            <rFont val="Arial"/>
            <family val="2"/>
          </rPr>
          <t>Préstamo bancario a varios años. Aquí financia mejoras de almacén, racks y mobiliario.</t>
        </r>
      </text>
    </comment>
    <comment ref="A44" authorId="0" shapeId="0" xr:uid="{00000000-0006-0000-0600-000020000000}">
      <text>
        <r>
          <rPr>
            <sz val="10"/>
            <rFont val="Arial"/>
            <family val="2"/>
          </rPr>
          <t>Momento en que el banco deposita el dinero del préstamo en tu caja.</t>
        </r>
      </text>
    </comment>
    <comment ref="A46" authorId="0" shapeId="0" xr:uid="{00000000-0006-0000-0600-000021000000}">
      <text>
        <r>
          <rPr>
            <sz val="10"/>
            <rFont val="Arial"/>
            <family val="2"/>
          </rPr>
          <t>Lo que todavía debes. Sube con el desembolso y baja con el capital que pagas.</t>
        </r>
      </text>
    </comment>
    <comment ref="A47" authorId="0" shapeId="0" xr:uid="{00000000-0006-0000-0600-000022000000}">
      <text>
        <r>
          <rPr>
            <sz val="10"/>
            <rFont val="Arial"/>
            <family val="2"/>
          </rPr>
          <t>El costo del dinero: la parte de la cuota que se paga al banco por prestarte.</t>
        </r>
      </text>
    </comment>
    <comment ref="A48" authorId="0" shapeId="0" xr:uid="{00000000-0006-0000-0600-000023000000}">
      <text>
        <r>
          <rPr>
            <sz val="10"/>
            <rFont val="Arial"/>
            <family val="2"/>
          </rPr>
          <t>Pago fijo mensual de un préstamo. Incluye una parte de capital y una parte de intereses.</t>
        </r>
      </text>
    </comment>
    <comment ref="A49" authorId="0" shapeId="0" xr:uid="{00000000-0006-0000-0600-000024000000}">
      <text>
        <r>
          <rPr>
            <sz val="10"/>
            <rFont val="Arial"/>
            <family val="2"/>
          </rPr>
          <t>La parte de la cuota que reduce lo que debes (el dinero prestado).</t>
        </r>
      </text>
    </comment>
    <comment ref="A50" authorId="0" shapeId="0" xr:uid="{00000000-0006-0000-0600-000025000000}">
      <text>
        <r>
          <rPr>
            <sz val="10"/>
            <rFont val="Arial"/>
            <family val="2"/>
          </rPr>
          <t>Lo que todavía debes. Sube con el desembolso y baja con el capital que pagas.</t>
        </r>
      </text>
    </comment>
    <comment ref="A52" authorId="0" shapeId="0" xr:uid="{00000000-0006-0000-0600-000026000000}">
      <text>
        <r>
          <rPr>
            <sz val="10"/>
            <rFont val="Arial"/>
            <family val="2"/>
          </rPr>
          <t>Préstamo bancario a varios años. Aquí financia mejoras de almacén, racks y mobiliario.</t>
        </r>
      </text>
    </comment>
    <comment ref="A53" authorId="0" shapeId="0" xr:uid="{00000000-0006-0000-0600-000027000000}">
      <text>
        <r>
          <rPr>
            <sz val="10"/>
            <rFont val="Arial"/>
            <family val="2"/>
          </rPr>
          <t>Momento en que el banco deposita el dinero del préstamo en tu caja.</t>
        </r>
      </text>
    </comment>
    <comment ref="A55" authorId="0" shapeId="0" xr:uid="{00000000-0006-0000-0600-000028000000}">
      <text>
        <r>
          <rPr>
            <sz val="10"/>
            <rFont val="Arial"/>
            <family val="2"/>
          </rPr>
          <t>Lo que todavía debes. Sube con el desembolso y baja con el capital que pagas.</t>
        </r>
      </text>
    </comment>
    <comment ref="A56" authorId="0" shapeId="0" xr:uid="{00000000-0006-0000-0600-000029000000}">
      <text>
        <r>
          <rPr>
            <sz val="10"/>
            <rFont val="Arial"/>
            <family val="2"/>
          </rPr>
          <t>El costo del dinero: la parte de la cuota que se paga al banco por prestarte.</t>
        </r>
      </text>
    </comment>
    <comment ref="A57" authorId="0" shapeId="0" xr:uid="{00000000-0006-0000-0600-00002A000000}">
      <text>
        <r>
          <rPr>
            <sz val="10"/>
            <rFont val="Arial"/>
            <family val="2"/>
          </rPr>
          <t>Pago fijo mensual de un préstamo. Incluye una parte de capital y una parte de intereses.</t>
        </r>
      </text>
    </comment>
    <comment ref="A58" authorId="0" shapeId="0" xr:uid="{00000000-0006-0000-0600-00002B000000}">
      <text>
        <r>
          <rPr>
            <sz val="10"/>
            <rFont val="Arial"/>
            <family val="2"/>
          </rPr>
          <t>La parte de la cuota que reduce lo que debes (el dinero prestado).</t>
        </r>
      </text>
    </comment>
    <comment ref="A59" authorId="0" shapeId="0" xr:uid="{00000000-0006-0000-0600-00002C000000}">
      <text>
        <r>
          <rPr>
            <sz val="10"/>
            <rFont val="Arial"/>
            <family val="2"/>
          </rPr>
          <t>Lo que todavía debes. Sube con el desembolso y baja con el capital que pagas.</t>
        </r>
      </text>
    </comment>
    <comment ref="A61" authorId="0" shapeId="0" xr:uid="{00000000-0006-0000-0600-00002D000000}">
      <text>
        <r>
          <rPr>
            <sz val="10"/>
            <rFont val="Arial"/>
            <family val="2"/>
          </rPr>
          <t>Préstamo bancario a varios años. Aquí financia mejoras de almacén, racks y mobiliario.</t>
        </r>
      </text>
    </comment>
    <comment ref="A62" authorId="0" shapeId="0" xr:uid="{00000000-0006-0000-0600-00002E000000}">
      <text>
        <r>
          <rPr>
            <sz val="10"/>
            <rFont val="Arial"/>
            <family val="2"/>
          </rPr>
          <t>Momento en que el banco deposita el dinero del préstamo en tu caja.</t>
        </r>
      </text>
    </comment>
    <comment ref="A64" authorId="0" shapeId="0" xr:uid="{00000000-0006-0000-0600-00002F000000}">
      <text>
        <r>
          <rPr>
            <sz val="10"/>
            <rFont val="Arial"/>
            <family val="2"/>
          </rPr>
          <t>Lo que todavía debes. Sube con el desembolso y baja con el capital que pagas.</t>
        </r>
      </text>
    </comment>
    <comment ref="A65" authorId="0" shapeId="0" xr:uid="{00000000-0006-0000-0600-000030000000}">
      <text>
        <r>
          <rPr>
            <sz val="10"/>
            <rFont val="Arial"/>
            <family val="2"/>
          </rPr>
          <t>El costo del dinero: la parte de la cuota que se paga al banco por prestarte.</t>
        </r>
      </text>
    </comment>
    <comment ref="A66" authorId="0" shapeId="0" xr:uid="{00000000-0006-0000-0600-000031000000}">
      <text>
        <r>
          <rPr>
            <sz val="10"/>
            <rFont val="Arial"/>
            <family val="2"/>
          </rPr>
          <t>Pago fijo mensual de un préstamo. Incluye una parte de capital y una parte de intereses.</t>
        </r>
      </text>
    </comment>
    <comment ref="A67" authorId="0" shapeId="0" xr:uid="{00000000-0006-0000-0600-000032000000}">
      <text>
        <r>
          <rPr>
            <sz val="10"/>
            <rFont val="Arial"/>
            <family val="2"/>
          </rPr>
          <t>La parte de la cuota que reduce lo que debes (el dinero prestado).</t>
        </r>
      </text>
    </comment>
    <comment ref="A68" authorId="0" shapeId="0" xr:uid="{00000000-0006-0000-0600-000033000000}">
      <text>
        <r>
          <rPr>
            <sz val="10"/>
            <rFont val="Arial"/>
            <family val="2"/>
          </rPr>
          <t>Lo que todavía debes. Sube con el desembolso y baja con el capital que pagas.</t>
        </r>
      </text>
    </comment>
    <comment ref="A71" authorId="0" shapeId="0" xr:uid="{00000000-0006-0000-0600-000034000000}">
      <text>
        <r>
          <rPr>
            <sz val="10"/>
            <rFont val="Arial"/>
            <family val="2"/>
          </rPr>
          <t>Momento en que el banco deposita el dinero del préstamo en tu caja.</t>
        </r>
      </text>
    </comment>
    <comment ref="A74" authorId="0" shapeId="0" xr:uid="{00000000-0006-0000-0600-000035000000}">
      <text>
        <r>
          <rPr>
            <sz val="10"/>
            <rFont val="Arial"/>
            <family val="2"/>
          </rPr>
          <t>El costo del dinero: la parte de la cuota que se paga al banco por prestarte.</t>
        </r>
      </text>
    </comment>
    <comment ref="A75" authorId="0" shapeId="0" xr:uid="{00000000-0006-0000-0600-000036000000}">
      <text>
        <r>
          <rPr>
            <sz val="10"/>
            <rFont val="Arial"/>
            <family val="2"/>
          </rPr>
          <t>El costo del dinero: la parte de la cuota que se paga al banco por prestarte.</t>
        </r>
      </text>
    </comment>
  </commentList>
</comments>
</file>

<file path=xl/sharedStrings.xml><?xml version="1.0" encoding="utf-8"?>
<sst xmlns="http://schemas.openxmlformats.org/spreadsheetml/2006/main" count="2056" uniqueCount="466">
  <si>
    <t>PROYECCIÓN DE CAJA 2026 – 2034</t>
  </si>
  <si>
    <t>Resultados clave</t>
  </si>
  <si>
    <t>Total</t>
  </si>
  <si>
    <t>Ventas del año</t>
  </si>
  <si>
    <t>Total ingresos operativos</t>
  </si>
  <si>
    <t>Total egresos operativos</t>
  </si>
  <si>
    <t>Flujo operativo</t>
  </si>
  <si>
    <t>Inversiones</t>
  </si>
  <si>
    <t>Servicio de deuda</t>
  </si>
  <si>
    <t>Desembolso de préstamos y leasing</t>
  </si>
  <si>
    <t>Flujo neto del año</t>
  </si>
  <si>
    <t>Caja final</t>
  </si>
  <si>
    <t>Caja mínima de un mes del año</t>
  </si>
  <si>
    <t>CÓMO ESTÁ ORDENADO EL ARCHIVO</t>
  </si>
  <si>
    <t>Resumen</t>
  </si>
  <si>
    <t>Esta hoja: resultados clave, guía y puntos a revisar.</t>
  </si>
  <si>
    <t>Flujo Anual</t>
  </si>
  <si>
    <t>El flujo de caja 2026-2034, un año por columna (suma del mensual).</t>
  </si>
  <si>
    <t>Flujo Mensual</t>
  </si>
  <si>
    <t>Mismo flujo mes a mes (108 meses). Aquí ves cuándo la caja se aprieta.</t>
  </si>
  <si>
    <t>Supuestos</t>
  </si>
  <si>
    <t>TODOS los datos de entrada: ventas, compras, gastos, financiamientos, movimientos manuales.</t>
  </si>
  <si>
    <t>Inversiones y alquileres nuevos por año (en S/).</t>
  </si>
  <si>
    <t>Headcount</t>
  </si>
  <si>
    <t>Personal por año; define cuánto crece la planilla.</t>
  </si>
  <si>
    <t>Deuda Mensual</t>
  </si>
  <si>
    <t>Deuda mes a mes: cuotas de bancos + tabla de amortización de cada nuevo préstamo/leasing.</t>
  </si>
  <si>
    <t>Deuda Bancos</t>
  </si>
  <si>
    <t>Cronograma de cuotas que te entregó el banco (solo datos).</t>
  </si>
  <si>
    <t>Motor Semanal</t>
  </si>
  <si>
    <t>Cálculo semanal de ventas → cobranza. No se edita salvo las ventas semanales de 2026.</t>
  </si>
  <si>
    <t>Arch_…</t>
  </si>
  <si>
    <t>Hojas antiguas que ya no alimentan el flujo (se dejan por si las necesitas).</t>
  </si>
  <si>
    <t>COLORES</t>
  </si>
  <si>
    <t>Azul</t>
  </si>
  <si>
    <t>dato que tú ingresas</t>
  </si>
  <si>
    <t>Negro</t>
  </si>
  <si>
    <t>fórmula de la misma hoja</t>
  </si>
  <si>
    <t>Verde</t>
  </si>
  <si>
    <t>viene de otra hoja</t>
  </si>
  <si>
    <t>Fondo amarillo</t>
  </si>
  <si>
    <t>supuesto clave: revísalo primero</t>
  </si>
  <si>
    <t>PUNTOS A REVISAR (supuestos míos o vacíos de tu archivo original)</t>
  </si>
  <si>
    <t>1. Unidad: tomé "miles de S/" porque la deuda y las inversiones están en soles. Si tu flujo está en miles de US$, avísame.</t>
  </si>
  <si>
    <t>2. Otros gastos administrativos y comerciales 2027-2034 = % de ventas de tu cuadro (Supuestos fila 56). Con Supuestos!B22 = 0 quedan en cero.</t>
  </si>
  <si>
    <t>3. La tabla de deuda empieza en oct-2026: el pago de cuotas ene-sep 2026 no está en el flujo (solo los 3 pagos CP manuales).</t>
  </si>
  <si>
    <t>4. El motor semanal usa siempre la mezcla contado/crédito 2026 (66%/34%) aunque Supuestos tiene una mezcla distinta por año. Afecta solo el calendario de cobro.</t>
  </si>
  <si>
    <t>5. No están modelados: IGV de ventas, renta 1.5%, rebates e intereses de préstamos CP. Protestos e incobrables sí siguen tu cuadro de %.</t>
  </si>
  <si>
    <t>6. Caja inicial ene-2026 = 0 (como tu flujo original). Cámbiala en Supuestos!B24.</t>
  </si>
  <si>
    <t>7. Financiamiento: camiones = leasing, mejoras/racks/mobiliario = mediano plazo; los montos salen de Inversiones. El desembolso entra en el mes de la 1ª cuota (Supuestos!I35:I40).</t>
  </si>
  <si>
    <t>8. Inversiones se pagan en un solo mes por año (Supuestos fila 20); alquileres nuevos se reparten en 12 meses.</t>
  </si>
  <si>
    <t>9. Compras nov y dic-2034 usan ventas 2035 estimadas con +14% (Supuestos!B21), porque tu modelo termina en 2034.</t>
  </si>
  <si>
    <t>10. Inversiones: "Alquiler Máquinas Lima" 2028-29 = 4,500 sin ×12 como las otras sedes; confirma si es mensual.</t>
  </si>
  <si>
    <t>11. Fórmulas simples: sumas de rangos, multiplicaciones y referencias directas. La columna B del Flujo Mensual dice de dónde viene cada línea.</t>
  </si>
  <si>
    <t>12. Fechas de Supuestos (desembolso, 1ª cuota, pagos manuales) deben ser día 1 del mes.</t>
  </si>
  <si>
    <t>13. Incobrables ahora sigue tu cuadro (1.3% en 2026 bajando a 0.5% en 2034); antes el motor usaba 0.5% fijo en todas las semanas.</t>
  </si>
  <si>
    <t>14. PLANILLA 2027+: Headcount da menos planilla que tu cuadro de % (en 2034: 0.8% vs 1.2% de ventas en la adm.). Elige con Supuestos!B25 (1 = Headcount, 2 = % del cuadro).</t>
  </si>
  <si>
    <t>GLOSARIO (también verás estos textos al pasar el mouse por las celdas con triángulo rojo)</t>
  </si>
  <si>
    <t>TEA</t>
  </si>
  <si>
    <t>Tasa Efectiva Anual: lo que cuesta un préstamo en 12 meses, contando intereses sobre intereses. Es la tasa que te dice el banco.</t>
  </si>
  <si>
    <t>TEM</t>
  </si>
  <si>
    <t>Tasa Efectiva Mensual: la TEA llevada a un mes, (1+TEA)^(30/360)−1. Es el % que se cobra cada mes sobre la deuda pendiente.</t>
  </si>
  <si>
    <t>MP (mediano plazo)</t>
  </si>
  <si>
    <t>Préstamo bancario a varios años. Aquí financia mejoras de almacén, racks y mobiliario.</t>
  </si>
  <si>
    <t>Leasing</t>
  </si>
  <si>
    <t>Arrendamiento financiero: el banco compra el activo (los camiones) y tú lo pagas en cuotas; el activo queda para la empresa.</t>
  </si>
  <si>
    <t>Cuota</t>
  </si>
  <si>
    <t>Pago fijo mensual de un préstamo. Incluye una parte de capital y una parte de intereses.</t>
  </si>
  <si>
    <t>Capital</t>
  </si>
  <si>
    <t>La parte de la cuota que reduce lo que debes (el dinero prestado).</t>
  </si>
  <si>
    <t>Intereses</t>
  </si>
  <si>
    <t>El costo del dinero: la parte de la cuota que se paga al banco por prestarte.</t>
  </si>
  <si>
    <t>Saldo</t>
  </si>
  <si>
    <t>Lo que todavía debes. Sube con el desembolso y baja con el capital que pagas.</t>
  </si>
  <si>
    <t>Desembolso</t>
  </si>
  <si>
    <t>Momento en que el banco deposita el dinero del préstamo en tu caja.</t>
  </si>
  <si>
    <t>Letras / descuento de letras</t>
  </si>
  <si>
    <t>Letra = factura de venta a crédito con fecha de pago. Descontarla = cederla al banco para recibir el dinero antes, a cambio de un interés.</t>
  </si>
  <si>
    <t>Cobranza libre / cartera</t>
  </si>
  <si>
    <t>Letras o facturas a crédito que cobras tú directamente al cliente, sin pasar por el banco.</t>
  </si>
  <si>
    <t>Incobrables</t>
  </si>
  <si>
    <t>Ventas a crédito que nunca se logran cobrar. Se restan de la cobranza.</t>
  </si>
  <si>
    <t>Protestos</t>
  </si>
  <si>
    <t>Letras o cheques que el cliente no pagó al vencimiento y se "protestan" formalmente; tienen un costo.</t>
  </si>
  <si>
    <t>Lo que genera el negocio antes de inversiones y deuda: ingresos operativos − egresos operativos.</t>
  </si>
  <si>
    <t>Todo lo que pagas por tus deudas en el período: capital + intereses + cargos.</t>
  </si>
  <si>
    <t>Cobertura</t>
  </si>
  <si>
    <t>Cuántas veces el flujo (o la caja) alcanza para pagar la deuda del período. Más de 1.0x = alcanza.</t>
  </si>
  <si>
    <t>CP</t>
  </si>
  <si>
    <t>Corto plazo: préstamos que se pagan en pocos meses.</t>
  </si>
  <si>
    <t>IGV</t>
  </si>
  <si>
    <t>Impuesto General a las Ventas (18% en Perú); el banco lo cobra junto con la cuota.</t>
  </si>
  <si>
    <t>Cantidad de personal por área y año; define cuánto crece la planilla.</t>
  </si>
  <si>
    <t>Inversión (capex)</t>
  </si>
  <si>
    <t>Compra de activos que duran años: mejoras, racks, mobiliario y camiones.</t>
  </si>
  <si>
    <t>FLUJO DE CAJA ANUAL 2026 – 2034</t>
  </si>
  <si>
    <t>Año</t>
  </si>
  <si>
    <t>1. INGRESOS OPERATIVOS</t>
  </si>
  <si>
    <t>Ventas del año (referencia, no es caja)</t>
  </si>
  <si>
    <t xml:space="preserve">   Crecimiento de ventas</t>
  </si>
  <si>
    <t>Cobro de ventas al contado</t>
  </si>
  <si>
    <t>Cobro por descuento de letras</t>
  </si>
  <si>
    <t>(−) Incobrables</t>
  </si>
  <si>
    <t>TOTAL INGRESOS OPERATIVOS</t>
  </si>
  <si>
    <t>2. EGRESOS OPERATIVOS</t>
  </si>
  <si>
    <t>Compras de mercadería</t>
  </si>
  <si>
    <t>Planilla administrativa</t>
  </si>
  <si>
    <t>Otros gastos administrativos</t>
  </si>
  <si>
    <t>Planilla comercial</t>
  </si>
  <si>
    <t>Otros gastos comerciales</t>
  </si>
  <si>
    <t>Alquileres nuevas sedes y máquinas</t>
  </si>
  <si>
    <t>TOTAL EGRESOS OPERATIVOS</t>
  </si>
  <si>
    <t>3. FLUJO OPERATIVO (1 − 2)</t>
  </si>
  <si>
    <t xml:space="preserve">   % sobre ingresos</t>
  </si>
  <si>
    <t>4. INVERSIONES</t>
  </si>
  <si>
    <t>Inversión en activos</t>
  </si>
  <si>
    <t>5. FINANCIAMIENTO</t>
  </si>
  <si>
    <t>(+) Desembolso de préstamos y leasing</t>
  </si>
  <si>
    <t>(−) Principal mediano plazo</t>
  </si>
  <si>
    <t>(−) Principal leasing</t>
  </si>
  <si>
    <t>(−) Intereses mediano plazo</t>
  </si>
  <si>
    <t>(−) Intereses leasing</t>
  </si>
  <si>
    <t>(−) IGV y otros cargos de cuotas</t>
  </si>
  <si>
    <t>(−) Gasto financiero por descuento de letras</t>
  </si>
  <si>
    <t>(−) Pagos préstamos CP y otros manuales</t>
  </si>
  <si>
    <t>SERVICIO DE DEUDA</t>
  </si>
  <si>
    <t>FINANCIAMIENTO NETO (desembolsos − servicio)</t>
  </si>
  <si>
    <t>6. FLUJO NETO DEL AÑO (3 − 4 + 5)</t>
  </si>
  <si>
    <t>7. CAJA</t>
  </si>
  <si>
    <t>Caja inicial</t>
  </si>
  <si>
    <t>CAJA FINAL</t>
  </si>
  <si>
    <t>Caja mínima de un mes dentro del año</t>
  </si>
  <si>
    <t>COBERTURAS</t>
  </si>
  <si>
    <t>Flujo operativo / Servicio de deuda</t>
  </si>
  <si>
    <t>Caja final / Servicio de deuda</t>
  </si>
  <si>
    <t>VERIFICACIONES (deben dar 0)</t>
  </si>
  <si>
    <t>Caja final = caja inicial + flujo neto</t>
  </si>
  <si>
    <t>Ingreso efectivo vs motor semanal</t>
  </si>
  <si>
    <t>FLUJO DE CAJA MENSUAL 2026 – 2034</t>
  </si>
  <si>
    <t>Ext. 2035 (solo para compras nov-dic 2034)</t>
  </si>
  <si>
    <t>Mes</t>
  </si>
  <si>
    <t>De dónde viene</t>
  </si>
  <si>
    <t>N° mes</t>
  </si>
  <si>
    <t>Días del mes</t>
  </si>
  <si>
    <t>Ventas del mes (referencia, no es caja)</t>
  </si>
  <si>
    <t>Motor Semanal fila 9</t>
  </si>
  <si>
    <t>Motor Semanal fila 11</t>
  </si>
  <si>
    <t>Motor Semanal fila 13</t>
  </si>
  <si>
    <t>Motor Semanal fila 14</t>
  </si>
  <si>
    <t>Motor Semanal fila 16 (% fila 59)</t>
  </si>
  <si>
    <t>Suma de las 4 líneas</t>
  </si>
  <si>
    <t>Ventas de 2 meses después × fila 60</t>
  </si>
  <si>
    <t>Ventas × % Supuestos fila 58</t>
  </si>
  <si>
    <t>Inversiones fila 25 ÷ 12</t>
  </si>
  <si>
    <t>Suma de las 7 líneas</t>
  </si>
  <si>
    <t>Ingresos − egresos</t>
  </si>
  <si>
    <t>Inversiones fila 16 × fila 61</t>
  </si>
  <si>
    <t>Deuda Mensual – Resumen</t>
  </si>
  <si>
    <t>Fila 59 × (letras + cobranza libre)</t>
  </si>
  <si>
    <t>Supuestos filas 45-54</t>
  </si>
  <si>
    <t>Suma de principal a manuales</t>
  </si>
  <si>
    <t>6. FLUJO NETO DEL MES (3 − 4 + 5)</t>
  </si>
  <si>
    <t>Caja final del mes anterior</t>
  </si>
  <si>
    <t>Caja inicial + flujo neto</t>
  </si>
  <si>
    <t>Ingresos vs Motor Semanal fila 17</t>
  </si>
  <si>
    <t>PARÁMETROS POR MES (el supuesto del año que se usa en cada mes)</t>
  </si>
  <si>
    <t>Tasa del mes por descuento de letras</t>
  </si>
  <si>
    <t>Supuestos B23 y días del mes</t>
  </si>
  <si>
    <t>% compras / ventas (se aplica a ventas 2 meses después)</t>
  </si>
  <si>
    <t>Supuestos fila 17</t>
  </si>
  <si>
    <t>¿Mes de pago de inversión? (1 = sí)</t>
  </si>
  <si>
    <t>Supuestos fila 20</t>
  </si>
  <si>
    <t>Incremento de Ventas</t>
  </si>
  <si>
    <t>Tipo de Venta</t>
  </si>
  <si>
    <t>Contado</t>
  </si>
  <si>
    <t>Crédito</t>
  </si>
  <si>
    <t>Porcentaje por semana</t>
  </si>
  <si>
    <t>Sem. 01</t>
  </si>
  <si>
    <t>Sem. 02</t>
  </si>
  <si>
    <t>Plazos de Créditos</t>
  </si>
  <si>
    <t>5 sem</t>
  </si>
  <si>
    <t>7 sem</t>
  </si>
  <si>
    <t>9 sem</t>
  </si>
  <si>
    <t>Ventas al Contado</t>
  </si>
  <si>
    <t>Ventas al Crédito</t>
  </si>
  <si>
    <t>Repartición de Ventas al Crédito</t>
  </si>
  <si>
    <t>Distribución de Venta</t>
  </si>
  <si>
    <t>Sem. 03</t>
  </si>
  <si>
    <t>Sem. 04</t>
  </si>
  <si>
    <t>Sem. 05</t>
  </si>
  <si>
    <t>En descuento</t>
  </si>
  <si>
    <t>Mes de 5 semanas</t>
  </si>
  <si>
    <t>Cobranza libre + Cartera</t>
  </si>
  <si>
    <t>Mes de 4 semanas</t>
  </si>
  <si>
    <t>→ Cuadro de % sobre ventas (protestos, incobrables y gastos) en la fila 56, más abajo.</t>
  </si>
  <si>
    <t>SUPUESTOS ADICIONALES DEL FLUJO DE CAJA 2026-2034   (azul = dato que ingresas · verde = viene de otra hoja · fondo amarillo = supuesto clave)</t>
  </si>
  <si>
    <t>Nota</t>
  </si>
  <si>
    <t>Compras / Ventas (%)</t>
  </si>
  <si>
    <t>Calculado de tus compras anuales originales ÷ ventas del año. Las compras se pagan 2 meses antes de la venta (igual que tu modelo).</t>
  </si>
  <si>
    <t>Crecimiento planilla administrativa (%)</t>
  </si>
  <si>
    <t>Sale del crecimiento de personal en la hoja Headcount.</t>
  </si>
  <si>
    <t>Crecimiento planilla comercial (%)</t>
  </si>
  <si>
    <t>Mes de pago de inversiones (1-12)</t>
  </si>
  <si>
    <t>Mes en que sale la inversión del año (Inversiones). 2026: nov (inicio de cuotas); resto de años: enero (1ª cuota del préstamo).</t>
  </si>
  <si>
    <t>Crecimiento ventas 2035</t>
  </si>
  <si>
    <t>Solo para calcular las compras de nov y dic-2034 (se compran 2 meses antes y tu modelo termina en 2034).</t>
  </si>
  <si>
    <t>Proyectar otros gastos 2027+ con el cuadro de % (1=sí, 0=no)</t>
  </si>
  <si>
    <t>1 = "Otros gastos adm./comerciales" 2027-2034 = % del cuadro de la fila 56 × ventas del mes. 0 = quedan en cero.</t>
  </si>
  <si>
    <t>TEA costo descuento de letras</t>
  </si>
  <si>
    <t>Dato de tu hoja Supuestos Contratistas (K3). Se aplica a descuento de letras + cobranza libre.</t>
  </si>
  <si>
    <t>Caja inicial ene-2026 (miles S/)</t>
  </si>
  <si>
    <t>Tu flujo original partía en 0. Pon aquí la caja real al 1-ene-2026.</t>
  </si>
  <si>
    <t>Planilla 2027+: 1 = crece con Headcount · 2 = % de ventas del cuadro</t>
  </si>
  <si>
    <t>Con 1 usa la hoja Headcount; con 2 usa las filas de planilla del cuadro de la fila 56. Mira los controles de las filas 65-66.</t>
  </si>
  <si>
    <t>GASTOS OPERATIVOS BASE 2026 (miles de S/ por mes) — desde 2027 crecen con el personal</t>
  </si>
  <si>
    <t>NUEVOS FINANCIAMIENTOS (préstamos y leasing que financian las inversiones)</t>
  </si>
  <si>
    <t>Operación</t>
  </si>
  <si>
    <t>Tipo</t>
  </si>
  <si>
    <t>Monto (S/)</t>
  </si>
  <si>
    <t>N° cuotas</t>
  </si>
  <si>
    <t>Cuota (S/)</t>
  </si>
  <si>
    <t>1ª cuota</t>
  </si>
  <si>
    <t>CAMIONES 1</t>
  </si>
  <si>
    <t>LEASING</t>
  </si>
  <si>
    <t>Monto = sale de Inversiones: camiones (activo que queda en la empresa) = LEASING; mejoras, racks y mobiliario = MEDIANO PLAZO (MP). Desembolso = mes en que ingresa a caja.</t>
  </si>
  <si>
    <t>CAMIONES 2</t>
  </si>
  <si>
    <t>INVERSION 2026</t>
  </si>
  <si>
    <t>MP</t>
  </si>
  <si>
    <t>INVERSION 2027</t>
  </si>
  <si>
    <t>INVERSION 2028</t>
  </si>
  <si>
    <t>INVERSION 2030</t>
  </si>
  <si>
    <t>Control: inversión no camiones sin préstamo MP (debe ser 0)</t>
  </si>
  <si>
    <t>MOVIMIENTOS MANUALES DE CAJA (egresos puntuales; agrega filas libres abajo)</t>
  </si>
  <si>
    <t>Concepto</t>
  </si>
  <si>
    <t>Monto (miles S/)</t>
  </si>
  <si>
    <t>Pago préstamo CP</t>
  </si>
  <si>
    <t>Vienen de tu fila "Pago préstamos CP" (mar-may 2026). Usa el 1° de cada mes.</t>
  </si>
  <si>
    <t>GASTOS Y PÉRDIDAS COMO % DE LAS VENTAS DEL AÑO   (azul = dato que ingresas)</t>
  </si>
  <si>
    <t>Descripción</t>
  </si>
  <si>
    <t>Se aplica a las ventas de cada mes y sale como egreso operativo.</t>
  </si>
  <si>
    <t>El Motor Semanal (fila 16) lo resta de la cobranza de cada semana.</t>
  </si>
  <si>
    <t>Planilla Administrativa</t>
  </si>
  <si>
    <t>Se usa solo si Supuestos!B25 = 2. Con B25 = 1 el flujo usa Headcount (ver control abajo).</t>
  </si>
  <si>
    <t>Otros Gastos Administrativos</t>
  </si>
  <si>
    <t>Se usa para 2027-2034 (2026 va con los datos mensuales de la fila 29).</t>
  </si>
  <si>
    <t>Planilla Comercial</t>
  </si>
  <si>
    <t>Otros Gastos Comerciales</t>
  </si>
  <si>
    <t>Se usa para 2027-2034 (2026 va con los datos mensuales de la fila 31).</t>
  </si>
  <si>
    <t>Control: planilla adm. del modelo ÷ ventas</t>
  </si>
  <si>
    <t>Compara con las filas de planilla del cuadro: si se alejan, decide con Supuestos!B25 cuál usar.</t>
  </si>
  <si>
    <t>Control: planilla com. del modelo ÷ ventas</t>
  </si>
  <si>
    <t>Ventas del año (miles S/) – referencia</t>
  </si>
  <si>
    <t>INVERSIÓN (S/ al año)</t>
  </si>
  <si>
    <t>Camiones</t>
  </si>
  <si>
    <t>Mejoras Almacén Piura</t>
  </si>
  <si>
    <t>Racks Piura</t>
  </si>
  <si>
    <t>Mobiliario Piura</t>
  </si>
  <si>
    <t>Mejoras Almacén Chiclayo</t>
  </si>
  <si>
    <t>Racks Chiclayo</t>
  </si>
  <si>
    <t>Mobiliario Chiclayo</t>
  </si>
  <si>
    <t>Mejoras Almacén Trujillo</t>
  </si>
  <si>
    <t>Racks Trujillo</t>
  </si>
  <si>
    <t>Mobiliario Trujillo</t>
  </si>
  <si>
    <t>Racks Lima</t>
  </si>
  <si>
    <t>Mobiliario Arequipa</t>
  </si>
  <si>
    <t>Racks Arequipa</t>
  </si>
  <si>
    <t>TOTAL INVERSIÓN (S/)</t>
  </si>
  <si>
    <t>ALQUILERES Y MÁQUINAS NUEVAS (S/ al año)</t>
  </si>
  <si>
    <t>Alquileres Lima</t>
  </si>
  <si>
    <t>Alquiler Máquinas Lima</t>
  </si>
  <si>
    <t>Alquileres Arequipa</t>
  </si>
  <si>
    <t>Alquiler Máquinas Arequipa</t>
  </si>
  <si>
    <t>Alquiler Máquinas Chiclayo</t>
  </si>
  <si>
    <t>Alquiler Máquinas Piura</t>
  </si>
  <si>
    <t>TOTAL ALQUILERES NUEVOS (S/)</t>
  </si>
  <si>
    <t>Seguros</t>
  </si>
  <si>
    <t>FLETES INTERNOS (S/ por mes, histórico + promedio) — referencia, no entra al flujo</t>
  </si>
  <si>
    <t>Fletes internos</t>
  </si>
  <si>
    <t>6311101-00-95 - FLETES</t>
  </si>
  <si>
    <t>6311105-00-95 - FLETES ENTRE ALMACENES</t>
  </si>
  <si>
    <t>6311110-00-94 - FLETE ENTRE ALMACENES IMPORTACIONES</t>
  </si>
  <si>
    <t>6311110-00-95 - FLETE ENTRE ALMACENES IMPORTACIONES</t>
  </si>
  <si>
    <t>6311109-00-94 - TRANSPOR. Y ALMACENAMI - OTROS</t>
  </si>
  <si>
    <t>6311101-00-94 - FLETES</t>
  </si>
  <si>
    <t>Ventas del año (miles S/)</t>
  </si>
  <si>
    <t>TOTAL HC 31-08-26</t>
  </si>
  <si>
    <t>Vendedores Ferretería</t>
  </si>
  <si>
    <t>Jefes de Ventas</t>
  </si>
  <si>
    <t>Supervisor de Ventas</t>
  </si>
  <si>
    <t>Analista Comercial</t>
  </si>
  <si>
    <t>Assistente de Vtas. Corp.</t>
  </si>
  <si>
    <t>Desarrollador Marcas</t>
  </si>
  <si>
    <t>Ejecutivo de ventas</t>
  </si>
  <si>
    <t>Jefe Proyectos</t>
  </si>
  <si>
    <t>Tecnico de Mercados</t>
  </si>
  <si>
    <t>Promotor LIMA</t>
  </si>
  <si>
    <t>Almacén</t>
  </si>
  <si>
    <t>Facturadores</t>
  </si>
  <si>
    <t>Marketing</t>
  </si>
  <si>
    <t>TOTAL COMERCIAL</t>
  </si>
  <si>
    <t>Logística</t>
  </si>
  <si>
    <t>C&amp;C</t>
  </si>
  <si>
    <t>Contabilidad</t>
  </si>
  <si>
    <t>RRHH</t>
  </si>
  <si>
    <t>Informática</t>
  </si>
  <si>
    <t>Finanzas</t>
  </si>
  <si>
    <t>Control Interno</t>
  </si>
  <si>
    <t>Admisitración</t>
  </si>
  <si>
    <t>Gerencia general</t>
  </si>
  <si>
    <t>TOTAL ADMINISTRATIVO</t>
  </si>
  <si>
    <t>Peso HC Comercial</t>
  </si>
  <si>
    <t>Peso HC Administrativo</t>
  </si>
  <si>
    <t>DEUDA MES A MES 2026 – 2034 (S/ salvo el bloque RESUMEN, que está en miles de S/)</t>
  </si>
  <si>
    <t>IBK – cuotas del banco (tipo MP)</t>
  </si>
  <si>
    <t>Otros cargos (IGV, portes, otros)</t>
  </si>
  <si>
    <t>BBVA – cuotas del banco (tipo LEASING)</t>
  </si>
  <si>
    <t>CAMIONES 1 – LEASING  (datos en Supuestos fila 35)</t>
  </si>
  <si>
    <t>Desembolso (entra a caja)</t>
  </si>
  <si>
    <t>N° de cuota del mes (0 = aún no empieza o ya terminó)</t>
  </si>
  <si>
    <t>Saldo inicial (deuda al empezar el mes)</t>
  </si>
  <si>
    <t>Intereses = saldo inicial × TEM</t>
  </si>
  <si>
    <t>Cuota (pago fijo del mes)</t>
  </si>
  <si>
    <t>Capital = cuota − intereses</t>
  </si>
  <si>
    <t>Saldo final (deuda al cerrar el mes)</t>
  </si>
  <si>
    <t>CAMIONES 2 – LEASING  (datos en Supuestos fila 36)</t>
  </si>
  <si>
    <t>INVERSION 2026 – MP  (datos en Supuestos fila 37)</t>
  </si>
  <si>
    <t>INVERSION 2027 – MP  (datos en Supuestos fila 38)</t>
  </si>
  <si>
    <t>INVERSION 2028 – MP  (datos en Supuestos fila 39)</t>
  </si>
  <si>
    <t>INVERSION 2030 – MP  (datos en Supuestos fila 40)</t>
  </si>
  <si>
    <t>RESUMEN PARA EL FLUJO (miles de S/) – esto es lo que lee el Flujo Mensual</t>
  </si>
  <si>
    <t>Desembolsos de préstamos y leasing</t>
  </si>
  <si>
    <t>Principal mediano plazo</t>
  </si>
  <si>
    <t>Principal leasing</t>
  </si>
  <si>
    <t>Intereses mediano plazo</t>
  </si>
  <si>
    <t>Intereses leasing</t>
  </si>
  <si>
    <t>IGV y otros cargos de cuotas</t>
  </si>
  <si>
    <t>Servicio de deuda (sin letras)</t>
  </si>
  <si>
    <t>CAMIONES 1: capital pagado − monto del préstamo</t>
  </si>
  <si>
    <t>CAMIONES 2: capital pagado − monto del préstamo</t>
  </si>
  <si>
    <t>INVERSION 2026: capital pagado − monto del préstamo</t>
  </si>
  <si>
    <t>INVERSION 2027: capital pagado − monto del préstamo</t>
  </si>
  <si>
    <t>INVERSION 2028: capital pagado − monto del préstamo</t>
  </si>
  <si>
    <t>INVERSION 2030: capital pagado − monto del préstamo</t>
  </si>
  <si>
    <t>IBK: capital pagado − cronograma del banco</t>
  </si>
  <si>
    <t>BBVA: capital pagado − cronograma del banco</t>
  </si>
  <si>
    <t>Si un préstamo termina después de dic-2034, su control mostrará el saldo pendiente (es normal).</t>
  </si>
  <si>
    <t>CRONOGRAMA DE CUOTAS DE LOS BANCOS (S/)</t>
  </si>
  <si>
    <t>IBK – tipo MP</t>
  </si>
  <si>
    <t>Código</t>
  </si>
  <si>
    <t>Entidad</t>
  </si>
  <si>
    <t>Fecha Vcmto.</t>
  </si>
  <si>
    <t>Mes (día 1)</t>
  </si>
  <si>
    <t>N° Cuota</t>
  </si>
  <si>
    <t>Mon</t>
  </si>
  <si>
    <t>Otros</t>
  </si>
  <si>
    <t>Portes</t>
  </si>
  <si>
    <t>Total cuota</t>
  </si>
  <si>
    <t>Otros cargos</t>
  </si>
  <si>
    <t>IBK</t>
  </si>
  <si>
    <t>SOLES</t>
  </si>
  <si>
    <t>TOTAL</t>
  </si>
  <si>
    <t>BBVA – tipo LEASING</t>
  </si>
  <si>
    <t>0011-0809-11-8100939168</t>
  </si>
  <si>
    <t>BBVA</t>
  </si>
  <si>
    <t>ENERO</t>
  </si>
  <si>
    <t>FEBRERO</t>
  </si>
  <si>
    <t>MARZO</t>
  </si>
  <si>
    <t>ABRIL</t>
  </si>
  <si>
    <t>MAYO</t>
  </si>
  <si>
    <t>JUNIO</t>
  </si>
  <si>
    <t>JULIO</t>
  </si>
  <si>
    <t>AGOSTO</t>
  </si>
  <si>
    <t>SETIEMBRE</t>
  </si>
  <si>
    <t>OCTUBRE</t>
  </si>
  <si>
    <t>NOVIEMBRE</t>
  </si>
  <si>
    <t>DICIEMBRE</t>
  </si>
  <si>
    <t>Semana</t>
  </si>
  <si>
    <t>Inicio</t>
  </si>
  <si>
    <t>Fin</t>
  </si>
  <si>
    <t>Ventas por Semana</t>
  </si>
  <si>
    <t>Ingreso contado</t>
  </si>
  <si>
    <t>En cobranza libre / Cartera</t>
  </si>
  <si>
    <t>Ingreso crédito</t>
  </si>
  <si>
    <t>Total ingreso efectivo semanal</t>
  </si>
  <si>
    <t>Repartición de las Ventas</t>
  </si>
  <si>
    <t>Base</t>
  </si>
  <si>
    <t>Venta</t>
  </si>
  <si>
    <t>Al contado</t>
  </si>
  <si>
    <t>Enero</t>
  </si>
  <si>
    <t>Febrero</t>
  </si>
  <si>
    <t>Marzo</t>
  </si>
  <si>
    <t>Repartición de Ventas al Contado</t>
  </si>
  <si>
    <t>Sem 1</t>
  </si>
  <si>
    <t>Sem 2</t>
  </si>
  <si>
    <t>Abril</t>
  </si>
  <si>
    <t>Al contado dentro de la Semana</t>
  </si>
  <si>
    <t>Mayo</t>
  </si>
  <si>
    <t>Junio</t>
  </si>
  <si>
    <t>Julio</t>
  </si>
  <si>
    <t>Agosto</t>
  </si>
  <si>
    <t>Setiembre</t>
  </si>
  <si>
    <t>Octubre</t>
  </si>
  <si>
    <t>Sem 01</t>
  </si>
  <si>
    <t>Sem 02</t>
  </si>
  <si>
    <t>Sem 03</t>
  </si>
  <si>
    <t>Sem 04</t>
  </si>
  <si>
    <t>Sem 05</t>
  </si>
  <si>
    <t>Repartición de Ventas x Semana</t>
  </si>
  <si>
    <t>Sem 3</t>
  </si>
  <si>
    <t>Sem 4</t>
  </si>
  <si>
    <t>Sem 5</t>
  </si>
  <si>
    <t>Noviembre</t>
  </si>
  <si>
    <t>Diciembre</t>
  </si>
  <si>
    <t>Ventas Crédito</t>
  </si>
  <si>
    <t>Repartición de VENTAS</t>
  </si>
  <si>
    <t>Ventas por semana</t>
  </si>
  <si>
    <t>Al Crédito</t>
  </si>
  <si>
    <t>TOTAL FERRETERIA - SOLES</t>
  </si>
  <si>
    <t>TOTAL FERRETERIA - DÓLARES</t>
  </si>
  <si>
    <t>Agregar gastos de deuda de proveedores</t>
  </si>
  <si>
    <t>Préstamos financieros</t>
  </si>
  <si>
    <t>Gastos 11% operativos de la venta - planilla</t>
  </si>
  <si>
    <t>COSTO LETRAS</t>
  </si>
  <si>
    <t>% ventas</t>
  </si>
  <si>
    <t>TIPO DE VENTA AL CREDITO</t>
  </si>
  <si>
    <t>marcas propias</t>
  </si>
  <si>
    <t>I TRIMESTRE</t>
  </si>
  <si>
    <t>II TRIMESTRE</t>
  </si>
  <si>
    <t>III TRIMESTRE</t>
  </si>
  <si>
    <t>IV TRIMESTRE</t>
  </si>
  <si>
    <t>COSTO COMEX</t>
  </si>
  <si>
    <t>nacionales</t>
  </si>
  <si>
    <t>COBRANZA Y CARTERA</t>
  </si>
  <si>
    <t>DSCTO</t>
  </si>
  <si>
    <t>TIPO VENTA</t>
  </si>
  <si>
    <t>Venta 2022</t>
  </si>
  <si>
    <t>Venta 2023</t>
  </si>
  <si>
    <t>Venta 2024</t>
  </si>
  <si>
    <t>CONTADO</t>
  </si>
  <si>
    <t>CREDITO</t>
  </si>
  <si>
    <t>Generación de Ingresos con Letras</t>
  </si>
  <si>
    <t>venta 2023</t>
  </si>
  <si>
    <t>venta 2024</t>
  </si>
  <si>
    <t xml:space="preserve">Descuento Mes </t>
  </si>
  <si>
    <t>Descuento Mes+1</t>
  </si>
  <si>
    <t>Cobranza Libre Pomedio</t>
  </si>
  <si>
    <t>Protesto</t>
  </si>
  <si>
    <t>Rebates</t>
  </si>
  <si>
    <t>2026: Supuestos fila 60</t>
  </si>
  <si>
    <t>2026: Supuestos fila 61</t>
  </si>
  <si>
    <t>2026: Supuestos fila 62</t>
  </si>
  <si>
    <t>2026: Supuestos fila 63</t>
  </si>
  <si>
    <t>FINANCIERO</t>
  </si>
  <si>
    <t>FINANCIERO – CAMIONES 1 (LEASING)</t>
  </si>
  <si>
    <t>FINANCIERO – CAMIONES 2 (LEASING)</t>
  </si>
  <si>
    <t>FINANCIERO – INVERSIÓN 2026 (MP)</t>
  </si>
  <si>
    <t>FINANCIERO – INVERSIÓN 2027 (MP)</t>
  </si>
  <si>
    <t>FINANCIERO – INVERSIÓN 2028 (MP)</t>
  </si>
  <si>
    <t>FINANCIERO – INVERSIÓN 2030 (MP)</t>
  </si>
  <si>
    <t>Unidad: miles de soles (S/000). Ejemplo: 140,028 equivale a S/ 140.028 millones. Todo se recalcula desde Supuestos, Inversiones, Headcount, Deuda y Motor Semanal.</t>
  </si>
  <si>
    <t>Unidad: miles de soles (S/000). Ejemplo: 140,028 equivale a S/ 140.028 millones. Egresos en positivo (se restan); cada año suma 12 meses de Flujo Mensual.</t>
  </si>
  <si>
    <t>Unidad: miles de soles (S/000). Ejemplo: 11,669 equivale a S/ 11.669 millones. Egresos en positivo (se restan); los cambios se realizan en las hojas de datos.</t>
  </si>
  <si>
    <t>MOTOR SEMANAL – ventas → cobranza (alimenta Flujo Mensual) · Unidad: miles de soles (S/000)</t>
  </si>
  <si>
    <t>Detalle de cuotas (filas 7:68): soles (S/). Resumen para el flujo (filas 71:77): miles de soles (S/000), porque Flujo Mensual trabaja en S/000.</t>
  </si>
  <si>
    <t>Referencia histórica no comparable directamente: Flujo de Caja (2) está en miles de US$ y llega hasta oct-2024; este cronograma proyecta ene-2026 a dic-2034 en soles.</t>
  </si>
  <si>
    <t>Unidad: soles (S/). IBK y BBVA son cronogramas bancarios; FINANCIERO se calcula desde Supuestos con interés = saldo × TEM y capital = cuota − interés.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</si>
</sst>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6" formatCode="_(* #,##0.00_);_(* \(#,##0.00\);_(* \-??_);_(@_)"/>
    <numFmt numFmtId="167" formatCode="#,##0;[Red]\(#,##0\);\-"/>
    <numFmt numFmtId="168" formatCode="0.0%;[Red]\-0.0%;\-"/>
    <numFmt numFmtId="169" formatCode="0.0\x;[Red]\-0.0\x;\-"/>
    <numFmt numFmtId="170" formatCode="0.0000;\-0.0000;0"/>
    <numFmt numFmtId="171" formatCode="0;\-0;\-"/>
    <numFmt numFmtId="172" formatCode="0.0%"/>
    <numFmt numFmtId="173" formatCode="#,##0.0;[Red]\(#,##0.0\);\-"/>
    <numFmt numFmtId="174" formatCode="0.0000%"/>
    <numFmt numFmtId="175" formatCode="dd\-mmm\-yy"/>
    <numFmt numFmtId="176" formatCode="#,##0;[Red]\-#,##0;0"/>
    <numFmt numFmtId="177" formatCode="_(* #,##0_);_(* \(#,##0\);_(* \-??_);_(@_)"/>
    <numFmt numFmtId="178" formatCode="_-* #,##0_-;\-* #,##0_-;_-* \-??_-;_-@_-"/>
    <numFmt numFmtId="179" formatCode="0.00;\-0.00;0"/>
    <numFmt numFmtId="180" formatCode="#,##0.00;[Red]\(#,##0.00\);\-"/>
    <numFmt numFmtId="181" formatCode="dd\-mmm"/>
    <numFmt numFmtId="182" formatCode="_(* #,##0.0_);_(* \(#,##0.0\);_(* \-??_);_(@_)"/>
    <numFmt numFmtId="183" formatCode="###,###,###,###.00"/>
    <numFmt numFmtId="184" formatCode="_(* #,##0.00_);_(* \(#,##0.00\);_(* &quot;-&quot;??_);_(@_)"/>
  </numFmts>
  <fonts count="46" x14ac:knownFonts="1">
    <font>
      <sz val="10"/>
      <name val="Arial"/>
      <charset val="1"/>
    </font>
    <font>
      <sz val="10"/>
      <name val="Arial"/>
    </font>
    <font>
      <sz val="11"/>
      <color theme="1"/>
      <name val="Calibri"/>
      <family val="2"/>
      <charset val="1"/>
    </font>
    <font>
      <sz val="10"/>
      <name val="Arial"/>
      <family val="2"/>
      <charset val="1"/>
    </font>
    <font>
      <b/>
      <sz val="16"/>
      <color rgb="FF1F3864"/>
      <name val="Aptos Narrow"/>
      <charset val="1"/>
    </font>
    <font>
      <i/>
      <sz val="10"/>
      <color rgb="FF808080"/>
      <name val="Aptos Narrow"/>
      <charset val="1"/>
    </font>
    <font>
      <b/>
      <sz val="10"/>
      <color rgb="FFFFFFFF"/>
      <name val="Aptos Narrow"/>
      <charset val="1"/>
    </font>
    <font>
      <sz val="10"/>
      <color rgb="FF000000"/>
      <name val="Aptos Narrow"/>
      <charset val="1"/>
    </font>
    <font>
      <sz val="10"/>
      <color rgb="FF008000"/>
      <name val="Aptos Narrow"/>
      <charset val="1"/>
    </font>
    <font>
      <b/>
      <sz val="10"/>
      <color rgb="FF000000"/>
      <name val="Aptos Narrow"/>
      <charset val="1"/>
    </font>
    <font>
      <b/>
      <sz val="10"/>
      <color rgb="FF008000"/>
      <name val="Aptos Narrow"/>
      <charset val="1"/>
    </font>
    <font>
      <b/>
      <sz val="10"/>
      <color rgb="FF0000FF"/>
      <name val="Aptos Narrow"/>
      <charset val="1"/>
    </font>
    <font>
      <b/>
      <sz val="14"/>
      <color rgb="FF1F3864"/>
      <name val="Aptos Narrow"/>
      <charset val="1"/>
    </font>
    <font>
      <i/>
      <sz val="10"/>
      <color rgb="FF000000"/>
      <name val="Aptos Narrow"/>
      <charset val="1"/>
    </font>
    <font>
      <i/>
      <sz val="10"/>
      <color rgb="FF008000"/>
      <name val="Aptos Narrow"/>
      <charset val="1"/>
    </font>
    <font>
      <b/>
      <i/>
      <sz val="10"/>
      <color rgb="FF000000"/>
      <name val="Aptos Narrow"/>
      <charset val="1"/>
    </font>
    <font>
      <sz val="10"/>
      <name val="Arial"/>
      <family val="2"/>
    </font>
    <font>
      <i/>
      <sz val="8"/>
      <color rgb="FF808080"/>
      <name val="Aptos Narrow"/>
      <charset val="1"/>
    </font>
    <font>
      <b/>
      <sz val="10"/>
      <color rgb="FF808080"/>
      <name val="Aptos Narrow"/>
      <charset val="1"/>
    </font>
    <font>
      <sz val="8"/>
      <color rgb="FF808080"/>
      <name val="Aptos Narrow"/>
      <charset val="1"/>
    </font>
    <font>
      <sz val="10"/>
      <name val="Aptos Narrow"/>
      <family val="2"/>
      <charset val="1"/>
    </font>
    <font>
      <b/>
      <sz val="10"/>
      <color theme="0"/>
      <name val="Aptos Narrow"/>
      <family val="2"/>
      <charset val="1"/>
    </font>
    <font>
      <b/>
      <sz val="10"/>
      <name val="Aptos Narrow"/>
      <family val="2"/>
      <charset val="1"/>
    </font>
    <font>
      <sz val="10"/>
      <color rgb="FF0000FF"/>
      <name val="Aptos Narrow"/>
      <charset val="1"/>
    </font>
    <font>
      <b/>
      <sz val="11"/>
      <color theme="1"/>
      <name val="Calibri"/>
      <family val="2"/>
      <charset val="1"/>
    </font>
    <font>
      <sz val="11"/>
      <color rgb="FF0070C0"/>
      <name val="Calibri"/>
      <family val="2"/>
      <charset val="1"/>
    </font>
    <font>
      <sz val="10"/>
      <color rgb="FF0070C0"/>
      <name val="Aptos Narrow"/>
      <family val="2"/>
      <charset val="1"/>
    </font>
    <font>
      <b/>
      <sz val="12"/>
      <color theme="1"/>
      <name val="Calibri"/>
      <family val="2"/>
      <charset val="1"/>
    </font>
    <font>
      <b/>
      <sz val="10"/>
      <name val="Arial"/>
      <family val="2"/>
      <charset val="1"/>
    </font>
    <font>
      <b/>
      <sz val="11"/>
      <color rgb="FF0070C0"/>
      <name val="Calibri"/>
      <family val="2"/>
      <charset val="1"/>
    </font>
    <font>
      <b/>
      <sz val="11"/>
      <color theme="0"/>
      <name val="Calibri"/>
      <family val="2"/>
      <charset val="1"/>
    </font>
    <font>
      <b/>
      <sz val="12"/>
      <color rgb="FF1F3864"/>
      <name val="Aptos Narrow"/>
      <charset val="1"/>
    </font>
    <font>
      <i/>
      <sz val="10"/>
      <color theme="0" tint="-0.499984740745262"/>
      <name val="Aptos Narrow"/>
      <family val="2"/>
      <charset val="1"/>
    </font>
    <font>
      <b/>
      <sz val="10"/>
      <color rgb="FF1F3864"/>
      <name val="Aptos Narrow"/>
      <charset val="1"/>
    </font>
    <font>
      <b/>
      <i/>
      <sz val="10"/>
      <color rgb="FFFF0000"/>
      <name val="Aptos Narrow"/>
      <family val="2"/>
      <charset val="1"/>
    </font>
    <font>
      <i/>
      <sz val="10"/>
      <name val="Aptos Narrow"/>
      <family val="2"/>
      <charset val="1"/>
    </font>
    <font>
      <b/>
      <i/>
      <sz val="10"/>
      <name val="Aptos Narrow"/>
      <family val="2"/>
      <charset val="1"/>
    </font>
    <font>
      <sz val="8"/>
      <name val="Calibri"/>
      <family val="2"/>
      <charset val="1"/>
    </font>
    <font>
      <b/>
      <sz val="10"/>
      <name val="Calibri"/>
      <family val="2"/>
      <charset val="1"/>
    </font>
    <font>
      <sz val="10"/>
      <name val="Calibri"/>
      <family val="2"/>
      <charset val="1"/>
    </font>
    <font>
      <sz val="8"/>
      <color rgb="FF7030A0"/>
      <name val="Calibri"/>
      <family val="2"/>
      <charset val="1"/>
    </font>
    <font>
      <b/>
      <sz val="6"/>
      <color rgb="FF000000"/>
      <name val="Arial"/>
      <family val="2"/>
      <charset val="1"/>
    </font>
    <font>
      <sz val="8"/>
      <name val="Arial"/>
      <family val="2"/>
      <charset val="1"/>
    </font>
    <font>
      <b/>
      <sz val="8"/>
      <name val="Calibri"/>
      <family val="2"/>
      <charset val="1"/>
    </font>
    <font>
      <sz val="10"/>
      <name val="Arial"/>
      <charset val="1"/>
    </font>
    <font>
      <sz val="8"/>
      <name val="MS Sans Serif"/>
      <family val="2"/>
    </font>
  </fonts>
  <fills count="28">
    <fill>
      <patternFill patternType="none"/>
    </fill>
    <fill>
      <patternFill patternType="gray125"/>
    </fill>
    <fill>
      <patternFill patternType="solid">
        <fgColor theme="4" tint="0.79989013336588644"/>
        <bgColor rgb="FFD9E1F2"/>
      </patternFill>
    </fill>
    <fill>
      <patternFill patternType="solid">
        <fgColor rgb="FFCCCCFF"/>
        <bgColor rgb="FFB8D0ED"/>
      </patternFill>
    </fill>
    <fill>
      <patternFill patternType="solid">
        <fgColor rgb="FF1F3864"/>
        <bgColor rgb="FF17375E"/>
      </patternFill>
    </fill>
    <fill>
      <patternFill patternType="solid">
        <fgColor rgb="FFF2F2F2"/>
        <bgColor rgb="FFEDEDED"/>
      </patternFill>
    </fill>
    <fill>
      <patternFill patternType="solid">
        <fgColor rgb="FFFFFF00"/>
        <bgColor rgb="FFFFC000"/>
      </patternFill>
    </fill>
    <fill>
      <patternFill patternType="solid">
        <fgColor rgb="FFD9E1F2"/>
        <bgColor rgb="FFDCE6F2"/>
      </patternFill>
    </fill>
    <fill>
      <patternFill patternType="solid">
        <fgColor rgb="FFEDEDED"/>
        <bgColor rgb="FFEEECE1"/>
      </patternFill>
    </fill>
    <fill>
      <patternFill patternType="solid">
        <fgColor theme="3" tint="-0.249977111117893"/>
        <bgColor rgb="FF1F3864"/>
      </patternFill>
    </fill>
    <fill>
      <patternFill patternType="solid">
        <fgColor theme="5" tint="0.79989013336588644"/>
        <bgColor rgb="FFE6E0EC"/>
      </patternFill>
    </fill>
    <fill>
      <patternFill patternType="solid">
        <fgColor theme="3" tint="0.89989928891872917"/>
        <bgColor rgb="FFDBEEF4"/>
      </patternFill>
    </fill>
    <fill>
      <patternFill patternType="solid">
        <fgColor theme="3" tint="0.24988555558946501"/>
        <bgColor rgb="FF0070C0"/>
      </patternFill>
    </fill>
    <fill>
      <patternFill patternType="solid">
        <fgColor theme="3" tint="0.74987029633472702"/>
        <bgColor rgb="FFB9CDE5"/>
      </patternFill>
    </fill>
    <fill>
      <patternFill patternType="solid">
        <fgColor rgb="FFFFFF99"/>
        <bgColor rgb="FFFFFFCC"/>
      </patternFill>
    </fill>
    <fill>
      <patternFill patternType="solid">
        <fgColor rgb="FF92D050"/>
        <bgColor rgb="FFC3D69B"/>
      </patternFill>
    </fill>
    <fill>
      <patternFill patternType="solid">
        <fgColor theme="2" tint="-9.9978637043366805E-2"/>
        <bgColor rgb="FFD7E4BD"/>
      </patternFill>
    </fill>
    <fill>
      <patternFill patternType="solid">
        <fgColor theme="2"/>
        <bgColor rgb="FFEDEDED"/>
      </patternFill>
    </fill>
    <fill>
      <patternFill patternType="solid">
        <fgColor rgb="FFCCFFCC"/>
        <bgColor rgb="FFDBEEF4"/>
      </patternFill>
    </fill>
    <fill>
      <patternFill patternType="solid">
        <fgColor rgb="FF00FF99"/>
        <bgColor rgb="FF00FF00"/>
      </patternFill>
    </fill>
    <fill>
      <patternFill patternType="solid">
        <fgColor rgb="FF00B0F0"/>
        <bgColor rgb="FF0070C0"/>
      </patternFill>
    </fill>
    <fill>
      <patternFill patternType="solid">
        <fgColor rgb="FFFFFFCC"/>
        <bgColor rgb="FFEBF1DE"/>
      </patternFill>
    </fill>
    <fill>
      <patternFill patternType="solid">
        <fgColor theme="2" tint="-0.749992370372631"/>
        <bgColor rgb="FF4F6228"/>
      </patternFill>
    </fill>
    <fill>
      <patternFill patternType="solid">
        <fgColor theme="6" tint="0.39988402966399123"/>
        <bgColor rgb="FFD7E4BD"/>
      </patternFill>
    </fill>
    <fill>
      <patternFill patternType="solid">
        <fgColor rgb="FFFFC000"/>
        <bgColor rgb="FFFF9900"/>
      </patternFill>
    </fill>
    <fill>
      <patternFill patternType="solid">
        <fgColor theme="6" tint="0.79989013336588644"/>
        <bgColor rgb="FFEEECE1"/>
      </patternFill>
    </fill>
    <fill>
      <patternFill patternType="solid">
        <fgColor theme="6" tint="-0.499984740745262"/>
        <bgColor rgb="FF4A452A"/>
      </patternFill>
    </fill>
    <fill>
      <patternFill patternType="solid">
        <fgColor rgb="FF002060"/>
        <bgColor rgb="FF17375E"/>
      </patternFill>
    </fill>
  </fills>
  <borders count="37">
    <border>
      <left/>
      <right/>
      <top/>
      <bottom/>
      <diagonal/>
    </border>
    <border>
      <left/>
      <right/>
      <top style="thin">
        <color auto="1"/>
      </top>
      <bottom/>
      <diagonal/>
    </border>
    <border>
      <left style="dotted">
        <color theme="1" tint="0.49989318521683401"/>
      </left>
      <right style="dotted">
        <color theme="1" tint="0.49989318521683401"/>
      </right>
      <top style="dotted">
        <color theme="1" tint="0.49989318521683401"/>
      </top>
      <bottom style="dotted">
        <color theme="1" tint="0.4998931852168340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hair">
        <color theme="1" tint="0.49989318521683401"/>
      </left>
      <right style="hair">
        <color theme="1" tint="0.49989318521683401"/>
      </right>
      <top style="hair">
        <color theme="1" tint="0.49989318521683401"/>
      </top>
      <bottom style="hair">
        <color theme="1" tint="0.49989318521683401"/>
      </bottom>
      <diagonal/>
    </border>
    <border>
      <left style="hair">
        <color theme="1" tint="0.49989318521683401"/>
      </left>
      <right/>
      <top style="hair">
        <color theme="1" tint="0.49989318521683401"/>
      </top>
      <bottom style="hair">
        <color theme="1" tint="0.49989318521683401"/>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style="medium">
        <color auto="1"/>
      </left>
      <right style="medium">
        <color auto="1"/>
      </right>
      <top style="medium">
        <color auto="1"/>
      </top>
      <bottom/>
      <diagonal/>
    </border>
    <border>
      <left style="medium">
        <color auto="1"/>
      </left>
      <right/>
      <top/>
      <bottom style="medium">
        <color auto="1"/>
      </bottom>
      <diagonal/>
    </border>
    <border>
      <left/>
      <right style="medium">
        <color auto="1"/>
      </right>
      <top/>
      <bottom/>
      <diagonal/>
    </border>
    <border>
      <left style="medium">
        <color auto="1"/>
      </left>
      <right/>
      <top style="medium">
        <color auto="1"/>
      </top>
      <bottom/>
      <diagonal/>
    </border>
    <border>
      <left style="medium">
        <color auto="1"/>
      </left>
      <right/>
      <top/>
      <bottom/>
      <diagonal/>
    </border>
    <border>
      <left/>
      <right style="medium">
        <color auto="1"/>
      </right>
      <top/>
      <bottom style="medium">
        <color auto="1"/>
      </bottom>
      <diagonal/>
    </border>
  </borders>
  <cellStyleXfs count="21694">
    <xf numFmtId="0" fontId="0" fillId="0" borderId="0"/>
    <xf numFmtId="166" fontId="3" fillId="0" borderId="0"/>
    <xf numFmtId="9" fontId="3" fillId="0"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2" borderId="0"/>
    <xf numFmtId="0" fontId="2" fillId="3" borderId="0"/>
    <xf numFmtId="0" fontId="2" fillId="3" borderId="0"/>
    <xf numFmtId="0" fontId="2" fillId="3" borderId="0"/>
    <xf numFmtId="0" fontId="2" fillId="3" borderId="0"/>
    <xf numFmtId="0" fontId="2" fillId="2" borderId="0"/>
    <xf numFmtId="0" fontId="2" fillId="2" borderId="0"/>
    <xf numFmtId="0" fontId="2" fillId="2" borderId="0"/>
    <xf numFmtId="0" fontId="2" fillId="2" borderId="0"/>
    <xf numFmtId="0" fontId="2" fillId="2" borderId="0"/>
    <xf numFmtId="0" fontId="2" fillId="2"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 fillId="0" borderId="0"/>
    <xf numFmtId="0" fontId="45" fillId="0" borderId="0">
      <alignment vertical="center"/>
    </xf>
    <xf numFmtId="9" fontId="16" fillId="0" borderId="0" applyFont="0" applyFill="0" applyBorder="0" applyAlignment="0" applyProtection="0"/>
    <xf numFmtId="184" fontId="16" fillId="0" borderId="0" applyFont="0" applyFill="0" applyBorder="0" applyAlignment="0" applyProtection="0"/>
  </cellStyleXfs>
  <cellXfs count="297">
    <xf numFmtId="0" fontId="0" fillId="0" borderId="0" xfId="0"/>
    <xf numFmtId="183" fontId="41" fillId="0" borderId="0" xfId="1539" applyNumberFormat="1" applyFont="1" applyAlignment="1">
      <alignment horizontal="right" vertical="top"/>
    </xf>
    <xf numFmtId="0" fontId="39" fillId="15" borderId="31" xfId="1539" applyFont="1" applyFill="1" applyBorder="1" applyAlignment="1">
      <alignment horizontal="center"/>
    </xf>
    <xf numFmtId="0" fontId="37" fillId="0" borderId="0" xfId="1539" applyFont="1" applyAlignment="1">
      <alignment horizontal="center"/>
    </xf>
    <xf numFmtId="0" fontId="22" fillId="16" borderId="22" xfId="1539" applyFont="1" applyFill="1" applyBorder="1" applyAlignment="1">
      <alignment horizontal="center" vertical="center"/>
    </xf>
    <xf numFmtId="0" fontId="22" fillId="16" borderId="18" xfId="1539" applyFont="1" applyFill="1" applyBorder="1" applyAlignment="1">
      <alignment horizontal="center" vertical="center"/>
    </xf>
    <xf numFmtId="0" fontId="34" fillId="0" borderId="17" xfId="1539" applyFont="1" applyBorder="1" applyAlignment="1">
      <alignment horizontal="center"/>
    </xf>
    <xf numFmtId="0" fontId="34" fillId="0" borderId="16" xfId="1539" applyFont="1" applyBorder="1" applyAlignment="1">
      <alignment horizontal="center"/>
    </xf>
    <xf numFmtId="0" fontId="20" fillId="0" borderId="2" xfId="1539" applyFont="1" applyBorder="1" applyAlignment="1">
      <alignment horizontal="center"/>
    </xf>
    <xf numFmtId="0" fontId="21" fillId="9" borderId="2" xfId="1539" applyFont="1" applyFill="1" applyBorder="1" applyAlignment="1">
      <alignment horizontal="center"/>
    </xf>
    <xf numFmtId="0" fontId="4" fillId="0" borderId="0" xfId="1539" applyFont="1"/>
    <xf numFmtId="0" fontId="5" fillId="0" borderId="0" xfId="1539" applyFont="1"/>
    <xf numFmtId="0" fontId="6" fillId="4" borderId="0" xfId="1539" applyFont="1" applyFill="1"/>
    <xf numFmtId="0" fontId="7" fillId="4" borderId="0" xfId="1539" applyFont="1" applyFill="1"/>
    <xf numFmtId="1" fontId="6" fillId="4" borderId="0" xfId="1539" applyNumberFormat="1" applyFont="1" applyFill="1" applyAlignment="1">
      <alignment horizontal="right"/>
    </xf>
    <xf numFmtId="0" fontId="6" fillId="4" borderId="0" xfId="1539" applyFont="1" applyFill="1" applyAlignment="1">
      <alignment horizontal="right"/>
    </xf>
    <xf numFmtId="0" fontId="7" fillId="0" borderId="0" xfId="1539" applyFont="1"/>
    <xf numFmtId="167" fontId="8" fillId="0" borderId="0" xfId="1539" applyNumberFormat="1" applyFont="1"/>
    <xf numFmtId="0" fontId="9" fillId="5" borderId="0" xfId="1539" applyFont="1" applyFill="1"/>
    <xf numFmtId="0" fontId="0" fillId="5" borderId="0" xfId="1539" applyFont="1" applyFill="1"/>
    <xf numFmtId="167" fontId="10" fillId="5" borderId="0" xfId="1539" applyNumberFormat="1" applyFont="1" applyFill="1"/>
    <xf numFmtId="0" fontId="9" fillId="0" borderId="0" xfId="1539" applyFont="1"/>
    <xf numFmtId="0" fontId="11" fillId="0" borderId="0" xfId="1539" applyFont="1"/>
    <xf numFmtId="0" fontId="10" fillId="0" borderId="0" xfId="1539" applyFont="1"/>
    <xf numFmtId="0" fontId="9" fillId="6" borderId="0" xfId="1539" applyFont="1" applyFill="1"/>
    <xf numFmtId="0" fontId="12" fillId="0" borderId="0" xfId="1539" applyFont="1"/>
    <xf numFmtId="0" fontId="9" fillId="7" borderId="0" xfId="1539" applyFont="1" applyFill="1"/>
    <xf numFmtId="0" fontId="0" fillId="7" borderId="0" xfId="1539" applyFont="1" applyFill="1"/>
    <xf numFmtId="0" fontId="13" fillId="0" borderId="0" xfId="1539" applyFont="1"/>
    <xf numFmtId="167" fontId="14" fillId="0" borderId="0" xfId="1539" applyNumberFormat="1" applyFont="1"/>
    <xf numFmtId="167" fontId="15" fillId="0" borderId="0" xfId="1539" applyNumberFormat="1" applyFont="1"/>
    <xf numFmtId="168" fontId="5" fillId="0" borderId="0" xfId="1539" applyNumberFormat="1" applyFont="1"/>
    <xf numFmtId="167" fontId="9" fillId="0" borderId="0" xfId="1539" applyNumberFormat="1" applyFont="1"/>
    <xf numFmtId="0" fontId="9" fillId="5" borderId="1" xfId="1539" applyFont="1" applyFill="1" applyBorder="1"/>
    <xf numFmtId="0" fontId="0" fillId="5" borderId="1" xfId="1539" applyFont="1" applyFill="1" applyBorder="1"/>
    <xf numFmtId="167" fontId="10" fillId="5" borderId="1" xfId="1539" applyNumberFormat="1" applyFont="1" applyFill="1" applyBorder="1"/>
    <xf numFmtId="167" fontId="9" fillId="5" borderId="1" xfId="1539" applyNumberFormat="1" applyFont="1" applyFill="1" applyBorder="1"/>
    <xf numFmtId="167" fontId="7" fillId="0" borderId="0" xfId="1539" applyNumberFormat="1" applyFont="1"/>
    <xf numFmtId="167" fontId="13" fillId="0" borderId="0" xfId="1539" applyNumberFormat="1" applyFont="1"/>
    <xf numFmtId="169" fontId="5" fillId="0" borderId="0" xfId="1539" applyNumberFormat="1" applyFont="1"/>
    <xf numFmtId="170" fontId="5" fillId="0" borderId="0" xfId="1539" applyNumberFormat="1" applyFont="1"/>
    <xf numFmtId="0" fontId="17" fillId="0" borderId="0" xfId="1539" applyFont="1"/>
    <xf numFmtId="17" fontId="6" fillId="4" borderId="0" xfId="1539" applyNumberFormat="1" applyFont="1" applyFill="1" applyAlignment="1">
      <alignment horizontal="right"/>
    </xf>
    <xf numFmtId="17" fontId="18" fillId="8" borderId="0" xfId="1539" applyNumberFormat="1" applyFont="1" applyFill="1" applyAlignment="1">
      <alignment horizontal="right"/>
    </xf>
    <xf numFmtId="0" fontId="19" fillId="0" borderId="0" xfId="1539" applyFont="1"/>
    <xf numFmtId="1" fontId="19" fillId="0" borderId="0" xfId="1539" applyNumberFormat="1" applyFont="1"/>
    <xf numFmtId="167" fontId="5" fillId="8" borderId="0" xfId="1539" applyNumberFormat="1" applyFont="1" applyFill="1"/>
    <xf numFmtId="0" fontId="17" fillId="5" borderId="1" xfId="1539" applyFont="1" applyFill="1" applyBorder="1"/>
    <xf numFmtId="10" fontId="14" fillId="0" borderId="0" xfId="1539" applyNumberFormat="1" applyFont="1"/>
    <xf numFmtId="171" fontId="14" fillId="0" borderId="0" xfId="1539" applyNumberFormat="1" applyFont="1"/>
    <xf numFmtId="0" fontId="20" fillId="0" borderId="0" xfId="1539" applyFont="1"/>
    <xf numFmtId="0" fontId="21" fillId="9" borderId="2" xfId="1539" applyFont="1" applyFill="1" applyBorder="1"/>
    <xf numFmtId="0" fontId="21" fillId="9" borderId="2" xfId="1539" applyFont="1" applyFill="1" applyBorder="1" applyAlignment="1">
      <alignment horizontal="center"/>
    </xf>
    <xf numFmtId="0" fontId="22" fillId="0" borderId="0" xfId="1539" applyFont="1"/>
    <xf numFmtId="0" fontId="20" fillId="0" borderId="2" xfId="1539" applyFont="1" applyBorder="1"/>
    <xf numFmtId="9" fontId="20" fillId="0" borderId="2" xfId="1539" applyNumberFormat="1" applyFont="1" applyBorder="1" applyAlignment="1">
      <alignment horizontal="center"/>
    </xf>
    <xf numFmtId="172" fontId="20" fillId="0" borderId="2" xfId="2" applyNumberFormat="1" applyFont="1" applyBorder="1" applyAlignment="1">
      <alignment horizontal="center"/>
    </xf>
    <xf numFmtId="9" fontId="20" fillId="0" borderId="2" xfId="2" applyFont="1" applyBorder="1" applyAlignment="1">
      <alignment horizontal="center"/>
    </xf>
    <xf numFmtId="0" fontId="9" fillId="7" borderId="0" xfId="1539" applyFont="1" applyFill="1" applyAlignment="1">
      <alignment horizontal="right"/>
    </xf>
    <xf numFmtId="10" fontId="23" fillId="0" borderId="0" xfId="1539" applyNumberFormat="1" applyFont="1"/>
    <xf numFmtId="172" fontId="8" fillId="0" borderId="0" xfId="1539" applyNumberFormat="1" applyFont="1"/>
    <xf numFmtId="1" fontId="23" fillId="0" borderId="0" xfId="1539" applyNumberFormat="1" applyFont="1"/>
    <xf numFmtId="172" fontId="23" fillId="6" borderId="0" xfId="1539" applyNumberFormat="1" applyFont="1" applyFill="1"/>
    <xf numFmtId="1" fontId="23" fillId="6" borderId="0" xfId="1539" applyNumberFormat="1" applyFont="1" applyFill="1"/>
    <xf numFmtId="167" fontId="23" fillId="6" borderId="0" xfId="1539" applyNumberFormat="1" applyFont="1" applyFill="1"/>
    <xf numFmtId="17" fontId="9" fillId="7" borderId="0" xfId="1539" applyNumberFormat="1" applyFont="1" applyFill="1" applyAlignment="1">
      <alignment horizontal="right"/>
    </xf>
    <xf numFmtId="173" fontId="23" fillId="0" borderId="0" xfId="1539" applyNumberFormat="1" applyFont="1"/>
    <xf numFmtId="0" fontId="9" fillId="7" borderId="0" xfId="1539" applyFont="1" applyFill="1" applyAlignment="1">
      <alignment horizontal="left"/>
    </xf>
    <xf numFmtId="0" fontId="23" fillId="0" borderId="0" xfId="1539" applyFont="1"/>
    <xf numFmtId="3" fontId="8" fillId="0" borderId="0" xfId="1539" applyNumberFormat="1" applyFont="1"/>
    <xf numFmtId="172" fontId="23" fillId="0" borderId="0" xfId="1539" applyNumberFormat="1" applyFont="1"/>
    <xf numFmtId="174" fontId="7" fillId="0" borderId="0" xfId="1539" applyNumberFormat="1" applyFont="1"/>
    <xf numFmtId="3" fontId="7" fillId="0" borderId="0" xfId="1539" applyNumberFormat="1" applyFont="1"/>
    <xf numFmtId="175" fontId="23" fillId="0" borderId="0" xfId="1539" applyNumberFormat="1" applyFont="1"/>
    <xf numFmtId="176" fontId="5" fillId="0" borderId="0" xfId="1539" applyNumberFormat="1" applyFont="1"/>
    <xf numFmtId="17" fontId="23" fillId="0" borderId="0" xfId="1539" applyNumberFormat="1" applyFont="1"/>
    <xf numFmtId="167" fontId="23" fillId="0" borderId="0" xfId="1539" applyNumberFormat="1" applyFont="1"/>
    <xf numFmtId="172" fontId="14" fillId="0" borderId="0" xfId="1539" applyNumberFormat="1" applyFont="1"/>
    <xf numFmtId="0" fontId="20" fillId="0" borderId="0" xfId="1539" applyFont="1" applyAlignment="1">
      <alignment vertical="center"/>
    </xf>
    <xf numFmtId="167" fontId="8" fillId="0" borderId="3" xfId="1" applyNumberFormat="1" applyFont="1" applyBorder="1" applyAlignment="1">
      <alignment vertical="center"/>
    </xf>
    <xf numFmtId="167" fontId="8" fillId="0" borderId="1" xfId="1" applyNumberFormat="1" applyFont="1" applyBorder="1" applyAlignment="1">
      <alignment vertical="center"/>
    </xf>
    <xf numFmtId="167" fontId="8" fillId="0" borderId="4" xfId="1" applyNumberFormat="1" applyFont="1" applyBorder="1" applyAlignment="1">
      <alignment vertical="center"/>
    </xf>
    <xf numFmtId="0" fontId="6" fillId="4" borderId="0" xfId="1539" applyFont="1" applyFill="1" applyAlignment="1">
      <alignment horizontal="center" vertical="center"/>
    </xf>
    <xf numFmtId="0" fontId="6" fillId="4" borderId="5" xfId="1539" applyFont="1" applyFill="1" applyBorder="1" applyAlignment="1">
      <alignment horizontal="right"/>
    </xf>
    <xf numFmtId="0" fontId="6" fillId="4" borderId="6" xfId="1539" applyFont="1" applyFill="1" applyBorder="1" applyAlignment="1">
      <alignment horizontal="right"/>
    </xf>
    <xf numFmtId="0" fontId="20" fillId="0" borderId="3" xfId="1539" applyFont="1" applyBorder="1" applyAlignment="1">
      <alignment vertical="center"/>
    </xf>
    <xf numFmtId="167" fontId="23" fillId="0" borderId="3" xfId="1" applyNumberFormat="1" applyFont="1" applyBorder="1" applyAlignment="1">
      <alignment vertical="center"/>
    </xf>
    <xf numFmtId="167" fontId="20" fillId="0" borderId="1" xfId="1" applyNumberFormat="1" applyFont="1" applyBorder="1" applyAlignment="1">
      <alignment vertical="center"/>
    </xf>
    <xf numFmtId="167" fontId="20" fillId="0" borderId="1" xfId="1539" applyNumberFormat="1" applyFont="1" applyBorder="1" applyAlignment="1">
      <alignment vertical="center"/>
    </xf>
    <xf numFmtId="167" fontId="23" fillId="0" borderId="1" xfId="1539" applyNumberFormat="1" applyFont="1" applyBorder="1" applyAlignment="1">
      <alignment vertical="center"/>
    </xf>
    <xf numFmtId="167" fontId="20" fillId="0" borderId="4" xfId="1539" applyNumberFormat="1" applyFont="1" applyBorder="1" applyAlignment="1">
      <alignment vertical="center"/>
    </xf>
    <xf numFmtId="0" fontId="20" fillId="0" borderId="5" xfId="1539" applyFont="1" applyBorder="1" applyAlignment="1">
      <alignment vertical="center"/>
    </xf>
    <xf numFmtId="167" fontId="20" fillId="0" borderId="5" xfId="1539" applyNumberFormat="1" applyFont="1" applyBorder="1" applyAlignment="1">
      <alignment vertical="center"/>
    </xf>
    <xf numFmtId="167" fontId="23" fillId="0" borderId="0" xfId="1" applyNumberFormat="1" applyFont="1" applyAlignment="1">
      <alignment vertical="center"/>
    </xf>
    <xf numFmtId="167" fontId="0" fillId="0" borderId="0" xfId="1539" applyNumberFormat="1" applyFont="1"/>
    <xf numFmtId="167" fontId="20" fillId="0" borderId="6" xfId="1539" applyNumberFormat="1" applyFont="1" applyBorder="1" applyAlignment="1">
      <alignment vertical="center"/>
    </xf>
    <xf numFmtId="167" fontId="20" fillId="0" borderId="0" xfId="1" applyNumberFormat="1" applyFont="1" applyAlignment="1">
      <alignment vertical="center"/>
    </xf>
    <xf numFmtId="167" fontId="23" fillId="0" borderId="5" xfId="1" applyNumberFormat="1" applyFont="1" applyBorder="1" applyAlignment="1">
      <alignment vertical="center"/>
    </xf>
    <xf numFmtId="0" fontId="20" fillId="0" borderId="7" xfId="1539" applyFont="1" applyBorder="1" applyAlignment="1">
      <alignment vertical="center"/>
    </xf>
    <xf numFmtId="167" fontId="20" fillId="0" borderId="7" xfId="1539" applyNumberFormat="1" applyFont="1" applyBorder="1" applyAlignment="1">
      <alignment vertical="center"/>
    </xf>
    <xf numFmtId="167" fontId="20" fillId="0" borderId="8" xfId="1" applyNumberFormat="1" applyFont="1" applyBorder="1" applyAlignment="1">
      <alignment vertical="center"/>
    </xf>
    <xf numFmtId="167" fontId="23" fillId="0" borderId="8" xfId="1" applyNumberFormat="1" applyFont="1" applyBorder="1" applyAlignment="1">
      <alignment vertical="center"/>
    </xf>
    <xf numFmtId="167" fontId="20" fillId="0" borderId="8" xfId="1539" applyNumberFormat="1" applyFont="1" applyBorder="1" applyAlignment="1">
      <alignment vertical="center"/>
    </xf>
    <xf numFmtId="167" fontId="20" fillId="0" borderId="9" xfId="1539" applyNumberFormat="1" applyFont="1" applyBorder="1" applyAlignment="1">
      <alignment vertical="center"/>
    </xf>
    <xf numFmtId="167" fontId="9" fillId="5" borderId="0" xfId="1539" applyNumberFormat="1" applyFont="1" applyFill="1"/>
    <xf numFmtId="167" fontId="9" fillId="5" borderId="0" xfId="1" applyNumberFormat="1" applyFont="1" applyFill="1" applyAlignment="1">
      <alignment vertical="center"/>
    </xf>
    <xf numFmtId="177" fontId="20" fillId="0" borderId="0" xfId="1" applyNumberFormat="1" applyFont="1" applyAlignment="1">
      <alignment vertical="center"/>
    </xf>
    <xf numFmtId="0" fontId="0" fillId="4" borderId="0" xfId="1539" applyFont="1" applyFill="1"/>
    <xf numFmtId="177" fontId="20" fillId="4" borderId="0" xfId="1" applyNumberFormat="1" applyFont="1" applyFill="1" applyAlignment="1">
      <alignment vertical="center"/>
    </xf>
    <xf numFmtId="167" fontId="3" fillId="0" borderId="0" xfId="1" applyNumberFormat="1"/>
    <xf numFmtId="0" fontId="18" fillId="0" borderId="0" xfId="1539" applyFont="1"/>
    <xf numFmtId="0" fontId="24" fillId="0" borderId="0" xfId="1539" applyFont="1" applyAlignment="1">
      <alignment horizontal="left" indent="1"/>
    </xf>
    <xf numFmtId="3" fontId="24" fillId="0" borderId="0" xfId="1539" applyNumberFormat="1" applyFont="1"/>
    <xf numFmtId="3" fontId="25" fillId="0" borderId="0" xfId="1539" applyNumberFormat="1" applyFont="1"/>
    <xf numFmtId="3" fontId="26" fillId="0" borderId="0" xfId="1539" applyNumberFormat="1" applyFont="1" applyAlignment="1">
      <alignment vertical="center"/>
    </xf>
    <xf numFmtId="0" fontId="0" fillId="0" borderId="0" xfId="1539" applyFont="1" applyAlignment="1">
      <alignment vertical="top"/>
    </xf>
    <xf numFmtId="3" fontId="0" fillId="0" borderId="0" xfId="1539" applyNumberFormat="1" applyFont="1"/>
    <xf numFmtId="0" fontId="2" fillId="0" borderId="0" xfId="1539" applyFont="1"/>
    <xf numFmtId="0" fontId="2" fillId="0" borderId="0" xfId="1539" applyFont="1" applyAlignment="1">
      <alignment horizontal="center"/>
    </xf>
    <xf numFmtId="0" fontId="27" fillId="0" borderId="10" xfId="1539" applyFont="1" applyBorder="1"/>
    <xf numFmtId="0" fontId="27" fillId="10" borderId="11" xfId="1539" applyFont="1" applyFill="1" applyBorder="1"/>
    <xf numFmtId="0" fontId="27" fillId="10" borderId="12" xfId="1539" applyFont="1" applyFill="1" applyBorder="1" applyAlignment="1">
      <alignment horizontal="center"/>
    </xf>
    <xf numFmtId="0" fontId="27" fillId="10" borderId="13" xfId="1539" applyFont="1" applyFill="1" applyBorder="1"/>
    <xf numFmtId="0" fontId="27" fillId="0" borderId="11" xfId="1539" applyFont="1" applyBorder="1"/>
    <xf numFmtId="0" fontId="27" fillId="0" borderId="12" xfId="1539" applyFont="1" applyBorder="1" applyAlignment="1">
      <alignment horizontal="center"/>
    </xf>
    <xf numFmtId="0" fontId="27" fillId="0" borderId="13" xfId="1539" applyFont="1" applyBorder="1"/>
    <xf numFmtId="0" fontId="2" fillId="0" borderId="14" xfId="1539" applyFont="1" applyBorder="1"/>
    <xf numFmtId="9" fontId="9" fillId="0" borderId="0" xfId="2" applyFont="1"/>
    <xf numFmtId="177" fontId="8" fillId="11" borderId="14" xfId="1539" applyNumberFormat="1" applyFont="1" applyFill="1" applyBorder="1"/>
    <xf numFmtId="172" fontId="28" fillId="6" borderId="11" xfId="1539" applyNumberFormat="1" applyFont="1" applyFill="1" applyBorder="1"/>
    <xf numFmtId="172" fontId="28" fillId="0" borderId="1" xfId="1539" applyNumberFormat="1" applyFont="1" applyBorder="1" applyAlignment="1">
      <alignment horizontal="center"/>
    </xf>
    <xf numFmtId="9" fontId="29" fillId="0" borderId="14" xfId="1539" applyNumberFormat="1" applyFont="1" applyBorder="1"/>
    <xf numFmtId="0" fontId="30" fillId="12" borderId="11" xfId="1539" applyFont="1" applyFill="1" applyBorder="1"/>
    <xf numFmtId="0" fontId="30" fillId="12" borderId="10" xfId="1539" applyFont="1" applyFill="1" applyBorder="1"/>
    <xf numFmtId="9" fontId="30" fillId="12" borderId="11" xfId="1539" applyNumberFormat="1" applyFont="1" applyFill="1" applyBorder="1"/>
    <xf numFmtId="0" fontId="30" fillId="12" borderId="12" xfId="1539" applyFont="1" applyFill="1" applyBorder="1" applyAlignment="1">
      <alignment horizontal="center"/>
    </xf>
    <xf numFmtId="9" fontId="29" fillId="0" borderId="10" xfId="1539" applyNumberFormat="1" applyFont="1" applyBorder="1"/>
    <xf numFmtId="0" fontId="2" fillId="11" borderId="15" xfId="1539" applyFont="1" applyFill="1" applyBorder="1"/>
    <xf numFmtId="0" fontId="2" fillId="0" borderId="5" xfId="1539" applyFont="1" applyBorder="1"/>
    <xf numFmtId="0" fontId="2" fillId="0" borderId="15" xfId="1539" applyFont="1" applyBorder="1"/>
    <xf numFmtId="9" fontId="29" fillId="0" borderId="15" xfId="1539" applyNumberFormat="1" applyFont="1" applyBorder="1"/>
    <xf numFmtId="0" fontId="24" fillId="13" borderId="11" xfId="1539" applyFont="1" applyFill="1" applyBorder="1"/>
    <xf numFmtId="0" fontId="24" fillId="13" borderId="10" xfId="1539" applyFont="1" applyFill="1" applyBorder="1"/>
    <xf numFmtId="9" fontId="24" fillId="13" borderId="11" xfId="1539" applyNumberFormat="1" applyFont="1" applyFill="1" applyBorder="1"/>
    <xf numFmtId="0" fontId="24" fillId="13" borderId="12" xfId="1539" applyFont="1" applyFill="1" applyBorder="1" applyAlignment="1">
      <alignment horizontal="center"/>
    </xf>
    <xf numFmtId="9" fontId="24" fillId="0" borderId="15" xfId="1539" applyNumberFormat="1" applyFont="1" applyBorder="1"/>
    <xf numFmtId="0" fontId="2" fillId="0" borderId="11" xfId="1539" applyFont="1" applyBorder="1"/>
    <xf numFmtId="178" fontId="24" fillId="6" borderId="10" xfId="1539" applyNumberFormat="1" applyFont="1" applyFill="1" applyBorder="1"/>
    <xf numFmtId="0" fontId="2" fillId="0" borderId="12" xfId="1539" applyFont="1" applyBorder="1" applyAlignment="1">
      <alignment horizontal="center"/>
    </xf>
    <xf numFmtId="178" fontId="24" fillId="14" borderId="10" xfId="1539" applyNumberFormat="1" applyFont="1" applyFill="1" applyBorder="1"/>
    <xf numFmtId="0" fontId="2" fillId="0" borderId="12" xfId="1539" applyFont="1" applyBorder="1"/>
    <xf numFmtId="9" fontId="29" fillId="0" borderId="13" xfId="1539" applyNumberFormat="1" applyFont="1" applyBorder="1"/>
    <xf numFmtId="171" fontId="8" fillId="0" borderId="0" xfId="1539" applyNumberFormat="1" applyFont="1"/>
    <xf numFmtId="173" fontId="7" fillId="0" borderId="0" xfId="1539" applyNumberFormat="1" applyFont="1"/>
    <xf numFmtId="173" fontId="9" fillId="0" borderId="0" xfId="1539" applyNumberFormat="1" applyFont="1"/>
    <xf numFmtId="173" fontId="9" fillId="5" borderId="0" xfId="1539" applyNumberFormat="1" applyFont="1" applyFill="1"/>
    <xf numFmtId="179" fontId="5" fillId="0" borderId="0" xfId="1539" applyNumberFormat="1" applyFont="1"/>
    <xf numFmtId="0" fontId="31" fillId="0" borderId="0" xfId="1539" applyFont="1"/>
    <xf numFmtId="0" fontId="9" fillId="7" borderId="0" xfId="1539" applyFont="1" applyFill="1" applyAlignment="1">
      <alignment horizontal="center" wrapText="1"/>
    </xf>
    <xf numFmtId="17" fontId="7" fillId="0" borderId="0" xfId="1539" applyNumberFormat="1" applyFont="1"/>
    <xf numFmtId="180" fontId="23" fillId="0" borderId="0" xfId="1539" applyNumberFormat="1" applyFont="1"/>
    <xf numFmtId="180" fontId="7" fillId="0" borderId="0" xfId="1539" applyNumberFormat="1" applyFont="1"/>
    <xf numFmtId="180" fontId="9" fillId="5" borderId="0" xfId="1539" applyNumberFormat="1" applyFont="1" applyFill="1"/>
    <xf numFmtId="0" fontId="32" fillId="0" borderId="0" xfId="1539" applyFont="1"/>
    <xf numFmtId="0" fontId="32" fillId="0" borderId="0" xfId="1539" applyFont="1" applyAlignment="1">
      <alignment horizontal="center"/>
    </xf>
    <xf numFmtId="9" fontId="20" fillId="0" borderId="0" xfId="2" applyFont="1" applyAlignment="1">
      <alignment horizontal="center"/>
    </xf>
    <xf numFmtId="9" fontId="20" fillId="0" borderId="0" xfId="2" applyFont="1"/>
    <xf numFmtId="177" fontId="20" fillId="0" borderId="0" xfId="2" applyNumberFormat="1" applyFont="1"/>
    <xf numFmtId="177" fontId="22" fillId="0" borderId="0" xfId="1539" applyNumberFormat="1" applyFont="1"/>
    <xf numFmtId="177" fontId="20" fillId="0" borderId="0" xfId="1539" applyNumberFormat="1" applyFont="1"/>
    <xf numFmtId="172" fontId="20" fillId="0" borderId="0" xfId="2" applyNumberFormat="1" applyFont="1"/>
    <xf numFmtId="178" fontId="20" fillId="0" borderId="0" xfId="1539" applyNumberFormat="1" applyFont="1"/>
    <xf numFmtId="0" fontId="22" fillId="0" borderId="16" xfId="1539" applyFont="1" applyBorder="1" applyAlignment="1">
      <alignment horizontal="center"/>
    </xf>
    <xf numFmtId="0" fontId="22" fillId="15" borderId="16" xfId="1539" applyFont="1" applyFill="1" applyBorder="1" applyAlignment="1">
      <alignment horizontal="center"/>
    </xf>
    <xf numFmtId="0" fontId="22" fillId="0" borderId="0" xfId="1539" applyFont="1" applyAlignment="1">
      <alignment horizontal="center"/>
    </xf>
    <xf numFmtId="175" fontId="20" fillId="0" borderId="16" xfId="1539" applyNumberFormat="1" applyFont="1" applyBorder="1" applyAlignment="1">
      <alignment horizontal="center"/>
    </xf>
    <xf numFmtId="0" fontId="22" fillId="16" borderId="16" xfId="1539" applyFont="1" applyFill="1" applyBorder="1" applyAlignment="1">
      <alignment horizontal="center"/>
    </xf>
    <xf numFmtId="177" fontId="22" fillId="16" borderId="16" xfId="1539" applyNumberFormat="1" applyFont="1" applyFill="1" applyBorder="1"/>
    <xf numFmtId="0" fontId="22" fillId="17" borderId="16" xfId="1539" applyFont="1" applyFill="1" applyBorder="1" applyAlignment="1">
      <alignment horizontal="center"/>
    </xf>
    <xf numFmtId="177" fontId="22" fillId="17" borderId="16" xfId="1" applyNumberFormat="1" applyFont="1" applyFill="1" applyBorder="1"/>
    <xf numFmtId="0" fontId="22" fillId="18" borderId="16" xfId="1539" applyFont="1" applyFill="1" applyBorder="1" applyAlignment="1">
      <alignment horizontal="center"/>
    </xf>
    <xf numFmtId="177" fontId="22" fillId="18" borderId="16" xfId="1" applyNumberFormat="1" applyFont="1" applyFill="1" applyBorder="1"/>
    <xf numFmtId="0" fontId="20" fillId="0" borderId="16" xfId="1539" applyFont="1" applyBorder="1" applyAlignment="1">
      <alignment horizontal="center"/>
    </xf>
    <xf numFmtId="177" fontId="20" fillId="0" borderId="16" xfId="1" applyNumberFormat="1" applyFont="1" applyBorder="1"/>
    <xf numFmtId="0" fontId="22" fillId="19" borderId="16" xfId="1539" applyFont="1" applyFill="1" applyBorder="1" applyAlignment="1">
      <alignment horizontal="center"/>
    </xf>
    <xf numFmtId="177" fontId="22" fillId="19" borderId="16" xfId="1" applyNumberFormat="1" applyFont="1" applyFill="1" applyBorder="1"/>
    <xf numFmtId="0" fontId="22" fillId="0" borderId="0" xfId="1539" applyFont="1" applyAlignment="1">
      <alignment vertical="center"/>
    </xf>
    <xf numFmtId="0" fontId="22" fillId="2" borderId="18" xfId="1539" applyFont="1" applyFill="1" applyBorder="1" applyAlignment="1">
      <alignment vertical="center"/>
    </xf>
    <xf numFmtId="0" fontId="20" fillId="2" borderId="18" xfId="1539" applyFont="1" applyFill="1" applyBorder="1" applyAlignment="1">
      <alignment vertical="center"/>
    </xf>
    <xf numFmtId="0" fontId="22" fillId="20" borderId="18" xfId="1539" applyFont="1" applyFill="1" applyBorder="1" applyAlignment="1">
      <alignment vertical="center"/>
    </xf>
    <xf numFmtId="0" fontId="22" fillId="0" borderId="0" xfId="1539" applyFont="1" applyAlignment="1">
      <alignment horizontal="center" vertical="center"/>
    </xf>
    <xf numFmtId="0" fontId="20" fillId="0" borderId="19" xfId="1539" applyFont="1" applyBorder="1" applyAlignment="1">
      <alignment vertical="center"/>
    </xf>
    <xf numFmtId="172" fontId="20" fillId="0" borderId="19" xfId="1539" applyNumberFormat="1" applyFont="1" applyBorder="1" applyAlignment="1">
      <alignment vertical="center"/>
    </xf>
    <xf numFmtId="0" fontId="20" fillId="0" borderId="18" xfId="1539" applyFont="1" applyBorder="1" applyAlignment="1">
      <alignment vertical="center"/>
    </xf>
    <xf numFmtId="3" fontId="20" fillId="18" borderId="18" xfId="1539" applyNumberFormat="1" applyFont="1" applyFill="1" applyBorder="1" applyAlignment="1">
      <alignment vertical="center"/>
    </xf>
    <xf numFmtId="0" fontId="20" fillId="0" borderId="0" xfId="1539" applyFont="1" applyAlignment="1">
      <alignment horizontal="center" vertical="center"/>
    </xf>
    <xf numFmtId="3" fontId="20" fillId="0" borderId="0" xfId="1539" applyNumberFormat="1" applyFont="1" applyAlignment="1">
      <alignment vertical="center"/>
    </xf>
    <xf numFmtId="3" fontId="22" fillId="0" borderId="0" xfId="1539" applyNumberFormat="1" applyFont="1" applyAlignment="1">
      <alignment vertical="center"/>
    </xf>
    <xf numFmtId="0" fontId="20" fillId="0" borderId="20" xfId="1539" applyFont="1" applyBorder="1" applyAlignment="1">
      <alignment vertical="center"/>
    </xf>
    <xf numFmtId="172" fontId="20" fillId="0" borderId="20" xfId="1539" applyNumberFormat="1" applyFont="1" applyBorder="1" applyAlignment="1">
      <alignment vertical="center"/>
    </xf>
    <xf numFmtId="9" fontId="20" fillId="0" borderId="0" xfId="1539" applyNumberFormat="1" applyFont="1" applyAlignment="1">
      <alignment vertical="center"/>
    </xf>
    <xf numFmtId="0" fontId="22" fillId="2" borderId="21" xfId="1539" applyFont="1" applyFill="1" applyBorder="1" applyAlignment="1">
      <alignment vertical="center"/>
    </xf>
    <xf numFmtId="0" fontId="22" fillId="2" borderId="21" xfId="1539" applyFont="1" applyFill="1" applyBorder="1" applyAlignment="1">
      <alignment horizontal="center" vertical="center"/>
    </xf>
    <xf numFmtId="9" fontId="20" fillId="0" borderId="18" xfId="1539" applyNumberFormat="1" applyFont="1" applyBorder="1" applyAlignment="1">
      <alignment vertical="center"/>
    </xf>
    <xf numFmtId="172" fontId="20" fillId="0" borderId="0" xfId="1539" applyNumberFormat="1" applyFont="1" applyAlignment="1">
      <alignment vertical="center"/>
    </xf>
    <xf numFmtId="9" fontId="20" fillId="0" borderId="19" xfId="1539" applyNumberFormat="1" applyFont="1" applyBorder="1" applyAlignment="1">
      <alignment vertical="center"/>
    </xf>
    <xf numFmtId="172" fontId="20" fillId="0" borderId="19" xfId="2" applyNumberFormat="1" applyFont="1" applyBorder="1" applyAlignment="1">
      <alignment vertical="center"/>
    </xf>
    <xf numFmtId="9" fontId="20" fillId="0" borderId="20" xfId="1539" applyNumberFormat="1" applyFont="1" applyBorder="1" applyAlignment="1">
      <alignment vertical="center"/>
    </xf>
    <xf numFmtId="172" fontId="20" fillId="0" borderId="20" xfId="2" applyNumberFormat="1" applyFont="1" applyBorder="1" applyAlignment="1">
      <alignment vertical="center"/>
    </xf>
    <xf numFmtId="3" fontId="20" fillId="21" borderId="18" xfId="1539" applyNumberFormat="1" applyFont="1" applyFill="1" applyBorder="1" applyAlignment="1">
      <alignment vertical="center"/>
    </xf>
    <xf numFmtId="9" fontId="20" fillId="0" borderId="18" xfId="2" applyFont="1" applyBorder="1" applyAlignment="1">
      <alignment vertical="center"/>
    </xf>
    <xf numFmtId="4" fontId="20" fillId="0" borderId="0" xfId="1539" applyNumberFormat="1" applyFont="1" applyAlignment="1">
      <alignment vertical="center"/>
    </xf>
    <xf numFmtId="9" fontId="20" fillId="0" borderId="0" xfId="2" applyFont="1" applyAlignment="1">
      <alignment vertical="center"/>
    </xf>
    <xf numFmtId="0" fontId="22" fillId="2" borderId="18" xfId="1539" applyFont="1" applyFill="1" applyBorder="1" applyAlignment="1">
      <alignment horizontal="center" vertical="center"/>
    </xf>
    <xf numFmtId="9" fontId="20" fillId="0" borderId="0" xfId="2" applyFont="1" applyAlignment="1">
      <alignment horizontal="center" vertical="center"/>
    </xf>
    <xf numFmtId="0" fontId="22" fillId="16" borderId="22" xfId="1539" applyFont="1" applyFill="1" applyBorder="1" applyAlignment="1">
      <alignment vertical="center"/>
    </xf>
    <xf numFmtId="181" fontId="20" fillId="0" borderId="23" xfId="1539" applyNumberFormat="1" applyFont="1" applyBorder="1" applyAlignment="1">
      <alignment vertical="center"/>
    </xf>
    <xf numFmtId="181" fontId="20" fillId="0" borderId="0" xfId="1539" applyNumberFormat="1" applyFont="1" applyAlignment="1">
      <alignment vertical="center"/>
    </xf>
    <xf numFmtId="181" fontId="20" fillId="0" borderId="24" xfId="1539" applyNumberFormat="1" applyFont="1" applyBorder="1" applyAlignment="1">
      <alignment vertical="center"/>
    </xf>
    <xf numFmtId="0" fontId="21" fillId="22" borderId="25" xfId="1539" applyFont="1" applyFill="1" applyBorder="1" applyAlignment="1">
      <alignment horizontal="center" vertical="center"/>
    </xf>
    <xf numFmtId="0" fontId="21" fillId="22" borderId="26" xfId="1539" applyFont="1" applyFill="1" applyBorder="1" applyAlignment="1">
      <alignment horizontal="center" vertical="center"/>
    </xf>
    <xf numFmtId="0" fontId="21" fillId="22" borderId="27" xfId="1539" applyFont="1" applyFill="1" applyBorder="1" applyAlignment="1">
      <alignment horizontal="center" vertical="center"/>
    </xf>
    <xf numFmtId="0" fontId="35" fillId="0" borderId="22" xfId="1539" applyFont="1" applyBorder="1" applyAlignment="1">
      <alignment vertical="center"/>
    </xf>
    <xf numFmtId="3" fontId="20" fillId="0" borderId="22" xfId="1" applyNumberFormat="1" applyFont="1" applyBorder="1" applyAlignment="1">
      <alignment horizontal="center" vertical="center"/>
    </xf>
    <xf numFmtId="3" fontId="20" fillId="0" borderId="28" xfId="1" applyNumberFormat="1" applyFont="1" applyBorder="1" applyAlignment="1">
      <alignment horizontal="center" vertical="center"/>
    </xf>
    <xf numFmtId="3" fontId="20" fillId="0" borderId="29" xfId="1" applyNumberFormat="1" applyFont="1" applyBorder="1" applyAlignment="1">
      <alignment horizontal="center" vertical="center"/>
    </xf>
    <xf numFmtId="0" fontId="36" fillId="23" borderId="22" xfId="1539" applyFont="1" applyFill="1" applyBorder="1" applyAlignment="1">
      <alignment vertical="center"/>
    </xf>
    <xf numFmtId="3" fontId="22" fillId="24" borderId="22" xfId="1" applyNumberFormat="1" applyFont="1" applyFill="1" applyBorder="1" applyAlignment="1">
      <alignment horizontal="center" vertical="center"/>
    </xf>
    <xf numFmtId="3" fontId="22" fillId="24" borderId="28" xfId="1" applyNumberFormat="1" applyFont="1" applyFill="1" applyBorder="1" applyAlignment="1">
      <alignment horizontal="center" vertical="center"/>
    </xf>
    <xf numFmtId="3" fontId="22" fillId="24" borderId="29" xfId="1" applyNumberFormat="1" applyFont="1" applyFill="1" applyBorder="1" applyAlignment="1">
      <alignment horizontal="center" vertical="center"/>
    </xf>
    <xf numFmtId="3" fontId="22" fillId="23" borderId="28" xfId="1" applyNumberFormat="1" applyFont="1" applyFill="1" applyBorder="1" applyAlignment="1">
      <alignment horizontal="center" vertical="center"/>
    </xf>
    <xf numFmtId="3" fontId="22" fillId="23" borderId="29" xfId="1" applyNumberFormat="1" applyFont="1" applyFill="1" applyBorder="1" applyAlignment="1">
      <alignment horizontal="center" vertical="center"/>
    </xf>
    <xf numFmtId="3" fontId="22" fillId="23" borderId="22" xfId="1" applyNumberFormat="1" applyFont="1" applyFill="1" applyBorder="1" applyAlignment="1">
      <alignment horizontal="center" vertical="center"/>
    </xf>
    <xf numFmtId="0" fontId="36" fillId="25" borderId="0" xfId="1539" applyFont="1" applyFill="1" applyAlignment="1">
      <alignment vertical="center"/>
    </xf>
    <xf numFmtId="3" fontId="20" fillId="25" borderId="23" xfId="1" applyNumberFormat="1" applyFont="1" applyFill="1" applyBorder="1" applyAlignment="1">
      <alignment horizontal="center" vertical="center"/>
    </xf>
    <xf numFmtId="3" fontId="20" fillId="25" borderId="0" xfId="1" applyNumberFormat="1" applyFont="1" applyFill="1" applyAlignment="1">
      <alignment horizontal="center" vertical="center"/>
    </xf>
    <xf numFmtId="3" fontId="20" fillId="25" borderId="22" xfId="1" applyNumberFormat="1" applyFont="1" applyFill="1" applyBorder="1" applyAlignment="1">
      <alignment horizontal="center" vertical="center"/>
    </xf>
    <xf numFmtId="3" fontId="20" fillId="25" borderId="28" xfId="1" applyNumberFormat="1" applyFont="1" applyFill="1" applyBorder="1" applyAlignment="1">
      <alignment horizontal="center" vertical="center"/>
    </xf>
    <xf numFmtId="3" fontId="20" fillId="25" borderId="29" xfId="1" applyNumberFormat="1" applyFont="1" applyFill="1" applyBorder="1" applyAlignment="1">
      <alignment horizontal="center" vertical="center"/>
    </xf>
    <xf numFmtId="3" fontId="20" fillId="25" borderId="24" xfId="1" applyNumberFormat="1" applyFont="1" applyFill="1" applyBorder="1" applyAlignment="1">
      <alignment horizontal="center" vertical="center"/>
    </xf>
    <xf numFmtId="0" fontId="36" fillId="25" borderId="23" xfId="1539" applyFont="1" applyFill="1" applyBorder="1" applyAlignment="1">
      <alignment vertical="center"/>
    </xf>
    <xf numFmtId="177" fontId="21" fillId="26" borderId="22" xfId="1539" applyNumberFormat="1" applyFont="1" applyFill="1" applyBorder="1" applyAlignment="1">
      <alignment vertical="center"/>
    </xf>
    <xf numFmtId="3" fontId="21" fillId="26" borderId="22" xfId="1539" applyNumberFormat="1" applyFont="1" applyFill="1" applyBorder="1" applyAlignment="1">
      <alignment horizontal="center" vertical="center"/>
    </xf>
    <xf numFmtId="3" fontId="21" fillId="26" borderId="28" xfId="1539" applyNumberFormat="1" applyFont="1" applyFill="1" applyBorder="1" applyAlignment="1">
      <alignment horizontal="center" vertical="center"/>
    </xf>
    <xf numFmtId="3" fontId="21" fillId="26" borderId="29" xfId="1539" applyNumberFormat="1" applyFont="1" applyFill="1" applyBorder="1" applyAlignment="1">
      <alignment horizontal="center" vertical="center"/>
    </xf>
    <xf numFmtId="3" fontId="20" fillId="0" borderId="23" xfId="1539" applyNumberFormat="1" applyFont="1" applyBorder="1" applyAlignment="1">
      <alignment horizontal="center" vertical="center"/>
    </xf>
    <xf numFmtId="3" fontId="20" fillId="0" borderId="0" xfId="1539" applyNumberFormat="1" applyFont="1" applyAlignment="1">
      <alignment horizontal="center" vertical="center"/>
    </xf>
    <xf numFmtId="3" fontId="20" fillId="0" borderId="24" xfId="1539" applyNumberFormat="1" applyFont="1" applyBorder="1" applyAlignment="1">
      <alignment horizontal="center" vertical="center"/>
    </xf>
    <xf numFmtId="182" fontId="21" fillId="27" borderId="30" xfId="1" applyNumberFormat="1" applyFont="1" applyFill="1" applyBorder="1" applyAlignment="1">
      <alignment vertical="center"/>
    </xf>
    <xf numFmtId="0" fontId="37" fillId="0" borderId="0" xfId="1539" applyFont="1" applyAlignment="1">
      <alignment horizontal="center"/>
    </xf>
    <xf numFmtId="0" fontId="38" fillId="0" borderId="0" xfId="1539" applyFont="1" applyAlignment="1">
      <alignment horizontal="center"/>
    </xf>
    <xf numFmtId="0" fontId="3" fillId="0" borderId="10" xfId="1539" applyFont="1" applyBorder="1"/>
    <xf numFmtId="0" fontId="0" fillId="0" borderId="10" xfId="1539" applyFont="1" applyBorder="1"/>
    <xf numFmtId="0" fontId="39" fillId="15" borderId="0" xfId="1539" applyFont="1" applyFill="1"/>
    <xf numFmtId="10" fontId="0" fillId="0" borderId="0" xfId="1539" applyNumberFormat="1" applyFont="1"/>
    <xf numFmtId="10" fontId="40" fillId="0" borderId="10" xfId="1539" applyNumberFormat="1" applyFont="1" applyBorder="1" applyAlignment="1">
      <alignment horizontal="center" vertical="center" wrapText="1"/>
    </xf>
    <xf numFmtId="10" fontId="0" fillId="0" borderId="10" xfId="1539" applyNumberFormat="1" applyFont="1" applyBorder="1"/>
    <xf numFmtId="0" fontId="39" fillId="15" borderId="8" xfId="1539" applyFont="1" applyFill="1" applyBorder="1"/>
    <xf numFmtId="10" fontId="40" fillId="6" borderId="10" xfId="1539" applyNumberFormat="1" applyFont="1" applyFill="1" applyBorder="1" applyAlignment="1">
      <alignment horizontal="center" vertical="center" wrapText="1"/>
    </xf>
    <xf numFmtId="0" fontId="37" fillId="0" borderId="0" xfId="1539" applyFont="1"/>
    <xf numFmtId="4" fontId="0" fillId="0" borderId="0" xfId="1539" applyNumberFormat="1" applyFont="1"/>
    <xf numFmtId="0" fontId="3" fillId="0" borderId="10" xfId="1539" applyFont="1" applyBorder="1" applyAlignment="1">
      <alignment horizontal="center"/>
    </xf>
    <xf numFmtId="0" fontId="3" fillId="0" borderId="0" xfId="1539" applyFont="1"/>
    <xf numFmtId="10" fontId="40" fillId="0" borderId="0" xfId="1539" applyNumberFormat="1" applyFont="1" applyAlignment="1">
      <alignment horizontal="center" vertical="center" wrapText="1"/>
    </xf>
    <xf numFmtId="0" fontId="38" fillId="15" borderId="32" xfId="1539" applyFont="1" applyFill="1" applyBorder="1"/>
    <xf numFmtId="10" fontId="38" fillId="15" borderId="33" xfId="1539" applyNumberFormat="1" applyFont="1" applyFill="1" applyBorder="1"/>
    <xf numFmtId="0" fontId="38" fillId="15" borderId="0" xfId="1539" applyFont="1" applyFill="1"/>
    <xf numFmtId="10" fontId="38" fillId="15" borderId="10" xfId="1539" applyNumberFormat="1" applyFont="1" applyFill="1" applyBorder="1" applyAlignment="1">
      <alignment horizontal="center"/>
    </xf>
    <xf numFmtId="0" fontId="37" fillId="0" borderId="34" xfId="1539" applyFont="1" applyBorder="1"/>
    <xf numFmtId="172" fontId="37" fillId="0" borderId="33" xfId="1539" applyNumberFormat="1" applyFont="1" applyBorder="1"/>
    <xf numFmtId="172" fontId="37" fillId="0" borderId="0" xfId="1539" applyNumberFormat="1" applyFont="1"/>
    <xf numFmtId="0" fontId="37" fillId="0" borderId="35" xfId="1539" applyFont="1" applyBorder="1"/>
    <xf numFmtId="0" fontId="39" fillId="0" borderId="0" xfId="1539" applyFont="1"/>
    <xf numFmtId="0" fontId="37" fillId="0" borderId="32" xfId="1539" applyFont="1" applyBorder="1"/>
    <xf numFmtId="172" fontId="37" fillId="0" borderId="36" xfId="1539" applyNumberFormat="1" applyFont="1" applyBorder="1"/>
    <xf numFmtId="183" fontId="41" fillId="0" borderId="0" xfId="1539" applyNumberFormat="1" applyFont="1" applyAlignment="1">
      <alignment vertical="top"/>
    </xf>
    <xf numFmtId="0" fontId="40" fillId="0" borderId="19" xfId="1539" applyFont="1" applyBorder="1" applyAlignment="1">
      <alignment horizontal="center" vertical="center" wrapText="1"/>
    </xf>
    <xf numFmtId="0" fontId="38" fillId="0" borderId="0" xfId="1539" applyFont="1"/>
    <xf numFmtId="10" fontId="38" fillId="0" borderId="0" xfId="1539" applyNumberFormat="1" applyFont="1"/>
    <xf numFmtId="177" fontId="42" fillId="0" borderId="0" xfId="1" applyNumberFormat="1" applyFont="1"/>
    <xf numFmtId="177" fontId="42" fillId="0" borderId="33" xfId="1" applyNumberFormat="1" applyFont="1" applyBorder="1"/>
    <xf numFmtId="2" fontId="40" fillId="0" borderId="19" xfId="1539" applyNumberFormat="1" applyFont="1" applyBorder="1" applyAlignment="1">
      <alignment horizontal="center" vertical="center" wrapText="1"/>
    </xf>
    <xf numFmtId="0" fontId="37" fillId="0" borderId="10" xfId="1539" applyFont="1" applyBorder="1"/>
    <xf numFmtId="0" fontId="28" fillId="15" borderId="10" xfId="1539" applyFont="1" applyFill="1" applyBorder="1"/>
    <xf numFmtId="0" fontId="38" fillId="15" borderId="10" xfId="1539" applyFont="1" applyFill="1" applyBorder="1"/>
    <xf numFmtId="10" fontId="0" fillId="6" borderId="10" xfId="1539" applyNumberFormat="1" applyFont="1" applyFill="1" applyBorder="1"/>
    <xf numFmtId="0" fontId="43" fillId="0" borderId="0" xfId="1539" applyFont="1"/>
    <xf numFmtId="0" fontId="43" fillId="0" borderId="0" xfId="1539" applyFont="1" applyAlignment="1">
      <alignment horizontal="center"/>
    </xf>
    <xf numFmtId="177" fontId="37" fillId="0" borderId="0" xfId="1" applyNumberFormat="1" applyFont="1"/>
    <xf numFmtId="10" fontId="37" fillId="0" borderId="0" xfId="1539" applyNumberFormat="1" applyFont="1"/>
    <xf numFmtId="17" fontId="23" fillId="6" borderId="0" xfId="1539" applyNumberFormat="1" applyFont="1" applyFill="1"/>
    <xf numFmtId="4" fontId="23" fillId="0" borderId="0" xfId="1539" applyNumberFormat="1" applyFont="1"/>
    <xf numFmtId="4" fontId="7" fillId="0" borderId="0" xfId="1539" applyNumberFormat="1" applyFont="1"/>
    <xf numFmtId="4" fontId="9" fillId="5" borderId="0" xfId="1539" applyNumberFormat="1" applyFont="1" applyFill="1"/>
    <xf numFmtId="0" fontId="5" fillId="0" borderId="0" xfId="1539" applyFont="1" applyAlignment="1"/>
    <xf numFmtId="0" fontId="33" fillId="0" borderId="0" xfId="1539" applyFont="1" applyAlignment="1"/>
    <xf numFmtId="0" fontId="0" fillId="0" borderId="0" xfId="0" applyAlignment="1"/>
  </cellXfs>
  <cellStyles count="21694">
    <cellStyle name="20% - Énfasis1 10" xfId="3" xr:uid="{00000000-0005-0000-0000-000006000000}"/>
    <cellStyle name="20% - Énfasis1 10 2" xfId="4" xr:uid="{00000000-0005-0000-0000-000007000000}"/>
    <cellStyle name="20% - Énfasis1 10 2 2" xfId="5" xr:uid="{00000000-0005-0000-0000-000008000000}"/>
    <cellStyle name="20% - Énfasis1 10 2 2 2" xfId="6" xr:uid="{00000000-0005-0000-0000-000009000000}"/>
    <cellStyle name="20% - Énfasis1 10 2 2 2 2" xfId="7" xr:uid="{00000000-0005-0000-0000-00000A000000}"/>
    <cellStyle name="20% - Énfasis1 10 2 2 2 2 2" xfId="8" xr:uid="{00000000-0005-0000-0000-00000B000000}"/>
    <cellStyle name="20% - Énfasis1 10 2 2 2 3" xfId="9" xr:uid="{00000000-0005-0000-0000-00000C000000}"/>
    <cellStyle name="20% - Énfasis1 10 2 2 3" xfId="10" xr:uid="{00000000-0005-0000-0000-00000D000000}"/>
    <cellStyle name="20% - Énfasis1 10 2 2 3 2" xfId="11" xr:uid="{00000000-0005-0000-0000-00000E000000}"/>
    <cellStyle name="20% - Énfasis1 10 2 2 4" xfId="12" xr:uid="{00000000-0005-0000-0000-00000F000000}"/>
    <cellStyle name="20% - Énfasis1 10 2 3" xfId="13" xr:uid="{00000000-0005-0000-0000-000010000000}"/>
    <cellStyle name="20% - Énfasis1 10 2 3 2" xfId="14" xr:uid="{00000000-0005-0000-0000-000011000000}"/>
    <cellStyle name="20% - Énfasis1 10 2 3 2 2" xfId="15" xr:uid="{00000000-0005-0000-0000-000012000000}"/>
    <cellStyle name="20% - Énfasis1 10 2 3 3" xfId="16" xr:uid="{00000000-0005-0000-0000-000013000000}"/>
    <cellStyle name="20% - Énfasis1 10 2 4" xfId="17" xr:uid="{00000000-0005-0000-0000-000014000000}"/>
    <cellStyle name="20% - Énfasis1 10 2 4 2" xfId="18" xr:uid="{00000000-0005-0000-0000-000015000000}"/>
    <cellStyle name="20% - Énfasis1 10 2 4 2 2" xfId="19" xr:uid="{00000000-0005-0000-0000-000016000000}"/>
    <cellStyle name="20% - Énfasis1 10 2 4 3" xfId="20" xr:uid="{00000000-0005-0000-0000-000017000000}"/>
    <cellStyle name="20% - Énfasis1 10 2 5" xfId="21" xr:uid="{00000000-0005-0000-0000-000018000000}"/>
    <cellStyle name="20% - Énfasis1 10 2 5 2" xfId="22" xr:uid="{00000000-0005-0000-0000-000019000000}"/>
    <cellStyle name="20% - Énfasis1 10 2 6" xfId="23" xr:uid="{00000000-0005-0000-0000-00001A000000}"/>
    <cellStyle name="20% - Énfasis1 10 3" xfId="24" xr:uid="{00000000-0005-0000-0000-00001B000000}"/>
    <cellStyle name="20% - Énfasis1 10 3 2" xfId="25" xr:uid="{00000000-0005-0000-0000-00001C000000}"/>
    <cellStyle name="20% - Énfasis1 10 3 2 2" xfId="26" xr:uid="{00000000-0005-0000-0000-00001D000000}"/>
    <cellStyle name="20% - Énfasis1 10 3 2 2 2" xfId="27" xr:uid="{00000000-0005-0000-0000-00001E000000}"/>
    <cellStyle name="20% - Énfasis1 10 3 2 3" xfId="28" xr:uid="{00000000-0005-0000-0000-00001F000000}"/>
    <cellStyle name="20% - Énfasis1 10 3 3" xfId="29" xr:uid="{00000000-0005-0000-0000-000020000000}"/>
    <cellStyle name="20% - Énfasis1 10 3 3 2" xfId="30" xr:uid="{00000000-0005-0000-0000-000021000000}"/>
    <cellStyle name="20% - Énfasis1 10 3 3 2 2" xfId="31" xr:uid="{00000000-0005-0000-0000-000022000000}"/>
    <cellStyle name="20% - Énfasis1 10 3 3 3" xfId="32" xr:uid="{00000000-0005-0000-0000-000023000000}"/>
    <cellStyle name="20% - Énfasis1 10 3 4" xfId="33" xr:uid="{00000000-0005-0000-0000-000024000000}"/>
    <cellStyle name="20% - Énfasis1 10 3 4 2" xfId="34" xr:uid="{00000000-0005-0000-0000-000025000000}"/>
    <cellStyle name="20% - Énfasis1 10 3 5" xfId="35" xr:uid="{00000000-0005-0000-0000-000026000000}"/>
    <cellStyle name="20% - Énfasis1 10 4" xfId="36" xr:uid="{00000000-0005-0000-0000-000027000000}"/>
    <cellStyle name="20% - Énfasis1 10 4 2" xfId="37" xr:uid="{00000000-0005-0000-0000-000028000000}"/>
    <cellStyle name="20% - Énfasis1 10 4 2 2" xfId="38" xr:uid="{00000000-0005-0000-0000-000029000000}"/>
    <cellStyle name="20% - Énfasis1 10 4 2 2 2" xfId="39" xr:uid="{00000000-0005-0000-0000-00002A000000}"/>
    <cellStyle name="20% - Énfasis1 10 4 2 3" xfId="40" xr:uid="{00000000-0005-0000-0000-00002B000000}"/>
    <cellStyle name="20% - Énfasis1 10 4 3" xfId="41" xr:uid="{00000000-0005-0000-0000-00002C000000}"/>
    <cellStyle name="20% - Énfasis1 10 4 3 2" xfId="42" xr:uid="{00000000-0005-0000-0000-00002D000000}"/>
    <cellStyle name="20% - Énfasis1 10 4 4" xfId="43" xr:uid="{00000000-0005-0000-0000-00002E000000}"/>
    <cellStyle name="20% - Énfasis1 10 5" xfId="44" xr:uid="{00000000-0005-0000-0000-00002F000000}"/>
    <cellStyle name="20% - Énfasis1 10 5 2" xfId="45" xr:uid="{00000000-0005-0000-0000-000030000000}"/>
    <cellStyle name="20% - Énfasis1 10 5 2 2" xfId="46" xr:uid="{00000000-0005-0000-0000-000031000000}"/>
    <cellStyle name="20% - Énfasis1 10 5 3" xfId="47" xr:uid="{00000000-0005-0000-0000-000032000000}"/>
    <cellStyle name="20% - Énfasis1 10 6" xfId="48" xr:uid="{00000000-0005-0000-0000-000033000000}"/>
    <cellStyle name="20% - Énfasis1 10 6 2" xfId="49" xr:uid="{00000000-0005-0000-0000-000034000000}"/>
    <cellStyle name="20% - Énfasis1 10 6 2 2" xfId="50" xr:uid="{00000000-0005-0000-0000-000035000000}"/>
    <cellStyle name="20% - Énfasis1 10 6 3" xfId="51" xr:uid="{00000000-0005-0000-0000-000036000000}"/>
    <cellStyle name="20% - Énfasis1 10 7" xfId="52" xr:uid="{00000000-0005-0000-0000-000037000000}"/>
    <cellStyle name="20% - Énfasis1 10 7 2" xfId="53" xr:uid="{00000000-0005-0000-0000-000038000000}"/>
    <cellStyle name="20% - Énfasis1 10 8" xfId="54" xr:uid="{00000000-0005-0000-0000-000039000000}"/>
    <cellStyle name="20% - Énfasis1 11" xfId="55" xr:uid="{00000000-0005-0000-0000-00003A000000}"/>
    <cellStyle name="20% - Énfasis1 11 2" xfId="56" xr:uid="{00000000-0005-0000-0000-00003B000000}"/>
    <cellStyle name="20% - Énfasis1 11 2 2" xfId="57" xr:uid="{00000000-0005-0000-0000-00003C000000}"/>
    <cellStyle name="20% - Énfasis1 11 2 2 2" xfId="58" xr:uid="{00000000-0005-0000-0000-00003D000000}"/>
    <cellStyle name="20% - Énfasis1 11 2 2 2 2" xfId="59" xr:uid="{00000000-0005-0000-0000-00003E000000}"/>
    <cellStyle name="20% - Énfasis1 11 2 2 2 2 2" xfId="60" xr:uid="{00000000-0005-0000-0000-00003F000000}"/>
    <cellStyle name="20% - Énfasis1 11 2 2 2 3" xfId="61" xr:uid="{00000000-0005-0000-0000-000040000000}"/>
    <cellStyle name="20% - Énfasis1 11 2 2 3" xfId="62" xr:uid="{00000000-0005-0000-0000-000041000000}"/>
    <cellStyle name="20% - Énfasis1 11 2 2 3 2" xfId="63" xr:uid="{00000000-0005-0000-0000-000042000000}"/>
    <cellStyle name="20% - Énfasis1 11 2 2 4" xfId="64" xr:uid="{00000000-0005-0000-0000-000043000000}"/>
    <cellStyle name="20% - Énfasis1 11 2 3" xfId="65" xr:uid="{00000000-0005-0000-0000-000044000000}"/>
    <cellStyle name="20% - Énfasis1 11 2 3 2" xfId="66" xr:uid="{00000000-0005-0000-0000-000045000000}"/>
    <cellStyle name="20% - Énfasis1 11 2 3 2 2" xfId="67" xr:uid="{00000000-0005-0000-0000-000046000000}"/>
    <cellStyle name="20% - Énfasis1 11 2 3 3" xfId="68" xr:uid="{00000000-0005-0000-0000-000047000000}"/>
    <cellStyle name="20% - Énfasis1 11 2 4" xfId="69" xr:uid="{00000000-0005-0000-0000-000048000000}"/>
    <cellStyle name="20% - Énfasis1 11 2 4 2" xfId="70" xr:uid="{00000000-0005-0000-0000-000049000000}"/>
    <cellStyle name="20% - Énfasis1 11 2 4 2 2" xfId="71" xr:uid="{00000000-0005-0000-0000-00004A000000}"/>
    <cellStyle name="20% - Énfasis1 11 2 4 3" xfId="72" xr:uid="{00000000-0005-0000-0000-00004B000000}"/>
    <cellStyle name="20% - Énfasis1 11 2 5" xfId="73" xr:uid="{00000000-0005-0000-0000-00004C000000}"/>
    <cellStyle name="20% - Énfasis1 11 2 5 2" xfId="74" xr:uid="{00000000-0005-0000-0000-00004D000000}"/>
    <cellStyle name="20% - Énfasis1 11 2 6" xfId="75" xr:uid="{00000000-0005-0000-0000-00004E000000}"/>
    <cellStyle name="20% - Énfasis1 11 3" xfId="76" xr:uid="{00000000-0005-0000-0000-00004F000000}"/>
    <cellStyle name="20% - Énfasis1 11 3 2" xfId="77" xr:uid="{00000000-0005-0000-0000-000050000000}"/>
    <cellStyle name="20% - Énfasis1 11 3 2 2" xfId="78" xr:uid="{00000000-0005-0000-0000-000051000000}"/>
    <cellStyle name="20% - Énfasis1 11 3 2 2 2" xfId="79" xr:uid="{00000000-0005-0000-0000-000052000000}"/>
    <cellStyle name="20% - Énfasis1 11 3 2 3" xfId="80" xr:uid="{00000000-0005-0000-0000-000053000000}"/>
    <cellStyle name="20% - Énfasis1 11 3 3" xfId="81" xr:uid="{00000000-0005-0000-0000-000054000000}"/>
    <cellStyle name="20% - Énfasis1 11 3 3 2" xfId="82" xr:uid="{00000000-0005-0000-0000-000055000000}"/>
    <cellStyle name="20% - Énfasis1 11 3 3 2 2" xfId="83" xr:uid="{00000000-0005-0000-0000-000056000000}"/>
    <cellStyle name="20% - Énfasis1 11 3 3 3" xfId="84" xr:uid="{00000000-0005-0000-0000-000057000000}"/>
    <cellStyle name="20% - Énfasis1 11 3 4" xfId="85" xr:uid="{00000000-0005-0000-0000-000058000000}"/>
    <cellStyle name="20% - Énfasis1 11 3 4 2" xfId="86" xr:uid="{00000000-0005-0000-0000-000059000000}"/>
    <cellStyle name="20% - Énfasis1 11 3 5" xfId="87" xr:uid="{00000000-0005-0000-0000-00005A000000}"/>
    <cellStyle name="20% - Énfasis1 11 4" xfId="88" xr:uid="{00000000-0005-0000-0000-00005B000000}"/>
    <cellStyle name="20% - Énfasis1 11 4 2" xfId="89" xr:uid="{00000000-0005-0000-0000-00005C000000}"/>
    <cellStyle name="20% - Énfasis1 11 4 2 2" xfId="90" xr:uid="{00000000-0005-0000-0000-00005D000000}"/>
    <cellStyle name="20% - Énfasis1 11 4 2 2 2" xfId="91" xr:uid="{00000000-0005-0000-0000-00005E000000}"/>
    <cellStyle name="20% - Énfasis1 11 4 2 3" xfId="92" xr:uid="{00000000-0005-0000-0000-00005F000000}"/>
    <cellStyle name="20% - Énfasis1 11 4 3" xfId="93" xr:uid="{00000000-0005-0000-0000-000060000000}"/>
    <cellStyle name="20% - Énfasis1 11 4 3 2" xfId="94" xr:uid="{00000000-0005-0000-0000-000061000000}"/>
    <cellStyle name="20% - Énfasis1 11 4 4" xfId="95" xr:uid="{00000000-0005-0000-0000-000062000000}"/>
    <cellStyle name="20% - Énfasis1 11 5" xfId="96" xr:uid="{00000000-0005-0000-0000-000063000000}"/>
    <cellStyle name="20% - Énfasis1 11 5 2" xfId="97" xr:uid="{00000000-0005-0000-0000-000064000000}"/>
    <cellStyle name="20% - Énfasis1 11 5 2 2" xfId="98" xr:uid="{00000000-0005-0000-0000-000065000000}"/>
    <cellStyle name="20% - Énfasis1 11 5 3" xfId="99" xr:uid="{00000000-0005-0000-0000-000066000000}"/>
    <cellStyle name="20% - Énfasis1 11 6" xfId="100" xr:uid="{00000000-0005-0000-0000-000067000000}"/>
    <cellStyle name="20% - Énfasis1 11 6 2" xfId="101" xr:uid="{00000000-0005-0000-0000-000068000000}"/>
    <cellStyle name="20% - Énfasis1 11 6 2 2" xfId="102" xr:uid="{00000000-0005-0000-0000-000069000000}"/>
    <cellStyle name="20% - Énfasis1 11 6 3" xfId="103" xr:uid="{00000000-0005-0000-0000-00006A000000}"/>
    <cellStyle name="20% - Énfasis1 11 7" xfId="104" xr:uid="{00000000-0005-0000-0000-00006B000000}"/>
    <cellStyle name="20% - Énfasis1 11 7 2" xfId="105" xr:uid="{00000000-0005-0000-0000-00006C000000}"/>
    <cellStyle name="20% - Énfasis1 11 8" xfId="106" xr:uid="{00000000-0005-0000-0000-00006D000000}"/>
    <cellStyle name="20% - Énfasis1 12" xfId="107" xr:uid="{00000000-0005-0000-0000-00006E000000}"/>
    <cellStyle name="20% - Énfasis1 12 2" xfId="108" xr:uid="{00000000-0005-0000-0000-00006F000000}"/>
    <cellStyle name="20% - Énfasis1 12 2 2" xfId="109" xr:uid="{00000000-0005-0000-0000-000070000000}"/>
    <cellStyle name="20% - Énfasis1 12 2 2 2" xfId="110" xr:uid="{00000000-0005-0000-0000-000071000000}"/>
    <cellStyle name="20% - Énfasis1 12 2 2 2 2" xfId="111" xr:uid="{00000000-0005-0000-0000-000072000000}"/>
    <cellStyle name="20% - Énfasis1 12 2 2 2 2 2" xfId="112" xr:uid="{00000000-0005-0000-0000-000073000000}"/>
    <cellStyle name="20% - Énfasis1 12 2 2 2 3" xfId="113" xr:uid="{00000000-0005-0000-0000-000074000000}"/>
    <cellStyle name="20% - Énfasis1 12 2 2 3" xfId="114" xr:uid="{00000000-0005-0000-0000-000075000000}"/>
    <cellStyle name="20% - Énfasis1 12 2 2 3 2" xfId="115" xr:uid="{00000000-0005-0000-0000-000076000000}"/>
    <cellStyle name="20% - Énfasis1 12 2 2 4" xfId="116" xr:uid="{00000000-0005-0000-0000-000077000000}"/>
    <cellStyle name="20% - Énfasis1 12 2 3" xfId="117" xr:uid="{00000000-0005-0000-0000-000078000000}"/>
    <cellStyle name="20% - Énfasis1 12 2 3 2" xfId="118" xr:uid="{00000000-0005-0000-0000-000079000000}"/>
    <cellStyle name="20% - Énfasis1 12 2 3 2 2" xfId="119" xr:uid="{00000000-0005-0000-0000-00007A000000}"/>
    <cellStyle name="20% - Énfasis1 12 2 3 3" xfId="120" xr:uid="{00000000-0005-0000-0000-00007B000000}"/>
    <cellStyle name="20% - Énfasis1 12 2 4" xfId="121" xr:uid="{00000000-0005-0000-0000-00007C000000}"/>
    <cellStyle name="20% - Énfasis1 12 2 4 2" xfId="122" xr:uid="{00000000-0005-0000-0000-00007D000000}"/>
    <cellStyle name="20% - Énfasis1 12 2 4 2 2" xfId="123" xr:uid="{00000000-0005-0000-0000-00007E000000}"/>
    <cellStyle name="20% - Énfasis1 12 2 4 3" xfId="124" xr:uid="{00000000-0005-0000-0000-00007F000000}"/>
    <cellStyle name="20% - Énfasis1 12 2 5" xfId="125" xr:uid="{00000000-0005-0000-0000-000080000000}"/>
    <cellStyle name="20% - Énfasis1 12 2 5 2" xfId="126" xr:uid="{00000000-0005-0000-0000-000081000000}"/>
    <cellStyle name="20% - Énfasis1 12 2 6" xfId="127" xr:uid="{00000000-0005-0000-0000-000082000000}"/>
    <cellStyle name="20% - Énfasis1 12 3" xfId="128" xr:uid="{00000000-0005-0000-0000-000083000000}"/>
    <cellStyle name="20% - Énfasis1 12 3 2" xfId="129" xr:uid="{00000000-0005-0000-0000-000084000000}"/>
    <cellStyle name="20% - Énfasis1 12 3 2 2" xfId="130" xr:uid="{00000000-0005-0000-0000-000085000000}"/>
    <cellStyle name="20% - Énfasis1 12 3 2 2 2" xfId="131" xr:uid="{00000000-0005-0000-0000-000086000000}"/>
    <cellStyle name="20% - Énfasis1 12 3 2 3" xfId="132" xr:uid="{00000000-0005-0000-0000-000087000000}"/>
    <cellStyle name="20% - Énfasis1 12 3 3" xfId="133" xr:uid="{00000000-0005-0000-0000-000088000000}"/>
    <cellStyle name="20% - Énfasis1 12 3 3 2" xfId="134" xr:uid="{00000000-0005-0000-0000-000089000000}"/>
    <cellStyle name="20% - Énfasis1 12 3 3 2 2" xfId="135" xr:uid="{00000000-0005-0000-0000-00008A000000}"/>
    <cellStyle name="20% - Énfasis1 12 3 3 3" xfId="136" xr:uid="{00000000-0005-0000-0000-00008B000000}"/>
    <cellStyle name="20% - Énfasis1 12 3 4" xfId="137" xr:uid="{00000000-0005-0000-0000-00008C000000}"/>
    <cellStyle name="20% - Énfasis1 12 3 4 2" xfId="138" xr:uid="{00000000-0005-0000-0000-00008D000000}"/>
    <cellStyle name="20% - Énfasis1 12 3 5" xfId="139" xr:uid="{00000000-0005-0000-0000-00008E000000}"/>
    <cellStyle name="20% - Énfasis1 12 4" xfId="140" xr:uid="{00000000-0005-0000-0000-00008F000000}"/>
    <cellStyle name="20% - Énfasis1 12 4 2" xfId="141" xr:uid="{00000000-0005-0000-0000-000090000000}"/>
    <cellStyle name="20% - Énfasis1 12 4 2 2" xfId="142" xr:uid="{00000000-0005-0000-0000-000091000000}"/>
    <cellStyle name="20% - Énfasis1 12 4 2 2 2" xfId="143" xr:uid="{00000000-0005-0000-0000-000092000000}"/>
    <cellStyle name="20% - Énfasis1 12 4 2 3" xfId="144" xr:uid="{00000000-0005-0000-0000-000093000000}"/>
    <cellStyle name="20% - Énfasis1 12 4 3" xfId="145" xr:uid="{00000000-0005-0000-0000-000094000000}"/>
    <cellStyle name="20% - Énfasis1 12 4 3 2" xfId="146" xr:uid="{00000000-0005-0000-0000-000095000000}"/>
    <cellStyle name="20% - Énfasis1 12 4 4" xfId="147" xr:uid="{00000000-0005-0000-0000-000096000000}"/>
    <cellStyle name="20% - Énfasis1 12 5" xfId="148" xr:uid="{00000000-0005-0000-0000-000097000000}"/>
    <cellStyle name="20% - Énfasis1 12 5 2" xfId="149" xr:uid="{00000000-0005-0000-0000-000098000000}"/>
    <cellStyle name="20% - Énfasis1 12 5 2 2" xfId="150" xr:uid="{00000000-0005-0000-0000-000099000000}"/>
    <cellStyle name="20% - Énfasis1 12 5 3" xfId="151" xr:uid="{00000000-0005-0000-0000-00009A000000}"/>
    <cellStyle name="20% - Énfasis1 12 6" xfId="152" xr:uid="{00000000-0005-0000-0000-00009B000000}"/>
    <cellStyle name="20% - Énfasis1 12 6 2" xfId="153" xr:uid="{00000000-0005-0000-0000-00009C000000}"/>
    <cellStyle name="20% - Énfasis1 12 6 2 2" xfId="154" xr:uid="{00000000-0005-0000-0000-00009D000000}"/>
    <cellStyle name="20% - Énfasis1 12 6 3" xfId="155" xr:uid="{00000000-0005-0000-0000-00009E000000}"/>
    <cellStyle name="20% - Énfasis1 12 7" xfId="156" xr:uid="{00000000-0005-0000-0000-00009F000000}"/>
    <cellStyle name="20% - Énfasis1 12 7 2" xfId="157" xr:uid="{00000000-0005-0000-0000-0000A0000000}"/>
    <cellStyle name="20% - Énfasis1 12 8" xfId="158" xr:uid="{00000000-0005-0000-0000-0000A1000000}"/>
    <cellStyle name="20% - Énfasis1 13" xfId="159" xr:uid="{00000000-0005-0000-0000-0000A2000000}"/>
    <cellStyle name="20% - Énfasis1 13 2" xfId="160" xr:uid="{00000000-0005-0000-0000-0000A3000000}"/>
    <cellStyle name="20% - Énfasis1 13 2 2" xfId="161" xr:uid="{00000000-0005-0000-0000-0000A4000000}"/>
    <cellStyle name="20% - Énfasis1 13 2 2 2" xfId="162" xr:uid="{00000000-0005-0000-0000-0000A5000000}"/>
    <cellStyle name="20% - Énfasis1 13 2 2 2 2" xfId="163" xr:uid="{00000000-0005-0000-0000-0000A6000000}"/>
    <cellStyle name="20% - Énfasis1 13 2 2 2 2 2" xfId="164" xr:uid="{00000000-0005-0000-0000-0000A7000000}"/>
    <cellStyle name="20% - Énfasis1 13 2 2 2 3" xfId="165" xr:uid="{00000000-0005-0000-0000-0000A8000000}"/>
    <cellStyle name="20% - Énfasis1 13 2 2 3" xfId="166" xr:uid="{00000000-0005-0000-0000-0000A9000000}"/>
    <cellStyle name="20% - Énfasis1 13 2 2 3 2" xfId="167" xr:uid="{00000000-0005-0000-0000-0000AA000000}"/>
    <cellStyle name="20% - Énfasis1 13 2 2 4" xfId="168" xr:uid="{00000000-0005-0000-0000-0000AB000000}"/>
    <cellStyle name="20% - Énfasis1 13 2 3" xfId="169" xr:uid="{00000000-0005-0000-0000-0000AC000000}"/>
    <cellStyle name="20% - Énfasis1 13 2 3 2" xfId="170" xr:uid="{00000000-0005-0000-0000-0000AD000000}"/>
    <cellStyle name="20% - Énfasis1 13 2 3 2 2" xfId="171" xr:uid="{00000000-0005-0000-0000-0000AE000000}"/>
    <cellStyle name="20% - Énfasis1 13 2 3 3" xfId="172" xr:uid="{00000000-0005-0000-0000-0000AF000000}"/>
    <cellStyle name="20% - Énfasis1 13 2 4" xfId="173" xr:uid="{00000000-0005-0000-0000-0000B0000000}"/>
    <cellStyle name="20% - Énfasis1 13 2 4 2" xfId="174" xr:uid="{00000000-0005-0000-0000-0000B1000000}"/>
    <cellStyle name="20% - Énfasis1 13 2 4 2 2" xfId="175" xr:uid="{00000000-0005-0000-0000-0000B2000000}"/>
    <cellStyle name="20% - Énfasis1 13 2 4 3" xfId="176" xr:uid="{00000000-0005-0000-0000-0000B3000000}"/>
    <cellStyle name="20% - Énfasis1 13 2 5" xfId="177" xr:uid="{00000000-0005-0000-0000-0000B4000000}"/>
    <cellStyle name="20% - Énfasis1 13 2 5 2" xfId="178" xr:uid="{00000000-0005-0000-0000-0000B5000000}"/>
    <cellStyle name="20% - Énfasis1 13 2 6" xfId="179" xr:uid="{00000000-0005-0000-0000-0000B6000000}"/>
    <cellStyle name="20% - Énfasis1 13 3" xfId="180" xr:uid="{00000000-0005-0000-0000-0000B7000000}"/>
    <cellStyle name="20% - Énfasis1 13 3 2" xfId="181" xr:uid="{00000000-0005-0000-0000-0000B8000000}"/>
    <cellStyle name="20% - Énfasis1 13 3 2 2" xfId="182" xr:uid="{00000000-0005-0000-0000-0000B9000000}"/>
    <cellStyle name="20% - Énfasis1 13 3 2 2 2" xfId="183" xr:uid="{00000000-0005-0000-0000-0000BA000000}"/>
    <cellStyle name="20% - Énfasis1 13 3 2 3" xfId="184" xr:uid="{00000000-0005-0000-0000-0000BB000000}"/>
    <cellStyle name="20% - Énfasis1 13 3 3" xfId="185" xr:uid="{00000000-0005-0000-0000-0000BC000000}"/>
    <cellStyle name="20% - Énfasis1 13 3 3 2" xfId="186" xr:uid="{00000000-0005-0000-0000-0000BD000000}"/>
    <cellStyle name="20% - Énfasis1 13 3 3 2 2" xfId="187" xr:uid="{00000000-0005-0000-0000-0000BE000000}"/>
    <cellStyle name="20% - Énfasis1 13 3 3 3" xfId="188" xr:uid="{00000000-0005-0000-0000-0000BF000000}"/>
    <cellStyle name="20% - Énfasis1 13 3 4" xfId="189" xr:uid="{00000000-0005-0000-0000-0000C0000000}"/>
    <cellStyle name="20% - Énfasis1 13 3 4 2" xfId="190" xr:uid="{00000000-0005-0000-0000-0000C1000000}"/>
    <cellStyle name="20% - Énfasis1 13 3 5" xfId="191" xr:uid="{00000000-0005-0000-0000-0000C2000000}"/>
    <cellStyle name="20% - Énfasis1 13 4" xfId="192" xr:uid="{00000000-0005-0000-0000-0000C3000000}"/>
    <cellStyle name="20% - Énfasis1 13 4 2" xfId="193" xr:uid="{00000000-0005-0000-0000-0000C4000000}"/>
    <cellStyle name="20% - Énfasis1 13 4 2 2" xfId="194" xr:uid="{00000000-0005-0000-0000-0000C5000000}"/>
    <cellStyle name="20% - Énfasis1 13 4 2 2 2" xfId="195" xr:uid="{00000000-0005-0000-0000-0000C6000000}"/>
    <cellStyle name="20% - Énfasis1 13 4 2 3" xfId="196" xr:uid="{00000000-0005-0000-0000-0000C7000000}"/>
    <cellStyle name="20% - Énfasis1 13 4 3" xfId="197" xr:uid="{00000000-0005-0000-0000-0000C8000000}"/>
    <cellStyle name="20% - Énfasis1 13 4 3 2" xfId="198" xr:uid="{00000000-0005-0000-0000-0000C9000000}"/>
    <cellStyle name="20% - Énfasis1 13 4 4" xfId="199" xr:uid="{00000000-0005-0000-0000-0000CA000000}"/>
    <cellStyle name="20% - Énfasis1 13 5" xfId="200" xr:uid="{00000000-0005-0000-0000-0000CB000000}"/>
    <cellStyle name="20% - Énfasis1 13 5 2" xfId="201" xr:uid="{00000000-0005-0000-0000-0000CC000000}"/>
    <cellStyle name="20% - Énfasis1 13 5 2 2" xfId="202" xr:uid="{00000000-0005-0000-0000-0000CD000000}"/>
    <cellStyle name="20% - Énfasis1 13 5 3" xfId="203" xr:uid="{00000000-0005-0000-0000-0000CE000000}"/>
    <cellStyle name="20% - Énfasis1 13 6" xfId="204" xr:uid="{00000000-0005-0000-0000-0000CF000000}"/>
    <cellStyle name="20% - Énfasis1 13 6 2" xfId="205" xr:uid="{00000000-0005-0000-0000-0000D0000000}"/>
    <cellStyle name="20% - Énfasis1 13 6 2 2" xfId="206" xr:uid="{00000000-0005-0000-0000-0000D1000000}"/>
    <cellStyle name="20% - Énfasis1 13 6 3" xfId="207" xr:uid="{00000000-0005-0000-0000-0000D2000000}"/>
    <cellStyle name="20% - Énfasis1 13 7" xfId="208" xr:uid="{00000000-0005-0000-0000-0000D3000000}"/>
    <cellStyle name="20% - Énfasis1 13 7 2" xfId="209" xr:uid="{00000000-0005-0000-0000-0000D4000000}"/>
    <cellStyle name="20% - Énfasis1 13 8" xfId="210" xr:uid="{00000000-0005-0000-0000-0000D5000000}"/>
    <cellStyle name="20% - Énfasis1 14" xfId="211" xr:uid="{00000000-0005-0000-0000-0000D6000000}"/>
    <cellStyle name="20% - Énfasis1 14 2" xfId="212" xr:uid="{00000000-0005-0000-0000-0000D7000000}"/>
    <cellStyle name="20% - Énfasis1 14 2 2" xfId="213" xr:uid="{00000000-0005-0000-0000-0000D8000000}"/>
    <cellStyle name="20% - Énfasis1 14 2 2 2" xfId="214" xr:uid="{00000000-0005-0000-0000-0000D9000000}"/>
    <cellStyle name="20% - Énfasis1 14 2 2 2 2" xfId="215" xr:uid="{00000000-0005-0000-0000-0000DA000000}"/>
    <cellStyle name="20% - Énfasis1 14 2 2 2 2 2" xfId="216" xr:uid="{00000000-0005-0000-0000-0000DB000000}"/>
    <cellStyle name="20% - Énfasis1 14 2 2 2 3" xfId="217" xr:uid="{00000000-0005-0000-0000-0000DC000000}"/>
    <cellStyle name="20% - Énfasis1 14 2 2 3" xfId="218" xr:uid="{00000000-0005-0000-0000-0000DD000000}"/>
    <cellStyle name="20% - Énfasis1 14 2 2 3 2" xfId="219" xr:uid="{00000000-0005-0000-0000-0000DE000000}"/>
    <cellStyle name="20% - Énfasis1 14 2 2 4" xfId="220" xr:uid="{00000000-0005-0000-0000-0000DF000000}"/>
    <cellStyle name="20% - Énfasis1 14 2 3" xfId="221" xr:uid="{00000000-0005-0000-0000-0000E0000000}"/>
    <cellStyle name="20% - Énfasis1 14 2 3 2" xfId="222" xr:uid="{00000000-0005-0000-0000-0000E1000000}"/>
    <cellStyle name="20% - Énfasis1 14 2 3 2 2" xfId="223" xr:uid="{00000000-0005-0000-0000-0000E2000000}"/>
    <cellStyle name="20% - Énfasis1 14 2 3 3" xfId="224" xr:uid="{00000000-0005-0000-0000-0000E3000000}"/>
    <cellStyle name="20% - Énfasis1 14 2 4" xfId="225" xr:uid="{00000000-0005-0000-0000-0000E4000000}"/>
    <cellStyle name="20% - Énfasis1 14 2 4 2" xfId="226" xr:uid="{00000000-0005-0000-0000-0000E5000000}"/>
    <cellStyle name="20% - Énfasis1 14 2 4 2 2" xfId="227" xr:uid="{00000000-0005-0000-0000-0000E6000000}"/>
    <cellStyle name="20% - Énfasis1 14 2 4 3" xfId="228" xr:uid="{00000000-0005-0000-0000-0000E7000000}"/>
    <cellStyle name="20% - Énfasis1 14 2 5" xfId="229" xr:uid="{00000000-0005-0000-0000-0000E8000000}"/>
    <cellStyle name="20% - Énfasis1 14 2 5 2" xfId="230" xr:uid="{00000000-0005-0000-0000-0000E9000000}"/>
    <cellStyle name="20% - Énfasis1 14 2 6" xfId="231" xr:uid="{00000000-0005-0000-0000-0000EA000000}"/>
    <cellStyle name="20% - Énfasis1 14 3" xfId="232" xr:uid="{00000000-0005-0000-0000-0000EB000000}"/>
    <cellStyle name="20% - Énfasis1 14 3 2" xfId="233" xr:uid="{00000000-0005-0000-0000-0000EC000000}"/>
    <cellStyle name="20% - Énfasis1 14 3 2 2" xfId="234" xr:uid="{00000000-0005-0000-0000-0000ED000000}"/>
    <cellStyle name="20% - Énfasis1 14 3 2 2 2" xfId="235" xr:uid="{00000000-0005-0000-0000-0000EE000000}"/>
    <cellStyle name="20% - Énfasis1 14 3 2 3" xfId="236" xr:uid="{00000000-0005-0000-0000-0000EF000000}"/>
    <cellStyle name="20% - Énfasis1 14 3 3" xfId="237" xr:uid="{00000000-0005-0000-0000-0000F0000000}"/>
    <cellStyle name="20% - Énfasis1 14 3 3 2" xfId="238" xr:uid="{00000000-0005-0000-0000-0000F1000000}"/>
    <cellStyle name="20% - Énfasis1 14 3 3 2 2" xfId="239" xr:uid="{00000000-0005-0000-0000-0000F2000000}"/>
    <cellStyle name="20% - Énfasis1 14 3 3 3" xfId="240" xr:uid="{00000000-0005-0000-0000-0000F3000000}"/>
    <cellStyle name="20% - Énfasis1 14 3 4" xfId="241" xr:uid="{00000000-0005-0000-0000-0000F4000000}"/>
    <cellStyle name="20% - Énfasis1 14 3 4 2" xfId="242" xr:uid="{00000000-0005-0000-0000-0000F5000000}"/>
    <cellStyle name="20% - Énfasis1 14 3 5" xfId="243" xr:uid="{00000000-0005-0000-0000-0000F6000000}"/>
    <cellStyle name="20% - Énfasis1 14 4" xfId="244" xr:uid="{00000000-0005-0000-0000-0000F7000000}"/>
    <cellStyle name="20% - Énfasis1 14 4 2" xfId="245" xr:uid="{00000000-0005-0000-0000-0000F8000000}"/>
    <cellStyle name="20% - Énfasis1 14 4 2 2" xfId="246" xr:uid="{00000000-0005-0000-0000-0000F9000000}"/>
    <cellStyle name="20% - Énfasis1 14 4 2 2 2" xfId="247" xr:uid="{00000000-0005-0000-0000-0000FA000000}"/>
    <cellStyle name="20% - Énfasis1 14 4 2 3" xfId="248" xr:uid="{00000000-0005-0000-0000-0000FB000000}"/>
    <cellStyle name="20% - Énfasis1 14 4 3" xfId="249" xr:uid="{00000000-0005-0000-0000-0000FC000000}"/>
    <cellStyle name="20% - Énfasis1 14 4 3 2" xfId="250" xr:uid="{00000000-0005-0000-0000-0000FD000000}"/>
    <cellStyle name="20% - Énfasis1 14 4 4" xfId="251" xr:uid="{00000000-0005-0000-0000-0000FE000000}"/>
    <cellStyle name="20% - Énfasis1 14 5" xfId="252" xr:uid="{00000000-0005-0000-0000-0000FF000000}"/>
    <cellStyle name="20% - Énfasis1 14 5 2" xfId="253" xr:uid="{00000000-0005-0000-0000-000000010000}"/>
    <cellStyle name="20% - Énfasis1 14 5 2 2" xfId="254" xr:uid="{00000000-0005-0000-0000-000001010000}"/>
    <cellStyle name="20% - Énfasis1 14 5 3" xfId="255" xr:uid="{00000000-0005-0000-0000-000002010000}"/>
    <cellStyle name="20% - Énfasis1 14 6" xfId="256" xr:uid="{00000000-0005-0000-0000-000003010000}"/>
    <cellStyle name="20% - Énfasis1 14 6 2" xfId="257" xr:uid="{00000000-0005-0000-0000-000004010000}"/>
    <cellStyle name="20% - Énfasis1 14 6 2 2" xfId="258" xr:uid="{00000000-0005-0000-0000-000005010000}"/>
    <cellStyle name="20% - Énfasis1 14 6 3" xfId="259" xr:uid="{00000000-0005-0000-0000-000006010000}"/>
    <cellStyle name="20% - Énfasis1 14 7" xfId="260" xr:uid="{00000000-0005-0000-0000-000007010000}"/>
    <cellStyle name="20% - Énfasis1 14 7 2" xfId="261" xr:uid="{00000000-0005-0000-0000-000008010000}"/>
    <cellStyle name="20% - Énfasis1 14 8" xfId="262" xr:uid="{00000000-0005-0000-0000-000009010000}"/>
    <cellStyle name="20% - Énfasis1 15" xfId="263" xr:uid="{00000000-0005-0000-0000-00000A010000}"/>
    <cellStyle name="20% - Énfasis1 15 2" xfId="264" xr:uid="{00000000-0005-0000-0000-00000B010000}"/>
    <cellStyle name="20% - Énfasis1 15 2 2" xfId="265" xr:uid="{00000000-0005-0000-0000-00000C010000}"/>
    <cellStyle name="20% - Énfasis1 15 2 2 2" xfId="266" xr:uid="{00000000-0005-0000-0000-00000D010000}"/>
    <cellStyle name="20% - Énfasis1 15 2 2 2 2" xfId="267" xr:uid="{00000000-0005-0000-0000-00000E010000}"/>
    <cellStyle name="20% - Énfasis1 15 2 2 2 2 2" xfId="268" xr:uid="{00000000-0005-0000-0000-00000F010000}"/>
    <cellStyle name="20% - Énfasis1 15 2 2 2 3" xfId="269" xr:uid="{00000000-0005-0000-0000-000010010000}"/>
    <cellStyle name="20% - Énfasis1 15 2 2 3" xfId="270" xr:uid="{00000000-0005-0000-0000-000011010000}"/>
    <cellStyle name="20% - Énfasis1 15 2 2 3 2" xfId="271" xr:uid="{00000000-0005-0000-0000-000012010000}"/>
    <cellStyle name="20% - Énfasis1 15 2 2 4" xfId="272" xr:uid="{00000000-0005-0000-0000-000013010000}"/>
    <cellStyle name="20% - Énfasis1 15 2 3" xfId="273" xr:uid="{00000000-0005-0000-0000-000014010000}"/>
    <cellStyle name="20% - Énfasis1 15 2 3 2" xfId="274" xr:uid="{00000000-0005-0000-0000-000015010000}"/>
    <cellStyle name="20% - Énfasis1 15 2 3 2 2" xfId="275" xr:uid="{00000000-0005-0000-0000-000016010000}"/>
    <cellStyle name="20% - Énfasis1 15 2 3 3" xfId="276" xr:uid="{00000000-0005-0000-0000-000017010000}"/>
    <cellStyle name="20% - Énfasis1 15 2 4" xfId="277" xr:uid="{00000000-0005-0000-0000-000018010000}"/>
    <cellStyle name="20% - Énfasis1 15 2 4 2" xfId="278" xr:uid="{00000000-0005-0000-0000-000019010000}"/>
    <cellStyle name="20% - Énfasis1 15 2 4 2 2" xfId="279" xr:uid="{00000000-0005-0000-0000-00001A010000}"/>
    <cellStyle name="20% - Énfasis1 15 2 4 3" xfId="280" xr:uid="{00000000-0005-0000-0000-00001B010000}"/>
    <cellStyle name="20% - Énfasis1 15 2 5" xfId="281" xr:uid="{00000000-0005-0000-0000-00001C010000}"/>
    <cellStyle name="20% - Énfasis1 15 2 5 2" xfId="282" xr:uid="{00000000-0005-0000-0000-00001D010000}"/>
    <cellStyle name="20% - Énfasis1 15 2 6" xfId="283" xr:uid="{00000000-0005-0000-0000-00001E010000}"/>
    <cellStyle name="20% - Énfasis1 15 3" xfId="284" xr:uid="{00000000-0005-0000-0000-00001F010000}"/>
    <cellStyle name="20% - Énfasis1 15 3 2" xfId="285" xr:uid="{00000000-0005-0000-0000-000020010000}"/>
    <cellStyle name="20% - Énfasis1 15 3 2 2" xfId="286" xr:uid="{00000000-0005-0000-0000-000021010000}"/>
    <cellStyle name="20% - Énfasis1 15 3 2 2 2" xfId="287" xr:uid="{00000000-0005-0000-0000-000022010000}"/>
    <cellStyle name="20% - Énfasis1 15 3 2 3" xfId="288" xr:uid="{00000000-0005-0000-0000-000023010000}"/>
    <cellStyle name="20% - Énfasis1 15 3 3" xfId="289" xr:uid="{00000000-0005-0000-0000-000024010000}"/>
    <cellStyle name="20% - Énfasis1 15 3 3 2" xfId="290" xr:uid="{00000000-0005-0000-0000-000025010000}"/>
    <cellStyle name="20% - Énfasis1 15 3 3 2 2" xfId="291" xr:uid="{00000000-0005-0000-0000-000026010000}"/>
    <cellStyle name="20% - Énfasis1 15 3 3 3" xfId="292" xr:uid="{00000000-0005-0000-0000-000027010000}"/>
    <cellStyle name="20% - Énfasis1 15 3 4" xfId="293" xr:uid="{00000000-0005-0000-0000-000028010000}"/>
    <cellStyle name="20% - Énfasis1 15 3 4 2" xfId="294" xr:uid="{00000000-0005-0000-0000-000029010000}"/>
    <cellStyle name="20% - Énfasis1 15 3 5" xfId="295" xr:uid="{00000000-0005-0000-0000-00002A010000}"/>
    <cellStyle name="20% - Énfasis1 15 4" xfId="296" xr:uid="{00000000-0005-0000-0000-00002B010000}"/>
    <cellStyle name="20% - Énfasis1 15 4 2" xfId="297" xr:uid="{00000000-0005-0000-0000-00002C010000}"/>
    <cellStyle name="20% - Énfasis1 15 4 2 2" xfId="298" xr:uid="{00000000-0005-0000-0000-00002D010000}"/>
    <cellStyle name="20% - Énfasis1 15 4 2 2 2" xfId="299" xr:uid="{00000000-0005-0000-0000-00002E010000}"/>
    <cellStyle name="20% - Énfasis1 15 4 2 3" xfId="300" xr:uid="{00000000-0005-0000-0000-00002F010000}"/>
    <cellStyle name="20% - Énfasis1 15 4 3" xfId="301" xr:uid="{00000000-0005-0000-0000-000030010000}"/>
    <cellStyle name="20% - Énfasis1 15 4 3 2" xfId="302" xr:uid="{00000000-0005-0000-0000-000031010000}"/>
    <cellStyle name="20% - Énfasis1 15 4 4" xfId="303" xr:uid="{00000000-0005-0000-0000-000032010000}"/>
    <cellStyle name="20% - Énfasis1 15 5" xfId="304" xr:uid="{00000000-0005-0000-0000-000033010000}"/>
    <cellStyle name="20% - Énfasis1 15 5 2" xfId="305" xr:uid="{00000000-0005-0000-0000-000034010000}"/>
    <cellStyle name="20% - Énfasis1 15 5 2 2" xfId="306" xr:uid="{00000000-0005-0000-0000-000035010000}"/>
    <cellStyle name="20% - Énfasis1 15 5 3" xfId="307" xr:uid="{00000000-0005-0000-0000-000036010000}"/>
    <cellStyle name="20% - Énfasis1 15 6" xfId="308" xr:uid="{00000000-0005-0000-0000-000037010000}"/>
    <cellStyle name="20% - Énfasis1 15 6 2" xfId="309" xr:uid="{00000000-0005-0000-0000-000038010000}"/>
    <cellStyle name="20% - Énfasis1 15 6 2 2" xfId="310" xr:uid="{00000000-0005-0000-0000-000039010000}"/>
    <cellStyle name="20% - Énfasis1 15 6 3" xfId="311" xr:uid="{00000000-0005-0000-0000-00003A010000}"/>
    <cellStyle name="20% - Énfasis1 15 7" xfId="312" xr:uid="{00000000-0005-0000-0000-00003B010000}"/>
    <cellStyle name="20% - Énfasis1 15 7 2" xfId="313" xr:uid="{00000000-0005-0000-0000-00003C010000}"/>
    <cellStyle name="20% - Énfasis1 15 8" xfId="314" xr:uid="{00000000-0005-0000-0000-00003D010000}"/>
    <cellStyle name="20% - Énfasis1 16" xfId="315" xr:uid="{00000000-0005-0000-0000-00003E010000}"/>
    <cellStyle name="20% - Énfasis1 16 2" xfId="316" xr:uid="{00000000-0005-0000-0000-00003F010000}"/>
    <cellStyle name="20% - Énfasis1 16 2 2" xfId="317" xr:uid="{00000000-0005-0000-0000-000040010000}"/>
    <cellStyle name="20% - Énfasis1 16 2 2 2" xfId="318" xr:uid="{00000000-0005-0000-0000-000041010000}"/>
    <cellStyle name="20% - Énfasis1 16 2 2 2 2" xfId="319" xr:uid="{00000000-0005-0000-0000-000042010000}"/>
    <cellStyle name="20% - Énfasis1 16 2 2 2 2 2" xfId="320" xr:uid="{00000000-0005-0000-0000-000043010000}"/>
    <cellStyle name="20% - Énfasis1 16 2 2 2 3" xfId="321" xr:uid="{00000000-0005-0000-0000-000044010000}"/>
    <cellStyle name="20% - Énfasis1 16 2 2 3" xfId="322" xr:uid="{00000000-0005-0000-0000-000045010000}"/>
    <cellStyle name="20% - Énfasis1 16 2 2 3 2" xfId="323" xr:uid="{00000000-0005-0000-0000-000046010000}"/>
    <cellStyle name="20% - Énfasis1 16 2 2 4" xfId="324" xr:uid="{00000000-0005-0000-0000-000047010000}"/>
    <cellStyle name="20% - Énfasis1 16 2 3" xfId="325" xr:uid="{00000000-0005-0000-0000-000048010000}"/>
    <cellStyle name="20% - Énfasis1 16 2 3 2" xfId="326" xr:uid="{00000000-0005-0000-0000-000049010000}"/>
    <cellStyle name="20% - Énfasis1 16 2 3 2 2" xfId="327" xr:uid="{00000000-0005-0000-0000-00004A010000}"/>
    <cellStyle name="20% - Énfasis1 16 2 3 3" xfId="328" xr:uid="{00000000-0005-0000-0000-00004B010000}"/>
    <cellStyle name="20% - Énfasis1 16 2 4" xfId="329" xr:uid="{00000000-0005-0000-0000-00004C010000}"/>
    <cellStyle name="20% - Énfasis1 16 2 4 2" xfId="330" xr:uid="{00000000-0005-0000-0000-00004D010000}"/>
    <cellStyle name="20% - Énfasis1 16 2 4 2 2" xfId="331" xr:uid="{00000000-0005-0000-0000-00004E010000}"/>
    <cellStyle name="20% - Énfasis1 16 2 4 3" xfId="332" xr:uid="{00000000-0005-0000-0000-00004F010000}"/>
    <cellStyle name="20% - Énfasis1 16 2 5" xfId="333" xr:uid="{00000000-0005-0000-0000-000050010000}"/>
    <cellStyle name="20% - Énfasis1 16 2 5 2" xfId="334" xr:uid="{00000000-0005-0000-0000-000051010000}"/>
    <cellStyle name="20% - Énfasis1 16 2 6" xfId="335" xr:uid="{00000000-0005-0000-0000-000052010000}"/>
    <cellStyle name="20% - Énfasis1 16 3" xfId="336" xr:uid="{00000000-0005-0000-0000-000053010000}"/>
    <cellStyle name="20% - Énfasis1 16 3 2" xfId="337" xr:uid="{00000000-0005-0000-0000-000054010000}"/>
    <cellStyle name="20% - Énfasis1 16 3 2 2" xfId="338" xr:uid="{00000000-0005-0000-0000-000055010000}"/>
    <cellStyle name="20% - Énfasis1 16 3 2 2 2" xfId="339" xr:uid="{00000000-0005-0000-0000-000056010000}"/>
    <cellStyle name="20% - Énfasis1 16 3 2 3" xfId="340" xr:uid="{00000000-0005-0000-0000-000057010000}"/>
    <cellStyle name="20% - Énfasis1 16 3 3" xfId="341" xr:uid="{00000000-0005-0000-0000-000058010000}"/>
    <cellStyle name="20% - Énfasis1 16 3 3 2" xfId="342" xr:uid="{00000000-0005-0000-0000-000059010000}"/>
    <cellStyle name="20% - Énfasis1 16 3 3 2 2" xfId="343" xr:uid="{00000000-0005-0000-0000-00005A010000}"/>
    <cellStyle name="20% - Énfasis1 16 3 3 3" xfId="344" xr:uid="{00000000-0005-0000-0000-00005B010000}"/>
    <cellStyle name="20% - Énfasis1 16 3 4" xfId="345" xr:uid="{00000000-0005-0000-0000-00005C010000}"/>
    <cellStyle name="20% - Énfasis1 16 3 4 2" xfId="346" xr:uid="{00000000-0005-0000-0000-00005D010000}"/>
    <cellStyle name="20% - Énfasis1 16 3 5" xfId="347" xr:uid="{00000000-0005-0000-0000-00005E010000}"/>
    <cellStyle name="20% - Énfasis1 16 4" xfId="348" xr:uid="{00000000-0005-0000-0000-00005F010000}"/>
    <cellStyle name="20% - Énfasis1 16 4 2" xfId="349" xr:uid="{00000000-0005-0000-0000-000060010000}"/>
    <cellStyle name="20% - Énfasis1 16 4 2 2" xfId="350" xr:uid="{00000000-0005-0000-0000-000061010000}"/>
    <cellStyle name="20% - Énfasis1 16 4 2 2 2" xfId="351" xr:uid="{00000000-0005-0000-0000-000062010000}"/>
    <cellStyle name="20% - Énfasis1 16 4 2 3" xfId="352" xr:uid="{00000000-0005-0000-0000-000063010000}"/>
    <cellStyle name="20% - Énfasis1 16 4 3" xfId="353" xr:uid="{00000000-0005-0000-0000-000064010000}"/>
    <cellStyle name="20% - Énfasis1 16 4 3 2" xfId="354" xr:uid="{00000000-0005-0000-0000-000065010000}"/>
    <cellStyle name="20% - Énfasis1 16 4 4" xfId="355" xr:uid="{00000000-0005-0000-0000-000066010000}"/>
    <cellStyle name="20% - Énfasis1 16 5" xfId="356" xr:uid="{00000000-0005-0000-0000-000067010000}"/>
    <cellStyle name="20% - Énfasis1 16 5 2" xfId="357" xr:uid="{00000000-0005-0000-0000-000068010000}"/>
    <cellStyle name="20% - Énfasis1 16 5 2 2" xfId="358" xr:uid="{00000000-0005-0000-0000-000069010000}"/>
    <cellStyle name="20% - Énfasis1 16 5 3" xfId="359" xr:uid="{00000000-0005-0000-0000-00006A010000}"/>
    <cellStyle name="20% - Énfasis1 16 6" xfId="360" xr:uid="{00000000-0005-0000-0000-00006B010000}"/>
    <cellStyle name="20% - Énfasis1 16 6 2" xfId="361" xr:uid="{00000000-0005-0000-0000-00006C010000}"/>
    <cellStyle name="20% - Énfasis1 16 6 2 2" xfId="362" xr:uid="{00000000-0005-0000-0000-00006D010000}"/>
    <cellStyle name="20% - Énfasis1 16 6 3" xfId="363" xr:uid="{00000000-0005-0000-0000-00006E010000}"/>
    <cellStyle name="20% - Énfasis1 16 7" xfId="364" xr:uid="{00000000-0005-0000-0000-00006F010000}"/>
    <cellStyle name="20% - Énfasis1 16 7 2" xfId="365" xr:uid="{00000000-0005-0000-0000-000070010000}"/>
    <cellStyle name="20% - Énfasis1 16 8" xfId="366" xr:uid="{00000000-0005-0000-0000-000071010000}"/>
    <cellStyle name="20% - Énfasis1 17" xfId="367" xr:uid="{00000000-0005-0000-0000-000072010000}"/>
    <cellStyle name="20% - Énfasis1 17 2" xfId="368" xr:uid="{00000000-0005-0000-0000-000073010000}"/>
    <cellStyle name="20% - Énfasis1 17 2 2" xfId="369" xr:uid="{00000000-0005-0000-0000-000074010000}"/>
    <cellStyle name="20% - Énfasis1 17 2 2 2" xfId="370" xr:uid="{00000000-0005-0000-0000-000075010000}"/>
    <cellStyle name="20% - Énfasis1 17 2 2 2 2" xfId="371" xr:uid="{00000000-0005-0000-0000-000076010000}"/>
    <cellStyle name="20% - Énfasis1 17 2 2 3" xfId="372" xr:uid="{00000000-0005-0000-0000-000077010000}"/>
    <cellStyle name="20% - Énfasis1 17 2 3" xfId="373" xr:uid="{00000000-0005-0000-0000-000078010000}"/>
    <cellStyle name="20% - Énfasis1 17 2 3 2" xfId="374" xr:uid="{00000000-0005-0000-0000-000079010000}"/>
    <cellStyle name="20% - Énfasis1 17 2 3 2 2" xfId="375" xr:uid="{00000000-0005-0000-0000-00007A010000}"/>
    <cellStyle name="20% - Énfasis1 17 2 3 3" xfId="376" xr:uid="{00000000-0005-0000-0000-00007B010000}"/>
    <cellStyle name="20% - Énfasis1 17 2 4" xfId="377" xr:uid="{00000000-0005-0000-0000-00007C010000}"/>
    <cellStyle name="20% - Énfasis1 17 2 4 2" xfId="378" xr:uid="{00000000-0005-0000-0000-00007D010000}"/>
    <cellStyle name="20% - Énfasis1 17 2 5" xfId="379" xr:uid="{00000000-0005-0000-0000-00007E010000}"/>
    <cellStyle name="20% - Énfasis1 17 3" xfId="380" xr:uid="{00000000-0005-0000-0000-00007F010000}"/>
    <cellStyle name="20% - Énfasis1 17 3 2" xfId="381" xr:uid="{00000000-0005-0000-0000-000080010000}"/>
    <cellStyle name="20% - Énfasis1 17 3 2 2" xfId="382" xr:uid="{00000000-0005-0000-0000-000081010000}"/>
    <cellStyle name="20% - Énfasis1 17 3 2 2 2" xfId="383" xr:uid="{00000000-0005-0000-0000-000082010000}"/>
    <cellStyle name="20% - Énfasis1 17 3 2 3" xfId="384" xr:uid="{00000000-0005-0000-0000-000083010000}"/>
    <cellStyle name="20% - Énfasis1 17 3 3" xfId="385" xr:uid="{00000000-0005-0000-0000-000084010000}"/>
    <cellStyle name="20% - Énfasis1 17 3 3 2" xfId="386" xr:uid="{00000000-0005-0000-0000-000085010000}"/>
    <cellStyle name="20% - Énfasis1 17 3 4" xfId="387" xr:uid="{00000000-0005-0000-0000-000086010000}"/>
    <cellStyle name="20% - Énfasis1 17 4" xfId="388" xr:uid="{00000000-0005-0000-0000-000087010000}"/>
    <cellStyle name="20% - Énfasis1 17 4 2" xfId="389" xr:uid="{00000000-0005-0000-0000-000088010000}"/>
    <cellStyle name="20% - Énfasis1 17 4 2 2" xfId="390" xr:uid="{00000000-0005-0000-0000-000089010000}"/>
    <cellStyle name="20% - Énfasis1 17 4 3" xfId="391" xr:uid="{00000000-0005-0000-0000-00008A010000}"/>
    <cellStyle name="20% - Énfasis1 17 5" xfId="392" xr:uid="{00000000-0005-0000-0000-00008B010000}"/>
    <cellStyle name="20% - Énfasis1 17 5 2" xfId="393" xr:uid="{00000000-0005-0000-0000-00008C010000}"/>
    <cellStyle name="20% - Énfasis1 17 5 2 2" xfId="394" xr:uid="{00000000-0005-0000-0000-00008D010000}"/>
    <cellStyle name="20% - Énfasis1 17 5 3" xfId="395" xr:uid="{00000000-0005-0000-0000-00008E010000}"/>
    <cellStyle name="20% - Énfasis1 17 6" xfId="396" xr:uid="{00000000-0005-0000-0000-00008F010000}"/>
    <cellStyle name="20% - Énfasis1 17 6 2" xfId="397" xr:uid="{00000000-0005-0000-0000-000090010000}"/>
    <cellStyle name="20% - Énfasis1 17 7" xfId="398" xr:uid="{00000000-0005-0000-0000-000091010000}"/>
    <cellStyle name="20% - Énfasis1 18" xfId="399" xr:uid="{00000000-0005-0000-0000-000092010000}"/>
    <cellStyle name="20% - Énfasis1 18 2" xfId="400" xr:uid="{00000000-0005-0000-0000-000093010000}"/>
    <cellStyle name="20% - Énfasis1 18 2 2" xfId="401" xr:uid="{00000000-0005-0000-0000-000094010000}"/>
    <cellStyle name="20% - Énfasis1 18 2 2 2" xfId="402" xr:uid="{00000000-0005-0000-0000-000095010000}"/>
    <cellStyle name="20% - Énfasis1 18 2 2 2 2" xfId="403" xr:uid="{00000000-0005-0000-0000-000096010000}"/>
    <cellStyle name="20% - Énfasis1 18 2 2 3" xfId="404" xr:uid="{00000000-0005-0000-0000-000097010000}"/>
    <cellStyle name="20% - Énfasis1 18 2 3" xfId="405" xr:uid="{00000000-0005-0000-0000-000098010000}"/>
    <cellStyle name="20% - Énfasis1 18 2 3 2" xfId="406" xr:uid="{00000000-0005-0000-0000-000099010000}"/>
    <cellStyle name="20% - Énfasis1 18 2 3 2 2" xfId="407" xr:uid="{00000000-0005-0000-0000-00009A010000}"/>
    <cellStyle name="20% - Énfasis1 18 2 3 3" xfId="408" xr:uid="{00000000-0005-0000-0000-00009B010000}"/>
    <cellStyle name="20% - Énfasis1 18 2 4" xfId="409" xr:uid="{00000000-0005-0000-0000-00009C010000}"/>
    <cellStyle name="20% - Énfasis1 18 2 4 2" xfId="410" xr:uid="{00000000-0005-0000-0000-00009D010000}"/>
    <cellStyle name="20% - Énfasis1 18 2 5" xfId="411" xr:uid="{00000000-0005-0000-0000-00009E010000}"/>
    <cellStyle name="20% - Énfasis1 18 3" xfId="412" xr:uid="{00000000-0005-0000-0000-00009F010000}"/>
    <cellStyle name="20% - Énfasis1 18 3 2" xfId="413" xr:uid="{00000000-0005-0000-0000-0000A0010000}"/>
    <cellStyle name="20% - Énfasis1 18 3 2 2" xfId="414" xr:uid="{00000000-0005-0000-0000-0000A1010000}"/>
    <cellStyle name="20% - Énfasis1 18 3 2 2 2" xfId="415" xr:uid="{00000000-0005-0000-0000-0000A2010000}"/>
    <cellStyle name="20% - Énfasis1 18 3 2 3" xfId="416" xr:uid="{00000000-0005-0000-0000-0000A3010000}"/>
    <cellStyle name="20% - Énfasis1 18 3 3" xfId="417" xr:uid="{00000000-0005-0000-0000-0000A4010000}"/>
    <cellStyle name="20% - Énfasis1 18 3 3 2" xfId="418" xr:uid="{00000000-0005-0000-0000-0000A5010000}"/>
    <cellStyle name="20% - Énfasis1 18 3 4" xfId="419" xr:uid="{00000000-0005-0000-0000-0000A6010000}"/>
    <cellStyle name="20% - Énfasis1 18 4" xfId="420" xr:uid="{00000000-0005-0000-0000-0000A7010000}"/>
    <cellStyle name="20% - Énfasis1 18 4 2" xfId="421" xr:uid="{00000000-0005-0000-0000-0000A8010000}"/>
    <cellStyle name="20% - Énfasis1 18 4 2 2" xfId="422" xr:uid="{00000000-0005-0000-0000-0000A9010000}"/>
    <cellStyle name="20% - Énfasis1 18 4 3" xfId="423" xr:uid="{00000000-0005-0000-0000-0000AA010000}"/>
    <cellStyle name="20% - Énfasis1 18 5" xfId="424" xr:uid="{00000000-0005-0000-0000-0000AB010000}"/>
    <cellStyle name="20% - Énfasis1 18 5 2" xfId="425" xr:uid="{00000000-0005-0000-0000-0000AC010000}"/>
    <cellStyle name="20% - Énfasis1 18 5 2 2" xfId="426" xr:uid="{00000000-0005-0000-0000-0000AD010000}"/>
    <cellStyle name="20% - Énfasis1 18 5 3" xfId="427" xr:uid="{00000000-0005-0000-0000-0000AE010000}"/>
    <cellStyle name="20% - Énfasis1 18 6" xfId="428" xr:uid="{00000000-0005-0000-0000-0000AF010000}"/>
    <cellStyle name="20% - Énfasis1 18 6 2" xfId="429" xr:uid="{00000000-0005-0000-0000-0000B0010000}"/>
    <cellStyle name="20% - Énfasis1 18 7" xfId="430" xr:uid="{00000000-0005-0000-0000-0000B1010000}"/>
    <cellStyle name="20% - Énfasis1 19" xfId="431" xr:uid="{00000000-0005-0000-0000-0000B2010000}"/>
    <cellStyle name="20% - Énfasis1 19 2" xfId="432" xr:uid="{00000000-0005-0000-0000-0000B3010000}"/>
    <cellStyle name="20% - Énfasis1 19 2 2" xfId="433" xr:uid="{00000000-0005-0000-0000-0000B4010000}"/>
    <cellStyle name="20% - Énfasis1 19 2 2 2" xfId="434" xr:uid="{00000000-0005-0000-0000-0000B5010000}"/>
    <cellStyle name="20% - Énfasis1 19 2 2 2 2" xfId="435" xr:uid="{00000000-0005-0000-0000-0000B6010000}"/>
    <cellStyle name="20% - Énfasis1 19 2 2 3" xfId="436" xr:uid="{00000000-0005-0000-0000-0000B7010000}"/>
    <cellStyle name="20% - Énfasis1 19 2 3" xfId="437" xr:uid="{00000000-0005-0000-0000-0000B8010000}"/>
    <cellStyle name="20% - Énfasis1 19 2 3 2" xfId="438" xr:uid="{00000000-0005-0000-0000-0000B9010000}"/>
    <cellStyle name="20% - Énfasis1 19 2 3 2 2" xfId="439" xr:uid="{00000000-0005-0000-0000-0000BA010000}"/>
    <cellStyle name="20% - Énfasis1 19 2 3 3" xfId="440" xr:uid="{00000000-0005-0000-0000-0000BB010000}"/>
    <cellStyle name="20% - Énfasis1 19 2 4" xfId="441" xr:uid="{00000000-0005-0000-0000-0000BC010000}"/>
    <cellStyle name="20% - Énfasis1 19 2 4 2" xfId="442" xr:uid="{00000000-0005-0000-0000-0000BD010000}"/>
    <cellStyle name="20% - Énfasis1 19 2 5" xfId="443" xr:uid="{00000000-0005-0000-0000-0000BE010000}"/>
    <cellStyle name="20% - Énfasis1 19 3" xfId="444" xr:uid="{00000000-0005-0000-0000-0000BF010000}"/>
    <cellStyle name="20% - Énfasis1 19 3 2" xfId="445" xr:uid="{00000000-0005-0000-0000-0000C0010000}"/>
    <cellStyle name="20% - Énfasis1 19 3 2 2" xfId="446" xr:uid="{00000000-0005-0000-0000-0000C1010000}"/>
    <cellStyle name="20% - Énfasis1 19 3 2 2 2" xfId="447" xr:uid="{00000000-0005-0000-0000-0000C2010000}"/>
    <cellStyle name="20% - Énfasis1 19 3 2 3" xfId="448" xr:uid="{00000000-0005-0000-0000-0000C3010000}"/>
    <cellStyle name="20% - Énfasis1 19 3 3" xfId="449" xr:uid="{00000000-0005-0000-0000-0000C4010000}"/>
    <cellStyle name="20% - Énfasis1 19 3 3 2" xfId="450" xr:uid="{00000000-0005-0000-0000-0000C5010000}"/>
    <cellStyle name="20% - Énfasis1 19 3 4" xfId="451" xr:uid="{00000000-0005-0000-0000-0000C6010000}"/>
    <cellStyle name="20% - Énfasis1 19 4" xfId="452" xr:uid="{00000000-0005-0000-0000-0000C7010000}"/>
    <cellStyle name="20% - Énfasis1 19 4 2" xfId="453" xr:uid="{00000000-0005-0000-0000-0000C8010000}"/>
    <cellStyle name="20% - Énfasis1 19 4 2 2" xfId="454" xr:uid="{00000000-0005-0000-0000-0000C9010000}"/>
    <cellStyle name="20% - Énfasis1 19 4 3" xfId="455" xr:uid="{00000000-0005-0000-0000-0000CA010000}"/>
    <cellStyle name="20% - Énfasis1 19 5" xfId="456" xr:uid="{00000000-0005-0000-0000-0000CB010000}"/>
    <cellStyle name="20% - Énfasis1 19 5 2" xfId="457" xr:uid="{00000000-0005-0000-0000-0000CC010000}"/>
    <cellStyle name="20% - Énfasis1 19 5 2 2" xfId="458" xr:uid="{00000000-0005-0000-0000-0000CD010000}"/>
    <cellStyle name="20% - Énfasis1 19 5 3" xfId="459" xr:uid="{00000000-0005-0000-0000-0000CE010000}"/>
    <cellStyle name="20% - Énfasis1 19 6" xfId="460" xr:uid="{00000000-0005-0000-0000-0000CF010000}"/>
    <cellStyle name="20% - Énfasis1 19 6 2" xfId="461" xr:uid="{00000000-0005-0000-0000-0000D0010000}"/>
    <cellStyle name="20% - Énfasis1 19 7" xfId="462" xr:uid="{00000000-0005-0000-0000-0000D1010000}"/>
    <cellStyle name="20% - Énfasis1 2" xfId="463" xr:uid="{00000000-0005-0000-0000-0000D2010000}"/>
    <cellStyle name="20% - Énfasis1 2 10" xfId="464" xr:uid="{00000000-0005-0000-0000-0000D3010000}"/>
    <cellStyle name="20% - Énfasis1 2 10 2" xfId="465" xr:uid="{00000000-0005-0000-0000-0000D4010000}"/>
    <cellStyle name="20% - Énfasis1 2 11" xfId="466" xr:uid="{00000000-0005-0000-0000-0000D5010000}"/>
    <cellStyle name="20% - Énfasis1 2 11 2" xfId="467" xr:uid="{00000000-0005-0000-0000-0000D6010000}"/>
    <cellStyle name="20% - Énfasis1 2 12" xfId="468" xr:uid="{00000000-0005-0000-0000-0000D7010000}"/>
    <cellStyle name="20% - Énfasis1 2 2" xfId="469" xr:uid="{00000000-0005-0000-0000-0000D8010000}"/>
    <cellStyle name="20% - Énfasis1 2 2 2" xfId="470" xr:uid="{00000000-0005-0000-0000-0000D9010000}"/>
    <cellStyle name="20% - Énfasis1 2 2 2 2" xfId="471" xr:uid="{00000000-0005-0000-0000-0000DA010000}"/>
    <cellStyle name="20% - Énfasis1 2 2 2 2 2" xfId="472" xr:uid="{00000000-0005-0000-0000-0000DB010000}"/>
    <cellStyle name="20% - Énfasis1 2 2 2 2 2 2" xfId="473" xr:uid="{00000000-0005-0000-0000-0000DC010000}"/>
    <cellStyle name="20% - Énfasis1 2 2 2 2 2 2 2" xfId="474" xr:uid="{00000000-0005-0000-0000-0000DD010000}"/>
    <cellStyle name="20% - Énfasis1 2 2 2 2 2 2 2 2" xfId="475" xr:uid="{00000000-0005-0000-0000-0000DE010000}"/>
    <cellStyle name="20% - Énfasis1 2 2 2 2 2 2 3" xfId="476" xr:uid="{00000000-0005-0000-0000-0000DF010000}"/>
    <cellStyle name="20% - Énfasis1 2 2 2 2 2 3" xfId="477" xr:uid="{00000000-0005-0000-0000-0000E0010000}"/>
    <cellStyle name="20% - Énfasis1 2 2 2 2 2 3 2" xfId="478" xr:uid="{00000000-0005-0000-0000-0000E1010000}"/>
    <cellStyle name="20% - Énfasis1 2 2 2 2 2 4" xfId="479" xr:uid="{00000000-0005-0000-0000-0000E2010000}"/>
    <cellStyle name="20% - Énfasis1 2 2 2 2 3" xfId="480" xr:uid="{00000000-0005-0000-0000-0000E3010000}"/>
    <cellStyle name="20% - Énfasis1 2 2 2 2 3 2" xfId="481" xr:uid="{00000000-0005-0000-0000-0000E4010000}"/>
    <cellStyle name="20% - Énfasis1 2 2 2 2 3 2 2" xfId="482" xr:uid="{00000000-0005-0000-0000-0000E5010000}"/>
    <cellStyle name="20% - Énfasis1 2 2 2 2 3 3" xfId="483" xr:uid="{00000000-0005-0000-0000-0000E6010000}"/>
    <cellStyle name="20% - Énfasis1 2 2 2 2 4" xfId="484" xr:uid="{00000000-0005-0000-0000-0000E7010000}"/>
    <cellStyle name="20% - Énfasis1 2 2 2 2 4 2" xfId="485" xr:uid="{00000000-0005-0000-0000-0000E8010000}"/>
    <cellStyle name="20% - Énfasis1 2 2 2 2 4 2 2" xfId="486" xr:uid="{00000000-0005-0000-0000-0000E9010000}"/>
    <cellStyle name="20% - Énfasis1 2 2 2 2 4 3" xfId="487" xr:uid="{00000000-0005-0000-0000-0000EA010000}"/>
    <cellStyle name="20% - Énfasis1 2 2 2 2 5" xfId="488" xr:uid="{00000000-0005-0000-0000-0000EB010000}"/>
    <cellStyle name="20% - Énfasis1 2 2 2 2 5 2" xfId="489" xr:uid="{00000000-0005-0000-0000-0000EC010000}"/>
    <cellStyle name="20% - Énfasis1 2 2 2 2 6" xfId="490" xr:uid="{00000000-0005-0000-0000-0000ED010000}"/>
    <cellStyle name="20% - Énfasis1 2 2 2 3" xfId="491" xr:uid="{00000000-0005-0000-0000-0000EE010000}"/>
    <cellStyle name="20% - Énfasis1 2 2 2 3 2" xfId="492" xr:uid="{00000000-0005-0000-0000-0000EF010000}"/>
    <cellStyle name="20% - Énfasis1 2 2 2 3 2 2" xfId="493" xr:uid="{00000000-0005-0000-0000-0000F0010000}"/>
    <cellStyle name="20% - Énfasis1 2 2 2 3 2 2 2" xfId="494" xr:uid="{00000000-0005-0000-0000-0000F1010000}"/>
    <cellStyle name="20% - Énfasis1 2 2 2 3 2 3" xfId="495" xr:uid="{00000000-0005-0000-0000-0000F2010000}"/>
    <cellStyle name="20% - Énfasis1 2 2 2 3 3" xfId="496" xr:uid="{00000000-0005-0000-0000-0000F3010000}"/>
    <cellStyle name="20% - Énfasis1 2 2 2 3 3 2" xfId="497" xr:uid="{00000000-0005-0000-0000-0000F4010000}"/>
    <cellStyle name="20% - Énfasis1 2 2 2 3 4" xfId="498" xr:uid="{00000000-0005-0000-0000-0000F5010000}"/>
    <cellStyle name="20% - Énfasis1 2 2 2 4" xfId="499" xr:uid="{00000000-0005-0000-0000-0000F6010000}"/>
    <cellStyle name="20% - Énfasis1 2 2 2 4 2" xfId="500" xr:uid="{00000000-0005-0000-0000-0000F7010000}"/>
    <cellStyle name="20% - Énfasis1 2 2 2 4 2 2" xfId="501" xr:uid="{00000000-0005-0000-0000-0000F8010000}"/>
    <cellStyle name="20% - Énfasis1 2 2 2 4 3" xfId="502" xr:uid="{00000000-0005-0000-0000-0000F9010000}"/>
    <cellStyle name="20% - Énfasis1 2 2 2 5" xfId="503" xr:uid="{00000000-0005-0000-0000-0000FA010000}"/>
    <cellStyle name="20% - Énfasis1 2 2 2 5 2" xfId="504" xr:uid="{00000000-0005-0000-0000-0000FB010000}"/>
    <cellStyle name="20% - Énfasis1 2 2 2 5 2 2" xfId="505" xr:uid="{00000000-0005-0000-0000-0000FC010000}"/>
    <cellStyle name="20% - Énfasis1 2 2 2 5 3" xfId="506" xr:uid="{00000000-0005-0000-0000-0000FD010000}"/>
    <cellStyle name="20% - Énfasis1 2 2 2 6" xfId="507" xr:uid="{00000000-0005-0000-0000-0000FE010000}"/>
    <cellStyle name="20% - Énfasis1 2 2 2 6 2" xfId="508" xr:uid="{00000000-0005-0000-0000-0000FF010000}"/>
    <cellStyle name="20% - Énfasis1 2 2 2 7" xfId="509" xr:uid="{00000000-0005-0000-0000-000000020000}"/>
    <cellStyle name="20% - Énfasis1 2 2 3" xfId="510" xr:uid="{00000000-0005-0000-0000-000001020000}"/>
    <cellStyle name="20% - Énfasis1 2 2 3 2" xfId="511" xr:uid="{00000000-0005-0000-0000-000002020000}"/>
    <cellStyle name="20% - Énfasis1 2 2 3 2 2" xfId="512" xr:uid="{00000000-0005-0000-0000-000003020000}"/>
    <cellStyle name="20% - Énfasis1 2 2 3 2 2 2" xfId="513" xr:uid="{00000000-0005-0000-0000-000004020000}"/>
    <cellStyle name="20% - Énfasis1 2 2 3 2 2 2 2" xfId="514" xr:uid="{00000000-0005-0000-0000-000005020000}"/>
    <cellStyle name="20% - Énfasis1 2 2 3 2 2 3" xfId="515" xr:uid="{00000000-0005-0000-0000-000006020000}"/>
    <cellStyle name="20% - Énfasis1 2 2 3 2 3" xfId="516" xr:uid="{00000000-0005-0000-0000-000007020000}"/>
    <cellStyle name="20% - Énfasis1 2 2 3 2 3 2" xfId="517" xr:uid="{00000000-0005-0000-0000-000008020000}"/>
    <cellStyle name="20% - Énfasis1 2 2 3 2 4" xfId="518" xr:uid="{00000000-0005-0000-0000-000009020000}"/>
    <cellStyle name="20% - Énfasis1 2 2 3 3" xfId="519" xr:uid="{00000000-0005-0000-0000-00000A020000}"/>
    <cellStyle name="20% - Énfasis1 2 2 3 3 2" xfId="520" xr:uid="{00000000-0005-0000-0000-00000B020000}"/>
    <cellStyle name="20% - Énfasis1 2 2 3 3 2 2" xfId="521" xr:uid="{00000000-0005-0000-0000-00000C020000}"/>
    <cellStyle name="20% - Énfasis1 2 2 3 3 3" xfId="522" xr:uid="{00000000-0005-0000-0000-00000D020000}"/>
    <cellStyle name="20% - Énfasis1 2 2 3 4" xfId="523" xr:uid="{00000000-0005-0000-0000-00000E020000}"/>
    <cellStyle name="20% - Énfasis1 2 2 3 4 2" xfId="524" xr:uid="{00000000-0005-0000-0000-00000F020000}"/>
    <cellStyle name="20% - Énfasis1 2 2 3 4 2 2" xfId="525" xr:uid="{00000000-0005-0000-0000-000010020000}"/>
    <cellStyle name="20% - Énfasis1 2 2 3 4 3" xfId="526" xr:uid="{00000000-0005-0000-0000-000011020000}"/>
    <cellStyle name="20% - Énfasis1 2 2 3 5" xfId="527" xr:uid="{00000000-0005-0000-0000-000012020000}"/>
    <cellStyle name="20% - Énfasis1 2 2 3 5 2" xfId="528" xr:uid="{00000000-0005-0000-0000-000013020000}"/>
    <cellStyle name="20% - Énfasis1 2 2 3 6" xfId="529" xr:uid="{00000000-0005-0000-0000-000014020000}"/>
    <cellStyle name="20% - Énfasis1 2 2 4" xfId="530" xr:uid="{00000000-0005-0000-0000-000015020000}"/>
    <cellStyle name="20% - Énfasis1 2 2 4 2" xfId="531" xr:uid="{00000000-0005-0000-0000-000016020000}"/>
    <cellStyle name="20% - Énfasis1 2 2 4 2 2" xfId="532" xr:uid="{00000000-0005-0000-0000-000017020000}"/>
    <cellStyle name="20% - Énfasis1 2 2 4 2 2 2" xfId="533" xr:uid="{00000000-0005-0000-0000-000018020000}"/>
    <cellStyle name="20% - Énfasis1 2 2 4 2 3" xfId="534" xr:uid="{00000000-0005-0000-0000-000019020000}"/>
    <cellStyle name="20% - Énfasis1 2 2 4 3" xfId="535" xr:uid="{00000000-0005-0000-0000-00001A020000}"/>
    <cellStyle name="20% - Énfasis1 2 2 4 3 2" xfId="536" xr:uid="{00000000-0005-0000-0000-00001B020000}"/>
    <cellStyle name="20% - Énfasis1 2 2 4 3 2 2" xfId="537" xr:uid="{00000000-0005-0000-0000-00001C020000}"/>
    <cellStyle name="20% - Énfasis1 2 2 4 3 3" xfId="538" xr:uid="{00000000-0005-0000-0000-00001D020000}"/>
    <cellStyle name="20% - Énfasis1 2 2 4 4" xfId="539" xr:uid="{00000000-0005-0000-0000-00001E020000}"/>
    <cellStyle name="20% - Énfasis1 2 2 4 4 2" xfId="540" xr:uid="{00000000-0005-0000-0000-00001F020000}"/>
    <cellStyle name="20% - Énfasis1 2 2 4 5" xfId="541" xr:uid="{00000000-0005-0000-0000-000020020000}"/>
    <cellStyle name="20% - Énfasis1 2 2 5" xfId="542" xr:uid="{00000000-0005-0000-0000-000021020000}"/>
    <cellStyle name="20% - Énfasis1 2 2 5 2" xfId="543" xr:uid="{00000000-0005-0000-0000-000022020000}"/>
    <cellStyle name="20% - Énfasis1 2 2 5 2 2" xfId="544" xr:uid="{00000000-0005-0000-0000-000023020000}"/>
    <cellStyle name="20% - Énfasis1 2 2 5 2 2 2" xfId="545" xr:uid="{00000000-0005-0000-0000-000024020000}"/>
    <cellStyle name="20% - Énfasis1 2 2 5 2 3" xfId="546" xr:uid="{00000000-0005-0000-0000-000025020000}"/>
    <cellStyle name="20% - Énfasis1 2 2 5 3" xfId="547" xr:uid="{00000000-0005-0000-0000-000026020000}"/>
    <cellStyle name="20% - Énfasis1 2 2 5 3 2" xfId="548" xr:uid="{00000000-0005-0000-0000-000027020000}"/>
    <cellStyle name="20% - Énfasis1 2 2 5 4" xfId="549" xr:uid="{00000000-0005-0000-0000-000028020000}"/>
    <cellStyle name="20% - Énfasis1 2 2 6" xfId="550" xr:uid="{00000000-0005-0000-0000-000029020000}"/>
    <cellStyle name="20% - Énfasis1 2 2 6 2" xfId="551" xr:uid="{00000000-0005-0000-0000-00002A020000}"/>
    <cellStyle name="20% - Énfasis1 2 2 6 2 2" xfId="552" xr:uid="{00000000-0005-0000-0000-00002B020000}"/>
    <cellStyle name="20% - Énfasis1 2 2 6 3" xfId="553" xr:uid="{00000000-0005-0000-0000-00002C020000}"/>
    <cellStyle name="20% - Énfasis1 2 2 7" xfId="554" xr:uid="{00000000-0005-0000-0000-00002D020000}"/>
    <cellStyle name="20% - Énfasis1 2 2 7 2" xfId="555" xr:uid="{00000000-0005-0000-0000-00002E020000}"/>
    <cellStyle name="20% - Énfasis1 2 2 7 2 2" xfId="556" xr:uid="{00000000-0005-0000-0000-00002F020000}"/>
    <cellStyle name="20% - Énfasis1 2 2 7 3" xfId="557" xr:uid="{00000000-0005-0000-0000-000030020000}"/>
    <cellStyle name="20% - Énfasis1 2 2 8" xfId="558" xr:uid="{00000000-0005-0000-0000-000031020000}"/>
    <cellStyle name="20% - Énfasis1 2 2 8 2" xfId="559" xr:uid="{00000000-0005-0000-0000-000032020000}"/>
    <cellStyle name="20% - Énfasis1 2 2 9" xfId="560" xr:uid="{00000000-0005-0000-0000-000033020000}"/>
    <cellStyle name="20% - Énfasis1 2 3" xfId="561" xr:uid="{00000000-0005-0000-0000-000034020000}"/>
    <cellStyle name="20% - Énfasis1 2 3 2" xfId="562" xr:uid="{00000000-0005-0000-0000-000035020000}"/>
    <cellStyle name="20% - Énfasis1 2 3 2 2" xfId="563" xr:uid="{00000000-0005-0000-0000-000036020000}"/>
    <cellStyle name="20% - Énfasis1 2 3 2 2 2" xfId="564" xr:uid="{00000000-0005-0000-0000-000037020000}"/>
    <cellStyle name="20% - Énfasis1 2 3 2 2 2 2" xfId="565" xr:uid="{00000000-0005-0000-0000-000038020000}"/>
    <cellStyle name="20% - Énfasis1 2 3 2 2 2 2 2" xfId="566" xr:uid="{00000000-0005-0000-0000-000039020000}"/>
    <cellStyle name="20% - Énfasis1 2 3 2 2 2 3" xfId="567" xr:uid="{00000000-0005-0000-0000-00003A020000}"/>
    <cellStyle name="20% - Énfasis1 2 3 2 2 3" xfId="568" xr:uid="{00000000-0005-0000-0000-00003B020000}"/>
    <cellStyle name="20% - Énfasis1 2 3 2 2 3 2" xfId="569" xr:uid="{00000000-0005-0000-0000-00003C020000}"/>
    <cellStyle name="20% - Énfasis1 2 3 2 2 4" xfId="570" xr:uid="{00000000-0005-0000-0000-00003D020000}"/>
    <cellStyle name="20% - Énfasis1 2 3 2 3" xfId="571" xr:uid="{00000000-0005-0000-0000-00003E020000}"/>
    <cellStyle name="20% - Énfasis1 2 3 2 3 2" xfId="572" xr:uid="{00000000-0005-0000-0000-00003F020000}"/>
    <cellStyle name="20% - Énfasis1 2 3 2 3 2 2" xfId="573" xr:uid="{00000000-0005-0000-0000-000040020000}"/>
    <cellStyle name="20% - Énfasis1 2 3 2 3 3" xfId="574" xr:uid="{00000000-0005-0000-0000-000041020000}"/>
    <cellStyle name="20% - Énfasis1 2 3 2 4" xfId="575" xr:uid="{00000000-0005-0000-0000-000042020000}"/>
    <cellStyle name="20% - Énfasis1 2 3 2 4 2" xfId="576" xr:uid="{00000000-0005-0000-0000-000043020000}"/>
    <cellStyle name="20% - Énfasis1 2 3 2 4 2 2" xfId="577" xr:uid="{00000000-0005-0000-0000-000044020000}"/>
    <cellStyle name="20% - Énfasis1 2 3 2 4 3" xfId="578" xr:uid="{00000000-0005-0000-0000-000045020000}"/>
    <cellStyle name="20% - Énfasis1 2 3 2 5" xfId="579" xr:uid="{00000000-0005-0000-0000-000046020000}"/>
    <cellStyle name="20% - Énfasis1 2 3 2 5 2" xfId="580" xr:uid="{00000000-0005-0000-0000-000047020000}"/>
    <cellStyle name="20% - Énfasis1 2 3 2 6" xfId="581" xr:uid="{00000000-0005-0000-0000-000048020000}"/>
    <cellStyle name="20% - Énfasis1 2 3 3" xfId="582" xr:uid="{00000000-0005-0000-0000-000049020000}"/>
    <cellStyle name="20% - Énfasis1 2 3 3 2" xfId="583" xr:uid="{00000000-0005-0000-0000-00004A020000}"/>
    <cellStyle name="20% - Énfasis1 2 3 3 2 2" xfId="584" xr:uid="{00000000-0005-0000-0000-00004B020000}"/>
    <cellStyle name="20% - Énfasis1 2 3 3 2 2 2" xfId="585" xr:uid="{00000000-0005-0000-0000-00004C020000}"/>
    <cellStyle name="20% - Énfasis1 2 3 3 2 3" xfId="586" xr:uid="{00000000-0005-0000-0000-00004D020000}"/>
    <cellStyle name="20% - Énfasis1 2 3 3 3" xfId="587" xr:uid="{00000000-0005-0000-0000-00004E020000}"/>
    <cellStyle name="20% - Énfasis1 2 3 3 3 2" xfId="588" xr:uid="{00000000-0005-0000-0000-00004F020000}"/>
    <cellStyle name="20% - Énfasis1 2 3 3 3 2 2" xfId="589" xr:uid="{00000000-0005-0000-0000-000050020000}"/>
    <cellStyle name="20% - Énfasis1 2 3 3 3 3" xfId="590" xr:uid="{00000000-0005-0000-0000-000051020000}"/>
    <cellStyle name="20% - Énfasis1 2 3 3 4" xfId="591" xr:uid="{00000000-0005-0000-0000-000052020000}"/>
    <cellStyle name="20% - Énfasis1 2 3 3 4 2" xfId="592" xr:uid="{00000000-0005-0000-0000-000053020000}"/>
    <cellStyle name="20% - Énfasis1 2 3 3 5" xfId="593" xr:uid="{00000000-0005-0000-0000-000054020000}"/>
    <cellStyle name="20% - Énfasis1 2 3 4" xfId="594" xr:uid="{00000000-0005-0000-0000-000055020000}"/>
    <cellStyle name="20% - Énfasis1 2 3 4 2" xfId="595" xr:uid="{00000000-0005-0000-0000-000056020000}"/>
    <cellStyle name="20% - Énfasis1 2 3 4 2 2" xfId="596" xr:uid="{00000000-0005-0000-0000-000057020000}"/>
    <cellStyle name="20% - Énfasis1 2 3 4 2 2 2" xfId="597" xr:uid="{00000000-0005-0000-0000-000058020000}"/>
    <cellStyle name="20% - Énfasis1 2 3 4 2 3" xfId="598" xr:uid="{00000000-0005-0000-0000-000059020000}"/>
    <cellStyle name="20% - Énfasis1 2 3 4 3" xfId="599" xr:uid="{00000000-0005-0000-0000-00005A020000}"/>
    <cellStyle name="20% - Énfasis1 2 3 4 3 2" xfId="600" xr:uid="{00000000-0005-0000-0000-00005B020000}"/>
    <cellStyle name="20% - Énfasis1 2 3 4 3 2 2" xfId="601" xr:uid="{00000000-0005-0000-0000-00005C020000}"/>
    <cellStyle name="20% - Énfasis1 2 3 4 3 3" xfId="602" xr:uid="{00000000-0005-0000-0000-00005D020000}"/>
    <cellStyle name="20% - Énfasis1 2 3 4 4" xfId="603" xr:uid="{00000000-0005-0000-0000-00005E020000}"/>
    <cellStyle name="20% - Énfasis1 2 3 4 4 2" xfId="604" xr:uid="{00000000-0005-0000-0000-00005F020000}"/>
    <cellStyle name="20% - Énfasis1 2 3 4 5" xfId="605" xr:uid="{00000000-0005-0000-0000-000060020000}"/>
    <cellStyle name="20% - Énfasis1 2 3 5" xfId="606" xr:uid="{00000000-0005-0000-0000-000061020000}"/>
    <cellStyle name="20% - Énfasis1 2 3 5 2" xfId="607" xr:uid="{00000000-0005-0000-0000-000062020000}"/>
    <cellStyle name="20% - Énfasis1 2 3 5 2 2" xfId="608" xr:uid="{00000000-0005-0000-0000-000063020000}"/>
    <cellStyle name="20% - Énfasis1 2 3 5 2 2 2" xfId="609" xr:uid="{00000000-0005-0000-0000-000064020000}"/>
    <cellStyle name="20% - Énfasis1 2 3 5 2 3" xfId="610" xr:uid="{00000000-0005-0000-0000-000065020000}"/>
    <cellStyle name="20% - Énfasis1 2 3 5 3" xfId="611" xr:uid="{00000000-0005-0000-0000-000066020000}"/>
    <cellStyle name="20% - Énfasis1 2 3 5 3 2" xfId="612" xr:uid="{00000000-0005-0000-0000-000067020000}"/>
    <cellStyle name="20% - Énfasis1 2 3 5 4" xfId="613" xr:uid="{00000000-0005-0000-0000-000068020000}"/>
    <cellStyle name="20% - Énfasis1 2 3 6" xfId="614" xr:uid="{00000000-0005-0000-0000-000069020000}"/>
    <cellStyle name="20% - Énfasis1 2 3 6 2" xfId="615" xr:uid="{00000000-0005-0000-0000-00006A020000}"/>
    <cellStyle name="20% - Énfasis1 2 3 6 2 2" xfId="616" xr:uid="{00000000-0005-0000-0000-00006B020000}"/>
    <cellStyle name="20% - Énfasis1 2 3 6 3" xfId="617" xr:uid="{00000000-0005-0000-0000-00006C020000}"/>
    <cellStyle name="20% - Énfasis1 2 3 7" xfId="618" xr:uid="{00000000-0005-0000-0000-00006D020000}"/>
    <cellStyle name="20% - Énfasis1 2 3 7 2" xfId="619" xr:uid="{00000000-0005-0000-0000-00006E020000}"/>
    <cellStyle name="20% - Énfasis1 2 3 7 2 2" xfId="620" xr:uid="{00000000-0005-0000-0000-00006F020000}"/>
    <cellStyle name="20% - Énfasis1 2 3 7 3" xfId="621" xr:uid="{00000000-0005-0000-0000-000070020000}"/>
    <cellStyle name="20% - Énfasis1 2 3 8" xfId="622" xr:uid="{00000000-0005-0000-0000-000071020000}"/>
    <cellStyle name="20% - Énfasis1 2 3 8 2" xfId="623" xr:uid="{00000000-0005-0000-0000-000072020000}"/>
    <cellStyle name="20% - Énfasis1 2 3 9" xfId="624" xr:uid="{00000000-0005-0000-0000-000073020000}"/>
    <cellStyle name="20% - Énfasis1 2 4" xfId="625" xr:uid="{00000000-0005-0000-0000-000074020000}"/>
    <cellStyle name="20% - Énfasis1 2 4 2" xfId="626" xr:uid="{00000000-0005-0000-0000-000075020000}"/>
    <cellStyle name="20% - Énfasis1 2 4 2 2" xfId="627" xr:uid="{00000000-0005-0000-0000-000076020000}"/>
    <cellStyle name="20% - Énfasis1 2 4 2 2 2" xfId="628" xr:uid="{00000000-0005-0000-0000-000077020000}"/>
    <cellStyle name="20% - Énfasis1 2 4 2 2 2 2" xfId="629" xr:uid="{00000000-0005-0000-0000-000078020000}"/>
    <cellStyle name="20% - Énfasis1 2 4 2 2 3" xfId="630" xr:uid="{00000000-0005-0000-0000-000079020000}"/>
    <cellStyle name="20% - Énfasis1 2 4 2 3" xfId="631" xr:uid="{00000000-0005-0000-0000-00007A020000}"/>
    <cellStyle name="20% - Énfasis1 2 4 2 3 2" xfId="632" xr:uid="{00000000-0005-0000-0000-00007B020000}"/>
    <cellStyle name="20% - Énfasis1 2 4 2 4" xfId="633" xr:uid="{00000000-0005-0000-0000-00007C020000}"/>
    <cellStyle name="20% - Énfasis1 2 4 3" xfId="634" xr:uid="{00000000-0005-0000-0000-00007D020000}"/>
    <cellStyle name="20% - Énfasis1 2 4 3 2" xfId="635" xr:uid="{00000000-0005-0000-0000-00007E020000}"/>
    <cellStyle name="20% - Énfasis1 2 4 3 2 2" xfId="636" xr:uid="{00000000-0005-0000-0000-00007F020000}"/>
    <cellStyle name="20% - Énfasis1 2 4 3 3" xfId="637" xr:uid="{00000000-0005-0000-0000-000080020000}"/>
    <cellStyle name="20% - Énfasis1 2 4 4" xfId="638" xr:uid="{00000000-0005-0000-0000-000081020000}"/>
    <cellStyle name="20% - Énfasis1 2 4 4 2" xfId="639" xr:uid="{00000000-0005-0000-0000-000082020000}"/>
    <cellStyle name="20% - Énfasis1 2 4 4 2 2" xfId="640" xr:uid="{00000000-0005-0000-0000-000083020000}"/>
    <cellStyle name="20% - Énfasis1 2 4 4 3" xfId="641" xr:uid="{00000000-0005-0000-0000-000084020000}"/>
    <cellStyle name="20% - Énfasis1 2 4 5" xfId="642" xr:uid="{00000000-0005-0000-0000-000085020000}"/>
    <cellStyle name="20% - Énfasis1 2 4 5 2" xfId="643" xr:uid="{00000000-0005-0000-0000-000086020000}"/>
    <cellStyle name="20% - Énfasis1 2 4 6" xfId="644" xr:uid="{00000000-0005-0000-0000-000087020000}"/>
    <cellStyle name="20% - Énfasis1 2 5" xfId="645" xr:uid="{00000000-0005-0000-0000-000088020000}"/>
    <cellStyle name="20% - Énfasis1 2 5 2" xfId="646" xr:uid="{00000000-0005-0000-0000-000089020000}"/>
    <cellStyle name="20% - Énfasis1 2 5 2 2" xfId="647" xr:uid="{00000000-0005-0000-0000-00008A020000}"/>
    <cellStyle name="20% - Énfasis1 2 5 2 2 2" xfId="648" xr:uid="{00000000-0005-0000-0000-00008B020000}"/>
    <cellStyle name="20% - Énfasis1 2 5 2 3" xfId="649" xr:uid="{00000000-0005-0000-0000-00008C020000}"/>
    <cellStyle name="20% - Énfasis1 2 5 3" xfId="650" xr:uid="{00000000-0005-0000-0000-00008D020000}"/>
    <cellStyle name="20% - Énfasis1 2 5 3 2" xfId="651" xr:uid="{00000000-0005-0000-0000-00008E020000}"/>
    <cellStyle name="20% - Énfasis1 2 5 3 2 2" xfId="652" xr:uid="{00000000-0005-0000-0000-00008F020000}"/>
    <cellStyle name="20% - Énfasis1 2 5 3 3" xfId="653" xr:uid="{00000000-0005-0000-0000-000090020000}"/>
    <cellStyle name="20% - Énfasis1 2 5 4" xfId="654" xr:uid="{00000000-0005-0000-0000-000091020000}"/>
    <cellStyle name="20% - Énfasis1 2 5 4 2" xfId="655" xr:uid="{00000000-0005-0000-0000-000092020000}"/>
    <cellStyle name="20% - Énfasis1 2 5 5" xfId="656" xr:uid="{00000000-0005-0000-0000-000093020000}"/>
    <cellStyle name="20% - Énfasis1 2 6" xfId="657" xr:uid="{00000000-0005-0000-0000-000094020000}"/>
    <cellStyle name="20% - Énfasis1 2 6 2" xfId="658" xr:uid="{00000000-0005-0000-0000-000095020000}"/>
    <cellStyle name="20% - Énfasis1 2 6 2 2" xfId="659" xr:uid="{00000000-0005-0000-0000-000096020000}"/>
    <cellStyle name="20% - Énfasis1 2 6 2 2 2" xfId="660" xr:uid="{00000000-0005-0000-0000-000097020000}"/>
    <cellStyle name="20% - Énfasis1 2 6 2 3" xfId="661" xr:uid="{00000000-0005-0000-0000-000098020000}"/>
    <cellStyle name="20% - Énfasis1 2 6 3" xfId="662" xr:uid="{00000000-0005-0000-0000-000099020000}"/>
    <cellStyle name="20% - Énfasis1 2 6 3 2" xfId="663" xr:uid="{00000000-0005-0000-0000-00009A020000}"/>
    <cellStyle name="20% - Énfasis1 2 6 3 2 2" xfId="664" xr:uid="{00000000-0005-0000-0000-00009B020000}"/>
    <cellStyle name="20% - Énfasis1 2 6 3 3" xfId="665" xr:uid="{00000000-0005-0000-0000-00009C020000}"/>
    <cellStyle name="20% - Énfasis1 2 6 4" xfId="666" xr:uid="{00000000-0005-0000-0000-00009D020000}"/>
    <cellStyle name="20% - Énfasis1 2 6 4 2" xfId="667" xr:uid="{00000000-0005-0000-0000-00009E020000}"/>
    <cellStyle name="20% - Énfasis1 2 6 5" xfId="668" xr:uid="{00000000-0005-0000-0000-00009F020000}"/>
    <cellStyle name="20% - Énfasis1 2 7" xfId="669" xr:uid="{00000000-0005-0000-0000-0000A0020000}"/>
    <cellStyle name="20% - Énfasis1 2 7 2" xfId="670" xr:uid="{00000000-0005-0000-0000-0000A1020000}"/>
    <cellStyle name="20% - Énfasis1 2 7 2 2" xfId="671" xr:uid="{00000000-0005-0000-0000-0000A2020000}"/>
    <cellStyle name="20% - Énfasis1 2 7 2 2 2" xfId="672" xr:uid="{00000000-0005-0000-0000-0000A3020000}"/>
    <cellStyle name="20% - Énfasis1 2 7 2 3" xfId="673" xr:uid="{00000000-0005-0000-0000-0000A4020000}"/>
    <cellStyle name="20% - Énfasis1 2 7 3" xfId="674" xr:uid="{00000000-0005-0000-0000-0000A5020000}"/>
    <cellStyle name="20% - Énfasis1 2 7 3 2" xfId="675" xr:uid="{00000000-0005-0000-0000-0000A6020000}"/>
    <cellStyle name="20% - Énfasis1 2 7 4" xfId="676" xr:uid="{00000000-0005-0000-0000-0000A7020000}"/>
    <cellStyle name="20% - Énfasis1 2 8" xfId="677" xr:uid="{00000000-0005-0000-0000-0000A8020000}"/>
    <cellStyle name="20% - Énfasis1 2 8 2" xfId="678" xr:uid="{00000000-0005-0000-0000-0000A9020000}"/>
    <cellStyle name="20% - Énfasis1 2 8 2 2" xfId="679" xr:uid="{00000000-0005-0000-0000-0000AA020000}"/>
    <cellStyle name="20% - Énfasis1 2 8 3" xfId="680" xr:uid="{00000000-0005-0000-0000-0000AB020000}"/>
    <cellStyle name="20% - Énfasis1 2 9" xfId="681" xr:uid="{00000000-0005-0000-0000-0000AC020000}"/>
    <cellStyle name="20% - Énfasis1 2 9 2" xfId="682" xr:uid="{00000000-0005-0000-0000-0000AD020000}"/>
    <cellStyle name="20% - Énfasis1 2 9 2 2" xfId="683" xr:uid="{00000000-0005-0000-0000-0000AE020000}"/>
    <cellStyle name="20% - Énfasis1 2 9 3" xfId="684" xr:uid="{00000000-0005-0000-0000-0000AF020000}"/>
    <cellStyle name="20% - Énfasis1 20" xfId="685" xr:uid="{00000000-0005-0000-0000-0000B0020000}"/>
    <cellStyle name="20% - Énfasis1 20 2" xfId="686" xr:uid="{00000000-0005-0000-0000-0000B1020000}"/>
    <cellStyle name="20% - Énfasis1 20 2 2" xfId="687" xr:uid="{00000000-0005-0000-0000-0000B2020000}"/>
    <cellStyle name="20% - Énfasis1 20 2 2 2" xfId="688" xr:uid="{00000000-0005-0000-0000-0000B3020000}"/>
    <cellStyle name="20% - Énfasis1 20 2 2 2 2" xfId="689" xr:uid="{00000000-0005-0000-0000-0000B4020000}"/>
    <cellStyle name="20% - Énfasis1 20 2 2 3" xfId="690" xr:uid="{00000000-0005-0000-0000-0000B5020000}"/>
    <cellStyle name="20% - Énfasis1 20 2 3" xfId="691" xr:uid="{00000000-0005-0000-0000-0000B6020000}"/>
    <cellStyle name="20% - Énfasis1 20 2 3 2" xfId="692" xr:uid="{00000000-0005-0000-0000-0000B7020000}"/>
    <cellStyle name="20% - Énfasis1 20 2 3 2 2" xfId="693" xr:uid="{00000000-0005-0000-0000-0000B8020000}"/>
    <cellStyle name="20% - Énfasis1 20 2 3 3" xfId="694" xr:uid="{00000000-0005-0000-0000-0000B9020000}"/>
    <cellStyle name="20% - Énfasis1 20 2 4" xfId="695" xr:uid="{00000000-0005-0000-0000-0000BA020000}"/>
    <cellStyle name="20% - Énfasis1 20 2 4 2" xfId="696" xr:uid="{00000000-0005-0000-0000-0000BB020000}"/>
    <cellStyle name="20% - Énfasis1 20 2 5" xfId="697" xr:uid="{00000000-0005-0000-0000-0000BC020000}"/>
    <cellStyle name="20% - Énfasis1 20 3" xfId="698" xr:uid="{00000000-0005-0000-0000-0000BD020000}"/>
    <cellStyle name="20% - Énfasis1 20 3 2" xfId="699" xr:uid="{00000000-0005-0000-0000-0000BE020000}"/>
    <cellStyle name="20% - Énfasis1 20 3 2 2" xfId="700" xr:uid="{00000000-0005-0000-0000-0000BF020000}"/>
    <cellStyle name="20% - Énfasis1 20 3 2 2 2" xfId="701" xr:uid="{00000000-0005-0000-0000-0000C0020000}"/>
    <cellStyle name="20% - Énfasis1 20 3 2 3" xfId="702" xr:uid="{00000000-0005-0000-0000-0000C1020000}"/>
    <cellStyle name="20% - Énfasis1 20 3 3" xfId="703" xr:uid="{00000000-0005-0000-0000-0000C2020000}"/>
    <cellStyle name="20% - Énfasis1 20 3 3 2" xfId="704" xr:uid="{00000000-0005-0000-0000-0000C3020000}"/>
    <cellStyle name="20% - Énfasis1 20 3 4" xfId="705" xr:uid="{00000000-0005-0000-0000-0000C4020000}"/>
    <cellStyle name="20% - Énfasis1 20 4" xfId="706" xr:uid="{00000000-0005-0000-0000-0000C5020000}"/>
    <cellStyle name="20% - Énfasis1 20 4 2" xfId="707" xr:uid="{00000000-0005-0000-0000-0000C6020000}"/>
    <cellStyle name="20% - Énfasis1 20 4 2 2" xfId="708" xr:uid="{00000000-0005-0000-0000-0000C7020000}"/>
    <cellStyle name="20% - Énfasis1 20 4 3" xfId="709" xr:uid="{00000000-0005-0000-0000-0000C8020000}"/>
    <cellStyle name="20% - Énfasis1 20 5" xfId="710" xr:uid="{00000000-0005-0000-0000-0000C9020000}"/>
    <cellStyle name="20% - Énfasis1 20 5 2" xfId="711" xr:uid="{00000000-0005-0000-0000-0000CA020000}"/>
    <cellStyle name="20% - Énfasis1 20 5 2 2" xfId="712" xr:uid="{00000000-0005-0000-0000-0000CB020000}"/>
    <cellStyle name="20% - Énfasis1 20 5 3" xfId="713" xr:uid="{00000000-0005-0000-0000-0000CC020000}"/>
    <cellStyle name="20% - Énfasis1 20 6" xfId="714" xr:uid="{00000000-0005-0000-0000-0000CD020000}"/>
    <cellStyle name="20% - Énfasis1 20 6 2" xfId="715" xr:uid="{00000000-0005-0000-0000-0000CE020000}"/>
    <cellStyle name="20% - Énfasis1 20 7" xfId="716" xr:uid="{00000000-0005-0000-0000-0000CF020000}"/>
    <cellStyle name="20% - Énfasis1 21" xfId="717" xr:uid="{00000000-0005-0000-0000-0000D0020000}"/>
    <cellStyle name="20% - Énfasis1 21 2" xfId="718" xr:uid="{00000000-0005-0000-0000-0000D1020000}"/>
    <cellStyle name="20% - Énfasis1 21 2 2" xfId="719" xr:uid="{00000000-0005-0000-0000-0000D2020000}"/>
    <cellStyle name="20% - Énfasis1 21 2 2 2" xfId="720" xr:uid="{00000000-0005-0000-0000-0000D3020000}"/>
    <cellStyle name="20% - Énfasis1 21 2 2 2 2" xfId="721" xr:uid="{00000000-0005-0000-0000-0000D4020000}"/>
    <cellStyle name="20% - Énfasis1 21 2 2 3" xfId="722" xr:uid="{00000000-0005-0000-0000-0000D5020000}"/>
    <cellStyle name="20% - Énfasis1 21 2 3" xfId="723" xr:uid="{00000000-0005-0000-0000-0000D6020000}"/>
    <cellStyle name="20% - Énfasis1 21 2 3 2" xfId="724" xr:uid="{00000000-0005-0000-0000-0000D7020000}"/>
    <cellStyle name="20% - Énfasis1 21 2 3 2 2" xfId="725" xr:uid="{00000000-0005-0000-0000-0000D8020000}"/>
    <cellStyle name="20% - Énfasis1 21 2 3 3" xfId="726" xr:uid="{00000000-0005-0000-0000-0000D9020000}"/>
    <cellStyle name="20% - Énfasis1 21 2 4" xfId="727" xr:uid="{00000000-0005-0000-0000-0000DA020000}"/>
    <cellStyle name="20% - Énfasis1 21 2 4 2" xfId="728" xr:uid="{00000000-0005-0000-0000-0000DB020000}"/>
    <cellStyle name="20% - Énfasis1 21 2 5" xfId="729" xr:uid="{00000000-0005-0000-0000-0000DC020000}"/>
    <cellStyle name="20% - Énfasis1 21 3" xfId="730" xr:uid="{00000000-0005-0000-0000-0000DD020000}"/>
    <cellStyle name="20% - Énfasis1 21 3 2" xfId="731" xr:uid="{00000000-0005-0000-0000-0000DE020000}"/>
    <cellStyle name="20% - Énfasis1 21 3 2 2" xfId="732" xr:uid="{00000000-0005-0000-0000-0000DF020000}"/>
    <cellStyle name="20% - Énfasis1 21 3 2 2 2" xfId="733" xr:uid="{00000000-0005-0000-0000-0000E0020000}"/>
    <cellStyle name="20% - Énfasis1 21 3 2 3" xfId="734" xr:uid="{00000000-0005-0000-0000-0000E1020000}"/>
    <cellStyle name="20% - Énfasis1 21 3 3" xfId="735" xr:uid="{00000000-0005-0000-0000-0000E2020000}"/>
    <cellStyle name="20% - Énfasis1 21 3 3 2" xfId="736" xr:uid="{00000000-0005-0000-0000-0000E3020000}"/>
    <cellStyle name="20% - Énfasis1 21 3 4" xfId="737" xr:uid="{00000000-0005-0000-0000-0000E4020000}"/>
    <cellStyle name="20% - Énfasis1 21 4" xfId="738" xr:uid="{00000000-0005-0000-0000-0000E5020000}"/>
    <cellStyle name="20% - Énfasis1 21 4 2" xfId="739" xr:uid="{00000000-0005-0000-0000-0000E6020000}"/>
    <cellStyle name="20% - Énfasis1 21 4 2 2" xfId="740" xr:uid="{00000000-0005-0000-0000-0000E7020000}"/>
    <cellStyle name="20% - Énfasis1 21 4 3" xfId="741" xr:uid="{00000000-0005-0000-0000-0000E8020000}"/>
    <cellStyle name="20% - Énfasis1 21 5" xfId="742" xr:uid="{00000000-0005-0000-0000-0000E9020000}"/>
    <cellStyle name="20% - Énfasis1 21 5 2" xfId="743" xr:uid="{00000000-0005-0000-0000-0000EA020000}"/>
    <cellStyle name="20% - Énfasis1 21 5 2 2" xfId="744" xr:uid="{00000000-0005-0000-0000-0000EB020000}"/>
    <cellStyle name="20% - Énfasis1 21 5 3" xfId="745" xr:uid="{00000000-0005-0000-0000-0000EC020000}"/>
    <cellStyle name="20% - Énfasis1 21 6" xfId="746" xr:uid="{00000000-0005-0000-0000-0000ED020000}"/>
    <cellStyle name="20% - Énfasis1 21 6 2" xfId="747" xr:uid="{00000000-0005-0000-0000-0000EE020000}"/>
    <cellStyle name="20% - Énfasis1 21 7" xfId="748" xr:uid="{00000000-0005-0000-0000-0000EF020000}"/>
    <cellStyle name="20% - Énfasis1 22" xfId="749" xr:uid="{00000000-0005-0000-0000-0000F0020000}"/>
    <cellStyle name="20% - Énfasis1 22 2" xfId="750" xr:uid="{00000000-0005-0000-0000-0000F1020000}"/>
    <cellStyle name="20% - Énfasis1 22 2 2" xfId="751" xr:uid="{00000000-0005-0000-0000-0000F2020000}"/>
    <cellStyle name="20% - Énfasis1 22 2 2 2" xfId="752" xr:uid="{00000000-0005-0000-0000-0000F3020000}"/>
    <cellStyle name="20% - Énfasis1 22 2 2 2 2" xfId="753" xr:uid="{00000000-0005-0000-0000-0000F4020000}"/>
    <cellStyle name="20% - Énfasis1 22 2 2 3" xfId="754" xr:uid="{00000000-0005-0000-0000-0000F5020000}"/>
    <cellStyle name="20% - Énfasis1 22 2 3" xfId="755" xr:uid="{00000000-0005-0000-0000-0000F6020000}"/>
    <cellStyle name="20% - Énfasis1 22 2 3 2" xfId="756" xr:uid="{00000000-0005-0000-0000-0000F7020000}"/>
    <cellStyle name="20% - Énfasis1 22 2 3 2 2" xfId="757" xr:uid="{00000000-0005-0000-0000-0000F8020000}"/>
    <cellStyle name="20% - Énfasis1 22 2 3 3" xfId="758" xr:uid="{00000000-0005-0000-0000-0000F9020000}"/>
    <cellStyle name="20% - Énfasis1 22 2 4" xfId="759" xr:uid="{00000000-0005-0000-0000-0000FA020000}"/>
    <cellStyle name="20% - Énfasis1 22 2 4 2" xfId="760" xr:uid="{00000000-0005-0000-0000-0000FB020000}"/>
    <cellStyle name="20% - Énfasis1 22 2 5" xfId="761" xr:uid="{00000000-0005-0000-0000-0000FC020000}"/>
    <cellStyle name="20% - Énfasis1 22 3" xfId="762" xr:uid="{00000000-0005-0000-0000-0000FD020000}"/>
    <cellStyle name="20% - Énfasis1 22 3 2" xfId="763" xr:uid="{00000000-0005-0000-0000-0000FE020000}"/>
    <cellStyle name="20% - Énfasis1 22 3 2 2" xfId="764" xr:uid="{00000000-0005-0000-0000-0000FF020000}"/>
    <cellStyle name="20% - Énfasis1 22 3 2 2 2" xfId="765" xr:uid="{00000000-0005-0000-0000-000000030000}"/>
    <cellStyle name="20% - Énfasis1 22 3 2 3" xfId="766" xr:uid="{00000000-0005-0000-0000-000001030000}"/>
    <cellStyle name="20% - Énfasis1 22 3 3" xfId="767" xr:uid="{00000000-0005-0000-0000-000002030000}"/>
    <cellStyle name="20% - Énfasis1 22 3 3 2" xfId="768" xr:uid="{00000000-0005-0000-0000-000003030000}"/>
    <cellStyle name="20% - Énfasis1 22 3 4" xfId="769" xr:uid="{00000000-0005-0000-0000-000004030000}"/>
    <cellStyle name="20% - Énfasis1 22 4" xfId="770" xr:uid="{00000000-0005-0000-0000-000005030000}"/>
    <cellStyle name="20% - Énfasis1 22 4 2" xfId="771" xr:uid="{00000000-0005-0000-0000-000006030000}"/>
    <cellStyle name="20% - Énfasis1 22 4 2 2" xfId="772" xr:uid="{00000000-0005-0000-0000-000007030000}"/>
    <cellStyle name="20% - Énfasis1 22 4 3" xfId="773" xr:uid="{00000000-0005-0000-0000-000008030000}"/>
    <cellStyle name="20% - Énfasis1 22 5" xfId="774" xr:uid="{00000000-0005-0000-0000-000009030000}"/>
    <cellStyle name="20% - Énfasis1 22 5 2" xfId="775" xr:uid="{00000000-0005-0000-0000-00000A030000}"/>
    <cellStyle name="20% - Énfasis1 22 5 2 2" xfId="776" xr:uid="{00000000-0005-0000-0000-00000B030000}"/>
    <cellStyle name="20% - Énfasis1 22 5 3" xfId="777" xr:uid="{00000000-0005-0000-0000-00000C030000}"/>
    <cellStyle name="20% - Énfasis1 22 6" xfId="778" xr:uid="{00000000-0005-0000-0000-00000D030000}"/>
    <cellStyle name="20% - Énfasis1 22 6 2" xfId="779" xr:uid="{00000000-0005-0000-0000-00000E030000}"/>
    <cellStyle name="20% - Énfasis1 22 7" xfId="780" xr:uid="{00000000-0005-0000-0000-00000F030000}"/>
    <cellStyle name="20% - Énfasis1 23" xfId="781" xr:uid="{00000000-0005-0000-0000-000010030000}"/>
    <cellStyle name="20% - Énfasis1 23 2" xfId="782" xr:uid="{00000000-0005-0000-0000-000011030000}"/>
    <cellStyle name="20% - Énfasis1 23 2 2" xfId="783" xr:uid="{00000000-0005-0000-0000-000012030000}"/>
    <cellStyle name="20% - Énfasis1 23 2 2 2" xfId="784" xr:uid="{00000000-0005-0000-0000-000013030000}"/>
    <cellStyle name="20% - Énfasis1 23 2 2 2 2" xfId="785" xr:uid="{00000000-0005-0000-0000-000014030000}"/>
    <cellStyle name="20% - Énfasis1 23 2 2 3" xfId="786" xr:uid="{00000000-0005-0000-0000-000015030000}"/>
    <cellStyle name="20% - Énfasis1 23 2 3" xfId="787" xr:uid="{00000000-0005-0000-0000-000016030000}"/>
    <cellStyle name="20% - Énfasis1 23 2 3 2" xfId="788" xr:uid="{00000000-0005-0000-0000-000017030000}"/>
    <cellStyle name="20% - Énfasis1 23 2 3 2 2" xfId="789" xr:uid="{00000000-0005-0000-0000-000018030000}"/>
    <cellStyle name="20% - Énfasis1 23 2 3 3" xfId="790" xr:uid="{00000000-0005-0000-0000-000019030000}"/>
    <cellStyle name="20% - Énfasis1 23 2 4" xfId="791" xr:uid="{00000000-0005-0000-0000-00001A030000}"/>
    <cellStyle name="20% - Énfasis1 23 2 4 2" xfId="792" xr:uid="{00000000-0005-0000-0000-00001B030000}"/>
    <cellStyle name="20% - Énfasis1 23 2 5" xfId="793" xr:uid="{00000000-0005-0000-0000-00001C030000}"/>
    <cellStyle name="20% - Énfasis1 23 3" xfId="794" xr:uid="{00000000-0005-0000-0000-00001D030000}"/>
    <cellStyle name="20% - Énfasis1 23 3 2" xfId="795" xr:uid="{00000000-0005-0000-0000-00001E030000}"/>
    <cellStyle name="20% - Énfasis1 23 3 2 2" xfId="796" xr:uid="{00000000-0005-0000-0000-00001F030000}"/>
    <cellStyle name="20% - Énfasis1 23 3 2 2 2" xfId="797" xr:uid="{00000000-0005-0000-0000-000020030000}"/>
    <cellStyle name="20% - Énfasis1 23 3 2 3" xfId="798" xr:uid="{00000000-0005-0000-0000-000021030000}"/>
    <cellStyle name="20% - Énfasis1 23 3 3" xfId="799" xr:uid="{00000000-0005-0000-0000-000022030000}"/>
    <cellStyle name="20% - Énfasis1 23 3 3 2" xfId="800" xr:uid="{00000000-0005-0000-0000-000023030000}"/>
    <cellStyle name="20% - Énfasis1 23 3 4" xfId="801" xr:uid="{00000000-0005-0000-0000-000024030000}"/>
    <cellStyle name="20% - Énfasis1 23 4" xfId="802" xr:uid="{00000000-0005-0000-0000-000025030000}"/>
    <cellStyle name="20% - Énfasis1 23 4 2" xfId="803" xr:uid="{00000000-0005-0000-0000-000026030000}"/>
    <cellStyle name="20% - Énfasis1 23 4 2 2" xfId="804" xr:uid="{00000000-0005-0000-0000-000027030000}"/>
    <cellStyle name="20% - Énfasis1 23 4 3" xfId="805" xr:uid="{00000000-0005-0000-0000-000028030000}"/>
    <cellStyle name="20% - Énfasis1 23 5" xfId="806" xr:uid="{00000000-0005-0000-0000-000029030000}"/>
    <cellStyle name="20% - Énfasis1 23 5 2" xfId="807" xr:uid="{00000000-0005-0000-0000-00002A030000}"/>
    <cellStyle name="20% - Énfasis1 23 5 2 2" xfId="808" xr:uid="{00000000-0005-0000-0000-00002B030000}"/>
    <cellStyle name="20% - Énfasis1 23 5 3" xfId="809" xr:uid="{00000000-0005-0000-0000-00002C030000}"/>
    <cellStyle name="20% - Énfasis1 23 6" xfId="810" xr:uid="{00000000-0005-0000-0000-00002D030000}"/>
    <cellStyle name="20% - Énfasis1 23 6 2" xfId="811" xr:uid="{00000000-0005-0000-0000-00002E030000}"/>
    <cellStyle name="20% - Énfasis1 23 7" xfId="812" xr:uid="{00000000-0005-0000-0000-00002F030000}"/>
    <cellStyle name="20% - Énfasis1 24" xfId="813" xr:uid="{00000000-0005-0000-0000-000030030000}"/>
    <cellStyle name="20% - Énfasis1 24 2" xfId="814" xr:uid="{00000000-0005-0000-0000-000031030000}"/>
    <cellStyle name="20% - Énfasis1 24 2 2" xfId="815" xr:uid="{00000000-0005-0000-0000-000032030000}"/>
    <cellStyle name="20% - Énfasis1 24 2 2 2" xfId="816" xr:uid="{00000000-0005-0000-0000-000033030000}"/>
    <cellStyle name="20% - Énfasis1 24 2 2 2 2" xfId="817" xr:uid="{00000000-0005-0000-0000-000034030000}"/>
    <cellStyle name="20% - Énfasis1 24 2 2 3" xfId="818" xr:uid="{00000000-0005-0000-0000-000035030000}"/>
    <cellStyle name="20% - Énfasis1 24 2 3" xfId="819" xr:uid="{00000000-0005-0000-0000-000036030000}"/>
    <cellStyle name="20% - Énfasis1 24 2 3 2" xfId="820" xr:uid="{00000000-0005-0000-0000-000037030000}"/>
    <cellStyle name="20% - Énfasis1 24 2 3 2 2" xfId="821" xr:uid="{00000000-0005-0000-0000-000038030000}"/>
    <cellStyle name="20% - Énfasis1 24 2 3 3" xfId="822" xr:uid="{00000000-0005-0000-0000-000039030000}"/>
    <cellStyle name="20% - Énfasis1 24 2 4" xfId="823" xr:uid="{00000000-0005-0000-0000-00003A030000}"/>
    <cellStyle name="20% - Énfasis1 24 2 4 2" xfId="824" xr:uid="{00000000-0005-0000-0000-00003B030000}"/>
    <cellStyle name="20% - Énfasis1 24 2 5" xfId="825" xr:uid="{00000000-0005-0000-0000-00003C030000}"/>
    <cellStyle name="20% - Énfasis1 24 3" xfId="826" xr:uid="{00000000-0005-0000-0000-00003D030000}"/>
    <cellStyle name="20% - Énfasis1 24 3 2" xfId="827" xr:uid="{00000000-0005-0000-0000-00003E030000}"/>
    <cellStyle name="20% - Énfasis1 24 3 2 2" xfId="828" xr:uid="{00000000-0005-0000-0000-00003F030000}"/>
    <cellStyle name="20% - Énfasis1 24 3 2 2 2" xfId="829" xr:uid="{00000000-0005-0000-0000-000040030000}"/>
    <cellStyle name="20% - Énfasis1 24 3 2 3" xfId="830" xr:uid="{00000000-0005-0000-0000-000041030000}"/>
    <cellStyle name="20% - Énfasis1 24 3 3" xfId="831" xr:uid="{00000000-0005-0000-0000-000042030000}"/>
    <cellStyle name="20% - Énfasis1 24 3 3 2" xfId="832" xr:uid="{00000000-0005-0000-0000-000043030000}"/>
    <cellStyle name="20% - Énfasis1 24 3 4" xfId="833" xr:uid="{00000000-0005-0000-0000-000044030000}"/>
    <cellStyle name="20% - Énfasis1 24 4" xfId="834" xr:uid="{00000000-0005-0000-0000-000045030000}"/>
    <cellStyle name="20% - Énfasis1 24 4 2" xfId="835" xr:uid="{00000000-0005-0000-0000-000046030000}"/>
    <cellStyle name="20% - Énfasis1 24 4 2 2" xfId="836" xr:uid="{00000000-0005-0000-0000-000047030000}"/>
    <cellStyle name="20% - Énfasis1 24 4 3" xfId="837" xr:uid="{00000000-0005-0000-0000-000048030000}"/>
    <cellStyle name="20% - Énfasis1 24 5" xfId="838" xr:uid="{00000000-0005-0000-0000-000049030000}"/>
    <cellStyle name="20% - Énfasis1 24 5 2" xfId="839" xr:uid="{00000000-0005-0000-0000-00004A030000}"/>
    <cellStyle name="20% - Énfasis1 24 5 2 2" xfId="840" xr:uid="{00000000-0005-0000-0000-00004B030000}"/>
    <cellStyle name="20% - Énfasis1 24 5 3" xfId="841" xr:uid="{00000000-0005-0000-0000-00004C030000}"/>
    <cellStyle name="20% - Énfasis1 24 6" xfId="842" xr:uid="{00000000-0005-0000-0000-00004D030000}"/>
    <cellStyle name="20% - Énfasis1 24 6 2" xfId="843" xr:uid="{00000000-0005-0000-0000-00004E030000}"/>
    <cellStyle name="20% - Énfasis1 24 7" xfId="844" xr:uid="{00000000-0005-0000-0000-00004F030000}"/>
    <cellStyle name="20% - Énfasis1 25" xfId="845" xr:uid="{00000000-0005-0000-0000-000050030000}"/>
    <cellStyle name="20% - Énfasis1 25 2" xfId="846" xr:uid="{00000000-0005-0000-0000-000051030000}"/>
    <cellStyle name="20% - Énfasis1 25 2 2" xfId="847" xr:uid="{00000000-0005-0000-0000-000052030000}"/>
    <cellStyle name="20% - Énfasis1 25 2 2 2" xfId="848" xr:uid="{00000000-0005-0000-0000-000053030000}"/>
    <cellStyle name="20% - Énfasis1 25 2 2 2 2" xfId="849" xr:uid="{00000000-0005-0000-0000-000054030000}"/>
    <cellStyle name="20% - Énfasis1 25 2 2 3" xfId="850" xr:uid="{00000000-0005-0000-0000-000055030000}"/>
    <cellStyle name="20% - Énfasis1 25 2 3" xfId="851" xr:uid="{00000000-0005-0000-0000-000056030000}"/>
    <cellStyle name="20% - Énfasis1 25 2 3 2" xfId="852" xr:uid="{00000000-0005-0000-0000-000057030000}"/>
    <cellStyle name="20% - Énfasis1 25 2 3 2 2" xfId="853" xr:uid="{00000000-0005-0000-0000-000058030000}"/>
    <cellStyle name="20% - Énfasis1 25 2 3 3" xfId="854" xr:uid="{00000000-0005-0000-0000-000059030000}"/>
    <cellStyle name="20% - Énfasis1 25 2 4" xfId="855" xr:uid="{00000000-0005-0000-0000-00005A030000}"/>
    <cellStyle name="20% - Énfasis1 25 2 4 2" xfId="856" xr:uid="{00000000-0005-0000-0000-00005B030000}"/>
    <cellStyle name="20% - Énfasis1 25 2 5" xfId="857" xr:uid="{00000000-0005-0000-0000-00005C030000}"/>
    <cellStyle name="20% - Énfasis1 25 3" xfId="858" xr:uid="{00000000-0005-0000-0000-00005D030000}"/>
    <cellStyle name="20% - Énfasis1 25 3 2" xfId="859" xr:uid="{00000000-0005-0000-0000-00005E030000}"/>
    <cellStyle name="20% - Énfasis1 25 3 2 2" xfId="860" xr:uid="{00000000-0005-0000-0000-00005F030000}"/>
    <cellStyle name="20% - Énfasis1 25 3 2 2 2" xfId="861" xr:uid="{00000000-0005-0000-0000-000060030000}"/>
    <cellStyle name="20% - Énfasis1 25 3 2 3" xfId="862" xr:uid="{00000000-0005-0000-0000-000061030000}"/>
    <cellStyle name="20% - Énfasis1 25 3 3" xfId="863" xr:uid="{00000000-0005-0000-0000-000062030000}"/>
    <cellStyle name="20% - Énfasis1 25 3 3 2" xfId="864" xr:uid="{00000000-0005-0000-0000-000063030000}"/>
    <cellStyle name="20% - Énfasis1 25 3 4" xfId="865" xr:uid="{00000000-0005-0000-0000-000064030000}"/>
    <cellStyle name="20% - Énfasis1 25 4" xfId="866" xr:uid="{00000000-0005-0000-0000-000065030000}"/>
    <cellStyle name="20% - Énfasis1 25 4 2" xfId="867" xr:uid="{00000000-0005-0000-0000-000066030000}"/>
    <cellStyle name="20% - Énfasis1 25 4 2 2" xfId="868" xr:uid="{00000000-0005-0000-0000-000067030000}"/>
    <cellStyle name="20% - Énfasis1 25 4 3" xfId="869" xr:uid="{00000000-0005-0000-0000-000068030000}"/>
    <cellStyle name="20% - Énfasis1 25 5" xfId="870" xr:uid="{00000000-0005-0000-0000-000069030000}"/>
    <cellStyle name="20% - Énfasis1 25 5 2" xfId="871" xr:uid="{00000000-0005-0000-0000-00006A030000}"/>
    <cellStyle name="20% - Énfasis1 25 5 2 2" xfId="872" xr:uid="{00000000-0005-0000-0000-00006B030000}"/>
    <cellStyle name="20% - Énfasis1 25 5 3" xfId="873" xr:uid="{00000000-0005-0000-0000-00006C030000}"/>
    <cellStyle name="20% - Énfasis1 25 6" xfId="874" xr:uid="{00000000-0005-0000-0000-00006D030000}"/>
    <cellStyle name="20% - Énfasis1 25 6 2" xfId="875" xr:uid="{00000000-0005-0000-0000-00006E030000}"/>
    <cellStyle name="20% - Énfasis1 25 7" xfId="876" xr:uid="{00000000-0005-0000-0000-00006F030000}"/>
    <cellStyle name="20% - Énfasis1 26" xfId="877" xr:uid="{00000000-0005-0000-0000-000070030000}"/>
    <cellStyle name="20% - Énfasis1 26 2" xfId="878" xr:uid="{00000000-0005-0000-0000-000071030000}"/>
    <cellStyle name="20% - Énfasis1 26 2 2" xfId="879" xr:uid="{00000000-0005-0000-0000-000072030000}"/>
    <cellStyle name="20% - Énfasis1 26 2 2 2" xfId="880" xr:uid="{00000000-0005-0000-0000-000073030000}"/>
    <cellStyle name="20% - Énfasis1 26 2 2 2 2" xfId="881" xr:uid="{00000000-0005-0000-0000-000074030000}"/>
    <cellStyle name="20% - Énfasis1 26 2 2 3" xfId="882" xr:uid="{00000000-0005-0000-0000-000075030000}"/>
    <cellStyle name="20% - Énfasis1 26 2 3" xfId="883" xr:uid="{00000000-0005-0000-0000-000076030000}"/>
    <cellStyle name="20% - Énfasis1 26 2 3 2" xfId="884" xr:uid="{00000000-0005-0000-0000-000077030000}"/>
    <cellStyle name="20% - Énfasis1 26 2 3 2 2" xfId="885" xr:uid="{00000000-0005-0000-0000-000078030000}"/>
    <cellStyle name="20% - Énfasis1 26 2 3 3" xfId="886" xr:uid="{00000000-0005-0000-0000-000079030000}"/>
    <cellStyle name="20% - Énfasis1 26 2 4" xfId="887" xr:uid="{00000000-0005-0000-0000-00007A030000}"/>
    <cellStyle name="20% - Énfasis1 26 2 4 2" xfId="888" xr:uid="{00000000-0005-0000-0000-00007B030000}"/>
    <cellStyle name="20% - Énfasis1 26 2 5" xfId="889" xr:uid="{00000000-0005-0000-0000-00007C030000}"/>
    <cellStyle name="20% - Énfasis1 26 3" xfId="890" xr:uid="{00000000-0005-0000-0000-00007D030000}"/>
    <cellStyle name="20% - Énfasis1 26 3 2" xfId="891" xr:uid="{00000000-0005-0000-0000-00007E030000}"/>
    <cellStyle name="20% - Énfasis1 26 3 2 2" xfId="892" xr:uid="{00000000-0005-0000-0000-00007F030000}"/>
    <cellStyle name="20% - Énfasis1 26 3 2 2 2" xfId="893" xr:uid="{00000000-0005-0000-0000-000080030000}"/>
    <cellStyle name="20% - Énfasis1 26 3 2 3" xfId="894" xr:uid="{00000000-0005-0000-0000-000081030000}"/>
    <cellStyle name="20% - Énfasis1 26 3 3" xfId="895" xr:uid="{00000000-0005-0000-0000-000082030000}"/>
    <cellStyle name="20% - Énfasis1 26 3 3 2" xfId="896" xr:uid="{00000000-0005-0000-0000-000083030000}"/>
    <cellStyle name="20% - Énfasis1 26 3 4" xfId="897" xr:uid="{00000000-0005-0000-0000-000084030000}"/>
    <cellStyle name="20% - Énfasis1 26 4" xfId="898" xr:uid="{00000000-0005-0000-0000-000085030000}"/>
    <cellStyle name="20% - Énfasis1 26 4 2" xfId="899" xr:uid="{00000000-0005-0000-0000-000086030000}"/>
    <cellStyle name="20% - Énfasis1 26 4 2 2" xfId="900" xr:uid="{00000000-0005-0000-0000-000087030000}"/>
    <cellStyle name="20% - Énfasis1 26 4 3" xfId="901" xr:uid="{00000000-0005-0000-0000-000088030000}"/>
    <cellStyle name="20% - Énfasis1 26 5" xfId="902" xr:uid="{00000000-0005-0000-0000-000089030000}"/>
    <cellStyle name="20% - Énfasis1 26 5 2" xfId="903" xr:uid="{00000000-0005-0000-0000-00008A030000}"/>
    <cellStyle name="20% - Énfasis1 26 5 2 2" xfId="904" xr:uid="{00000000-0005-0000-0000-00008B030000}"/>
    <cellStyle name="20% - Énfasis1 26 5 3" xfId="905" xr:uid="{00000000-0005-0000-0000-00008C030000}"/>
    <cellStyle name="20% - Énfasis1 26 6" xfId="906" xr:uid="{00000000-0005-0000-0000-00008D030000}"/>
    <cellStyle name="20% - Énfasis1 26 6 2" xfId="907" xr:uid="{00000000-0005-0000-0000-00008E030000}"/>
    <cellStyle name="20% - Énfasis1 26 7" xfId="908" xr:uid="{00000000-0005-0000-0000-00008F030000}"/>
    <cellStyle name="20% - Énfasis1 27" xfId="909" xr:uid="{00000000-0005-0000-0000-000090030000}"/>
    <cellStyle name="20% - Énfasis1 27 2" xfId="910" xr:uid="{00000000-0005-0000-0000-000091030000}"/>
    <cellStyle name="20% - Énfasis1 27 2 2" xfId="911" xr:uid="{00000000-0005-0000-0000-000092030000}"/>
    <cellStyle name="20% - Énfasis1 27 2 2 2" xfId="912" xr:uid="{00000000-0005-0000-0000-000093030000}"/>
    <cellStyle name="20% - Énfasis1 27 2 2 2 2" xfId="913" xr:uid="{00000000-0005-0000-0000-000094030000}"/>
    <cellStyle name="20% - Énfasis1 27 2 2 3" xfId="914" xr:uid="{00000000-0005-0000-0000-000095030000}"/>
    <cellStyle name="20% - Énfasis1 27 2 3" xfId="915" xr:uid="{00000000-0005-0000-0000-000096030000}"/>
    <cellStyle name="20% - Énfasis1 27 2 3 2" xfId="916" xr:uid="{00000000-0005-0000-0000-000097030000}"/>
    <cellStyle name="20% - Énfasis1 27 2 3 2 2" xfId="917" xr:uid="{00000000-0005-0000-0000-000098030000}"/>
    <cellStyle name="20% - Énfasis1 27 2 3 3" xfId="918" xr:uid="{00000000-0005-0000-0000-000099030000}"/>
    <cellStyle name="20% - Énfasis1 27 2 4" xfId="919" xr:uid="{00000000-0005-0000-0000-00009A030000}"/>
    <cellStyle name="20% - Énfasis1 27 2 4 2" xfId="920" xr:uid="{00000000-0005-0000-0000-00009B030000}"/>
    <cellStyle name="20% - Énfasis1 27 2 5" xfId="921" xr:uid="{00000000-0005-0000-0000-00009C030000}"/>
    <cellStyle name="20% - Énfasis1 27 3" xfId="922" xr:uid="{00000000-0005-0000-0000-00009D030000}"/>
    <cellStyle name="20% - Énfasis1 27 3 2" xfId="923" xr:uid="{00000000-0005-0000-0000-00009E030000}"/>
    <cellStyle name="20% - Énfasis1 27 3 2 2" xfId="924" xr:uid="{00000000-0005-0000-0000-00009F030000}"/>
    <cellStyle name="20% - Énfasis1 27 3 2 2 2" xfId="925" xr:uid="{00000000-0005-0000-0000-0000A0030000}"/>
    <cellStyle name="20% - Énfasis1 27 3 2 3" xfId="926" xr:uid="{00000000-0005-0000-0000-0000A1030000}"/>
    <cellStyle name="20% - Énfasis1 27 3 3" xfId="927" xr:uid="{00000000-0005-0000-0000-0000A2030000}"/>
    <cellStyle name="20% - Énfasis1 27 3 3 2" xfId="928" xr:uid="{00000000-0005-0000-0000-0000A3030000}"/>
    <cellStyle name="20% - Énfasis1 27 3 4" xfId="929" xr:uid="{00000000-0005-0000-0000-0000A4030000}"/>
    <cellStyle name="20% - Énfasis1 27 4" xfId="930" xr:uid="{00000000-0005-0000-0000-0000A5030000}"/>
    <cellStyle name="20% - Énfasis1 27 4 2" xfId="931" xr:uid="{00000000-0005-0000-0000-0000A6030000}"/>
    <cellStyle name="20% - Énfasis1 27 4 2 2" xfId="932" xr:uid="{00000000-0005-0000-0000-0000A7030000}"/>
    <cellStyle name="20% - Énfasis1 27 4 3" xfId="933" xr:uid="{00000000-0005-0000-0000-0000A8030000}"/>
    <cellStyle name="20% - Énfasis1 27 5" xfId="934" xr:uid="{00000000-0005-0000-0000-0000A9030000}"/>
    <cellStyle name="20% - Énfasis1 27 5 2" xfId="935" xr:uid="{00000000-0005-0000-0000-0000AA030000}"/>
    <cellStyle name="20% - Énfasis1 27 5 2 2" xfId="936" xr:uid="{00000000-0005-0000-0000-0000AB030000}"/>
    <cellStyle name="20% - Énfasis1 27 5 3" xfId="937" xr:uid="{00000000-0005-0000-0000-0000AC030000}"/>
    <cellStyle name="20% - Énfasis1 27 6" xfId="938" xr:uid="{00000000-0005-0000-0000-0000AD030000}"/>
    <cellStyle name="20% - Énfasis1 27 6 2" xfId="939" xr:uid="{00000000-0005-0000-0000-0000AE030000}"/>
    <cellStyle name="20% - Énfasis1 27 7" xfId="940" xr:uid="{00000000-0005-0000-0000-0000AF030000}"/>
    <cellStyle name="20% - Énfasis1 28" xfId="941" xr:uid="{00000000-0005-0000-0000-0000B0030000}"/>
    <cellStyle name="20% - Énfasis1 28 2" xfId="942" xr:uid="{00000000-0005-0000-0000-0000B1030000}"/>
    <cellStyle name="20% - Énfasis1 28 2 2" xfId="943" xr:uid="{00000000-0005-0000-0000-0000B2030000}"/>
    <cellStyle name="20% - Énfasis1 28 2 2 2" xfId="944" xr:uid="{00000000-0005-0000-0000-0000B3030000}"/>
    <cellStyle name="20% - Énfasis1 28 2 2 2 2" xfId="945" xr:uid="{00000000-0005-0000-0000-0000B4030000}"/>
    <cellStyle name="20% - Énfasis1 28 2 2 3" xfId="946" xr:uid="{00000000-0005-0000-0000-0000B5030000}"/>
    <cellStyle name="20% - Énfasis1 28 2 3" xfId="947" xr:uid="{00000000-0005-0000-0000-0000B6030000}"/>
    <cellStyle name="20% - Énfasis1 28 2 3 2" xfId="948" xr:uid="{00000000-0005-0000-0000-0000B7030000}"/>
    <cellStyle name="20% - Énfasis1 28 2 3 2 2" xfId="949" xr:uid="{00000000-0005-0000-0000-0000B8030000}"/>
    <cellStyle name="20% - Énfasis1 28 2 3 3" xfId="950" xr:uid="{00000000-0005-0000-0000-0000B9030000}"/>
    <cellStyle name="20% - Énfasis1 28 2 4" xfId="951" xr:uid="{00000000-0005-0000-0000-0000BA030000}"/>
    <cellStyle name="20% - Énfasis1 28 2 4 2" xfId="952" xr:uid="{00000000-0005-0000-0000-0000BB030000}"/>
    <cellStyle name="20% - Énfasis1 28 2 5" xfId="953" xr:uid="{00000000-0005-0000-0000-0000BC030000}"/>
    <cellStyle name="20% - Énfasis1 28 3" xfId="954" xr:uid="{00000000-0005-0000-0000-0000BD030000}"/>
    <cellStyle name="20% - Énfasis1 28 3 2" xfId="955" xr:uid="{00000000-0005-0000-0000-0000BE030000}"/>
    <cellStyle name="20% - Énfasis1 28 3 2 2" xfId="956" xr:uid="{00000000-0005-0000-0000-0000BF030000}"/>
    <cellStyle name="20% - Énfasis1 28 3 3" xfId="957" xr:uid="{00000000-0005-0000-0000-0000C0030000}"/>
    <cellStyle name="20% - Énfasis1 28 4" xfId="958" xr:uid="{00000000-0005-0000-0000-0000C1030000}"/>
    <cellStyle name="20% - Énfasis1 28 4 2" xfId="959" xr:uid="{00000000-0005-0000-0000-0000C2030000}"/>
    <cellStyle name="20% - Énfasis1 28 4 2 2" xfId="960" xr:uid="{00000000-0005-0000-0000-0000C3030000}"/>
    <cellStyle name="20% - Énfasis1 28 4 3" xfId="961" xr:uid="{00000000-0005-0000-0000-0000C4030000}"/>
    <cellStyle name="20% - Énfasis1 28 5" xfId="962" xr:uid="{00000000-0005-0000-0000-0000C5030000}"/>
    <cellStyle name="20% - Énfasis1 28 5 2" xfId="963" xr:uid="{00000000-0005-0000-0000-0000C6030000}"/>
    <cellStyle name="20% - Énfasis1 28 6" xfId="964" xr:uid="{00000000-0005-0000-0000-0000C7030000}"/>
    <cellStyle name="20% - Énfasis1 29" xfId="965" xr:uid="{00000000-0005-0000-0000-0000C8030000}"/>
    <cellStyle name="20% - Énfasis1 29 2" xfId="966" xr:uid="{00000000-0005-0000-0000-0000C9030000}"/>
    <cellStyle name="20% - Énfasis1 29 2 2" xfId="967" xr:uid="{00000000-0005-0000-0000-0000CA030000}"/>
    <cellStyle name="20% - Énfasis1 29 2 2 2" xfId="968" xr:uid="{00000000-0005-0000-0000-0000CB030000}"/>
    <cellStyle name="20% - Énfasis1 29 2 2 2 2" xfId="969" xr:uid="{00000000-0005-0000-0000-0000CC030000}"/>
    <cellStyle name="20% - Énfasis1 29 2 2 3" xfId="970" xr:uid="{00000000-0005-0000-0000-0000CD030000}"/>
    <cellStyle name="20% - Énfasis1 29 2 3" xfId="971" xr:uid="{00000000-0005-0000-0000-0000CE030000}"/>
    <cellStyle name="20% - Énfasis1 29 2 3 2" xfId="972" xr:uid="{00000000-0005-0000-0000-0000CF030000}"/>
    <cellStyle name="20% - Énfasis1 29 2 4" xfId="973" xr:uid="{00000000-0005-0000-0000-0000D0030000}"/>
    <cellStyle name="20% - Énfasis1 29 3" xfId="974" xr:uid="{00000000-0005-0000-0000-0000D1030000}"/>
    <cellStyle name="20% - Énfasis1 29 3 2" xfId="975" xr:uid="{00000000-0005-0000-0000-0000D2030000}"/>
    <cellStyle name="20% - Énfasis1 29 3 2 2" xfId="976" xr:uid="{00000000-0005-0000-0000-0000D3030000}"/>
    <cellStyle name="20% - Énfasis1 29 3 3" xfId="977" xr:uid="{00000000-0005-0000-0000-0000D4030000}"/>
    <cellStyle name="20% - Énfasis1 29 4" xfId="978" xr:uid="{00000000-0005-0000-0000-0000D5030000}"/>
    <cellStyle name="20% - Énfasis1 29 4 2" xfId="979" xr:uid="{00000000-0005-0000-0000-0000D6030000}"/>
    <cellStyle name="20% - Énfasis1 29 5" xfId="980" xr:uid="{00000000-0005-0000-0000-0000D7030000}"/>
    <cellStyle name="20% - Énfasis1 3" xfId="981" xr:uid="{00000000-0005-0000-0000-0000D8030000}"/>
    <cellStyle name="20% - Énfasis1 3 10" xfId="982" xr:uid="{00000000-0005-0000-0000-0000D9030000}"/>
    <cellStyle name="20% - Énfasis1 3 10 2" xfId="983" xr:uid="{00000000-0005-0000-0000-0000DA030000}"/>
    <cellStyle name="20% - Énfasis1 3 11" xfId="984" xr:uid="{00000000-0005-0000-0000-0000DB030000}"/>
    <cellStyle name="20% - Énfasis1 3 11 2" xfId="985" xr:uid="{00000000-0005-0000-0000-0000DC030000}"/>
    <cellStyle name="20% - Énfasis1 3 12" xfId="986" xr:uid="{00000000-0005-0000-0000-0000DD030000}"/>
    <cellStyle name="20% - Énfasis1 3 2" xfId="987" xr:uid="{00000000-0005-0000-0000-0000DE030000}"/>
    <cellStyle name="20% - Énfasis1 3 2 2" xfId="988" xr:uid="{00000000-0005-0000-0000-0000DF030000}"/>
    <cellStyle name="20% - Énfasis1 3 2 2 2" xfId="989" xr:uid="{00000000-0005-0000-0000-0000E0030000}"/>
    <cellStyle name="20% - Énfasis1 3 2 2 2 2" xfId="990" xr:uid="{00000000-0005-0000-0000-0000E1030000}"/>
    <cellStyle name="20% - Énfasis1 3 2 2 2 2 2" xfId="991" xr:uid="{00000000-0005-0000-0000-0000E2030000}"/>
    <cellStyle name="20% - Énfasis1 3 2 2 2 2 2 2" xfId="992" xr:uid="{00000000-0005-0000-0000-0000E3030000}"/>
    <cellStyle name="20% - Énfasis1 3 2 2 2 2 2 2 2" xfId="993" xr:uid="{00000000-0005-0000-0000-0000E4030000}"/>
    <cellStyle name="20% - Énfasis1 3 2 2 2 2 2 3" xfId="994" xr:uid="{00000000-0005-0000-0000-0000E5030000}"/>
    <cellStyle name="20% - Énfasis1 3 2 2 2 2 3" xfId="995" xr:uid="{00000000-0005-0000-0000-0000E6030000}"/>
    <cellStyle name="20% - Énfasis1 3 2 2 2 2 3 2" xfId="996" xr:uid="{00000000-0005-0000-0000-0000E7030000}"/>
    <cellStyle name="20% - Énfasis1 3 2 2 2 2 4" xfId="997" xr:uid="{00000000-0005-0000-0000-0000E8030000}"/>
    <cellStyle name="20% - Énfasis1 3 2 2 2 3" xfId="998" xr:uid="{00000000-0005-0000-0000-0000E9030000}"/>
    <cellStyle name="20% - Énfasis1 3 2 2 2 3 2" xfId="999" xr:uid="{00000000-0005-0000-0000-0000EA030000}"/>
    <cellStyle name="20% - Énfasis1 3 2 2 2 3 2 2" xfId="1000" xr:uid="{00000000-0005-0000-0000-0000EB030000}"/>
    <cellStyle name="20% - Énfasis1 3 2 2 2 3 3" xfId="1001" xr:uid="{00000000-0005-0000-0000-0000EC030000}"/>
    <cellStyle name="20% - Énfasis1 3 2 2 2 4" xfId="1002" xr:uid="{00000000-0005-0000-0000-0000ED030000}"/>
    <cellStyle name="20% - Énfasis1 3 2 2 2 4 2" xfId="1003" xr:uid="{00000000-0005-0000-0000-0000EE030000}"/>
    <cellStyle name="20% - Énfasis1 3 2 2 2 4 2 2" xfId="1004" xr:uid="{00000000-0005-0000-0000-0000EF030000}"/>
    <cellStyle name="20% - Énfasis1 3 2 2 2 4 3" xfId="1005" xr:uid="{00000000-0005-0000-0000-0000F0030000}"/>
    <cellStyle name="20% - Énfasis1 3 2 2 2 5" xfId="1006" xr:uid="{00000000-0005-0000-0000-0000F1030000}"/>
    <cellStyle name="20% - Énfasis1 3 2 2 2 5 2" xfId="1007" xr:uid="{00000000-0005-0000-0000-0000F2030000}"/>
    <cellStyle name="20% - Énfasis1 3 2 2 2 6" xfId="1008" xr:uid="{00000000-0005-0000-0000-0000F3030000}"/>
    <cellStyle name="20% - Énfasis1 3 2 2 3" xfId="1009" xr:uid="{00000000-0005-0000-0000-0000F4030000}"/>
    <cellStyle name="20% - Énfasis1 3 2 2 3 2" xfId="1010" xr:uid="{00000000-0005-0000-0000-0000F5030000}"/>
    <cellStyle name="20% - Énfasis1 3 2 2 3 2 2" xfId="1011" xr:uid="{00000000-0005-0000-0000-0000F6030000}"/>
    <cellStyle name="20% - Énfasis1 3 2 2 3 2 2 2" xfId="1012" xr:uid="{00000000-0005-0000-0000-0000F7030000}"/>
    <cellStyle name="20% - Énfasis1 3 2 2 3 2 3" xfId="1013" xr:uid="{00000000-0005-0000-0000-0000F8030000}"/>
    <cellStyle name="20% - Énfasis1 3 2 2 3 3" xfId="1014" xr:uid="{00000000-0005-0000-0000-0000F9030000}"/>
    <cellStyle name="20% - Énfasis1 3 2 2 3 3 2" xfId="1015" xr:uid="{00000000-0005-0000-0000-0000FA030000}"/>
    <cellStyle name="20% - Énfasis1 3 2 2 3 4" xfId="1016" xr:uid="{00000000-0005-0000-0000-0000FB030000}"/>
    <cellStyle name="20% - Énfasis1 3 2 2 4" xfId="1017" xr:uid="{00000000-0005-0000-0000-0000FC030000}"/>
    <cellStyle name="20% - Énfasis1 3 2 2 4 2" xfId="1018" xr:uid="{00000000-0005-0000-0000-0000FD030000}"/>
    <cellStyle name="20% - Énfasis1 3 2 2 4 2 2" xfId="1019" xr:uid="{00000000-0005-0000-0000-0000FE030000}"/>
    <cellStyle name="20% - Énfasis1 3 2 2 4 3" xfId="1020" xr:uid="{00000000-0005-0000-0000-0000FF030000}"/>
    <cellStyle name="20% - Énfasis1 3 2 2 5" xfId="1021" xr:uid="{00000000-0005-0000-0000-000000040000}"/>
    <cellStyle name="20% - Énfasis1 3 2 2 5 2" xfId="1022" xr:uid="{00000000-0005-0000-0000-000001040000}"/>
    <cellStyle name="20% - Énfasis1 3 2 2 5 2 2" xfId="1023" xr:uid="{00000000-0005-0000-0000-000002040000}"/>
    <cellStyle name="20% - Énfasis1 3 2 2 5 3" xfId="1024" xr:uid="{00000000-0005-0000-0000-000003040000}"/>
    <cellStyle name="20% - Énfasis1 3 2 2 6" xfId="1025" xr:uid="{00000000-0005-0000-0000-000004040000}"/>
    <cellStyle name="20% - Énfasis1 3 2 2 6 2" xfId="1026" xr:uid="{00000000-0005-0000-0000-000005040000}"/>
    <cellStyle name="20% - Énfasis1 3 2 2 7" xfId="1027" xr:uid="{00000000-0005-0000-0000-000006040000}"/>
    <cellStyle name="20% - Énfasis1 3 2 3" xfId="1028" xr:uid="{00000000-0005-0000-0000-000007040000}"/>
    <cellStyle name="20% - Énfasis1 3 2 3 2" xfId="1029" xr:uid="{00000000-0005-0000-0000-000008040000}"/>
    <cellStyle name="20% - Énfasis1 3 2 3 2 2" xfId="1030" xr:uid="{00000000-0005-0000-0000-000009040000}"/>
    <cellStyle name="20% - Énfasis1 3 2 3 2 2 2" xfId="1031" xr:uid="{00000000-0005-0000-0000-00000A040000}"/>
    <cellStyle name="20% - Énfasis1 3 2 3 2 2 2 2" xfId="1032" xr:uid="{00000000-0005-0000-0000-00000B040000}"/>
    <cellStyle name="20% - Énfasis1 3 2 3 2 2 3" xfId="1033" xr:uid="{00000000-0005-0000-0000-00000C040000}"/>
    <cellStyle name="20% - Énfasis1 3 2 3 2 3" xfId="1034" xr:uid="{00000000-0005-0000-0000-00000D040000}"/>
    <cellStyle name="20% - Énfasis1 3 2 3 2 3 2" xfId="1035" xr:uid="{00000000-0005-0000-0000-00000E040000}"/>
    <cellStyle name="20% - Énfasis1 3 2 3 2 4" xfId="1036" xr:uid="{00000000-0005-0000-0000-00000F040000}"/>
    <cellStyle name="20% - Énfasis1 3 2 3 3" xfId="1037" xr:uid="{00000000-0005-0000-0000-000010040000}"/>
    <cellStyle name="20% - Énfasis1 3 2 3 3 2" xfId="1038" xr:uid="{00000000-0005-0000-0000-000011040000}"/>
    <cellStyle name="20% - Énfasis1 3 2 3 3 2 2" xfId="1039" xr:uid="{00000000-0005-0000-0000-000012040000}"/>
    <cellStyle name="20% - Énfasis1 3 2 3 3 3" xfId="1040" xr:uid="{00000000-0005-0000-0000-000013040000}"/>
    <cellStyle name="20% - Énfasis1 3 2 3 4" xfId="1041" xr:uid="{00000000-0005-0000-0000-000014040000}"/>
    <cellStyle name="20% - Énfasis1 3 2 3 4 2" xfId="1042" xr:uid="{00000000-0005-0000-0000-000015040000}"/>
    <cellStyle name="20% - Énfasis1 3 2 3 4 2 2" xfId="1043" xr:uid="{00000000-0005-0000-0000-000016040000}"/>
    <cellStyle name="20% - Énfasis1 3 2 3 4 3" xfId="1044" xr:uid="{00000000-0005-0000-0000-000017040000}"/>
    <cellStyle name="20% - Énfasis1 3 2 3 5" xfId="1045" xr:uid="{00000000-0005-0000-0000-000018040000}"/>
    <cellStyle name="20% - Énfasis1 3 2 3 5 2" xfId="1046" xr:uid="{00000000-0005-0000-0000-000019040000}"/>
    <cellStyle name="20% - Énfasis1 3 2 3 6" xfId="1047" xr:uid="{00000000-0005-0000-0000-00001A040000}"/>
    <cellStyle name="20% - Énfasis1 3 2 4" xfId="1048" xr:uid="{00000000-0005-0000-0000-00001B040000}"/>
    <cellStyle name="20% - Énfasis1 3 2 4 2" xfId="1049" xr:uid="{00000000-0005-0000-0000-00001C040000}"/>
    <cellStyle name="20% - Énfasis1 3 2 4 2 2" xfId="1050" xr:uid="{00000000-0005-0000-0000-00001D040000}"/>
    <cellStyle name="20% - Énfasis1 3 2 4 2 2 2" xfId="1051" xr:uid="{00000000-0005-0000-0000-00001E040000}"/>
    <cellStyle name="20% - Énfasis1 3 2 4 2 3" xfId="1052" xr:uid="{00000000-0005-0000-0000-00001F040000}"/>
    <cellStyle name="20% - Énfasis1 3 2 4 3" xfId="1053" xr:uid="{00000000-0005-0000-0000-000020040000}"/>
    <cellStyle name="20% - Énfasis1 3 2 4 3 2" xfId="1054" xr:uid="{00000000-0005-0000-0000-000021040000}"/>
    <cellStyle name="20% - Énfasis1 3 2 4 3 2 2" xfId="1055" xr:uid="{00000000-0005-0000-0000-000022040000}"/>
    <cellStyle name="20% - Énfasis1 3 2 4 3 3" xfId="1056" xr:uid="{00000000-0005-0000-0000-000023040000}"/>
    <cellStyle name="20% - Énfasis1 3 2 4 4" xfId="1057" xr:uid="{00000000-0005-0000-0000-000024040000}"/>
    <cellStyle name="20% - Énfasis1 3 2 4 4 2" xfId="1058" xr:uid="{00000000-0005-0000-0000-000025040000}"/>
    <cellStyle name="20% - Énfasis1 3 2 4 5" xfId="1059" xr:uid="{00000000-0005-0000-0000-000026040000}"/>
    <cellStyle name="20% - Énfasis1 3 2 5" xfId="1060" xr:uid="{00000000-0005-0000-0000-000027040000}"/>
    <cellStyle name="20% - Énfasis1 3 2 5 2" xfId="1061" xr:uid="{00000000-0005-0000-0000-000028040000}"/>
    <cellStyle name="20% - Énfasis1 3 2 5 2 2" xfId="1062" xr:uid="{00000000-0005-0000-0000-000029040000}"/>
    <cellStyle name="20% - Énfasis1 3 2 5 2 2 2" xfId="1063" xr:uid="{00000000-0005-0000-0000-00002A040000}"/>
    <cellStyle name="20% - Énfasis1 3 2 5 2 3" xfId="1064" xr:uid="{00000000-0005-0000-0000-00002B040000}"/>
    <cellStyle name="20% - Énfasis1 3 2 5 3" xfId="1065" xr:uid="{00000000-0005-0000-0000-00002C040000}"/>
    <cellStyle name="20% - Énfasis1 3 2 5 3 2" xfId="1066" xr:uid="{00000000-0005-0000-0000-00002D040000}"/>
    <cellStyle name="20% - Énfasis1 3 2 5 4" xfId="1067" xr:uid="{00000000-0005-0000-0000-00002E040000}"/>
    <cellStyle name="20% - Énfasis1 3 2 6" xfId="1068" xr:uid="{00000000-0005-0000-0000-00002F040000}"/>
    <cellStyle name="20% - Énfasis1 3 2 6 2" xfId="1069" xr:uid="{00000000-0005-0000-0000-000030040000}"/>
    <cellStyle name="20% - Énfasis1 3 2 6 2 2" xfId="1070" xr:uid="{00000000-0005-0000-0000-000031040000}"/>
    <cellStyle name="20% - Énfasis1 3 2 6 3" xfId="1071" xr:uid="{00000000-0005-0000-0000-000032040000}"/>
    <cellStyle name="20% - Énfasis1 3 2 7" xfId="1072" xr:uid="{00000000-0005-0000-0000-000033040000}"/>
    <cellStyle name="20% - Énfasis1 3 2 7 2" xfId="1073" xr:uid="{00000000-0005-0000-0000-000034040000}"/>
    <cellStyle name="20% - Énfasis1 3 2 7 2 2" xfId="1074" xr:uid="{00000000-0005-0000-0000-000035040000}"/>
    <cellStyle name="20% - Énfasis1 3 2 7 3" xfId="1075" xr:uid="{00000000-0005-0000-0000-000036040000}"/>
    <cellStyle name="20% - Énfasis1 3 2 8" xfId="1076" xr:uid="{00000000-0005-0000-0000-000037040000}"/>
    <cellStyle name="20% - Énfasis1 3 2 8 2" xfId="1077" xr:uid="{00000000-0005-0000-0000-000038040000}"/>
    <cellStyle name="20% - Énfasis1 3 2 9" xfId="1078" xr:uid="{00000000-0005-0000-0000-000039040000}"/>
    <cellStyle name="20% - Énfasis1 3 3" xfId="1079" xr:uid="{00000000-0005-0000-0000-00003A040000}"/>
    <cellStyle name="20% - Énfasis1 3 3 2" xfId="1080" xr:uid="{00000000-0005-0000-0000-00003B040000}"/>
    <cellStyle name="20% - Énfasis1 3 3 2 2" xfId="1081" xr:uid="{00000000-0005-0000-0000-00003C040000}"/>
    <cellStyle name="20% - Énfasis1 3 3 2 2 2" xfId="1082" xr:uid="{00000000-0005-0000-0000-00003D040000}"/>
    <cellStyle name="20% - Énfasis1 3 3 2 2 2 2" xfId="1083" xr:uid="{00000000-0005-0000-0000-00003E040000}"/>
    <cellStyle name="20% - Énfasis1 3 3 2 2 2 2 2" xfId="1084" xr:uid="{00000000-0005-0000-0000-00003F040000}"/>
    <cellStyle name="20% - Énfasis1 3 3 2 2 2 3" xfId="1085" xr:uid="{00000000-0005-0000-0000-000040040000}"/>
    <cellStyle name="20% - Énfasis1 3 3 2 2 3" xfId="1086" xr:uid="{00000000-0005-0000-0000-000041040000}"/>
    <cellStyle name="20% - Énfasis1 3 3 2 2 3 2" xfId="1087" xr:uid="{00000000-0005-0000-0000-000042040000}"/>
    <cellStyle name="20% - Énfasis1 3 3 2 2 4" xfId="1088" xr:uid="{00000000-0005-0000-0000-000043040000}"/>
    <cellStyle name="20% - Énfasis1 3 3 2 3" xfId="1089" xr:uid="{00000000-0005-0000-0000-000044040000}"/>
    <cellStyle name="20% - Énfasis1 3 3 2 3 2" xfId="1090" xr:uid="{00000000-0005-0000-0000-000045040000}"/>
    <cellStyle name="20% - Énfasis1 3 3 2 3 2 2" xfId="1091" xr:uid="{00000000-0005-0000-0000-000046040000}"/>
    <cellStyle name="20% - Énfasis1 3 3 2 3 3" xfId="1092" xr:uid="{00000000-0005-0000-0000-000047040000}"/>
    <cellStyle name="20% - Énfasis1 3 3 2 4" xfId="1093" xr:uid="{00000000-0005-0000-0000-000048040000}"/>
    <cellStyle name="20% - Énfasis1 3 3 2 4 2" xfId="1094" xr:uid="{00000000-0005-0000-0000-000049040000}"/>
    <cellStyle name="20% - Énfasis1 3 3 2 4 2 2" xfId="1095" xr:uid="{00000000-0005-0000-0000-00004A040000}"/>
    <cellStyle name="20% - Énfasis1 3 3 2 4 3" xfId="1096" xr:uid="{00000000-0005-0000-0000-00004B040000}"/>
    <cellStyle name="20% - Énfasis1 3 3 2 5" xfId="1097" xr:uid="{00000000-0005-0000-0000-00004C040000}"/>
    <cellStyle name="20% - Énfasis1 3 3 2 5 2" xfId="1098" xr:uid="{00000000-0005-0000-0000-00004D040000}"/>
    <cellStyle name="20% - Énfasis1 3 3 2 6" xfId="1099" xr:uid="{00000000-0005-0000-0000-00004E040000}"/>
    <cellStyle name="20% - Énfasis1 3 3 3" xfId="1100" xr:uid="{00000000-0005-0000-0000-00004F040000}"/>
    <cellStyle name="20% - Énfasis1 3 3 3 2" xfId="1101" xr:uid="{00000000-0005-0000-0000-000050040000}"/>
    <cellStyle name="20% - Énfasis1 3 3 3 2 2" xfId="1102" xr:uid="{00000000-0005-0000-0000-000051040000}"/>
    <cellStyle name="20% - Énfasis1 3 3 3 2 2 2" xfId="1103" xr:uid="{00000000-0005-0000-0000-000052040000}"/>
    <cellStyle name="20% - Énfasis1 3 3 3 2 3" xfId="1104" xr:uid="{00000000-0005-0000-0000-000053040000}"/>
    <cellStyle name="20% - Énfasis1 3 3 3 3" xfId="1105" xr:uid="{00000000-0005-0000-0000-000054040000}"/>
    <cellStyle name="20% - Énfasis1 3 3 3 3 2" xfId="1106" xr:uid="{00000000-0005-0000-0000-000055040000}"/>
    <cellStyle name="20% - Énfasis1 3 3 3 3 2 2" xfId="1107" xr:uid="{00000000-0005-0000-0000-000056040000}"/>
    <cellStyle name="20% - Énfasis1 3 3 3 3 3" xfId="1108" xr:uid="{00000000-0005-0000-0000-000057040000}"/>
    <cellStyle name="20% - Énfasis1 3 3 3 4" xfId="1109" xr:uid="{00000000-0005-0000-0000-000058040000}"/>
    <cellStyle name="20% - Énfasis1 3 3 3 4 2" xfId="1110" xr:uid="{00000000-0005-0000-0000-000059040000}"/>
    <cellStyle name="20% - Énfasis1 3 3 3 5" xfId="1111" xr:uid="{00000000-0005-0000-0000-00005A040000}"/>
    <cellStyle name="20% - Énfasis1 3 3 4" xfId="1112" xr:uid="{00000000-0005-0000-0000-00005B040000}"/>
    <cellStyle name="20% - Énfasis1 3 3 4 2" xfId="1113" xr:uid="{00000000-0005-0000-0000-00005C040000}"/>
    <cellStyle name="20% - Énfasis1 3 3 4 2 2" xfId="1114" xr:uid="{00000000-0005-0000-0000-00005D040000}"/>
    <cellStyle name="20% - Énfasis1 3 3 4 2 2 2" xfId="1115" xr:uid="{00000000-0005-0000-0000-00005E040000}"/>
    <cellStyle name="20% - Énfasis1 3 3 4 2 3" xfId="1116" xr:uid="{00000000-0005-0000-0000-00005F040000}"/>
    <cellStyle name="20% - Énfasis1 3 3 4 3" xfId="1117" xr:uid="{00000000-0005-0000-0000-000060040000}"/>
    <cellStyle name="20% - Énfasis1 3 3 4 3 2" xfId="1118" xr:uid="{00000000-0005-0000-0000-000061040000}"/>
    <cellStyle name="20% - Énfasis1 3 3 4 3 2 2" xfId="1119" xr:uid="{00000000-0005-0000-0000-000062040000}"/>
    <cellStyle name="20% - Énfasis1 3 3 4 3 3" xfId="1120" xr:uid="{00000000-0005-0000-0000-000063040000}"/>
    <cellStyle name="20% - Énfasis1 3 3 4 4" xfId="1121" xr:uid="{00000000-0005-0000-0000-000064040000}"/>
    <cellStyle name="20% - Énfasis1 3 3 4 4 2" xfId="1122" xr:uid="{00000000-0005-0000-0000-000065040000}"/>
    <cellStyle name="20% - Énfasis1 3 3 4 5" xfId="1123" xr:uid="{00000000-0005-0000-0000-000066040000}"/>
    <cellStyle name="20% - Énfasis1 3 3 5" xfId="1124" xr:uid="{00000000-0005-0000-0000-000067040000}"/>
    <cellStyle name="20% - Énfasis1 3 3 5 2" xfId="1125" xr:uid="{00000000-0005-0000-0000-000068040000}"/>
    <cellStyle name="20% - Énfasis1 3 3 5 2 2" xfId="1126" xr:uid="{00000000-0005-0000-0000-000069040000}"/>
    <cellStyle name="20% - Énfasis1 3 3 5 2 2 2" xfId="1127" xr:uid="{00000000-0005-0000-0000-00006A040000}"/>
    <cellStyle name="20% - Énfasis1 3 3 5 2 3" xfId="1128" xr:uid="{00000000-0005-0000-0000-00006B040000}"/>
    <cellStyle name="20% - Énfasis1 3 3 5 3" xfId="1129" xr:uid="{00000000-0005-0000-0000-00006C040000}"/>
    <cellStyle name="20% - Énfasis1 3 3 5 3 2" xfId="1130" xr:uid="{00000000-0005-0000-0000-00006D040000}"/>
    <cellStyle name="20% - Énfasis1 3 3 5 4" xfId="1131" xr:uid="{00000000-0005-0000-0000-00006E040000}"/>
    <cellStyle name="20% - Énfasis1 3 3 6" xfId="1132" xr:uid="{00000000-0005-0000-0000-00006F040000}"/>
    <cellStyle name="20% - Énfasis1 3 3 6 2" xfId="1133" xr:uid="{00000000-0005-0000-0000-000070040000}"/>
    <cellStyle name="20% - Énfasis1 3 3 6 2 2" xfId="1134" xr:uid="{00000000-0005-0000-0000-000071040000}"/>
    <cellStyle name="20% - Énfasis1 3 3 6 3" xfId="1135" xr:uid="{00000000-0005-0000-0000-000072040000}"/>
    <cellStyle name="20% - Énfasis1 3 3 7" xfId="1136" xr:uid="{00000000-0005-0000-0000-000073040000}"/>
    <cellStyle name="20% - Énfasis1 3 3 7 2" xfId="1137" xr:uid="{00000000-0005-0000-0000-000074040000}"/>
    <cellStyle name="20% - Énfasis1 3 3 7 2 2" xfId="1138" xr:uid="{00000000-0005-0000-0000-000075040000}"/>
    <cellStyle name="20% - Énfasis1 3 3 7 3" xfId="1139" xr:uid="{00000000-0005-0000-0000-000076040000}"/>
    <cellStyle name="20% - Énfasis1 3 3 8" xfId="1140" xr:uid="{00000000-0005-0000-0000-000077040000}"/>
    <cellStyle name="20% - Énfasis1 3 3 8 2" xfId="1141" xr:uid="{00000000-0005-0000-0000-000078040000}"/>
    <cellStyle name="20% - Énfasis1 3 3 9" xfId="1142" xr:uid="{00000000-0005-0000-0000-000079040000}"/>
    <cellStyle name="20% - Énfasis1 3 4" xfId="1143" xr:uid="{00000000-0005-0000-0000-00007A040000}"/>
    <cellStyle name="20% - Énfasis1 3 4 2" xfId="1144" xr:uid="{00000000-0005-0000-0000-00007B040000}"/>
    <cellStyle name="20% - Énfasis1 3 4 2 2" xfId="1145" xr:uid="{00000000-0005-0000-0000-00007C040000}"/>
    <cellStyle name="20% - Énfasis1 3 4 2 2 2" xfId="1146" xr:uid="{00000000-0005-0000-0000-00007D040000}"/>
    <cellStyle name="20% - Énfasis1 3 4 2 2 2 2" xfId="1147" xr:uid="{00000000-0005-0000-0000-00007E040000}"/>
    <cellStyle name="20% - Énfasis1 3 4 2 2 3" xfId="1148" xr:uid="{00000000-0005-0000-0000-00007F040000}"/>
    <cellStyle name="20% - Énfasis1 3 4 2 3" xfId="1149" xr:uid="{00000000-0005-0000-0000-000080040000}"/>
    <cellStyle name="20% - Énfasis1 3 4 2 3 2" xfId="1150" xr:uid="{00000000-0005-0000-0000-000081040000}"/>
    <cellStyle name="20% - Énfasis1 3 4 2 4" xfId="1151" xr:uid="{00000000-0005-0000-0000-000082040000}"/>
    <cellStyle name="20% - Énfasis1 3 4 3" xfId="1152" xr:uid="{00000000-0005-0000-0000-000083040000}"/>
    <cellStyle name="20% - Énfasis1 3 4 3 2" xfId="1153" xr:uid="{00000000-0005-0000-0000-000084040000}"/>
    <cellStyle name="20% - Énfasis1 3 4 3 2 2" xfId="1154" xr:uid="{00000000-0005-0000-0000-000085040000}"/>
    <cellStyle name="20% - Énfasis1 3 4 3 3" xfId="1155" xr:uid="{00000000-0005-0000-0000-000086040000}"/>
    <cellStyle name="20% - Énfasis1 3 4 4" xfId="1156" xr:uid="{00000000-0005-0000-0000-000087040000}"/>
    <cellStyle name="20% - Énfasis1 3 4 4 2" xfId="1157" xr:uid="{00000000-0005-0000-0000-000088040000}"/>
    <cellStyle name="20% - Énfasis1 3 4 4 2 2" xfId="1158" xr:uid="{00000000-0005-0000-0000-000089040000}"/>
    <cellStyle name="20% - Énfasis1 3 4 4 3" xfId="1159" xr:uid="{00000000-0005-0000-0000-00008A040000}"/>
    <cellStyle name="20% - Énfasis1 3 4 5" xfId="1160" xr:uid="{00000000-0005-0000-0000-00008B040000}"/>
    <cellStyle name="20% - Énfasis1 3 4 5 2" xfId="1161" xr:uid="{00000000-0005-0000-0000-00008C040000}"/>
    <cellStyle name="20% - Énfasis1 3 4 6" xfId="1162" xr:uid="{00000000-0005-0000-0000-00008D040000}"/>
    <cellStyle name="20% - Énfasis1 3 5" xfId="1163" xr:uid="{00000000-0005-0000-0000-00008E040000}"/>
    <cellStyle name="20% - Énfasis1 3 5 2" xfId="1164" xr:uid="{00000000-0005-0000-0000-00008F040000}"/>
    <cellStyle name="20% - Énfasis1 3 5 2 2" xfId="1165" xr:uid="{00000000-0005-0000-0000-000090040000}"/>
    <cellStyle name="20% - Énfasis1 3 5 2 2 2" xfId="1166" xr:uid="{00000000-0005-0000-0000-000091040000}"/>
    <cellStyle name="20% - Énfasis1 3 5 2 3" xfId="1167" xr:uid="{00000000-0005-0000-0000-000092040000}"/>
    <cellStyle name="20% - Énfasis1 3 5 3" xfId="1168" xr:uid="{00000000-0005-0000-0000-000093040000}"/>
    <cellStyle name="20% - Énfasis1 3 5 3 2" xfId="1169" xr:uid="{00000000-0005-0000-0000-000094040000}"/>
    <cellStyle name="20% - Énfasis1 3 5 3 2 2" xfId="1170" xr:uid="{00000000-0005-0000-0000-000095040000}"/>
    <cellStyle name="20% - Énfasis1 3 5 3 3" xfId="1171" xr:uid="{00000000-0005-0000-0000-000096040000}"/>
    <cellStyle name="20% - Énfasis1 3 5 4" xfId="1172" xr:uid="{00000000-0005-0000-0000-000097040000}"/>
    <cellStyle name="20% - Énfasis1 3 5 4 2" xfId="1173" xr:uid="{00000000-0005-0000-0000-000098040000}"/>
    <cellStyle name="20% - Énfasis1 3 5 5" xfId="1174" xr:uid="{00000000-0005-0000-0000-000099040000}"/>
    <cellStyle name="20% - Énfasis1 3 6" xfId="1175" xr:uid="{00000000-0005-0000-0000-00009A040000}"/>
    <cellStyle name="20% - Énfasis1 3 6 2" xfId="1176" xr:uid="{00000000-0005-0000-0000-00009B040000}"/>
    <cellStyle name="20% - Énfasis1 3 6 2 2" xfId="1177" xr:uid="{00000000-0005-0000-0000-00009C040000}"/>
    <cellStyle name="20% - Énfasis1 3 6 2 2 2" xfId="1178" xr:uid="{00000000-0005-0000-0000-00009D040000}"/>
    <cellStyle name="20% - Énfasis1 3 6 2 3" xfId="1179" xr:uid="{00000000-0005-0000-0000-00009E040000}"/>
    <cellStyle name="20% - Énfasis1 3 6 3" xfId="1180" xr:uid="{00000000-0005-0000-0000-00009F040000}"/>
    <cellStyle name="20% - Énfasis1 3 6 3 2" xfId="1181" xr:uid="{00000000-0005-0000-0000-0000A0040000}"/>
    <cellStyle name="20% - Énfasis1 3 6 3 2 2" xfId="1182" xr:uid="{00000000-0005-0000-0000-0000A1040000}"/>
    <cellStyle name="20% - Énfasis1 3 6 3 3" xfId="1183" xr:uid="{00000000-0005-0000-0000-0000A2040000}"/>
    <cellStyle name="20% - Énfasis1 3 6 4" xfId="1184" xr:uid="{00000000-0005-0000-0000-0000A3040000}"/>
    <cellStyle name="20% - Énfasis1 3 6 4 2" xfId="1185" xr:uid="{00000000-0005-0000-0000-0000A4040000}"/>
    <cellStyle name="20% - Énfasis1 3 6 5" xfId="1186" xr:uid="{00000000-0005-0000-0000-0000A5040000}"/>
    <cellStyle name="20% - Énfasis1 3 7" xfId="1187" xr:uid="{00000000-0005-0000-0000-0000A6040000}"/>
    <cellStyle name="20% - Énfasis1 3 7 2" xfId="1188" xr:uid="{00000000-0005-0000-0000-0000A7040000}"/>
    <cellStyle name="20% - Énfasis1 3 7 2 2" xfId="1189" xr:uid="{00000000-0005-0000-0000-0000A8040000}"/>
    <cellStyle name="20% - Énfasis1 3 7 2 2 2" xfId="1190" xr:uid="{00000000-0005-0000-0000-0000A9040000}"/>
    <cellStyle name="20% - Énfasis1 3 7 2 3" xfId="1191" xr:uid="{00000000-0005-0000-0000-0000AA040000}"/>
    <cellStyle name="20% - Énfasis1 3 7 3" xfId="1192" xr:uid="{00000000-0005-0000-0000-0000AB040000}"/>
    <cellStyle name="20% - Énfasis1 3 7 3 2" xfId="1193" xr:uid="{00000000-0005-0000-0000-0000AC040000}"/>
    <cellStyle name="20% - Énfasis1 3 7 4" xfId="1194" xr:uid="{00000000-0005-0000-0000-0000AD040000}"/>
    <cellStyle name="20% - Énfasis1 3 8" xfId="1195" xr:uid="{00000000-0005-0000-0000-0000AE040000}"/>
    <cellStyle name="20% - Énfasis1 3 8 2" xfId="1196" xr:uid="{00000000-0005-0000-0000-0000AF040000}"/>
    <cellStyle name="20% - Énfasis1 3 8 2 2" xfId="1197" xr:uid="{00000000-0005-0000-0000-0000B0040000}"/>
    <cellStyle name="20% - Énfasis1 3 8 3" xfId="1198" xr:uid="{00000000-0005-0000-0000-0000B1040000}"/>
    <cellStyle name="20% - Énfasis1 3 9" xfId="1199" xr:uid="{00000000-0005-0000-0000-0000B2040000}"/>
    <cellStyle name="20% - Énfasis1 3 9 2" xfId="1200" xr:uid="{00000000-0005-0000-0000-0000B3040000}"/>
    <cellStyle name="20% - Énfasis1 3 9 2 2" xfId="1201" xr:uid="{00000000-0005-0000-0000-0000B4040000}"/>
    <cellStyle name="20% - Énfasis1 3 9 3" xfId="1202" xr:uid="{00000000-0005-0000-0000-0000B5040000}"/>
    <cellStyle name="20% - Énfasis1 30" xfId="1203" xr:uid="{00000000-0005-0000-0000-0000B6040000}"/>
    <cellStyle name="20% - Énfasis1 30 2" xfId="1204" xr:uid="{00000000-0005-0000-0000-0000B7040000}"/>
    <cellStyle name="20% - Énfasis1 30 2 2" xfId="1205" xr:uid="{00000000-0005-0000-0000-0000B8040000}"/>
    <cellStyle name="20% - Énfasis1 30 2 2 2" xfId="1206" xr:uid="{00000000-0005-0000-0000-0000B9040000}"/>
    <cellStyle name="20% - Énfasis1 30 2 2 2 2" xfId="1207" xr:uid="{00000000-0005-0000-0000-0000BA040000}"/>
    <cellStyle name="20% - Énfasis1 30 2 2 3" xfId="1208" xr:uid="{00000000-0005-0000-0000-0000BB040000}"/>
    <cellStyle name="20% - Énfasis1 30 2 3" xfId="1209" xr:uid="{00000000-0005-0000-0000-0000BC040000}"/>
    <cellStyle name="20% - Énfasis1 30 2 3 2" xfId="1210" xr:uid="{00000000-0005-0000-0000-0000BD040000}"/>
    <cellStyle name="20% - Énfasis1 30 2 4" xfId="1211" xr:uid="{00000000-0005-0000-0000-0000BE040000}"/>
    <cellStyle name="20% - Énfasis1 30 3" xfId="1212" xr:uid="{00000000-0005-0000-0000-0000BF040000}"/>
    <cellStyle name="20% - Énfasis1 30 3 2" xfId="1213" xr:uid="{00000000-0005-0000-0000-0000C0040000}"/>
    <cellStyle name="20% - Énfasis1 30 3 2 2" xfId="1214" xr:uid="{00000000-0005-0000-0000-0000C1040000}"/>
    <cellStyle name="20% - Énfasis1 30 3 3" xfId="1215" xr:uid="{00000000-0005-0000-0000-0000C2040000}"/>
    <cellStyle name="20% - Énfasis1 30 4" xfId="1216" xr:uid="{00000000-0005-0000-0000-0000C3040000}"/>
    <cellStyle name="20% - Énfasis1 30 4 2" xfId="1217" xr:uid="{00000000-0005-0000-0000-0000C4040000}"/>
    <cellStyle name="20% - Énfasis1 30 5" xfId="1218" xr:uid="{00000000-0005-0000-0000-0000C5040000}"/>
    <cellStyle name="20% - Énfasis1 31" xfId="1219" xr:uid="{00000000-0005-0000-0000-0000C6040000}"/>
    <cellStyle name="20% - Énfasis1 31 2" xfId="1220" xr:uid="{00000000-0005-0000-0000-0000C7040000}"/>
    <cellStyle name="20% - Énfasis1 31 2 2" xfId="1221" xr:uid="{00000000-0005-0000-0000-0000C8040000}"/>
    <cellStyle name="20% - Énfasis1 31 2 2 2" xfId="1222" xr:uid="{00000000-0005-0000-0000-0000C9040000}"/>
    <cellStyle name="20% - Énfasis1 31 2 2 2 2" xfId="1223" xr:uid="{00000000-0005-0000-0000-0000CA040000}"/>
    <cellStyle name="20% - Énfasis1 31 2 2 3" xfId="1224" xr:uid="{00000000-0005-0000-0000-0000CB040000}"/>
    <cellStyle name="20% - Énfasis1 31 2 3" xfId="1225" xr:uid="{00000000-0005-0000-0000-0000CC040000}"/>
    <cellStyle name="20% - Énfasis1 31 2 3 2" xfId="1226" xr:uid="{00000000-0005-0000-0000-0000CD040000}"/>
    <cellStyle name="20% - Énfasis1 31 2 4" xfId="1227" xr:uid="{00000000-0005-0000-0000-0000CE040000}"/>
    <cellStyle name="20% - Énfasis1 31 3" xfId="1228" xr:uid="{00000000-0005-0000-0000-0000CF040000}"/>
    <cellStyle name="20% - Énfasis1 31 3 2" xfId="1229" xr:uid="{00000000-0005-0000-0000-0000D0040000}"/>
    <cellStyle name="20% - Énfasis1 31 3 2 2" xfId="1230" xr:uid="{00000000-0005-0000-0000-0000D1040000}"/>
    <cellStyle name="20% - Énfasis1 31 3 3" xfId="1231" xr:uid="{00000000-0005-0000-0000-0000D2040000}"/>
    <cellStyle name="20% - Énfasis1 31 4" xfId="1232" xr:uid="{00000000-0005-0000-0000-0000D3040000}"/>
    <cellStyle name="20% - Énfasis1 31 4 2" xfId="1233" xr:uid="{00000000-0005-0000-0000-0000D4040000}"/>
    <cellStyle name="20% - Énfasis1 31 5" xfId="1234" xr:uid="{00000000-0005-0000-0000-0000D5040000}"/>
    <cellStyle name="20% - Énfasis1 32" xfId="1235" xr:uid="{00000000-0005-0000-0000-0000D6040000}"/>
    <cellStyle name="20% - Énfasis1 32 2" xfId="1236" xr:uid="{00000000-0005-0000-0000-0000D7040000}"/>
    <cellStyle name="20% - Énfasis1 32 2 2" xfId="1237" xr:uid="{00000000-0005-0000-0000-0000D8040000}"/>
    <cellStyle name="20% - Énfasis1 32 2 2 2" xfId="1238" xr:uid="{00000000-0005-0000-0000-0000D9040000}"/>
    <cellStyle name="20% - Énfasis1 32 2 2 2 2" xfId="1239" xr:uid="{00000000-0005-0000-0000-0000DA040000}"/>
    <cellStyle name="20% - Énfasis1 32 2 2 3" xfId="1240" xr:uid="{00000000-0005-0000-0000-0000DB040000}"/>
    <cellStyle name="20% - Énfasis1 32 2 3" xfId="1241" xr:uid="{00000000-0005-0000-0000-0000DC040000}"/>
    <cellStyle name="20% - Énfasis1 32 2 3 2" xfId="1242" xr:uid="{00000000-0005-0000-0000-0000DD040000}"/>
    <cellStyle name="20% - Énfasis1 32 2 4" xfId="1243" xr:uid="{00000000-0005-0000-0000-0000DE040000}"/>
    <cellStyle name="20% - Énfasis1 32 3" xfId="1244" xr:uid="{00000000-0005-0000-0000-0000DF040000}"/>
    <cellStyle name="20% - Énfasis1 32 3 2" xfId="1245" xr:uid="{00000000-0005-0000-0000-0000E0040000}"/>
    <cellStyle name="20% - Énfasis1 32 3 2 2" xfId="1246" xr:uid="{00000000-0005-0000-0000-0000E1040000}"/>
    <cellStyle name="20% - Énfasis1 32 3 3" xfId="1247" xr:uid="{00000000-0005-0000-0000-0000E2040000}"/>
    <cellStyle name="20% - Énfasis1 32 4" xfId="1248" xr:uid="{00000000-0005-0000-0000-0000E3040000}"/>
    <cellStyle name="20% - Énfasis1 32 4 2" xfId="1249" xr:uid="{00000000-0005-0000-0000-0000E4040000}"/>
    <cellStyle name="20% - Énfasis1 32 5" xfId="1250" xr:uid="{00000000-0005-0000-0000-0000E5040000}"/>
    <cellStyle name="20% - Énfasis1 33" xfId="1251" xr:uid="{00000000-0005-0000-0000-0000E6040000}"/>
    <cellStyle name="20% - Énfasis1 33 2" xfId="1252" xr:uid="{00000000-0005-0000-0000-0000E7040000}"/>
    <cellStyle name="20% - Énfasis1 33 2 2" xfId="1253" xr:uid="{00000000-0005-0000-0000-0000E8040000}"/>
    <cellStyle name="20% - Énfasis1 33 2 2 2" xfId="1254" xr:uid="{00000000-0005-0000-0000-0000E9040000}"/>
    <cellStyle name="20% - Énfasis1 33 2 3" xfId="1255" xr:uid="{00000000-0005-0000-0000-0000EA040000}"/>
    <cellStyle name="20% - Énfasis1 33 3" xfId="1256" xr:uid="{00000000-0005-0000-0000-0000EB040000}"/>
    <cellStyle name="20% - Énfasis1 33 3 2" xfId="1257" xr:uid="{00000000-0005-0000-0000-0000EC040000}"/>
    <cellStyle name="20% - Énfasis1 33 3 2 2" xfId="1258" xr:uid="{00000000-0005-0000-0000-0000ED040000}"/>
    <cellStyle name="20% - Énfasis1 33 3 3" xfId="1259" xr:uid="{00000000-0005-0000-0000-0000EE040000}"/>
    <cellStyle name="20% - Énfasis1 33 4" xfId="1260" xr:uid="{00000000-0005-0000-0000-0000EF040000}"/>
    <cellStyle name="20% - Énfasis1 33 4 2" xfId="1261" xr:uid="{00000000-0005-0000-0000-0000F0040000}"/>
    <cellStyle name="20% - Énfasis1 33 5" xfId="1262" xr:uid="{00000000-0005-0000-0000-0000F1040000}"/>
    <cellStyle name="20% - Énfasis1 34" xfId="1263" xr:uid="{00000000-0005-0000-0000-0000F2040000}"/>
    <cellStyle name="20% - Énfasis1 34 2" xfId="1264" xr:uid="{00000000-0005-0000-0000-0000F3040000}"/>
    <cellStyle name="20% - Énfasis1 34 2 2" xfId="1265" xr:uid="{00000000-0005-0000-0000-0000F4040000}"/>
    <cellStyle name="20% - Énfasis1 34 2 2 2" xfId="1266" xr:uid="{00000000-0005-0000-0000-0000F5040000}"/>
    <cellStyle name="20% - Énfasis1 34 2 3" xfId="1267" xr:uid="{00000000-0005-0000-0000-0000F6040000}"/>
    <cellStyle name="20% - Énfasis1 34 3" xfId="1268" xr:uid="{00000000-0005-0000-0000-0000F7040000}"/>
    <cellStyle name="20% - Énfasis1 34 3 2" xfId="1269" xr:uid="{00000000-0005-0000-0000-0000F8040000}"/>
    <cellStyle name="20% - Énfasis1 34 3 2 2" xfId="1270" xr:uid="{00000000-0005-0000-0000-0000F9040000}"/>
    <cellStyle name="20% - Énfasis1 34 3 3" xfId="1271" xr:uid="{00000000-0005-0000-0000-0000FA040000}"/>
    <cellStyle name="20% - Énfasis1 34 4" xfId="1272" xr:uid="{00000000-0005-0000-0000-0000FB040000}"/>
    <cellStyle name="20% - Énfasis1 34 4 2" xfId="1273" xr:uid="{00000000-0005-0000-0000-0000FC040000}"/>
    <cellStyle name="20% - Énfasis1 34 5" xfId="1274" xr:uid="{00000000-0005-0000-0000-0000FD040000}"/>
    <cellStyle name="20% - Énfasis1 35" xfId="1275" xr:uid="{00000000-0005-0000-0000-0000FE040000}"/>
    <cellStyle name="20% - Énfasis1 35 2" xfId="1276" xr:uid="{00000000-0005-0000-0000-0000FF040000}"/>
    <cellStyle name="20% - Énfasis1 35 2 2" xfId="1277" xr:uid="{00000000-0005-0000-0000-000000050000}"/>
    <cellStyle name="20% - Énfasis1 35 2 2 2" xfId="1278" xr:uid="{00000000-0005-0000-0000-000001050000}"/>
    <cellStyle name="20% - Énfasis1 35 2 3" xfId="1279" xr:uid="{00000000-0005-0000-0000-000002050000}"/>
    <cellStyle name="20% - Énfasis1 35 3" xfId="1280" xr:uid="{00000000-0005-0000-0000-000003050000}"/>
    <cellStyle name="20% - Énfasis1 35 3 2" xfId="1281" xr:uid="{00000000-0005-0000-0000-000004050000}"/>
    <cellStyle name="20% - Énfasis1 35 3 2 2" xfId="1282" xr:uid="{00000000-0005-0000-0000-000005050000}"/>
    <cellStyle name="20% - Énfasis1 35 3 3" xfId="1283" xr:uid="{00000000-0005-0000-0000-000006050000}"/>
    <cellStyle name="20% - Énfasis1 35 4" xfId="1284" xr:uid="{00000000-0005-0000-0000-000007050000}"/>
    <cellStyle name="20% - Énfasis1 35 4 2" xfId="1285" xr:uid="{00000000-0005-0000-0000-000008050000}"/>
    <cellStyle name="20% - Énfasis1 35 5" xfId="1286" xr:uid="{00000000-0005-0000-0000-000009050000}"/>
    <cellStyle name="20% - Énfasis1 36" xfId="1287" xr:uid="{00000000-0005-0000-0000-00000A050000}"/>
    <cellStyle name="20% - Énfasis1 36 2" xfId="1288" xr:uid="{00000000-0005-0000-0000-00000B050000}"/>
    <cellStyle name="20% - Énfasis1 36 2 2" xfId="1289" xr:uid="{00000000-0005-0000-0000-00000C050000}"/>
    <cellStyle name="20% - Énfasis1 36 2 2 2" xfId="1290" xr:uid="{00000000-0005-0000-0000-00000D050000}"/>
    <cellStyle name="20% - Énfasis1 36 2 3" xfId="1291" xr:uid="{00000000-0005-0000-0000-00000E050000}"/>
    <cellStyle name="20% - Énfasis1 36 3" xfId="1292" xr:uid="{00000000-0005-0000-0000-00000F050000}"/>
    <cellStyle name="20% - Énfasis1 36 3 2" xfId="1293" xr:uid="{00000000-0005-0000-0000-000010050000}"/>
    <cellStyle name="20% - Énfasis1 36 4" xfId="1294" xr:uid="{00000000-0005-0000-0000-000011050000}"/>
    <cellStyle name="20% - Énfasis1 37" xfId="1295" xr:uid="{00000000-0005-0000-0000-000012050000}"/>
    <cellStyle name="20% - Énfasis1 37 2" xfId="1296" xr:uid="{00000000-0005-0000-0000-000013050000}"/>
    <cellStyle name="20% - Énfasis1 37 2 2" xfId="1297" xr:uid="{00000000-0005-0000-0000-000014050000}"/>
    <cellStyle name="20% - Énfasis1 37 2 2 2" xfId="1298" xr:uid="{00000000-0005-0000-0000-000015050000}"/>
    <cellStyle name="20% - Énfasis1 37 2 3" xfId="1299" xr:uid="{00000000-0005-0000-0000-000016050000}"/>
    <cellStyle name="20% - Énfasis1 37 3" xfId="1300" xr:uid="{00000000-0005-0000-0000-000017050000}"/>
    <cellStyle name="20% - Énfasis1 37 3 2" xfId="1301" xr:uid="{00000000-0005-0000-0000-000018050000}"/>
    <cellStyle name="20% - Énfasis1 37 4" xfId="1302" xr:uid="{00000000-0005-0000-0000-000019050000}"/>
    <cellStyle name="20% - Énfasis1 38" xfId="1303" xr:uid="{00000000-0005-0000-0000-00001A050000}"/>
    <cellStyle name="20% - Énfasis1 38 2" xfId="1304" xr:uid="{00000000-0005-0000-0000-00001B050000}"/>
    <cellStyle name="20% - Énfasis1 38 2 2" xfId="1305" xr:uid="{00000000-0005-0000-0000-00001C050000}"/>
    <cellStyle name="20% - Énfasis1 38 2 2 2" xfId="1306" xr:uid="{00000000-0005-0000-0000-00001D050000}"/>
    <cellStyle name="20% - Énfasis1 38 2 3" xfId="1307" xr:uid="{00000000-0005-0000-0000-00001E050000}"/>
    <cellStyle name="20% - Énfasis1 38 3" xfId="1308" xr:uid="{00000000-0005-0000-0000-00001F050000}"/>
    <cellStyle name="20% - Énfasis1 38 3 2" xfId="1309" xr:uid="{00000000-0005-0000-0000-000020050000}"/>
    <cellStyle name="20% - Énfasis1 38 4" xfId="1310" xr:uid="{00000000-0005-0000-0000-000021050000}"/>
    <cellStyle name="20% - Énfasis1 39" xfId="1311" xr:uid="{00000000-0005-0000-0000-000022050000}"/>
    <cellStyle name="20% - Énfasis1 39 2" xfId="1312" xr:uid="{00000000-0005-0000-0000-000023050000}"/>
    <cellStyle name="20% - Énfasis1 39 2 2" xfId="1313" xr:uid="{00000000-0005-0000-0000-000024050000}"/>
    <cellStyle name="20% - Énfasis1 39 2 2 2" xfId="1314" xr:uid="{00000000-0005-0000-0000-000025050000}"/>
    <cellStyle name="20% - Énfasis1 39 2 3" xfId="1315" xr:uid="{00000000-0005-0000-0000-000026050000}"/>
    <cellStyle name="20% - Énfasis1 39 3" xfId="1316" xr:uid="{00000000-0005-0000-0000-000027050000}"/>
    <cellStyle name="20% - Énfasis1 39 3 2" xfId="1317" xr:uid="{00000000-0005-0000-0000-000028050000}"/>
    <cellStyle name="20% - Énfasis1 39 4" xfId="1318" xr:uid="{00000000-0005-0000-0000-000029050000}"/>
    <cellStyle name="20% - Énfasis1 4" xfId="1319" xr:uid="{00000000-0005-0000-0000-00002A050000}"/>
    <cellStyle name="20% - Énfasis1 4 10" xfId="1320" xr:uid="{00000000-0005-0000-0000-00002B050000}"/>
    <cellStyle name="20% - Énfasis1 4 10 2" xfId="1321" xr:uid="{00000000-0005-0000-0000-00002C050000}"/>
    <cellStyle name="20% - Énfasis1 4 11" xfId="1322" xr:uid="{00000000-0005-0000-0000-00002D050000}"/>
    <cellStyle name="20% - Énfasis1 4 2" xfId="1323" xr:uid="{00000000-0005-0000-0000-00002E050000}"/>
    <cellStyle name="20% - Énfasis1 4 2 2" xfId="1324" xr:uid="{00000000-0005-0000-0000-00002F050000}"/>
    <cellStyle name="20% - Énfasis1 4 2 2 2" xfId="1325" xr:uid="{00000000-0005-0000-0000-000030050000}"/>
    <cellStyle name="20% - Énfasis1 4 2 2 2 2" xfId="1326" xr:uid="{00000000-0005-0000-0000-000031050000}"/>
    <cellStyle name="20% - Énfasis1 4 2 2 2 2 2" xfId="1327" xr:uid="{00000000-0005-0000-0000-000032050000}"/>
    <cellStyle name="20% - Énfasis1 4 2 2 2 2 2 2" xfId="1328" xr:uid="{00000000-0005-0000-0000-000033050000}"/>
    <cellStyle name="20% - Énfasis1 4 2 2 2 2 3" xfId="1329" xr:uid="{00000000-0005-0000-0000-000034050000}"/>
    <cellStyle name="20% - Énfasis1 4 2 2 2 3" xfId="1330" xr:uid="{00000000-0005-0000-0000-000035050000}"/>
    <cellStyle name="20% - Énfasis1 4 2 2 2 3 2" xfId="1331" xr:uid="{00000000-0005-0000-0000-000036050000}"/>
    <cellStyle name="20% - Énfasis1 4 2 2 2 4" xfId="1332" xr:uid="{00000000-0005-0000-0000-000037050000}"/>
    <cellStyle name="20% - Énfasis1 4 2 2 3" xfId="1333" xr:uid="{00000000-0005-0000-0000-000038050000}"/>
    <cellStyle name="20% - Énfasis1 4 2 2 3 2" xfId="1334" xr:uid="{00000000-0005-0000-0000-000039050000}"/>
    <cellStyle name="20% - Énfasis1 4 2 2 3 2 2" xfId="1335" xr:uid="{00000000-0005-0000-0000-00003A050000}"/>
    <cellStyle name="20% - Énfasis1 4 2 2 3 3" xfId="1336" xr:uid="{00000000-0005-0000-0000-00003B050000}"/>
    <cellStyle name="20% - Énfasis1 4 2 2 4" xfId="1337" xr:uid="{00000000-0005-0000-0000-00003C050000}"/>
    <cellStyle name="20% - Énfasis1 4 2 2 4 2" xfId="1338" xr:uid="{00000000-0005-0000-0000-00003D050000}"/>
    <cellStyle name="20% - Énfasis1 4 2 2 4 2 2" xfId="1339" xr:uid="{00000000-0005-0000-0000-00003E050000}"/>
    <cellStyle name="20% - Énfasis1 4 2 2 4 3" xfId="1340" xr:uid="{00000000-0005-0000-0000-00003F050000}"/>
    <cellStyle name="20% - Énfasis1 4 2 2 5" xfId="1341" xr:uid="{00000000-0005-0000-0000-000040050000}"/>
    <cellStyle name="20% - Énfasis1 4 2 2 5 2" xfId="1342" xr:uid="{00000000-0005-0000-0000-000041050000}"/>
    <cellStyle name="20% - Énfasis1 4 2 2 6" xfId="1343" xr:uid="{00000000-0005-0000-0000-000042050000}"/>
    <cellStyle name="20% - Énfasis1 4 2 3" xfId="1344" xr:uid="{00000000-0005-0000-0000-000043050000}"/>
    <cellStyle name="20% - Énfasis1 4 2 3 2" xfId="1345" xr:uid="{00000000-0005-0000-0000-000044050000}"/>
    <cellStyle name="20% - Énfasis1 4 2 3 2 2" xfId="1346" xr:uid="{00000000-0005-0000-0000-000045050000}"/>
    <cellStyle name="20% - Énfasis1 4 2 3 2 2 2" xfId="1347" xr:uid="{00000000-0005-0000-0000-000046050000}"/>
    <cellStyle name="20% - Énfasis1 4 2 3 2 3" xfId="1348" xr:uid="{00000000-0005-0000-0000-000047050000}"/>
    <cellStyle name="20% - Énfasis1 4 2 3 3" xfId="1349" xr:uid="{00000000-0005-0000-0000-000048050000}"/>
    <cellStyle name="20% - Énfasis1 4 2 3 3 2" xfId="1350" xr:uid="{00000000-0005-0000-0000-000049050000}"/>
    <cellStyle name="20% - Énfasis1 4 2 3 3 2 2" xfId="1351" xr:uid="{00000000-0005-0000-0000-00004A050000}"/>
    <cellStyle name="20% - Énfasis1 4 2 3 3 3" xfId="1352" xr:uid="{00000000-0005-0000-0000-00004B050000}"/>
    <cellStyle name="20% - Énfasis1 4 2 3 4" xfId="1353" xr:uid="{00000000-0005-0000-0000-00004C050000}"/>
    <cellStyle name="20% - Énfasis1 4 2 3 4 2" xfId="1354" xr:uid="{00000000-0005-0000-0000-00004D050000}"/>
    <cellStyle name="20% - Énfasis1 4 2 3 5" xfId="1355" xr:uid="{00000000-0005-0000-0000-00004E050000}"/>
    <cellStyle name="20% - Énfasis1 4 2 4" xfId="1356" xr:uid="{00000000-0005-0000-0000-00004F050000}"/>
    <cellStyle name="20% - Énfasis1 4 2 4 2" xfId="1357" xr:uid="{00000000-0005-0000-0000-000050050000}"/>
    <cellStyle name="20% - Énfasis1 4 2 4 2 2" xfId="1358" xr:uid="{00000000-0005-0000-0000-000051050000}"/>
    <cellStyle name="20% - Énfasis1 4 2 4 2 2 2" xfId="1359" xr:uid="{00000000-0005-0000-0000-000052050000}"/>
    <cellStyle name="20% - Énfasis1 4 2 4 2 3" xfId="1360" xr:uid="{00000000-0005-0000-0000-000053050000}"/>
    <cellStyle name="20% - Énfasis1 4 2 4 3" xfId="1361" xr:uid="{00000000-0005-0000-0000-000054050000}"/>
    <cellStyle name="20% - Énfasis1 4 2 4 3 2" xfId="1362" xr:uid="{00000000-0005-0000-0000-000055050000}"/>
    <cellStyle name="20% - Énfasis1 4 2 4 3 2 2" xfId="1363" xr:uid="{00000000-0005-0000-0000-000056050000}"/>
    <cellStyle name="20% - Énfasis1 4 2 4 3 3" xfId="1364" xr:uid="{00000000-0005-0000-0000-000057050000}"/>
    <cellStyle name="20% - Énfasis1 4 2 4 4" xfId="1365" xr:uid="{00000000-0005-0000-0000-000058050000}"/>
    <cellStyle name="20% - Énfasis1 4 2 4 4 2" xfId="1366" xr:uid="{00000000-0005-0000-0000-000059050000}"/>
    <cellStyle name="20% - Énfasis1 4 2 4 5" xfId="1367" xr:uid="{00000000-0005-0000-0000-00005A050000}"/>
    <cellStyle name="20% - Énfasis1 4 2 5" xfId="1368" xr:uid="{00000000-0005-0000-0000-00005B050000}"/>
    <cellStyle name="20% - Énfasis1 4 2 5 2" xfId="1369" xr:uid="{00000000-0005-0000-0000-00005C050000}"/>
    <cellStyle name="20% - Énfasis1 4 2 5 2 2" xfId="1370" xr:uid="{00000000-0005-0000-0000-00005D050000}"/>
    <cellStyle name="20% - Énfasis1 4 2 5 2 2 2" xfId="1371" xr:uid="{00000000-0005-0000-0000-00005E050000}"/>
    <cellStyle name="20% - Énfasis1 4 2 5 2 3" xfId="1372" xr:uid="{00000000-0005-0000-0000-00005F050000}"/>
    <cellStyle name="20% - Énfasis1 4 2 5 3" xfId="1373" xr:uid="{00000000-0005-0000-0000-000060050000}"/>
    <cellStyle name="20% - Énfasis1 4 2 5 3 2" xfId="1374" xr:uid="{00000000-0005-0000-0000-000061050000}"/>
    <cellStyle name="20% - Énfasis1 4 2 5 4" xfId="1375" xr:uid="{00000000-0005-0000-0000-000062050000}"/>
    <cellStyle name="20% - Énfasis1 4 2 6" xfId="1376" xr:uid="{00000000-0005-0000-0000-000063050000}"/>
    <cellStyle name="20% - Énfasis1 4 2 6 2" xfId="1377" xr:uid="{00000000-0005-0000-0000-000064050000}"/>
    <cellStyle name="20% - Énfasis1 4 2 6 2 2" xfId="1378" xr:uid="{00000000-0005-0000-0000-000065050000}"/>
    <cellStyle name="20% - Énfasis1 4 2 6 3" xfId="1379" xr:uid="{00000000-0005-0000-0000-000066050000}"/>
    <cellStyle name="20% - Énfasis1 4 2 7" xfId="1380" xr:uid="{00000000-0005-0000-0000-000067050000}"/>
    <cellStyle name="20% - Énfasis1 4 2 7 2" xfId="1381" xr:uid="{00000000-0005-0000-0000-000068050000}"/>
    <cellStyle name="20% - Énfasis1 4 2 7 2 2" xfId="1382" xr:uid="{00000000-0005-0000-0000-000069050000}"/>
    <cellStyle name="20% - Énfasis1 4 2 7 3" xfId="1383" xr:uid="{00000000-0005-0000-0000-00006A050000}"/>
    <cellStyle name="20% - Énfasis1 4 2 8" xfId="1384" xr:uid="{00000000-0005-0000-0000-00006B050000}"/>
    <cellStyle name="20% - Énfasis1 4 2 8 2" xfId="1385" xr:uid="{00000000-0005-0000-0000-00006C050000}"/>
    <cellStyle name="20% - Énfasis1 4 2 9" xfId="1386" xr:uid="{00000000-0005-0000-0000-00006D050000}"/>
    <cellStyle name="20% - Énfasis1 4 3" xfId="1387" xr:uid="{00000000-0005-0000-0000-00006E050000}"/>
    <cellStyle name="20% - Énfasis1 4 3 2" xfId="1388" xr:uid="{00000000-0005-0000-0000-00006F050000}"/>
    <cellStyle name="20% - Énfasis1 4 3 2 2" xfId="1389" xr:uid="{00000000-0005-0000-0000-000070050000}"/>
    <cellStyle name="20% - Énfasis1 4 3 2 2 2" xfId="1390" xr:uid="{00000000-0005-0000-0000-000071050000}"/>
    <cellStyle name="20% - Énfasis1 4 3 2 2 2 2" xfId="1391" xr:uid="{00000000-0005-0000-0000-000072050000}"/>
    <cellStyle name="20% - Énfasis1 4 3 2 2 3" xfId="1392" xr:uid="{00000000-0005-0000-0000-000073050000}"/>
    <cellStyle name="20% - Énfasis1 4 3 2 3" xfId="1393" xr:uid="{00000000-0005-0000-0000-000074050000}"/>
    <cellStyle name="20% - Énfasis1 4 3 2 3 2" xfId="1394" xr:uid="{00000000-0005-0000-0000-000075050000}"/>
    <cellStyle name="20% - Énfasis1 4 3 2 4" xfId="1395" xr:uid="{00000000-0005-0000-0000-000076050000}"/>
    <cellStyle name="20% - Énfasis1 4 3 3" xfId="1396" xr:uid="{00000000-0005-0000-0000-000077050000}"/>
    <cellStyle name="20% - Énfasis1 4 3 3 2" xfId="1397" xr:uid="{00000000-0005-0000-0000-000078050000}"/>
    <cellStyle name="20% - Énfasis1 4 3 3 2 2" xfId="1398" xr:uid="{00000000-0005-0000-0000-000079050000}"/>
    <cellStyle name="20% - Énfasis1 4 3 3 3" xfId="1399" xr:uid="{00000000-0005-0000-0000-00007A050000}"/>
    <cellStyle name="20% - Énfasis1 4 3 4" xfId="1400" xr:uid="{00000000-0005-0000-0000-00007B050000}"/>
    <cellStyle name="20% - Énfasis1 4 3 4 2" xfId="1401" xr:uid="{00000000-0005-0000-0000-00007C050000}"/>
    <cellStyle name="20% - Énfasis1 4 3 4 2 2" xfId="1402" xr:uid="{00000000-0005-0000-0000-00007D050000}"/>
    <cellStyle name="20% - Énfasis1 4 3 4 3" xfId="1403" xr:uid="{00000000-0005-0000-0000-00007E050000}"/>
    <cellStyle name="20% - Énfasis1 4 3 5" xfId="1404" xr:uid="{00000000-0005-0000-0000-00007F050000}"/>
    <cellStyle name="20% - Énfasis1 4 3 5 2" xfId="1405" xr:uid="{00000000-0005-0000-0000-000080050000}"/>
    <cellStyle name="20% - Énfasis1 4 3 6" xfId="1406" xr:uid="{00000000-0005-0000-0000-000081050000}"/>
    <cellStyle name="20% - Énfasis1 4 4" xfId="1407" xr:uid="{00000000-0005-0000-0000-000082050000}"/>
    <cellStyle name="20% - Énfasis1 4 4 2" xfId="1408" xr:uid="{00000000-0005-0000-0000-000083050000}"/>
    <cellStyle name="20% - Énfasis1 4 4 2 2" xfId="1409" xr:uid="{00000000-0005-0000-0000-000084050000}"/>
    <cellStyle name="20% - Énfasis1 4 4 2 2 2" xfId="1410" xr:uid="{00000000-0005-0000-0000-000085050000}"/>
    <cellStyle name="20% - Énfasis1 4 4 2 3" xfId="1411" xr:uid="{00000000-0005-0000-0000-000086050000}"/>
    <cellStyle name="20% - Énfasis1 4 4 3" xfId="1412" xr:uid="{00000000-0005-0000-0000-000087050000}"/>
    <cellStyle name="20% - Énfasis1 4 4 3 2" xfId="1413" xr:uid="{00000000-0005-0000-0000-000088050000}"/>
    <cellStyle name="20% - Énfasis1 4 4 3 2 2" xfId="1414" xr:uid="{00000000-0005-0000-0000-000089050000}"/>
    <cellStyle name="20% - Énfasis1 4 4 3 3" xfId="1415" xr:uid="{00000000-0005-0000-0000-00008A050000}"/>
    <cellStyle name="20% - Énfasis1 4 4 4" xfId="1416" xr:uid="{00000000-0005-0000-0000-00008B050000}"/>
    <cellStyle name="20% - Énfasis1 4 4 4 2" xfId="1417" xr:uid="{00000000-0005-0000-0000-00008C050000}"/>
    <cellStyle name="20% - Énfasis1 4 4 5" xfId="1418" xr:uid="{00000000-0005-0000-0000-00008D050000}"/>
    <cellStyle name="20% - Énfasis1 4 5" xfId="1419" xr:uid="{00000000-0005-0000-0000-00008E050000}"/>
    <cellStyle name="20% - Énfasis1 4 5 2" xfId="1420" xr:uid="{00000000-0005-0000-0000-00008F050000}"/>
    <cellStyle name="20% - Énfasis1 4 5 2 2" xfId="1421" xr:uid="{00000000-0005-0000-0000-000090050000}"/>
    <cellStyle name="20% - Énfasis1 4 5 2 2 2" xfId="1422" xr:uid="{00000000-0005-0000-0000-000091050000}"/>
    <cellStyle name="20% - Énfasis1 4 5 2 3" xfId="1423" xr:uid="{00000000-0005-0000-0000-000092050000}"/>
    <cellStyle name="20% - Énfasis1 4 5 3" xfId="1424" xr:uid="{00000000-0005-0000-0000-000093050000}"/>
    <cellStyle name="20% - Énfasis1 4 5 3 2" xfId="1425" xr:uid="{00000000-0005-0000-0000-000094050000}"/>
    <cellStyle name="20% - Énfasis1 4 5 3 2 2" xfId="1426" xr:uid="{00000000-0005-0000-0000-000095050000}"/>
    <cellStyle name="20% - Énfasis1 4 5 3 3" xfId="1427" xr:uid="{00000000-0005-0000-0000-000096050000}"/>
    <cellStyle name="20% - Énfasis1 4 5 4" xfId="1428" xr:uid="{00000000-0005-0000-0000-000097050000}"/>
    <cellStyle name="20% - Énfasis1 4 5 4 2" xfId="1429" xr:uid="{00000000-0005-0000-0000-000098050000}"/>
    <cellStyle name="20% - Énfasis1 4 5 5" xfId="1430" xr:uid="{00000000-0005-0000-0000-000099050000}"/>
    <cellStyle name="20% - Énfasis1 4 6" xfId="1431" xr:uid="{00000000-0005-0000-0000-00009A050000}"/>
    <cellStyle name="20% - Énfasis1 4 6 2" xfId="1432" xr:uid="{00000000-0005-0000-0000-00009B050000}"/>
    <cellStyle name="20% - Énfasis1 4 6 2 2" xfId="1433" xr:uid="{00000000-0005-0000-0000-00009C050000}"/>
    <cellStyle name="20% - Énfasis1 4 6 2 2 2" xfId="1434" xr:uid="{00000000-0005-0000-0000-00009D050000}"/>
    <cellStyle name="20% - Énfasis1 4 6 2 3" xfId="1435" xr:uid="{00000000-0005-0000-0000-00009E050000}"/>
    <cellStyle name="20% - Énfasis1 4 6 3" xfId="1436" xr:uid="{00000000-0005-0000-0000-00009F050000}"/>
    <cellStyle name="20% - Énfasis1 4 6 3 2" xfId="1437" xr:uid="{00000000-0005-0000-0000-0000A0050000}"/>
    <cellStyle name="20% - Énfasis1 4 6 4" xfId="1438" xr:uid="{00000000-0005-0000-0000-0000A1050000}"/>
    <cellStyle name="20% - Énfasis1 4 7" xfId="1439" xr:uid="{00000000-0005-0000-0000-0000A2050000}"/>
    <cellStyle name="20% - Énfasis1 4 7 2" xfId="1440" xr:uid="{00000000-0005-0000-0000-0000A3050000}"/>
    <cellStyle name="20% - Énfasis1 4 7 2 2" xfId="1441" xr:uid="{00000000-0005-0000-0000-0000A4050000}"/>
    <cellStyle name="20% - Énfasis1 4 7 3" xfId="1442" xr:uid="{00000000-0005-0000-0000-0000A5050000}"/>
    <cellStyle name="20% - Énfasis1 4 8" xfId="1443" xr:uid="{00000000-0005-0000-0000-0000A6050000}"/>
    <cellStyle name="20% - Énfasis1 4 8 2" xfId="1444" xr:uid="{00000000-0005-0000-0000-0000A7050000}"/>
    <cellStyle name="20% - Énfasis1 4 8 2 2" xfId="1445" xr:uid="{00000000-0005-0000-0000-0000A8050000}"/>
    <cellStyle name="20% - Énfasis1 4 8 3" xfId="1446" xr:uid="{00000000-0005-0000-0000-0000A9050000}"/>
    <cellStyle name="20% - Énfasis1 4 9" xfId="1447" xr:uid="{00000000-0005-0000-0000-0000AA050000}"/>
    <cellStyle name="20% - Énfasis1 4 9 2" xfId="1448" xr:uid="{00000000-0005-0000-0000-0000AB050000}"/>
    <cellStyle name="20% - Énfasis1 40" xfId="1449" xr:uid="{00000000-0005-0000-0000-0000AC050000}"/>
    <cellStyle name="20% - Énfasis1 40 2" xfId="1450" xr:uid="{00000000-0005-0000-0000-0000AD050000}"/>
    <cellStyle name="20% - Énfasis1 40 2 2" xfId="1451" xr:uid="{00000000-0005-0000-0000-0000AE050000}"/>
    <cellStyle name="20% - Énfasis1 40 2 2 2" xfId="1452" xr:uid="{00000000-0005-0000-0000-0000AF050000}"/>
    <cellStyle name="20% - Énfasis1 40 2 3" xfId="1453" xr:uid="{00000000-0005-0000-0000-0000B0050000}"/>
    <cellStyle name="20% - Énfasis1 40 3" xfId="1454" xr:uid="{00000000-0005-0000-0000-0000B1050000}"/>
    <cellStyle name="20% - Énfasis1 40 3 2" xfId="1455" xr:uid="{00000000-0005-0000-0000-0000B2050000}"/>
    <cellStyle name="20% - Énfasis1 40 4" xfId="1456" xr:uid="{00000000-0005-0000-0000-0000B3050000}"/>
    <cellStyle name="20% - Énfasis1 41" xfId="1457" xr:uid="{00000000-0005-0000-0000-0000B4050000}"/>
    <cellStyle name="20% - Énfasis1 41 2" xfId="1458" xr:uid="{00000000-0005-0000-0000-0000B5050000}"/>
    <cellStyle name="20% - Énfasis1 41 2 2" xfId="1459" xr:uid="{00000000-0005-0000-0000-0000B6050000}"/>
    <cellStyle name="20% - Énfasis1 41 3" xfId="1460" xr:uid="{00000000-0005-0000-0000-0000B7050000}"/>
    <cellStyle name="20% - Énfasis1 42" xfId="1461" xr:uid="{00000000-0005-0000-0000-0000B8050000}"/>
    <cellStyle name="20% - Énfasis1 42 2" xfId="1462" xr:uid="{00000000-0005-0000-0000-0000B9050000}"/>
    <cellStyle name="20% - Énfasis1 42 2 2" xfId="1463" xr:uid="{00000000-0005-0000-0000-0000BA050000}"/>
    <cellStyle name="20% - Énfasis1 42 3" xfId="1464" xr:uid="{00000000-0005-0000-0000-0000BB050000}"/>
    <cellStyle name="20% - Énfasis1 43" xfId="1465" xr:uid="{00000000-0005-0000-0000-0000BC050000}"/>
    <cellStyle name="20% - Énfasis1 43 2" xfId="1466" xr:uid="{00000000-0005-0000-0000-0000BD050000}"/>
    <cellStyle name="20% - Énfasis1 43 2 2" xfId="1467" xr:uid="{00000000-0005-0000-0000-0000BE050000}"/>
    <cellStyle name="20% - Énfasis1 43 3" xfId="1468" xr:uid="{00000000-0005-0000-0000-0000BF050000}"/>
    <cellStyle name="20% - Énfasis1 44" xfId="1469" xr:uid="{00000000-0005-0000-0000-0000C0050000}"/>
    <cellStyle name="20% - Énfasis1 44 2" xfId="1470" xr:uid="{00000000-0005-0000-0000-0000C1050000}"/>
    <cellStyle name="20% - Énfasis1 44 2 2" xfId="1471" xr:uid="{00000000-0005-0000-0000-0000C2050000}"/>
    <cellStyle name="20% - Énfasis1 44 3" xfId="1472" xr:uid="{00000000-0005-0000-0000-0000C3050000}"/>
    <cellStyle name="20% - Énfasis1 45" xfId="1473" xr:uid="{00000000-0005-0000-0000-0000C4050000}"/>
    <cellStyle name="20% - Énfasis1 45 2" xfId="1474" xr:uid="{00000000-0005-0000-0000-0000C5050000}"/>
    <cellStyle name="20% - Énfasis1 45 2 2" xfId="1475" xr:uid="{00000000-0005-0000-0000-0000C6050000}"/>
    <cellStyle name="20% - Énfasis1 45 3" xfId="1476" xr:uid="{00000000-0005-0000-0000-0000C7050000}"/>
    <cellStyle name="20% - Énfasis1 46" xfId="1477" xr:uid="{00000000-0005-0000-0000-0000C8050000}"/>
    <cellStyle name="20% - Énfasis1 46 2" xfId="1478" xr:uid="{00000000-0005-0000-0000-0000C9050000}"/>
    <cellStyle name="20% - Énfasis1 46 2 2" xfId="1479" xr:uid="{00000000-0005-0000-0000-0000CA050000}"/>
    <cellStyle name="20% - Énfasis1 46 3" xfId="1480" xr:uid="{00000000-0005-0000-0000-0000CB050000}"/>
    <cellStyle name="20% - Énfasis1 47" xfId="1481" xr:uid="{00000000-0005-0000-0000-0000CC050000}"/>
    <cellStyle name="20% - Énfasis1 47 2" xfId="1482" xr:uid="{00000000-0005-0000-0000-0000CD050000}"/>
    <cellStyle name="20% - Énfasis1 47 2 2" xfId="1483" xr:uid="{00000000-0005-0000-0000-0000CE050000}"/>
    <cellStyle name="20% - Énfasis1 47 3" xfId="1484" xr:uid="{00000000-0005-0000-0000-0000CF050000}"/>
    <cellStyle name="20% - Énfasis1 48" xfId="1485" xr:uid="{00000000-0005-0000-0000-0000D0050000}"/>
    <cellStyle name="20% - Énfasis1 48 2" xfId="1486" xr:uid="{00000000-0005-0000-0000-0000D1050000}"/>
    <cellStyle name="20% - Énfasis1 48 2 2" xfId="1487" xr:uid="{00000000-0005-0000-0000-0000D2050000}"/>
    <cellStyle name="20% - Énfasis1 48 3" xfId="1488" xr:uid="{00000000-0005-0000-0000-0000D3050000}"/>
    <cellStyle name="20% - Énfasis1 49" xfId="1489" xr:uid="{00000000-0005-0000-0000-0000D4050000}"/>
    <cellStyle name="20% - Énfasis1 49 2" xfId="1490" xr:uid="{00000000-0005-0000-0000-0000D5050000}"/>
    <cellStyle name="20% - Énfasis1 5" xfId="1491" xr:uid="{00000000-0005-0000-0000-0000D6050000}"/>
    <cellStyle name="20% - Énfasis1 5 2" xfId="1492" xr:uid="{00000000-0005-0000-0000-0000D7050000}"/>
    <cellStyle name="20% - Énfasis1 5 2 2" xfId="1493" xr:uid="{00000000-0005-0000-0000-0000D8050000}"/>
    <cellStyle name="20% - Énfasis1 5 2 2 2" xfId="1494" xr:uid="{00000000-0005-0000-0000-0000D9050000}"/>
    <cellStyle name="20% - Énfasis1 5 2 2 2 2" xfId="1495" xr:uid="{00000000-0005-0000-0000-0000DA050000}"/>
    <cellStyle name="20% - Énfasis1 5 2 2 2 2 2" xfId="1496" xr:uid="{00000000-0005-0000-0000-0000DB050000}"/>
    <cellStyle name="20% - Énfasis1 5 2 2 2 3" xfId="1497" xr:uid="{00000000-0005-0000-0000-0000DC050000}"/>
    <cellStyle name="20% - Énfasis1 5 2 2 3" xfId="1498" xr:uid="{00000000-0005-0000-0000-0000DD050000}"/>
    <cellStyle name="20% - Énfasis1 5 2 2 3 2" xfId="1499" xr:uid="{00000000-0005-0000-0000-0000DE050000}"/>
    <cellStyle name="20% - Énfasis1 5 2 2 3 2 2" xfId="1500" xr:uid="{00000000-0005-0000-0000-0000DF050000}"/>
    <cellStyle name="20% - Énfasis1 5 2 2 3 3" xfId="1501" xr:uid="{00000000-0005-0000-0000-0000E0050000}"/>
    <cellStyle name="20% - Énfasis1 5 2 2 4" xfId="1502" xr:uid="{00000000-0005-0000-0000-0000E1050000}"/>
    <cellStyle name="20% - Énfasis1 5 2 2 4 2" xfId="1503" xr:uid="{00000000-0005-0000-0000-0000E2050000}"/>
    <cellStyle name="20% - Énfasis1 5 2 2 5" xfId="1504" xr:uid="{00000000-0005-0000-0000-0000E3050000}"/>
    <cellStyle name="20% - Énfasis1 5 2 3" xfId="1505" xr:uid="{00000000-0005-0000-0000-0000E4050000}"/>
    <cellStyle name="20% - Énfasis1 5 2 3 2" xfId="1506" xr:uid="{00000000-0005-0000-0000-0000E5050000}"/>
    <cellStyle name="20% - Énfasis1 5 2 3 2 2" xfId="1507" xr:uid="{00000000-0005-0000-0000-0000E6050000}"/>
    <cellStyle name="20% - Énfasis1 5 2 3 2 2 2" xfId="1508" xr:uid="{00000000-0005-0000-0000-0000E7050000}"/>
    <cellStyle name="20% - Énfasis1 5 2 3 2 3" xfId="1509" xr:uid="{00000000-0005-0000-0000-0000E8050000}"/>
    <cellStyle name="20% - Énfasis1 5 2 3 3" xfId="1510" xr:uid="{00000000-0005-0000-0000-0000E9050000}"/>
    <cellStyle name="20% - Énfasis1 5 2 3 3 2" xfId="1511" xr:uid="{00000000-0005-0000-0000-0000EA050000}"/>
    <cellStyle name="20% - Énfasis1 5 2 3 3 2 2" xfId="1512" xr:uid="{00000000-0005-0000-0000-0000EB050000}"/>
    <cellStyle name="20% - Énfasis1 5 2 3 3 3" xfId="1513" xr:uid="{00000000-0005-0000-0000-0000EC050000}"/>
    <cellStyle name="20% - Énfasis1 5 2 3 4" xfId="1514" xr:uid="{00000000-0005-0000-0000-0000ED050000}"/>
    <cellStyle name="20% - Énfasis1 5 2 3 4 2" xfId="1515" xr:uid="{00000000-0005-0000-0000-0000EE050000}"/>
    <cellStyle name="20% - Énfasis1 5 2 3 5" xfId="1516" xr:uid="{00000000-0005-0000-0000-0000EF050000}"/>
    <cellStyle name="20% - Énfasis1 5 2 4" xfId="1517" xr:uid="{00000000-0005-0000-0000-0000F0050000}"/>
    <cellStyle name="20% - Énfasis1 5 2 4 2" xfId="1518" xr:uid="{00000000-0005-0000-0000-0000F1050000}"/>
    <cellStyle name="20% - Énfasis1 5 2 4 2 2" xfId="1519" xr:uid="{00000000-0005-0000-0000-0000F2050000}"/>
    <cellStyle name="20% - Énfasis1 5 2 4 2 2 2" xfId="1520" xr:uid="{00000000-0005-0000-0000-0000F3050000}"/>
    <cellStyle name="20% - Énfasis1 5 2 4 2 3" xfId="1521" xr:uid="{00000000-0005-0000-0000-0000F4050000}"/>
    <cellStyle name="20% - Énfasis1 5 2 4 3" xfId="1522" xr:uid="{00000000-0005-0000-0000-0000F5050000}"/>
    <cellStyle name="20% - Énfasis1 5 2 4 3 2" xfId="1523" xr:uid="{00000000-0005-0000-0000-0000F6050000}"/>
    <cellStyle name="20% - Énfasis1 5 2 4 4" xfId="1524" xr:uid="{00000000-0005-0000-0000-0000F7050000}"/>
    <cellStyle name="20% - Énfasis1 5 2 5" xfId="1525" xr:uid="{00000000-0005-0000-0000-0000F8050000}"/>
    <cellStyle name="20% - Énfasis1 5 2 5 2" xfId="1526" xr:uid="{00000000-0005-0000-0000-0000F9050000}"/>
    <cellStyle name="20% - Énfasis1 5 2 5 2 2" xfId="1527" xr:uid="{00000000-0005-0000-0000-0000FA050000}"/>
    <cellStyle name="20% - Énfasis1 5 2 5 3" xfId="1528" xr:uid="{00000000-0005-0000-0000-0000FB050000}"/>
    <cellStyle name="20% - Énfasis1 5 2 6" xfId="1529" xr:uid="{00000000-0005-0000-0000-0000FC050000}"/>
    <cellStyle name="20% - Énfasis1 5 2 6 2" xfId="1530" xr:uid="{00000000-0005-0000-0000-0000FD050000}"/>
    <cellStyle name="20% - Énfasis1 5 2 6 2 2" xfId="1531" xr:uid="{00000000-0005-0000-0000-0000FE050000}"/>
    <cellStyle name="20% - Énfasis1 5 2 6 3" xfId="1532" xr:uid="{00000000-0005-0000-0000-0000FF050000}"/>
    <cellStyle name="20% - Énfasis1 5 2 7" xfId="1533" xr:uid="{00000000-0005-0000-0000-000000060000}"/>
    <cellStyle name="20% - Énfasis1 5 2 7 2" xfId="1534" xr:uid="{00000000-0005-0000-0000-000001060000}"/>
    <cellStyle name="20% - Énfasis1 5 2 8" xfId="1535" xr:uid="{00000000-0005-0000-0000-000002060000}"/>
    <cellStyle name="20% - Énfasis1 5 3" xfId="1536" xr:uid="{00000000-0005-0000-0000-000003060000}"/>
    <cellStyle name="20% - Énfasis1 5 3 2" xfId="1537" xr:uid="{00000000-0005-0000-0000-000004060000}"/>
    <cellStyle name="20% - Énfasis1 5 3 2 2" xfId="1538" xr:uid="{00000000-0005-0000-0000-000005060000}"/>
    <cellStyle name="20% - Énfasis1 5 3 2 2 2" xfId="1539" xr:uid="{00000000-0005-0000-0000-000006060000}"/>
    <cellStyle name="20% - Énfasis1 5 3 2 3" xfId="1540" xr:uid="{00000000-0005-0000-0000-000007060000}"/>
    <cellStyle name="20% - Énfasis1 5 3 3" xfId="1541" xr:uid="{00000000-0005-0000-0000-000008060000}"/>
    <cellStyle name="20% - Énfasis1 5 3 3 2" xfId="1542" xr:uid="{00000000-0005-0000-0000-000009060000}"/>
    <cellStyle name="20% - Énfasis1 5 3 3 2 2" xfId="1543" xr:uid="{00000000-0005-0000-0000-00000A060000}"/>
    <cellStyle name="20% - Énfasis1 5 3 3 3" xfId="1544" xr:uid="{00000000-0005-0000-0000-00000B060000}"/>
    <cellStyle name="20% - Énfasis1 5 3 4" xfId="1545" xr:uid="{00000000-0005-0000-0000-00000C060000}"/>
    <cellStyle name="20% - Énfasis1 5 3 4 2" xfId="1546" xr:uid="{00000000-0005-0000-0000-00000D060000}"/>
    <cellStyle name="20% - Énfasis1 5 3 5" xfId="1547" xr:uid="{00000000-0005-0000-0000-00000E060000}"/>
    <cellStyle name="20% - Énfasis1 5 4" xfId="1548" xr:uid="{00000000-0005-0000-0000-00000F060000}"/>
    <cellStyle name="20% - Énfasis1 5 4 2" xfId="1549" xr:uid="{00000000-0005-0000-0000-000010060000}"/>
    <cellStyle name="20% - Énfasis1 5 4 2 2" xfId="1550" xr:uid="{00000000-0005-0000-0000-000011060000}"/>
    <cellStyle name="20% - Énfasis1 5 4 2 2 2" xfId="1551" xr:uid="{00000000-0005-0000-0000-000012060000}"/>
    <cellStyle name="20% - Énfasis1 5 4 2 3" xfId="1552" xr:uid="{00000000-0005-0000-0000-000013060000}"/>
    <cellStyle name="20% - Énfasis1 5 4 3" xfId="1553" xr:uid="{00000000-0005-0000-0000-000014060000}"/>
    <cellStyle name="20% - Énfasis1 5 4 3 2" xfId="1554" xr:uid="{00000000-0005-0000-0000-000015060000}"/>
    <cellStyle name="20% - Énfasis1 5 4 3 2 2" xfId="1555" xr:uid="{00000000-0005-0000-0000-000016060000}"/>
    <cellStyle name="20% - Énfasis1 5 4 3 3" xfId="1556" xr:uid="{00000000-0005-0000-0000-000017060000}"/>
    <cellStyle name="20% - Énfasis1 5 4 4" xfId="1557" xr:uid="{00000000-0005-0000-0000-000018060000}"/>
    <cellStyle name="20% - Énfasis1 5 4 4 2" xfId="1558" xr:uid="{00000000-0005-0000-0000-000019060000}"/>
    <cellStyle name="20% - Énfasis1 5 4 5" xfId="1559" xr:uid="{00000000-0005-0000-0000-00001A060000}"/>
    <cellStyle name="20% - Énfasis1 5 5" xfId="1560" xr:uid="{00000000-0005-0000-0000-00001B060000}"/>
    <cellStyle name="20% - Énfasis1 5 5 2" xfId="1561" xr:uid="{00000000-0005-0000-0000-00001C060000}"/>
    <cellStyle name="20% - Énfasis1 5 5 2 2" xfId="1562" xr:uid="{00000000-0005-0000-0000-00001D060000}"/>
    <cellStyle name="20% - Énfasis1 5 5 2 2 2" xfId="1563" xr:uid="{00000000-0005-0000-0000-00001E060000}"/>
    <cellStyle name="20% - Énfasis1 5 5 2 3" xfId="1564" xr:uid="{00000000-0005-0000-0000-00001F060000}"/>
    <cellStyle name="20% - Énfasis1 5 5 3" xfId="1565" xr:uid="{00000000-0005-0000-0000-000020060000}"/>
    <cellStyle name="20% - Énfasis1 5 5 3 2" xfId="1566" xr:uid="{00000000-0005-0000-0000-000021060000}"/>
    <cellStyle name="20% - Énfasis1 5 5 4" xfId="1567" xr:uid="{00000000-0005-0000-0000-000022060000}"/>
    <cellStyle name="20% - Énfasis1 5 6" xfId="1568" xr:uid="{00000000-0005-0000-0000-000023060000}"/>
    <cellStyle name="20% - Énfasis1 5 6 2" xfId="1569" xr:uid="{00000000-0005-0000-0000-000024060000}"/>
    <cellStyle name="20% - Énfasis1 5 6 2 2" xfId="1570" xr:uid="{00000000-0005-0000-0000-000025060000}"/>
    <cellStyle name="20% - Énfasis1 5 6 3" xfId="1571" xr:uid="{00000000-0005-0000-0000-000026060000}"/>
    <cellStyle name="20% - Énfasis1 5 7" xfId="1572" xr:uid="{00000000-0005-0000-0000-000027060000}"/>
    <cellStyle name="20% - Énfasis1 5 7 2" xfId="1573" xr:uid="{00000000-0005-0000-0000-000028060000}"/>
    <cellStyle name="20% - Énfasis1 5 7 2 2" xfId="1574" xr:uid="{00000000-0005-0000-0000-000029060000}"/>
    <cellStyle name="20% - Énfasis1 5 7 3" xfId="1575" xr:uid="{00000000-0005-0000-0000-00002A060000}"/>
    <cellStyle name="20% - Énfasis1 5 8" xfId="1576" xr:uid="{00000000-0005-0000-0000-00002B060000}"/>
    <cellStyle name="20% - Énfasis1 5 8 2" xfId="1577" xr:uid="{00000000-0005-0000-0000-00002C060000}"/>
    <cellStyle name="20% - Énfasis1 5 9" xfId="1578" xr:uid="{00000000-0005-0000-0000-00002D060000}"/>
    <cellStyle name="20% - Énfasis1 50" xfId="1579" xr:uid="{00000000-0005-0000-0000-00002E060000}"/>
    <cellStyle name="20% - Énfasis1 50 2" xfId="1580" xr:uid="{00000000-0005-0000-0000-00002F060000}"/>
    <cellStyle name="20% - Énfasis1 51" xfId="1581" xr:uid="{00000000-0005-0000-0000-000030060000}"/>
    <cellStyle name="20% - Énfasis1 51 2" xfId="1582" xr:uid="{00000000-0005-0000-0000-000031060000}"/>
    <cellStyle name="20% - Énfasis1 52" xfId="1583" xr:uid="{00000000-0005-0000-0000-000032060000}"/>
    <cellStyle name="20% - Énfasis1 52 2" xfId="1584" xr:uid="{00000000-0005-0000-0000-000033060000}"/>
    <cellStyle name="20% - Énfasis1 53" xfId="1585" xr:uid="{00000000-0005-0000-0000-000034060000}"/>
    <cellStyle name="20% - Énfasis1 53 2" xfId="1586" xr:uid="{00000000-0005-0000-0000-000035060000}"/>
    <cellStyle name="20% - Énfasis1 54" xfId="1587" xr:uid="{00000000-0005-0000-0000-000036060000}"/>
    <cellStyle name="20% - Énfasis1 54 2" xfId="1588" xr:uid="{00000000-0005-0000-0000-000037060000}"/>
    <cellStyle name="20% - Énfasis1 55" xfId="1589" xr:uid="{00000000-0005-0000-0000-000038060000}"/>
    <cellStyle name="20% - Énfasis1 55 2" xfId="1590" xr:uid="{00000000-0005-0000-0000-000039060000}"/>
    <cellStyle name="20% - Énfasis1 56" xfId="1591" xr:uid="{00000000-0005-0000-0000-00003A060000}"/>
    <cellStyle name="20% - Énfasis1 56 2" xfId="1592" xr:uid="{00000000-0005-0000-0000-00003B060000}"/>
    <cellStyle name="20% - Énfasis1 57" xfId="1593" xr:uid="{00000000-0005-0000-0000-00003C060000}"/>
    <cellStyle name="20% - Énfasis1 57 2" xfId="1594" xr:uid="{00000000-0005-0000-0000-00003D060000}"/>
    <cellStyle name="20% - Énfasis1 58" xfId="1595" xr:uid="{00000000-0005-0000-0000-00003E060000}"/>
    <cellStyle name="20% - Énfasis1 58 2" xfId="1596" xr:uid="{00000000-0005-0000-0000-00003F060000}"/>
    <cellStyle name="20% - Énfasis1 59" xfId="1597" xr:uid="{00000000-0005-0000-0000-000040060000}"/>
    <cellStyle name="20% - Énfasis1 59 2" xfId="1598" xr:uid="{00000000-0005-0000-0000-000041060000}"/>
    <cellStyle name="20% - Énfasis1 6" xfId="1599" xr:uid="{00000000-0005-0000-0000-000042060000}"/>
    <cellStyle name="20% - Énfasis1 6 2" xfId="1600" xr:uid="{00000000-0005-0000-0000-000043060000}"/>
    <cellStyle name="20% - Énfasis1 6 2 2" xfId="1601" xr:uid="{00000000-0005-0000-0000-000044060000}"/>
    <cellStyle name="20% - Énfasis1 6 2 2 2" xfId="1602" xr:uid="{00000000-0005-0000-0000-000045060000}"/>
    <cellStyle name="20% - Énfasis1 6 2 2 2 2" xfId="1603" xr:uid="{00000000-0005-0000-0000-000046060000}"/>
    <cellStyle name="20% - Énfasis1 6 2 2 2 2 2" xfId="1604" xr:uid="{00000000-0005-0000-0000-000047060000}"/>
    <cellStyle name="20% - Énfasis1 6 2 2 2 3" xfId="1605" xr:uid="{00000000-0005-0000-0000-000048060000}"/>
    <cellStyle name="20% - Énfasis1 6 2 2 3" xfId="1606" xr:uid="{00000000-0005-0000-0000-000049060000}"/>
    <cellStyle name="20% - Énfasis1 6 2 2 3 2" xfId="1607" xr:uid="{00000000-0005-0000-0000-00004A060000}"/>
    <cellStyle name="20% - Énfasis1 6 2 2 4" xfId="1608" xr:uid="{00000000-0005-0000-0000-00004B060000}"/>
    <cellStyle name="20% - Énfasis1 6 2 3" xfId="1609" xr:uid="{00000000-0005-0000-0000-00004C060000}"/>
    <cellStyle name="20% - Énfasis1 6 2 3 2" xfId="1610" xr:uid="{00000000-0005-0000-0000-00004D060000}"/>
    <cellStyle name="20% - Énfasis1 6 2 3 2 2" xfId="1611" xr:uid="{00000000-0005-0000-0000-00004E060000}"/>
    <cellStyle name="20% - Énfasis1 6 2 3 3" xfId="1612" xr:uid="{00000000-0005-0000-0000-00004F060000}"/>
    <cellStyle name="20% - Énfasis1 6 2 4" xfId="1613" xr:uid="{00000000-0005-0000-0000-000050060000}"/>
    <cellStyle name="20% - Énfasis1 6 2 4 2" xfId="1614" xr:uid="{00000000-0005-0000-0000-000051060000}"/>
    <cellStyle name="20% - Énfasis1 6 2 4 2 2" xfId="1615" xr:uid="{00000000-0005-0000-0000-000052060000}"/>
    <cellStyle name="20% - Énfasis1 6 2 4 3" xfId="1616" xr:uid="{00000000-0005-0000-0000-000053060000}"/>
    <cellStyle name="20% - Énfasis1 6 2 5" xfId="1617" xr:uid="{00000000-0005-0000-0000-000054060000}"/>
    <cellStyle name="20% - Énfasis1 6 2 5 2" xfId="1618" xr:uid="{00000000-0005-0000-0000-000055060000}"/>
    <cellStyle name="20% - Énfasis1 6 2 6" xfId="1619" xr:uid="{00000000-0005-0000-0000-000056060000}"/>
    <cellStyle name="20% - Énfasis1 6 3" xfId="1620" xr:uid="{00000000-0005-0000-0000-000057060000}"/>
    <cellStyle name="20% - Énfasis1 6 3 2" xfId="1621" xr:uid="{00000000-0005-0000-0000-000058060000}"/>
    <cellStyle name="20% - Énfasis1 6 3 2 2" xfId="1622" xr:uid="{00000000-0005-0000-0000-000059060000}"/>
    <cellStyle name="20% - Énfasis1 6 3 2 2 2" xfId="1623" xr:uid="{00000000-0005-0000-0000-00005A060000}"/>
    <cellStyle name="20% - Énfasis1 6 3 2 3" xfId="1624" xr:uid="{00000000-0005-0000-0000-00005B060000}"/>
    <cellStyle name="20% - Énfasis1 6 3 3" xfId="1625" xr:uid="{00000000-0005-0000-0000-00005C060000}"/>
    <cellStyle name="20% - Énfasis1 6 3 3 2" xfId="1626" xr:uid="{00000000-0005-0000-0000-00005D060000}"/>
    <cellStyle name="20% - Énfasis1 6 3 3 2 2" xfId="1627" xr:uid="{00000000-0005-0000-0000-00005E060000}"/>
    <cellStyle name="20% - Énfasis1 6 3 3 3" xfId="1628" xr:uid="{00000000-0005-0000-0000-00005F060000}"/>
    <cellStyle name="20% - Énfasis1 6 3 4" xfId="1629" xr:uid="{00000000-0005-0000-0000-000060060000}"/>
    <cellStyle name="20% - Énfasis1 6 3 4 2" xfId="1630" xr:uid="{00000000-0005-0000-0000-000061060000}"/>
    <cellStyle name="20% - Énfasis1 6 3 5" xfId="1631" xr:uid="{00000000-0005-0000-0000-000062060000}"/>
    <cellStyle name="20% - Énfasis1 6 4" xfId="1632" xr:uid="{00000000-0005-0000-0000-000063060000}"/>
    <cellStyle name="20% - Énfasis1 6 4 2" xfId="1633" xr:uid="{00000000-0005-0000-0000-000064060000}"/>
    <cellStyle name="20% - Énfasis1 6 4 2 2" xfId="1634" xr:uid="{00000000-0005-0000-0000-000065060000}"/>
    <cellStyle name="20% - Énfasis1 6 4 2 2 2" xfId="1635" xr:uid="{00000000-0005-0000-0000-000066060000}"/>
    <cellStyle name="20% - Énfasis1 6 4 2 3" xfId="1636" xr:uid="{00000000-0005-0000-0000-000067060000}"/>
    <cellStyle name="20% - Énfasis1 6 4 3" xfId="1637" xr:uid="{00000000-0005-0000-0000-000068060000}"/>
    <cellStyle name="20% - Énfasis1 6 4 3 2" xfId="1638" xr:uid="{00000000-0005-0000-0000-000069060000}"/>
    <cellStyle name="20% - Énfasis1 6 4 4" xfId="1639" xr:uid="{00000000-0005-0000-0000-00006A060000}"/>
    <cellStyle name="20% - Énfasis1 6 5" xfId="1640" xr:uid="{00000000-0005-0000-0000-00006B060000}"/>
    <cellStyle name="20% - Énfasis1 6 5 2" xfId="1641" xr:uid="{00000000-0005-0000-0000-00006C060000}"/>
    <cellStyle name="20% - Énfasis1 6 5 2 2" xfId="1642" xr:uid="{00000000-0005-0000-0000-00006D060000}"/>
    <cellStyle name="20% - Énfasis1 6 5 3" xfId="1643" xr:uid="{00000000-0005-0000-0000-00006E060000}"/>
    <cellStyle name="20% - Énfasis1 6 6" xfId="1644" xr:uid="{00000000-0005-0000-0000-00006F060000}"/>
    <cellStyle name="20% - Énfasis1 6 6 2" xfId="1645" xr:uid="{00000000-0005-0000-0000-000070060000}"/>
    <cellStyle name="20% - Énfasis1 6 6 2 2" xfId="1646" xr:uid="{00000000-0005-0000-0000-000071060000}"/>
    <cellStyle name="20% - Énfasis1 6 6 3" xfId="1647" xr:uid="{00000000-0005-0000-0000-000072060000}"/>
    <cellStyle name="20% - Énfasis1 6 7" xfId="1648" xr:uid="{00000000-0005-0000-0000-000073060000}"/>
    <cellStyle name="20% - Énfasis1 6 7 2" xfId="1649" xr:uid="{00000000-0005-0000-0000-000074060000}"/>
    <cellStyle name="20% - Énfasis1 6 8" xfId="1650" xr:uid="{00000000-0005-0000-0000-000075060000}"/>
    <cellStyle name="20% - Énfasis1 60" xfId="1651" xr:uid="{00000000-0005-0000-0000-000076060000}"/>
    <cellStyle name="20% - Énfasis1 60 2" xfId="1652" xr:uid="{00000000-0005-0000-0000-000077060000}"/>
    <cellStyle name="20% - Énfasis1 61" xfId="1653" xr:uid="{00000000-0005-0000-0000-000078060000}"/>
    <cellStyle name="20% - Énfasis1 61 2" xfId="1654" xr:uid="{00000000-0005-0000-0000-000079060000}"/>
    <cellStyle name="20% - Énfasis1 62" xfId="1655" xr:uid="{00000000-0005-0000-0000-00007A060000}"/>
    <cellStyle name="20% - Énfasis1 62 2" xfId="1656" xr:uid="{00000000-0005-0000-0000-00007B060000}"/>
    <cellStyle name="20% - Énfasis1 63" xfId="1657" xr:uid="{00000000-0005-0000-0000-00007C060000}"/>
    <cellStyle name="20% - Énfasis1 63 2" xfId="1658" xr:uid="{00000000-0005-0000-0000-00007D060000}"/>
    <cellStyle name="20% - Énfasis1 64" xfId="1659" xr:uid="{00000000-0005-0000-0000-00007E060000}"/>
    <cellStyle name="20% - Énfasis1 64 2" xfId="1660" xr:uid="{00000000-0005-0000-0000-00007F060000}"/>
    <cellStyle name="20% - Énfasis1 65" xfId="1661" xr:uid="{00000000-0005-0000-0000-000080060000}"/>
    <cellStyle name="20% - Énfasis1 65 2" xfId="1662" xr:uid="{00000000-0005-0000-0000-000081060000}"/>
    <cellStyle name="20% - Énfasis1 66" xfId="1663" xr:uid="{00000000-0005-0000-0000-000082060000}"/>
    <cellStyle name="20% - Énfasis1 66 2" xfId="1664" xr:uid="{00000000-0005-0000-0000-000083060000}"/>
    <cellStyle name="20% - Énfasis1 7" xfId="1665" xr:uid="{00000000-0005-0000-0000-000084060000}"/>
    <cellStyle name="20% - Énfasis1 7 2" xfId="1666" xr:uid="{00000000-0005-0000-0000-000085060000}"/>
    <cellStyle name="20% - Énfasis1 7 2 2" xfId="1667" xr:uid="{00000000-0005-0000-0000-000086060000}"/>
    <cellStyle name="20% - Énfasis1 7 2 2 2" xfId="1668" xr:uid="{00000000-0005-0000-0000-000087060000}"/>
    <cellStyle name="20% - Énfasis1 7 2 2 2 2" xfId="1669" xr:uid="{00000000-0005-0000-0000-000088060000}"/>
    <cellStyle name="20% - Énfasis1 7 2 2 2 2 2" xfId="1670" xr:uid="{00000000-0005-0000-0000-000089060000}"/>
    <cellStyle name="20% - Énfasis1 7 2 2 2 3" xfId="1671" xr:uid="{00000000-0005-0000-0000-00008A060000}"/>
    <cellStyle name="20% - Énfasis1 7 2 2 3" xfId="1672" xr:uid="{00000000-0005-0000-0000-00008B060000}"/>
    <cellStyle name="20% - Énfasis1 7 2 2 3 2" xfId="1673" xr:uid="{00000000-0005-0000-0000-00008C060000}"/>
    <cellStyle name="20% - Énfasis1 7 2 2 4" xfId="1674" xr:uid="{00000000-0005-0000-0000-00008D060000}"/>
    <cellStyle name="20% - Énfasis1 7 2 3" xfId="1675" xr:uid="{00000000-0005-0000-0000-00008E060000}"/>
    <cellStyle name="20% - Énfasis1 7 2 3 2" xfId="1676" xr:uid="{00000000-0005-0000-0000-00008F060000}"/>
    <cellStyle name="20% - Énfasis1 7 2 3 2 2" xfId="1677" xr:uid="{00000000-0005-0000-0000-000090060000}"/>
    <cellStyle name="20% - Énfasis1 7 2 3 3" xfId="1678" xr:uid="{00000000-0005-0000-0000-000091060000}"/>
    <cellStyle name="20% - Énfasis1 7 2 4" xfId="1679" xr:uid="{00000000-0005-0000-0000-000092060000}"/>
    <cellStyle name="20% - Énfasis1 7 2 4 2" xfId="1680" xr:uid="{00000000-0005-0000-0000-000093060000}"/>
    <cellStyle name="20% - Énfasis1 7 2 4 2 2" xfId="1681" xr:uid="{00000000-0005-0000-0000-000094060000}"/>
    <cellStyle name="20% - Énfasis1 7 2 4 3" xfId="1682" xr:uid="{00000000-0005-0000-0000-000095060000}"/>
    <cellStyle name="20% - Énfasis1 7 2 5" xfId="1683" xr:uid="{00000000-0005-0000-0000-000096060000}"/>
    <cellStyle name="20% - Énfasis1 7 2 5 2" xfId="1684" xr:uid="{00000000-0005-0000-0000-000097060000}"/>
    <cellStyle name="20% - Énfasis1 7 2 6" xfId="1685" xr:uid="{00000000-0005-0000-0000-000098060000}"/>
    <cellStyle name="20% - Énfasis1 7 3" xfId="1686" xr:uid="{00000000-0005-0000-0000-000099060000}"/>
    <cellStyle name="20% - Énfasis1 7 3 2" xfId="1687" xr:uid="{00000000-0005-0000-0000-00009A060000}"/>
    <cellStyle name="20% - Énfasis1 7 3 2 2" xfId="1688" xr:uid="{00000000-0005-0000-0000-00009B060000}"/>
    <cellStyle name="20% - Énfasis1 7 3 2 2 2" xfId="1689" xr:uid="{00000000-0005-0000-0000-00009C060000}"/>
    <cellStyle name="20% - Énfasis1 7 3 2 3" xfId="1690" xr:uid="{00000000-0005-0000-0000-00009D060000}"/>
    <cellStyle name="20% - Énfasis1 7 3 3" xfId="1691" xr:uid="{00000000-0005-0000-0000-00009E060000}"/>
    <cellStyle name="20% - Énfasis1 7 3 3 2" xfId="1692" xr:uid="{00000000-0005-0000-0000-00009F060000}"/>
    <cellStyle name="20% - Énfasis1 7 3 3 2 2" xfId="1693" xr:uid="{00000000-0005-0000-0000-0000A0060000}"/>
    <cellStyle name="20% - Énfasis1 7 3 3 3" xfId="1694" xr:uid="{00000000-0005-0000-0000-0000A1060000}"/>
    <cellStyle name="20% - Énfasis1 7 3 4" xfId="1695" xr:uid="{00000000-0005-0000-0000-0000A2060000}"/>
    <cellStyle name="20% - Énfasis1 7 3 4 2" xfId="1696" xr:uid="{00000000-0005-0000-0000-0000A3060000}"/>
    <cellStyle name="20% - Énfasis1 7 3 5" xfId="1697" xr:uid="{00000000-0005-0000-0000-0000A4060000}"/>
    <cellStyle name="20% - Énfasis1 7 4" xfId="1698" xr:uid="{00000000-0005-0000-0000-0000A5060000}"/>
    <cellStyle name="20% - Énfasis1 7 4 2" xfId="1699" xr:uid="{00000000-0005-0000-0000-0000A6060000}"/>
    <cellStyle name="20% - Énfasis1 7 4 2 2" xfId="1700" xr:uid="{00000000-0005-0000-0000-0000A7060000}"/>
    <cellStyle name="20% - Énfasis1 7 4 2 2 2" xfId="1701" xr:uid="{00000000-0005-0000-0000-0000A8060000}"/>
    <cellStyle name="20% - Énfasis1 7 4 2 3" xfId="1702" xr:uid="{00000000-0005-0000-0000-0000A9060000}"/>
    <cellStyle name="20% - Énfasis1 7 4 3" xfId="1703" xr:uid="{00000000-0005-0000-0000-0000AA060000}"/>
    <cellStyle name="20% - Énfasis1 7 4 3 2" xfId="1704" xr:uid="{00000000-0005-0000-0000-0000AB060000}"/>
    <cellStyle name="20% - Énfasis1 7 4 4" xfId="1705" xr:uid="{00000000-0005-0000-0000-0000AC060000}"/>
    <cellStyle name="20% - Énfasis1 7 5" xfId="1706" xr:uid="{00000000-0005-0000-0000-0000AD060000}"/>
    <cellStyle name="20% - Énfasis1 7 5 2" xfId="1707" xr:uid="{00000000-0005-0000-0000-0000AE060000}"/>
    <cellStyle name="20% - Énfasis1 7 5 2 2" xfId="1708" xr:uid="{00000000-0005-0000-0000-0000AF060000}"/>
    <cellStyle name="20% - Énfasis1 7 5 3" xfId="1709" xr:uid="{00000000-0005-0000-0000-0000B0060000}"/>
    <cellStyle name="20% - Énfasis1 7 6" xfId="1710" xr:uid="{00000000-0005-0000-0000-0000B1060000}"/>
    <cellStyle name="20% - Énfasis1 7 6 2" xfId="1711" xr:uid="{00000000-0005-0000-0000-0000B2060000}"/>
    <cellStyle name="20% - Énfasis1 7 6 2 2" xfId="1712" xr:uid="{00000000-0005-0000-0000-0000B3060000}"/>
    <cellStyle name="20% - Énfasis1 7 6 3" xfId="1713" xr:uid="{00000000-0005-0000-0000-0000B4060000}"/>
    <cellStyle name="20% - Énfasis1 7 7" xfId="1714" xr:uid="{00000000-0005-0000-0000-0000B5060000}"/>
    <cellStyle name="20% - Énfasis1 7 7 2" xfId="1715" xr:uid="{00000000-0005-0000-0000-0000B6060000}"/>
    <cellStyle name="20% - Énfasis1 7 8" xfId="1716" xr:uid="{00000000-0005-0000-0000-0000B7060000}"/>
    <cellStyle name="20% - Énfasis1 8" xfId="1717" xr:uid="{00000000-0005-0000-0000-0000B8060000}"/>
    <cellStyle name="20% - Énfasis1 8 2" xfId="1718" xr:uid="{00000000-0005-0000-0000-0000B9060000}"/>
    <cellStyle name="20% - Énfasis1 8 2 2" xfId="1719" xr:uid="{00000000-0005-0000-0000-0000BA060000}"/>
    <cellStyle name="20% - Énfasis1 8 2 2 2" xfId="1720" xr:uid="{00000000-0005-0000-0000-0000BB060000}"/>
    <cellStyle name="20% - Énfasis1 8 2 2 2 2" xfId="1721" xr:uid="{00000000-0005-0000-0000-0000BC060000}"/>
    <cellStyle name="20% - Énfasis1 8 2 2 2 2 2" xfId="1722" xr:uid="{00000000-0005-0000-0000-0000BD060000}"/>
    <cellStyle name="20% - Énfasis1 8 2 2 2 3" xfId="1723" xr:uid="{00000000-0005-0000-0000-0000BE060000}"/>
    <cellStyle name="20% - Énfasis1 8 2 2 3" xfId="1724" xr:uid="{00000000-0005-0000-0000-0000BF060000}"/>
    <cellStyle name="20% - Énfasis1 8 2 2 3 2" xfId="1725" xr:uid="{00000000-0005-0000-0000-0000C0060000}"/>
    <cellStyle name="20% - Énfasis1 8 2 2 4" xfId="1726" xr:uid="{00000000-0005-0000-0000-0000C1060000}"/>
    <cellStyle name="20% - Énfasis1 8 2 3" xfId="1727" xr:uid="{00000000-0005-0000-0000-0000C2060000}"/>
    <cellStyle name="20% - Énfasis1 8 2 3 2" xfId="1728" xr:uid="{00000000-0005-0000-0000-0000C3060000}"/>
    <cellStyle name="20% - Énfasis1 8 2 3 2 2" xfId="1729" xr:uid="{00000000-0005-0000-0000-0000C4060000}"/>
    <cellStyle name="20% - Énfasis1 8 2 3 3" xfId="1730" xr:uid="{00000000-0005-0000-0000-0000C5060000}"/>
    <cellStyle name="20% - Énfasis1 8 2 4" xfId="1731" xr:uid="{00000000-0005-0000-0000-0000C6060000}"/>
    <cellStyle name="20% - Énfasis1 8 2 4 2" xfId="1732" xr:uid="{00000000-0005-0000-0000-0000C7060000}"/>
    <cellStyle name="20% - Énfasis1 8 2 4 2 2" xfId="1733" xr:uid="{00000000-0005-0000-0000-0000C8060000}"/>
    <cellStyle name="20% - Énfasis1 8 2 4 3" xfId="1734" xr:uid="{00000000-0005-0000-0000-0000C9060000}"/>
    <cellStyle name="20% - Énfasis1 8 2 5" xfId="1735" xr:uid="{00000000-0005-0000-0000-0000CA060000}"/>
    <cellStyle name="20% - Énfasis1 8 2 5 2" xfId="1736" xr:uid="{00000000-0005-0000-0000-0000CB060000}"/>
    <cellStyle name="20% - Énfasis1 8 2 6" xfId="1737" xr:uid="{00000000-0005-0000-0000-0000CC060000}"/>
    <cellStyle name="20% - Énfasis1 8 3" xfId="1738" xr:uid="{00000000-0005-0000-0000-0000CD060000}"/>
    <cellStyle name="20% - Énfasis1 8 3 2" xfId="1739" xr:uid="{00000000-0005-0000-0000-0000CE060000}"/>
    <cellStyle name="20% - Énfasis1 8 3 2 2" xfId="1740" xr:uid="{00000000-0005-0000-0000-0000CF060000}"/>
    <cellStyle name="20% - Énfasis1 8 3 2 2 2" xfId="1741" xr:uid="{00000000-0005-0000-0000-0000D0060000}"/>
    <cellStyle name="20% - Énfasis1 8 3 2 3" xfId="1742" xr:uid="{00000000-0005-0000-0000-0000D1060000}"/>
    <cellStyle name="20% - Énfasis1 8 3 3" xfId="1743" xr:uid="{00000000-0005-0000-0000-0000D2060000}"/>
    <cellStyle name="20% - Énfasis1 8 3 3 2" xfId="1744" xr:uid="{00000000-0005-0000-0000-0000D3060000}"/>
    <cellStyle name="20% - Énfasis1 8 3 3 2 2" xfId="1745" xr:uid="{00000000-0005-0000-0000-0000D4060000}"/>
    <cellStyle name="20% - Énfasis1 8 3 3 3" xfId="1746" xr:uid="{00000000-0005-0000-0000-0000D5060000}"/>
    <cellStyle name="20% - Énfasis1 8 3 4" xfId="1747" xr:uid="{00000000-0005-0000-0000-0000D6060000}"/>
    <cellStyle name="20% - Énfasis1 8 3 4 2" xfId="1748" xr:uid="{00000000-0005-0000-0000-0000D7060000}"/>
    <cellStyle name="20% - Énfasis1 8 3 5" xfId="1749" xr:uid="{00000000-0005-0000-0000-0000D8060000}"/>
    <cellStyle name="20% - Énfasis1 8 4" xfId="1750" xr:uid="{00000000-0005-0000-0000-0000D9060000}"/>
    <cellStyle name="20% - Énfasis1 8 4 2" xfId="1751" xr:uid="{00000000-0005-0000-0000-0000DA060000}"/>
    <cellStyle name="20% - Énfasis1 8 4 2 2" xfId="1752" xr:uid="{00000000-0005-0000-0000-0000DB060000}"/>
    <cellStyle name="20% - Énfasis1 8 4 2 2 2" xfId="1753" xr:uid="{00000000-0005-0000-0000-0000DC060000}"/>
    <cellStyle name="20% - Énfasis1 8 4 2 3" xfId="1754" xr:uid="{00000000-0005-0000-0000-0000DD060000}"/>
    <cellStyle name="20% - Énfasis1 8 4 3" xfId="1755" xr:uid="{00000000-0005-0000-0000-0000DE060000}"/>
    <cellStyle name="20% - Énfasis1 8 4 3 2" xfId="1756" xr:uid="{00000000-0005-0000-0000-0000DF060000}"/>
    <cellStyle name="20% - Énfasis1 8 4 4" xfId="1757" xr:uid="{00000000-0005-0000-0000-0000E0060000}"/>
    <cellStyle name="20% - Énfasis1 8 5" xfId="1758" xr:uid="{00000000-0005-0000-0000-0000E1060000}"/>
    <cellStyle name="20% - Énfasis1 8 5 2" xfId="1759" xr:uid="{00000000-0005-0000-0000-0000E2060000}"/>
    <cellStyle name="20% - Énfasis1 8 5 2 2" xfId="1760" xr:uid="{00000000-0005-0000-0000-0000E3060000}"/>
    <cellStyle name="20% - Énfasis1 8 5 3" xfId="1761" xr:uid="{00000000-0005-0000-0000-0000E4060000}"/>
    <cellStyle name="20% - Énfasis1 8 6" xfId="1762" xr:uid="{00000000-0005-0000-0000-0000E5060000}"/>
    <cellStyle name="20% - Énfasis1 8 6 2" xfId="1763" xr:uid="{00000000-0005-0000-0000-0000E6060000}"/>
    <cellStyle name="20% - Énfasis1 8 6 2 2" xfId="1764" xr:uid="{00000000-0005-0000-0000-0000E7060000}"/>
    <cellStyle name="20% - Énfasis1 8 6 3" xfId="1765" xr:uid="{00000000-0005-0000-0000-0000E8060000}"/>
    <cellStyle name="20% - Énfasis1 8 7" xfId="1766" xr:uid="{00000000-0005-0000-0000-0000E9060000}"/>
    <cellStyle name="20% - Énfasis1 8 7 2" xfId="1767" xr:uid="{00000000-0005-0000-0000-0000EA060000}"/>
    <cellStyle name="20% - Énfasis1 8 8" xfId="1768" xr:uid="{00000000-0005-0000-0000-0000EB060000}"/>
    <cellStyle name="20% - Énfasis1 9" xfId="1769" xr:uid="{00000000-0005-0000-0000-0000EC060000}"/>
    <cellStyle name="20% - Énfasis1 9 2" xfId="1770" xr:uid="{00000000-0005-0000-0000-0000ED060000}"/>
    <cellStyle name="20% - Énfasis1 9 2 2" xfId="1771" xr:uid="{00000000-0005-0000-0000-0000EE060000}"/>
    <cellStyle name="20% - Énfasis1 9 2 2 2" xfId="1772" xr:uid="{00000000-0005-0000-0000-0000EF060000}"/>
    <cellStyle name="20% - Énfasis1 9 2 2 2 2" xfId="1773" xr:uid="{00000000-0005-0000-0000-0000F0060000}"/>
    <cellStyle name="20% - Énfasis1 9 2 2 2 2 2" xfId="1774" xr:uid="{00000000-0005-0000-0000-0000F1060000}"/>
    <cellStyle name="20% - Énfasis1 9 2 2 2 3" xfId="1775" xr:uid="{00000000-0005-0000-0000-0000F2060000}"/>
    <cellStyle name="20% - Énfasis1 9 2 2 3" xfId="1776" xr:uid="{00000000-0005-0000-0000-0000F3060000}"/>
    <cellStyle name="20% - Énfasis1 9 2 2 3 2" xfId="1777" xr:uid="{00000000-0005-0000-0000-0000F4060000}"/>
    <cellStyle name="20% - Énfasis1 9 2 2 4" xfId="1778" xr:uid="{00000000-0005-0000-0000-0000F5060000}"/>
    <cellStyle name="20% - Énfasis1 9 2 3" xfId="1779" xr:uid="{00000000-0005-0000-0000-0000F6060000}"/>
    <cellStyle name="20% - Énfasis1 9 2 3 2" xfId="1780" xr:uid="{00000000-0005-0000-0000-0000F7060000}"/>
    <cellStyle name="20% - Énfasis1 9 2 3 2 2" xfId="1781" xr:uid="{00000000-0005-0000-0000-0000F8060000}"/>
    <cellStyle name="20% - Énfasis1 9 2 3 3" xfId="1782" xr:uid="{00000000-0005-0000-0000-0000F9060000}"/>
    <cellStyle name="20% - Énfasis1 9 2 4" xfId="1783" xr:uid="{00000000-0005-0000-0000-0000FA060000}"/>
    <cellStyle name="20% - Énfasis1 9 2 4 2" xfId="1784" xr:uid="{00000000-0005-0000-0000-0000FB060000}"/>
    <cellStyle name="20% - Énfasis1 9 2 4 2 2" xfId="1785" xr:uid="{00000000-0005-0000-0000-0000FC060000}"/>
    <cellStyle name="20% - Énfasis1 9 2 4 3" xfId="1786" xr:uid="{00000000-0005-0000-0000-0000FD060000}"/>
    <cellStyle name="20% - Énfasis1 9 2 5" xfId="1787" xr:uid="{00000000-0005-0000-0000-0000FE060000}"/>
    <cellStyle name="20% - Énfasis1 9 2 5 2" xfId="1788" xr:uid="{00000000-0005-0000-0000-0000FF060000}"/>
    <cellStyle name="20% - Énfasis1 9 2 6" xfId="1789" xr:uid="{00000000-0005-0000-0000-000000070000}"/>
    <cellStyle name="20% - Énfasis1 9 3" xfId="1790" xr:uid="{00000000-0005-0000-0000-000001070000}"/>
    <cellStyle name="20% - Énfasis1 9 3 2" xfId="1791" xr:uid="{00000000-0005-0000-0000-000002070000}"/>
    <cellStyle name="20% - Énfasis1 9 3 2 2" xfId="1792" xr:uid="{00000000-0005-0000-0000-000003070000}"/>
    <cellStyle name="20% - Énfasis1 9 3 2 2 2" xfId="1793" xr:uid="{00000000-0005-0000-0000-000004070000}"/>
    <cellStyle name="20% - Énfasis1 9 3 2 3" xfId="1794" xr:uid="{00000000-0005-0000-0000-000005070000}"/>
    <cellStyle name="20% - Énfasis1 9 3 3" xfId="1795" xr:uid="{00000000-0005-0000-0000-000006070000}"/>
    <cellStyle name="20% - Énfasis1 9 3 3 2" xfId="1796" xr:uid="{00000000-0005-0000-0000-000007070000}"/>
    <cellStyle name="20% - Énfasis1 9 3 3 2 2" xfId="1797" xr:uid="{00000000-0005-0000-0000-000008070000}"/>
    <cellStyle name="20% - Énfasis1 9 3 3 3" xfId="1798" xr:uid="{00000000-0005-0000-0000-000009070000}"/>
    <cellStyle name="20% - Énfasis1 9 3 4" xfId="1799" xr:uid="{00000000-0005-0000-0000-00000A070000}"/>
    <cellStyle name="20% - Énfasis1 9 3 4 2" xfId="1800" xr:uid="{00000000-0005-0000-0000-00000B070000}"/>
    <cellStyle name="20% - Énfasis1 9 3 5" xfId="1801" xr:uid="{00000000-0005-0000-0000-00000C070000}"/>
    <cellStyle name="20% - Énfasis1 9 4" xfId="1802" xr:uid="{00000000-0005-0000-0000-00000D070000}"/>
    <cellStyle name="20% - Énfasis1 9 4 2" xfId="1803" xr:uid="{00000000-0005-0000-0000-00000E070000}"/>
    <cellStyle name="20% - Énfasis1 9 4 2 2" xfId="1804" xr:uid="{00000000-0005-0000-0000-00000F070000}"/>
    <cellStyle name="20% - Énfasis1 9 4 2 2 2" xfId="1805" xr:uid="{00000000-0005-0000-0000-000010070000}"/>
    <cellStyle name="20% - Énfasis1 9 4 2 3" xfId="1806" xr:uid="{00000000-0005-0000-0000-000011070000}"/>
    <cellStyle name="20% - Énfasis1 9 4 3" xfId="1807" xr:uid="{00000000-0005-0000-0000-000012070000}"/>
    <cellStyle name="20% - Énfasis1 9 4 3 2" xfId="1808" xr:uid="{00000000-0005-0000-0000-000013070000}"/>
    <cellStyle name="20% - Énfasis1 9 4 4" xfId="1809" xr:uid="{00000000-0005-0000-0000-000014070000}"/>
    <cellStyle name="20% - Énfasis1 9 5" xfId="1810" xr:uid="{00000000-0005-0000-0000-000015070000}"/>
    <cellStyle name="20% - Énfasis1 9 5 2" xfId="1811" xr:uid="{00000000-0005-0000-0000-000016070000}"/>
    <cellStyle name="20% - Énfasis1 9 5 2 2" xfId="1812" xr:uid="{00000000-0005-0000-0000-000017070000}"/>
    <cellStyle name="20% - Énfasis1 9 5 3" xfId="1813" xr:uid="{00000000-0005-0000-0000-000018070000}"/>
    <cellStyle name="20% - Énfasis1 9 6" xfId="1814" xr:uid="{00000000-0005-0000-0000-000019070000}"/>
    <cellStyle name="20% - Énfasis1 9 6 2" xfId="1815" xr:uid="{00000000-0005-0000-0000-00001A070000}"/>
    <cellStyle name="20% - Énfasis1 9 6 2 2" xfId="1816" xr:uid="{00000000-0005-0000-0000-00001B070000}"/>
    <cellStyle name="20% - Énfasis1 9 6 3" xfId="1817" xr:uid="{00000000-0005-0000-0000-00001C070000}"/>
    <cellStyle name="20% - Énfasis1 9 7" xfId="1818" xr:uid="{00000000-0005-0000-0000-00001D070000}"/>
    <cellStyle name="20% - Énfasis1 9 7 2" xfId="1819" xr:uid="{00000000-0005-0000-0000-00001E070000}"/>
    <cellStyle name="20% - Énfasis1 9 8" xfId="1820" xr:uid="{00000000-0005-0000-0000-00001F070000}"/>
    <cellStyle name="20% - Énfasis2 10" xfId="1821" xr:uid="{00000000-0005-0000-0000-000020070000}"/>
    <cellStyle name="20% - Énfasis2 10 2" xfId="1822" xr:uid="{00000000-0005-0000-0000-000021070000}"/>
    <cellStyle name="20% - Énfasis2 10 2 2" xfId="1823" xr:uid="{00000000-0005-0000-0000-000022070000}"/>
    <cellStyle name="20% - Énfasis2 10 2 2 2" xfId="1824" xr:uid="{00000000-0005-0000-0000-000023070000}"/>
    <cellStyle name="20% - Énfasis2 10 2 2 2 2" xfId="1825" xr:uid="{00000000-0005-0000-0000-000024070000}"/>
    <cellStyle name="20% - Énfasis2 10 2 2 2 2 2" xfId="1826" xr:uid="{00000000-0005-0000-0000-000025070000}"/>
    <cellStyle name="20% - Énfasis2 10 2 2 2 3" xfId="1827" xr:uid="{00000000-0005-0000-0000-000026070000}"/>
    <cellStyle name="20% - Énfasis2 10 2 2 3" xfId="1828" xr:uid="{00000000-0005-0000-0000-000027070000}"/>
    <cellStyle name="20% - Énfasis2 10 2 2 3 2" xfId="1829" xr:uid="{00000000-0005-0000-0000-000028070000}"/>
    <cellStyle name="20% - Énfasis2 10 2 2 4" xfId="1830" xr:uid="{00000000-0005-0000-0000-000029070000}"/>
    <cellStyle name="20% - Énfasis2 10 2 3" xfId="1831" xr:uid="{00000000-0005-0000-0000-00002A070000}"/>
    <cellStyle name="20% - Énfasis2 10 2 3 2" xfId="1832" xr:uid="{00000000-0005-0000-0000-00002B070000}"/>
    <cellStyle name="20% - Énfasis2 10 2 3 2 2" xfId="1833" xr:uid="{00000000-0005-0000-0000-00002C070000}"/>
    <cellStyle name="20% - Énfasis2 10 2 3 3" xfId="1834" xr:uid="{00000000-0005-0000-0000-00002D070000}"/>
    <cellStyle name="20% - Énfasis2 10 2 4" xfId="1835" xr:uid="{00000000-0005-0000-0000-00002E070000}"/>
    <cellStyle name="20% - Énfasis2 10 2 4 2" xfId="1836" xr:uid="{00000000-0005-0000-0000-00002F070000}"/>
    <cellStyle name="20% - Énfasis2 10 2 4 2 2" xfId="1837" xr:uid="{00000000-0005-0000-0000-000030070000}"/>
    <cellStyle name="20% - Énfasis2 10 2 4 3" xfId="1838" xr:uid="{00000000-0005-0000-0000-000031070000}"/>
    <cellStyle name="20% - Énfasis2 10 2 5" xfId="1839" xr:uid="{00000000-0005-0000-0000-000032070000}"/>
    <cellStyle name="20% - Énfasis2 10 2 5 2" xfId="1840" xr:uid="{00000000-0005-0000-0000-000033070000}"/>
    <cellStyle name="20% - Énfasis2 10 2 6" xfId="1841" xr:uid="{00000000-0005-0000-0000-000034070000}"/>
    <cellStyle name="20% - Énfasis2 10 3" xfId="1842" xr:uid="{00000000-0005-0000-0000-000035070000}"/>
    <cellStyle name="20% - Énfasis2 10 3 2" xfId="1843" xr:uid="{00000000-0005-0000-0000-000036070000}"/>
    <cellStyle name="20% - Énfasis2 10 3 2 2" xfId="1844" xr:uid="{00000000-0005-0000-0000-000037070000}"/>
    <cellStyle name="20% - Énfasis2 10 3 2 2 2" xfId="1845" xr:uid="{00000000-0005-0000-0000-000038070000}"/>
    <cellStyle name="20% - Énfasis2 10 3 2 3" xfId="1846" xr:uid="{00000000-0005-0000-0000-000039070000}"/>
    <cellStyle name="20% - Énfasis2 10 3 3" xfId="1847" xr:uid="{00000000-0005-0000-0000-00003A070000}"/>
    <cellStyle name="20% - Énfasis2 10 3 3 2" xfId="1848" xr:uid="{00000000-0005-0000-0000-00003B070000}"/>
    <cellStyle name="20% - Énfasis2 10 3 3 2 2" xfId="1849" xr:uid="{00000000-0005-0000-0000-00003C070000}"/>
    <cellStyle name="20% - Énfasis2 10 3 3 3" xfId="1850" xr:uid="{00000000-0005-0000-0000-00003D070000}"/>
    <cellStyle name="20% - Énfasis2 10 3 4" xfId="1851" xr:uid="{00000000-0005-0000-0000-00003E070000}"/>
    <cellStyle name="20% - Énfasis2 10 3 4 2" xfId="1852" xr:uid="{00000000-0005-0000-0000-00003F070000}"/>
    <cellStyle name="20% - Énfasis2 10 3 5" xfId="1853" xr:uid="{00000000-0005-0000-0000-000040070000}"/>
    <cellStyle name="20% - Énfasis2 10 4" xfId="1854" xr:uid="{00000000-0005-0000-0000-000041070000}"/>
    <cellStyle name="20% - Énfasis2 10 4 2" xfId="1855" xr:uid="{00000000-0005-0000-0000-000042070000}"/>
    <cellStyle name="20% - Énfasis2 10 4 2 2" xfId="1856" xr:uid="{00000000-0005-0000-0000-000043070000}"/>
    <cellStyle name="20% - Énfasis2 10 4 2 2 2" xfId="1857" xr:uid="{00000000-0005-0000-0000-000044070000}"/>
    <cellStyle name="20% - Énfasis2 10 4 2 3" xfId="1858" xr:uid="{00000000-0005-0000-0000-000045070000}"/>
    <cellStyle name="20% - Énfasis2 10 4 3" xfId="1859" xr:uid="{00000000-0005-0000-0000-000046070000}"/>
    <cellStyle name="20% - Énfasis2 10 4 3 2" xfId="1860" xr:uid="{00000000-0005-0000-0000-000047070000}"/>
    <cellStyle name="20% - Énfasis2 10 4 4" xfId="1861" xr:uid="{00000000-0005-0000-0000-000048070000}"/>
    <cellStyle name="20% - Énfasis2 10 5" xfId="1862" xr:uid="{00000000-0005-0000-0000-000049070000}"/>
    <cellStyle name="20% - Énfasis2 10 5 2" xfId="1863" xr:uid="{00000000-0005-0000-0000-00004A070000}"/>
    <cellStyle name="20% - Énfasis2 10 5 2 2" xfId="1864" xr:uid="{00000000-0005-0000-0000-00004B070000}"/>
    <cellStyle name="20% - Énfasis2 10 5 3" xfId="1865" xr:uid="{00000000-0005-0000-0000-00004C070000}"/>
    <cellStyle name="20% - Énfasis2 10 6" xfId="1866" xr:uid="{00000000-0005-0000-0000-00004D070000}"/>
    <cellStyle name="20% - Énfasis2 10 6 2" xfId="1867" xr:uid="{00000000-0005-0000-0000-00004E070000}"/>
    <cellStyle name="20% - Énfasis2 10 6 2 2" xfId="1868" xr:uid="{00000000-0005-0000-0000-00004F070000}"/>
    <cellStyle name="20% - Énfasis2 10 6 3" xfId="1869" xr:uid="{00000000-0005-0000-0000-000050070000}"/>
    <cellStyle name="20% - Énfasis2 10 7" xfId="1870" xr:uid="{00000000-0005-0000-0000-000051070000}"/>
    <cellStyle name="20% - Énfasis2 10 7 2" xfId="1871" xr:uid="{00000000-0005-0000-0000-000052070000}"/>
    <cellStyle name="20% - Énfasis2 10 8" xfId="1872" xr:uid="{00000000-0005-0000-0000-000053070000}"/>
    <cellStyle name="20% - Énfasis2 11" xfId="1873" xr:uid="{00000000-0005-0000-0000-000054070000}"/>
    <cellStyle name="20% - Énfasis2 11 2" xfId="1874" xr:uid="{00000000-0005-0000-0000-000055070000}"/>
    <cellStyle name="20% - Énfasis2 11 2 2" xfId="1875" xr:uid="{00000000-0005-0000-0000-000056070000}"/>
    <cellStyle name="20% - Énfasis2 11 2 2 2" xfId="1876" xr:uid="{00000000-0005-0000-0000-000057070000}"/>
    <cellStyle name="20% - Énfasis2 11 2 2 2 2" xfId="1877" xr:uid="{00000000-0005-0000-0000-000058070000}"/>
    <cellStyle name="20% - Énfasis2 11 2 2 2 2 2" xfId="1878" xr:uid="{00000000-0005-0000-0000-000059070000}"/>
    <cellStyle name="20% - Énfasis2 11 2 2 2 3" xfId="1879" xr:uid="{00000000-0005-0000-0000-00005A070000}"/>
    <cellStyle name="20% - Énfasis2 11 2 2 3" xfId="1880" xr:uid="{00000000-0005-0000-0000-00005B070000}"/>
    <cellStyle name="20% - Énfasis2 11 2 2 3 2" xfId="1881" xr:uid="{00000000-0005-0000-0000-00005C070000}"/>
    <cellStyle name="20% - Énfasis2 11 2 2 4" xfId="1882" xr:uid="{00000000-0005-0000-0000-00005D070000}"/>
    <cellStyle name="20% - Énfasis2 11 2 3" xfId="1883" xr:uid="{00000000-0005-0000-0000-00005E070000}"/>
    <cellStyle name="20% - Énfasis2 11 2 3 2" xfId="1884" xr:uid="{00000000-0005-0000-0000-00005F070000}"/>
    <cellStyle name="20% - Énfasis2 11 2 3 2 2" xfId="1885" xr:uid="{00000000-0005-0000-0000-000060070000}"/>
    <cellStyle name="20% - Énfasis2 11 2 3 3" xfId="1886" xr:uid="{00000000-0005-0000-0000-000061070000}"/>
    <cellStyle name="20% - Énfasis2 11 2 4" xfId="1887" xr:uid="{00000000-0005-0000-0000-000062070000}"/>
    <cellStyle name="20% - Énfasis2 11 2 4 2" xfId="1888" xr:uid="{00000000-0005-0000-0000-000063070000}"/>
    <cellStyle name="20% - Énfasis2 11 2 4 2 2" xfId="1889" xr:uid="{00000000-0005-0000-0000-000064070000}"/>
    <cellStyle name="20% - Énfasis2 11 2 4 3" xfId="1890" xr:uid="{00000000-0005-0000-0000-000065070000}"/>
    <cellStyle name="20% - Énfasis2 11 2 5" xfId="1891" xr:uid="{00000000-0005-0000-0000-000066070000}"/>
    <cellStyle name="20% - Énfasis2 11 2 5 2" xfId="1892" xr:uid="{00000000-0005-0000-0000-000067070000}"/>
    <cellStyle name="20% - Énfasis2 11 2 6" xfId="1893" xr:uid="{00000000-0005-0000-0000-000068070000}"/>
    <cellStyle name="20% - Énfasis2 11 3" xfId="1894" xr:uid="{00000000-0005-0000-0000-000069070000}"/>
    <cellStyle name="20% - Énfasis2 11 3 2" xfId="1895" xr:uid="{00000000-0005-0000-0000-00006A070000}"/>
    <cellStyle name="20% - Énfasis2 11 3 2 2" xfId="1896" xr:uid="{00000000-0005-0000-0000-00006B070000}"/>
    <cellStyle name="20% - Énfasis2 11 3 2 2 2" xfId="1897" xr:uid="{00000000-0005-0000-0000-00006C070000}"/>
    <cellStyle name="20% - Énfasis2 11 3 2 3" xfId="1898" xr:uid="{00000000-0005-0000-0000-00006D070000}"/>
    <cellStyle name="20% - Énfasis2 11 3 3" xfId="1899" xr:uid="{00000000-0005-0000-0000-00006E070000}"/>
    <cellStyle name="20% - Énfasis2 11 3 3 2" xfId="1900" xr:uid="{00000000-0005-0000-0000-00006F070000}"/>
    <cellStyle name="20% - Énfasis2 11 3 3 2 2" xfId="1901" xr:uid="{00000000-0005-0000-0000-000070070000}"/>
    <cellStyle name="20% - Énfasis2 11 3 3 3" xfId="1902" xr:uid="{00000000-0005-0000-0000-000071070000}"/>
    <cellStyle name="20% - Énfasis2 11 3 4" xfId="1903" xr:uid="{00000000-0005-0000-0000-000072070000}"/>
    <cellStyle name="20% - Énfasis2 11 3 4 2" xfId="1904" xr:uid="{00000000-0005-0000-0000-000073070000}"/>
    <cellStyle name="20% - Énfasis2 11 3 5" xfId="1905" xr:uid="{00000000-0005-0000-0000-000074070000}"/>
    <cellStyle name="20% - Énfasis2 11 4" xfId="1906" xr:uid="{00000000-0005-0000-0000-000075070000}"/>
    <cellStyle name="20% - Énfasis2 11 4 2" xfId="1907" xr:uid="{00000000-0005-0000-0000-000076070000}"/>
    <cellStyle name="20% - Énfasis2 11 4 2 2" xfId="1908" xr:uid="{00000000-0005-0000-0000-000077070000}"/>
    <cellStyle name="20% - Énfasis2 11 4 2 2 2" xfId="1909" xr:uid="{00000000-0005-0000-0000-000078070000}"/>
    <cellStyle name="20% - Énfasis2 11 4 2 3" xfId="1910" xr:uid="{00000000-0005-0000-0000-000079070000}"/>
    <cellStyle name="20% - Énfasis2 11 4 3" xfId="1911" xr:uid="{00000000-0005-0000-0000-00007A070000}"/>
    <cellStyle name="20% - Énfasis2 11 4 3 2" xfId="1912" xr:uid="{00000000-0005-0000-0000-00007B070000}"/>
    <cellStyle name="20% - Énfasis2 11 4 4" xfId="1913" xr:uid="{00000000-0005-0000-0000-00007C070000}"/>
    <cellStyle name="20% - Énfasis2 11 5" xfId="1914" xr:uid="{00000000-0005-0000-0000-00007D070000}"/>
    <cellStyle name="20% - Énfasis2 11 5 2" xfId="1915" xr:uid="{00000000-0005-0000-0000-00007E070000}"/>
    <cellStyle name="20% - Énfasis2 11 5 2 2" xfId="1916" xr:uid="{00000000-0005-0000-0000-00007F070000}"/>
    <cellStyle name="20% - Énfasis2 11 5 3" xfId="1917" xr:uid="{00000000-0005-0000-0000-000080070000}"/>
    <cellStyle name="20% - Énfasis2 11 6" xfId="1918" xr:uid="{00000000-0005-0000-0000-000081070000}"/>
    <cellStyle name="20% - Énfasis2 11 6 2" xfId="1919" xr:uid="{00000000-0005-0000-0000-000082070000}"/>
    <cellStyle name="20% - Énfasis2 11 6 2 2" xfId="1920" xr:uid="{00000000-0005-0000-0000-000083070000}"/>
    <cellStyle name="20% - Énfasis2 11 6 3" xfId="1921" xr:uid="{00000000-0005-0000-0000-000084070000}"/>
    <cellStyle name="20% - Énfasis2 11 7" xfId="1922" xr:uid="{00000000-0005-0000-0000-000085070000}"/>
    <cellStyle name="20% - Énfasis2 11 7 2" xfId="1923" xr:uid="{00000000-0005-0000-0000-000086070000}"/>
    <cellStyle name="20% - Énfasis2 11 8" xfId="1924" xr:uid="{00000000-0005-0000-0000-000087070000}"/>
    <cellStyle name="20% - Énfasis2 12" xfId="1925" xr:uid="{00000000-0005-0000-0000-000088070000}"/>
    <cellStyle name="20% - Énfasis2 12 2" xfId="1926" xr:uid="{00000000-0005-0000-0000-000089070000}"/>
    <cellStyle name="20% - Énfasis2 12 2 2" xfId="1927" xr:uid="{00000000-0005-0000-0000-00008A070000}"/>
    <cellStyle name="20% - Énfasis2 12 2 2 2" xfId="1928" xr:uid="{00000000-0005-0000-0000-00008B070000}"/>
    <cellStyle name="20% - Énfasis2 12 2 2 2 2" xfId="1929" xr:uid="{00000000-0005-0000-0000-00008C070000}"/>
    <cellStyle name="20% - Énfasis2 12 2 2 2 2 2" xfId="1930" xr:uid="{00000000-0005-0000-0000-00008D070000}"/>
    <cellStyle name="20% - Énfasis2 12 2 2 2 3" xfId="1931" xr:uid="{00000000-0005-0000-0000-00008E070000}"/>
    <cellStyle name="20% - Énfasis2 12 2 2 3" xfId="1932" xr:uid="{00000000-0005-0000-0000-00008F070000}"/>
    <cellStyle name="20% - Énfasis2 12 2 2 3 2" xfId="1933" xr:uid="{00000000-0005-0000-0000-000090070000}"/>
    <cellStyle name="20% - Énfasis2 12 2 2 4" xfId="1934" xr:uid="{00000000-0005-0000-0000-000091070000}"/>
    <cellStyle name="20% - Énfasis2 12 2 3" xfId="1935" xr:uid="{00000000-0005-0000-0000-000092070000}"/>
    <cellStyle name="20% - Énfasis2 12 2 3 2" xfId="1936" xr:uid="{00000000-0005-0000-0000-000093070000}"/>
    <cellStyle name="20% - Énfasis2 12 2 3 2 2" xfId="1937" xr:uid="{00000000-0005-0000-0000-000094070000}"/>
    <cellStyle name="20% - Énfasis2 12 2 3 3" xfId="1938" xr:uid="{00000000-0005-0000-0000-000095070000}"/>
    <cellStyle name="20% - Énfasis2 12 2 4" xfId="1939" xr:uid="{00000000-0005-0000-0000-000096070000}"/>
    <cellStyle name="20% - Énfasis2 12 2 4 2" xfId="1940" xr:uid="{00000000-0005-0000-0000-000097070000}"/>
    <cellStyle name="20% - Énfasis2 12 2 4 2 2" xfId="1941" xr:uid="{00000000-0005-0000-0000-000098070000}"/>
    <cellStyle name="20% - Énfasis2 12 2 4 3" xfId="1942" xr:uid="{00000000-0005-0000-0000-000099070000}"/>
    <cellStyle name="20% - Énfasis2 12 2 5" xfId="1943" xr:uid="{00000000-0005-0000-0000-00009A070000}"/>
    <cellStyle name="20% - Énfasis2 12 2 5 2" xfId="1944" xr:uid="{00000000-0005-0000-0000-00009B070000}"/>
    <cellStyle name="20% - Énfasis2 12 2 6" xfId="1945" xr:uid="{00000000-0005-0000-0000-00009C070000}"/>
    <cellStyle name="20% - Énfasis2 12 3" xfId="1946" xr:uid="{00000000-0005-0000-0000-00009D070000}"/>
    <cellStyle name="20% - Énfasis2 12 3 2" xfId="1947" xr:uid="{00000000-0005-0000-0000-00009E070000}"/>
    <cellStyle name="20% - Énfasis2 12 3 2 2" xfId="1948" xr:uid="{00000000-0005-0000-0000-00009F070000}"/>
    <cellStyle name="20% - Énfasis2 12 3 2 2 2" xfId="1949" xr:uid="{00000000-0005-0000-0000-0000A0070000}"/>
    <cellStyle name="20% - Énfasis2 12 3 2 3" xfId="1950" xr:uid="{00000000-0005-0000-0000-0000A1070000}"/>
    <cellStyle name="20% - Énfasis2 12 3 3" xfId="1951" xr:uid="{00000000-0005-0000-0000-0000A2070000}"/>
    <cellStyle name="20% - Énfasis2 12 3 3 2" xfId="1952" xr:uid="{00000000-0005-0000-0000-0000A3070000}"/>
    <cellStyle name="20% - Énfasis2 12 3 3 2 2" xfId="1953" xr:uid="{00000000-0005-0000-0000-0000A4070000}"/>
    <cellStyle name="20% - Énfasis2 12 3 3 3" xfId="1954" xr:uid="{00000000-0005-0000-0000-0000A5070000}"/>
    <cellStyle name="20% - Énfasis2 12 3 4" xfId="1955" xr:uid="{00000000-0005-0000-0000-0000A6070000}"/>
    <cellStyle name="20% - Énfasis2 12 3 4 2" xfId="1956" xr:uid="{00000000-0005-0000-0000-0000A7070000}"/>
    <cellStyle name="20% - Énfasis2 12 3 5" xfId="1957" xr:uid="{00000000-0005-0000-0000-0000A8070000}"/>
    <cellStyle name="20% - Énfasis2 12 4" xfId="1958" xr:uid="{00000000-0005-0000-0000-0000A9070000}"/>
    <cellStyle name="20% - Énfasis2 12 4 2" xfId="1959" xr:uid="{00000000-0005-0000-0000-0000AA070000}"/>
    <cellStyle name="20% - Énfasis2 12 4 2 2" xfId="1960" xr:uid="{00000000-0005-0000-0000-0000AB070000}"/>
    <cellStyle name="20% - Énfasis2 12 4 2 2 2" xfId="1961" xr:uid="{00000000-0005-0000-0000-0000AC070000}"/>
    <cellStyle name="20% - Énfasis2 12 4 2 3" xfId="1962" xr:uid="{00000000-0005-0000-0000-0000AD070000}"/>
    <cellStyle name="20% - Énfasis2 12 4 3" xfId="1963" xr:uid="{00000000-0005-0000-0000-0000AE070000}"/>
    <cellStyle name="20% - Énfasis2 12 4 3 2" xfId="1964" xr:uid="{00000000-0005-0000-0000-0000AF070000}"/>
    <cellStyle name="20% - Énfasis2 12 4 4" xfId="1965" xr:uid="{00000000-0005-0000-0000-0000B0070000}"/>
    <cellStyle name="20% - Énfasis2 12 5" xfId="1966" xr:uid="{00000000-0005-0000-0000-0000B1070000}"/>
    <cellStyle name="20% - Énfasis2 12 5 2" xfId="1967" xr:uid="{00000000-0005-0000-0000-0000B2070000}"/>
    <cellStyle name="20% - Énfasis2 12 5 2 2" xfId="1968" xr:uid="{00000000-0005-0000-0000-0000B3070000}"/>
    <cellStyle name="20% - Énfasis2 12 5 3" xfId="1969" xr:uid="{00000000-0005-0000-0000-0000B4070000}"/>
    <cellStyle name="20% - Énfasis2 12 6" xfId="1970" xr:uid="{00000000-0005-0000-0000-0000B5070000}"/>
    <cellStyle name="20% - Énfasis2 12 6 2" xfId="1971" xr:uid="{00000000-0005-0000-0000-0000B6070000}"/>
    <cellStyle name="20% - Énfasis2 12 6 2 2" xfId="1972" xr:uid="{00000000-0005-0000-0000-0000B7070000}"/>
    <cellStyle name="20% - Énfasis2 12 6 3" xfId="1973" xr:uid="{00000000-0005-0000-0000-0000B8070000}"/>
    <cellStyle name="20% - Énfasis2 12 7" xfId="1974" xr:uid="{00000000-0005-0000-0000-0000B9070000}"/>
    <cellStyle name="20% - Énfasis2 12 7 2" xfId="1975" xr:uid="{00000000-0005-0000-0000-0000BA070000}"/>
    <cellStyle name="20% - Énfasis2 12 8" xfId="1976" xr:uid="{00000000-0005-0000-0000-0000BB070000}"/>
    <cellStyle name="20% - Énfasis2 13" xfId="1977" xr:uid="{00000000-0005-0000-0000-0000BC070000}"/>
    <cellStyle name="20% - Énfasis2 13 2" xfId="1978" xr:uid="{00000000-0005-0000-0000-0000BD070000}"/>
    <cellStyle name="20% - Énfasis2 13 2 2" xfId="1979" xr:uid="{00000000-0005-0000-0000-0000BE070000}"/>
    <cellStyle name="20% - Énfasis2 13 2 2 2" xfId="1980" xr:uid="{00000000-0005-0000-0000-0000BF070000}"/>
    <cellStyle name="20% - Énfasis2 13 2 2 2 2" xfId="1981" xr:uid="{00000000-0005-0000-0000-0000C0070000}"/>
    <cellStyle name="20% - Énfasis2 13 2 2 2 2 2" xfId="1982" xr:uid="{00000000-0005-0000-0000-0000C1070000}"/>
    <cellStyle name="20% - Énfasis2 13 2 2 2 3" xfId="1983" xr:uid="{00000000-0005-0000-0000-0000C2070000}"/>
    <cellStyle name="20% - Énfasis2 13 2 2 3" xfId="1984" xr:uid="{00000000-0005-0000-0000-0000C3070000}"/>
    <cellStyle name="20% - Énfasis2 13 2 2 3 2" xfId="1985" xr:uid="{00000000-0005-0000-0000-0000C4070000}"/>
    <cellStyle name="20% - Énfasis2 13 2 2 4" xfId="1986" xr:uid="{00000000-0005-0000-0000-0000C5070000}"/>
    <cellStyle name="20% - Énfasis2 13 2 3" xfId="1987" xr:uid="{00000000-0005-0000-0000-0000C6070000}"/>
    <cellStyle name="20% - Énfasis2 13 2 3 2" xfId="1988" xr:uid="{00000000-0005-0000-0000-0000C7070000}"/>
    <cellStyle name="20% - Énfasis2 13 2 3 2 2" xfId="1989" xr:uid="{00000000-0005-0000-0000-0000C8070000}"/>
    <cellStyle name="20% - Énfasis2 13 2 3 3" xfId="1990" xr:uid="{00000000-0005-0000-0000-0000C9070000}"/>
    <cellStyle name="20% - Énfasis2 13 2 4" xfId="1991" xr:uid="{00000000-0005-0000-0000-0000CA070000}"/>
    <cellStyle name="20% - Énfasis2 13 2 4 2" xfId="1992" xr:uid="{00000000-0005-0000-0000-0000CB070000}"/>
    <cellStyle name="20% - Énfasis2 13 2 4 2 2" xfId="1993" xr:uid="{00000000-0005-0000-0000-0000CC070000}"/>
    <cellStyle name="20% - Énfasis2 13 2 4 3" xfId="1994" xr:uid="{00000000-0005-0000-0000-0000CD070000}"/>
    <cellStyle name="20% - Énfasis2 13 2 5" xfId="1995" xr:uid="{00000000-0005-0000-0000-0000CE070000}"/>
    <cellStyle name="20% - Énfasis2 13 2 5 2" xfId="1996" xr:uid="{00000000-0005-0000-0000-0000CF070000}"/>
    <cellStyle name="20% - Énfasis2 13 2 6" xfId="1997" xr:uid="{00000000-0005-0000-0000-0000D0070000}"/>
    <cellStyle name="20% - Énfasis2 13 3" xfId="1998" xr:uid="{00000000-0005-0000-0000-0000D1070000}"/>
    <cellStyle name="20% - Énfasis2 13 3 2" xfId="1999" xr:uid="{00000000-0005-0000-0000-0000D2070000}"/>
    <cellStyle name="20% - Énfasis2 13 3 2 2" xfId="2000" xr:uid="{00000000-0005-0000-0000-0000D3070000}"/>
    <cellStyle name="20% - Énfasis2 13 3 2 2 2" xfId="2001" xr:uid="{00000000-0005-0000-0000-0000D4070000}"/>
    <cellStyle name="20% - Énfasis2 13 3 2 3" xfId="2002" xr:uid="{00000000-0005-0000-0000-0000D5070000}"/>
    <cellStyle name="20% - Énfasis2 13 3 3" xfId="2003" xr:uid="{00000000-0005-0000-0000-0000D6070000}"/>
    <cellStyle name="20% - Énfasis2 13 3 3 2" xfId="2004" xr:uid="{00000000-0005-0000-0000-0000D7070000}"/>
    <cellStyle name="20% - Énfasis2 13 3 3 2 2" xfId="2005" xr:uid="{00000000-0005-0000-0000-0000D8070000}"/>
    <cellStyle name="20% - Énfasis2 13 3 3 3" xfId="2006" xr:uid="{00000000-0005-0000-0000-0000D9070000}"/>
    <cellStyle name="20% - Énfasis2 13 3 4" xfId="2007" xr:uid="{00000000-0005-0000-0000-0000DA070000}"/>
    <cellStyle name="20% - Énfasis2 13 3 4 2" xfId="2008" xr:uid="{00000000-0005-0000-0000-0000DB070000}"/>
    <cellStyle name="20% - Énfasis2 13 3 5" xfId="2009" xr:uid="{00000000-0005-0000-0000-0000DC070000}"/>
    <cellStyle name="20% - Énfasis2 13 4" xfId="2010" xr:uid="{00000000-0005-0000-0000-0000DD070000}"/>
    <cellStyle name="20% - Énfasis2 13 4 2" xfId="2011" xr:uid="{00000000-0005-0000-0000-0000DE070000}"/>
    <cellStyle name="20% - Énfasis2 13 4 2 2" xfId="2012" xr:uid="{00000000-0005-0000-0000-0000DF070000}"/>
    <cellStyle name="20% - Énfasis2 13 4 2 2 2" xfId="2013" xr:uid="{00000000-0005-0000-0000-0000E0070000}"/>
    <cellStyle name="20% - Énfasis2 13 4 2 3" xfId="2014" xr:uid="{00000000-0005-0000-0000-0000E1070000}"/>
    <cellStyle name="20% - Énfasis2 13 4 3" xfId="2015" xr:uid="{00000000-0005-0000-0000-0000E2070000}"/>
    <cellStyle name="20% - Énfasis2 13 4 3 2" xfId="2016" xr:uid="{00000000-0005-0000-0000-0000E3070000}"/>
    <cellStyle name="20% - Énfasis2 13 4 4" xfId="2017" xr:uid="{00000000-0005-0000-0000-0000E4070000}"/>
    <cellStyle name="20% - Énfasis2 13 5" xfId="2018" xr:uid="{00000000-0005-0000-0000-0000E5070000}"/>
    <cellStyle name="20% - Énfasis2 13 5 2" xfId="2019" xr:uid="{00000000-0005-0000-0000-0000E6070000}"/>
    <cellStyle name="20% - Énfasis2 13 5 2 2" xfId="2020" xr:uid="{00000000-0005-0000-0000-0000E7070000}"/>
    <cellStyle name="20% - Énfasis2 13 5 3" xfId="2021" xr:uid="{00000000-0005-0000-0000-0000E8070000}"/>
    <cellStyle name="20% - Énfasis2 13 6" xfId="2022" xr:uid="{00000000-0005-0000-0000-0000E9070000}"/>
    <cellStyle name="20% - Énfasis2 13 6 2" xfId="2023" xr:uid="{00000000-0005-0000-0000-0000EA070000}"/>
    <cellStyle name="20% - Énfasis2 13 6 2 2" xfId="2024" xr:uid="{00000000-0005-0000-0000-0000EB070000}"/>
    <cellStyle name="20% - Énfasis2 13 6 3" xfId="2025" xr:uid="{00000000-0005-0000-0000-0000EC070000}"/>
    <cellStyle name="20% - Énfasis2 13 7" xfId="2026" xr:uid="{00000000-0005-0000-0000-0000ED070000}"/>
    <cellStyle name="20% - Énfasis2 13 7 2" xfId="2027" xr:uid="{00000000-0005-0000-0000-0000EE070000}"/>
    <cellStyle name="20% - Énfasis2 13 8" xfId="2028" xr:uid="{00000000-0005-0000-0000-0000EF070000}"/>
    <cellStyle name="20% - Énfasis2 14" xfId="2029" xr:uid="{00000000-0005-0000-0000-0000F0070000}"/>
    <cellStyle name="20% - Énfasis2 14 2" xfId="2030" xr:uid="{00000000-0005-0000-0000-0000F1070000}"/>
    <cellStyle name="20% - Énfasis2 14 2 2" xfId="2031" xr:uid="{00000000-0005-0000-0000-0000F2070000}"/>
    <cellStyle name="20% - Énfasis2 14 2 2 2" xfId="2032" xr:uid="{00000000-0005-0000-0000-0000F3070000}"/>
    <cellStyle name="20% - Énfasis2 14 2 2 2 2" xfId="2033" xr:uid="{00000000-0005-0000-0000-0000F4070000}"/>
    <cellStyle name="20% - Énfasis2 14 2 2 2 2 2" xfId="2034" xr:uid="{00000000-0005-0000-0000-0000F5070000}"/>
    <cellStyle name="20% - Énfasis2 14 2 2 2 3" xfId="2035" xr:uid="{00000000-0005-0000-0000-0000F6070000}"/>
    <cellStyle name="20% - Énfasis2 14 2 2 3" xfId="2036" xr:uid="{00000000-0005-0000-0000-0000F7070000}"/>
    <cellStyle name="20% - Énfasis2 14 2 2 3 2" xfId="2037" xr:uid="{00000000-0005-0000-0000-0000F8070000}"/>
    <cellStyle name="20% - Énfasis2 14 2 2 4" xfId="2038" xr:uid="{00000000-0005-0000-0000-0000F9070000}"/>
    <cellStyle name="20% - Énfasis2 14 2 3" xfId="2039" xr:uid="{00000000-0005-0000-0000-0000FA070000}"/>
    <cellStyle name="20% - Énfasis2 14 2 3 2" xfId="2040" xr:uid="{00000000-0005-0000-0000-0000FB070000}"/>
    <cellStyle name="20% - Énfasis2 14 2 3 2 2" xfId="2041" xr:uid="{00000000-0005-0000-0000-0000FC070000}"/>
    <cellStyle name="20% - Énfasis2 14 2 3 3" xfId="2042" xr:uid="{00000000-0005-0000-0000-0000FD070000}"/>
    <cellStyle name="20% - Énfasis2 14 2 4" xfId="2043" xr:uid="{00000000-0005-0000-0000-0000FE070000}"/>
    <cellStyle name="20% - Énfasis2 14 2 4 2" xfId="2044" xr:uid="{00000000-0005-0000-0000-0000FF070000}"/>
    <cellStyle name="20% - Énfasis2 14 2 4 2 2" xfId="2045" xr:uid="{00000000-0005-0000-0000-000000080000}"/>
    <cellStyle name="20% - Énfasis2 14 2 4 3" xfId="2046" xr:uid="{00000000-0005-0000-0000-000001080000}"/>
    <cellStyle name="20% - Énfasis2 14 2 5" xfId="2047" xr:uid="{00000000-0005-0000-0000-000002080000}"/>
    <cellStyle name="20% - Énfasis2 14 2 5 2" xfId="2048" xr:uid="{00000000-0005-0000-0000-000003080000}"/>
    <cellStyle name="20% - Énfasis2 14 2 6" xfId="2049" xr:uid="{00000000-0005-0000-0000-000004080000}"/>
    <cellStyle name="20% - Énfasis2 14 3" xfId="2050" xr:uid="{00000000-0005-0000-0000-000005080000}"/>
    <cellStyle name="20% - Énfasis2 14 3 2" xfId="2051" xr:uid="{00000000-0005-0000-0000-000006080000}"/>
    <cellStyle name="20% - Énfasis2 14 3 2 2" xfId="2052" xr:uid="{00000000-0005-0000-0000-000007080000}"/>
    <cellStyle name="20% - Énfasis2 14 3 2 2 2" xfId="2053" xr:uid="{00000000-0005-0000-0000-000008080000}"/>
    <cellStyle name="20% - Énfasis2 14 3 2 3" xfId="2054" xr:uid="{00000000-0005-0000-0000-000009080000}"/>
    <cellStyle name="20% - Énfasis2 14 3 3" xfId="2055" xr:uid="{00000000-0005-0000-0000-00000A080000}"/>
    <cellStyle name="20% - Énfasis2 14 3 3 2" xfId="2056" xr:uid="{00000000-0005-0000-0000-00000B080000}"/>
    <cellStyle name="20% - Énfasis2 14 3 3 2 2" xfId="2057" xr:uid="{00000000-0005-0000-0000-00000C080000}"/>
    <cellStyle name="20% - Énfasis2 14 3 3 3" xfId="2058" xr:uid="{00000000-0005-0000-0000-00000D080000}"/>
    <cellStyle name="20% - Énfasis2 14 3 4" xfId="2059" xr:uid="{00000000-0005-0000-0000-00000E080000}"/>
    <cellStyle name="20% - Énfasis2 14 3 4 2" xfId="2060" xr:uid="{00000000-0005-0000-0000-00000F080000}"/>
    <cellStyle name="20% - Énfasis2 14 3 5" xfId="2061" xr:uid="{00000000-0005-0000-0000-000010080000}"/>
    <cellStyle name="20% - Énfasis2 14 4" xfId="2062" xr:uid="{00000000-0005-0000-0000-000011080000}"/>
    <cellStyle name="20% - Énfasis2 14 4 2" xfId="2063" xr:uid="{00000000-0005-0000-0000-000012080000}"/>
    <cellStyle name="20% - Énfasis2 14 4 2 2" xfId="2064" xr:uid="{00000000-0005-0000-0000-000013080000}"/>
    <cellStyle name="20% - Énfasis2 14 4 2 2 2" xfId="2065" xr:uid="{00000000-0005-0000-0000-000014080000}"/>
    <cellStyle name="20% - Énfasis2 14 4 2 3" xfId="2066" xr:uid="{00000000-0005-0000-0000-000015080000}"/>
    <cellStyle name="20% - Énfasis2 14 4 3" xfId="2067" xr:uid="{00000000-0005-0000-0000-000016080000}"/>
    <cellStyle name="20% - Énfasis2 14 4 3 2" xfId="2068" xr:uid="{00000000-0005-0000-0000-000017080000}"/>
    <cellStyle name="20% - Énfasis2 14 4 4" xfId="2069" xr:uid="{00000000-0005-0000-0000-000018080000}"/>
    <cellStyle name="20% - Énfasis2 14 5" xfId="2070" xr:uid="{00000000-0005-0000-0000-000019080000}"/>
    <cellStyle name="20% - Énfasis2 14 5 2" xfId="2071" xr:uid="{00000000-0005-0000-0000-00001A080000}"/>
    <cellStyle name="20% - Énfasis2 14 5 2 2" xfId="2072" xr:uid="{00000000-0005-0000-0000-00001B080000}"/>
    <cellStyle name="20% - Énfasis2 14 5 3" xfId="2073" xr:uid="{00000000-0005-0000-0000-00001C080000}"/>
    <cellStyle name="20% - Énfasis2 14 6" xfId="2074" xr:uid="{00000000-0005-0000-0000-00001D080000}"/>
    <cellStyle name="20% - Énfasis2 14 6 2" xfId="2075" xr:uid="{00000000-0005-0000-0000-00001E080000}"/>
    <cellStyle name="20% - Énfasis2 14 6 2 2" xfId="2076" xr:uid="{00000000-0005-0000-0000-00001F080000}"/>
    <cellStyle name="20% - Énfasis2 14 6 3" xfId="2077" xr:uid="{00000000-0005-0000-0000-000020080000}"/>
    <cellStyle name="20% - Énfasis2 14 7" xfId="2078" xr:uid="{00000000-0005-0000-0000-000021080000}"/>
    <cellStyle name="20% - Énfasis2 14 7 2" xfId="2079" xr:uid="{00000000-0005-0000-0000-000022080000}"/>
    <cellStyle name="20% - Énfasis2 14 8" xfId="2080" xr:uid="{00000000-0005-0000-0000-000023080000}"/>
    <cellStyle name="20% - Énfasis2 15" xfId="2081" xr:uid="{00000000-0005-0000-0000-000024080000}"/>
    <cellStyle name="20% - Énfasis2 15 2" xfId="2082" xr:uid="{00000000-0005-0000-0000-000025080000}"/>
    <cellStyle name="20% - Énfasis2 15 2 2" xfId="2083" xr:uid="{00000000-0005-0000-0000-000026080000}"/>
    <cellStyle name="20% - Énfasis2 15 2 2 2" xfId="2084" xr:uid="{00000000-0005-0000-0000-000027080000}"/>
    <cellStyle name="20% - Énfasis2 15 2 2 2 2" xfId="2085" xr:uid="{00000000-0005-0000-0000-000028080000}"/>
    <cellStyle name="20% - Énfasis2 15 2 2 2 2 2" xfId="2086" xr:uid="{00000000-0005-0000-0000-000029080000}"/>
    <cellStyle name="20% - Énfasis2 15 2 2 2 3" xfId="2087" xr:uid="{00000000-0005-0000-0000-00002A080000}"/>
    <cellStyle name="20% - Énfasis2 15 2 2 3" xfId="2088" xr:uid="{00000000-0005-0000-0000-00002B080000}"/>
    <cellStyle name="20% - Énfasis2 15 2 2 3 2" xfId="2089" xr:uid="{00000000-0005-0000-0000-00002C080000}"/>
    <cellStyle name="20% - Énfasis2 15 2 2 4" xfId="2090" xr:uid="{00000000-0005-0000-0000-00002D080000}"/>
    <cellStyle name="20% - Énfasis2 15 2 3" xfId="2091" xr:uid="{00000000-0005-0000-0000-00002E080000}"/>
    <cellStyle name="20% - Énfasis2 15 2 3 2" xfId="2092" xr:uid="{00000000-0005-0000-0000-00002F080000}"/>
    <cellStyle name="20% - Énfasis2 15 2 3 2 2" xfId="2093" xr:uid="{00000000-0005-0000-0000-000030080000}"/>
    <cellStyle name="20% - Énfasis2 15 2 3 3" xfId="2094" xr:uid="{00000000-0005-0000-0000-000031080000}"/>
    <cellStyle name="20% - Énfasis2 15 2 4" xfId="2095" xr:uid="{00000000-0005-0000-0000-000032080000}"/>
    <cellStyle name="20% - Énfasis2 15 2 4 2" xfId="2096" xr:uid="{00000000-0005-0000-0000-000033080000}"/>
    <cellStyle name="20% - Énfasis2 15 2 4 2 2" xfId="2097" xr:uid="{00000000-0005-0000-0000-000034080000}"/>
    <cellStyle name="20% - Énfasis2 15 2 4 3" xfId="2098" xr:uid="{00000000-0005-0000-0000-000035080000}"/>
    <cellStyle name="20% - Énfasis2 15 2 5" xfId="2099" xr:uid="{00000000-0005-0000-0000-000036080000}"/>
    <cellStyle name="20% - Énfasis2 15 2 5 2" xfId="2100" xr:uid="{00000000-0005-0000-0000-000037080000}"/>
    <cellStyle name="20% - Énfasis2 15 2 6" xfId="2101" xr:uid="{00000000-0005-0000-0000-000038080000}"/>
    <cellStyle name="20% - Énfasis2 15 3" xfId="2102" xr:uid="{00000000-0005-0000-0000-000039080000}"/>
    <cellStyle name="20% - Énfasis2 15 3 2" xfId="2103" xr:uid="{00000000-0005-0000-0000-00003A080000}"/>
    <cellStyle name="20% - Énfasis2 15 3 2 2" xfId="2104" xr:uid="{00000000-0005-0000-0000-00003B080000}"/>
    <cellStyle name="20% - Énfasis2 15 3 2 2 2" xfId="2105" xr:uid="{00000000-0005-0000-0000-00003C080000}"/>
    <cellStyle name="20% - Énfasis2 15 3 2 3" xfId="2106" xr:uid="{00000000-0005-0000-0000-00003D080000}"/>
    <cellStyle name="20% - Énfasis2 15 3 3" xfId="2107" xr:uid="{00000000-0005-0000-0000-00003E080000}"/>
    <cellStyle name="20% - Énfasis2 15 3 3 2" xfId="2108" xr:uid="{00000000-0005-0000-0000-00003F080000}"/>
    <cellStyle name="20% - Énfasis2 15 3 3 2 2" xfId="2109" xr:uid="{00000000-0005-0000-0000-000040080000}"/>
    <cellStyle name="20% - Énfasis2 15 3 3 3" xfId="2110" xr:uid="{00000000-0005-0000-0000-000041080000}"/>
    <cellStyle name="20% - Énfasis2 15 3 4" xfId="2111" xr:uid="{00000000-0005-0000-0000-000042080000}"/>
    <cellStyle name="20% - Énfasis2 15 3 4 2" xfId="2112" xr:uid="{00000000-0005-0000-0000-000043080000}"/>
    <cellStyle name="20% - Énfasis2 15 3 5" xfId="2113" xr:uid="{00000000-0005-0000-0000-000044080000}"/>
    <cellStyle name="20% - Énfasis2 15 4" xfId="2114" xr:uid="{00000000-0005-0000-0000-000045080000}"/>
    <cellStyle name="20% - Énfasis2 15 4 2" xfId="2115" xr:uid="{00000000-0005-0000-0000-000046080000}"/>
    <cellStyle name="20% - Énfasis2 15 4 2 2" xfId="2116" xr:uid="{00000000-0005-0000-0000-000047080000}"/>
    <cellStyle name="20% - Énfasis2 15 4 2 2 2" xfId="2117" xr:uid="{00000000-0005-0000-0000-000048080000}"/>
    <cellStyle name="20% - Énfasis2 15 4 2 3" xfId="2118" xr:uid="{00000000-0005-0000-0000-000049080000}"/>
    <cellStyle name="20% - Énfasis2 15 4 3" xfId="2119" xr:uid="{00000000-0005-0000-0000-00004A080000}"/>
    <cellStyle name="20% - Énfasis2 15 4 3 2" xfId="2120" xr:uid="{00000000-0005-0000-0000-00004B080000}"/>
    <cellStyle name="20% - Énfasis2 15 4 4" xfId="2121" xr:uid="{00000000-0005-0000-0000-00004C080000}"/>
    <cellStyle name="20% - Énfasis2 15 5" xfId="2122" xr:uid="{00000000-0005-0000-0000-00004D080000}"/>
    <cellStyle name="20% - Énfasis2 15 5 2" xfId="2123" xr:uid="{00000000-0005-0000-0000-00004E080000}"/>
    <cellStyle name="20% - Énfasis2 15 5 2 2" xfId="2124" xr:uid="{00000000-0005-0000-0000-00004F080000}"/>
    <cellStyle name="20% - Énfasis2 15 5 3" xfId="2125" xr:uid="{00000000-0005-0000-0000-000050080000}"/>
    <cellStyle name="20% - Énfasis2 15 6" xfId="2126" xr:uid="{00000000-0005-0000-0000-000051080000}"/>
    <cellStyle name="20% - Énfasis2 15 6 2" xfId="2127" xr:uid="{00000000-0005-0000-0000-000052080000}"/>
    <cellStyle name="20% - Énfasis2 15 6 2 2" xfId="2128" xr:uid="{00000000-0005-0000-0000-000053080000}"/>
    <cellStyle name="20% - Énfasis2 15 6 3" xfId="2129" xr:uid="{00000000-0005-0000-0000-000054080000}"/>
    <cellStyle name="20% - Énfasis2 15 7" xfId="2130" xr:uid="{00000000-0005-0000-0000-000055080000}"/>
    <cellStyle name="20% - Énfasis2 15 7 2" xfId="2131" xr:uid="{00000000-0005-0000-0000-000056080000}"/>
    <cellStyle name="20% - Énfasis2 15 8" xfId="2132" xr:uid="{00000000-0005-0000-0000-000057080000}"/>
    <cellStyle name="20% - Énfasis2 16" xfId="2133" xr:uid="{00000000-0005-0000-0000-000058080000}"/>
    <cellStyle name="20% - Énfasis2 16 2" xfId="2134" xr:uid="{00000000-0005-0000-0000-000059080000}"/>
    <cellStyle name="20% - Énfasis2 16 2 2" xfId="2135" xr:uid="{00000000-0005-0000-0000-00005A080000}"/>
    <cellStyle name="20% - Énfasis2 16 2 2 2" xfId="2136" xr:uid="{00000000-0005-0000-0000-00005B080000}"/>
    <cellStyle name="20% - Énfasis2 16 2 2 2 2" xfId="2137" xr:uid="{00000000-0005-0000-0000-00005C080000}"/>
    <cellStyle name="20% - Énfasis2 16 2 2 2 2 2" xfId="2138" xr:uid="{00000000-0005-0000-0000-00005D080000}"/>
    <cellStyle name="20% - Énfasis2 16 2 2 2 3" xfId="2139" xr:uid="{00000000-0005-0000-0000-00005E080000}"/>
    <cellStyle name="20% - Énfasis2 16 2 2 3" xfId="2140" xr:uid="{00000000-0005-0000-0000-00005F080000}"/>
    <cellStyle name="20% - Énfasis2 16 2 2 3 2" xfId="2141" xr:uid="{00000000-0005-0000-0000-000060080000}"/>
    <cellStyle name="20% - Énfasis2 16 2 2 4" xfId="2142" xr:uid="{00000000-0005-0000-0000-000061080000}"/>
    <cellStyle name="20% - Énfasis2 16 2 3" xfId="2143" xr:uid="{00000000-0005-0000-0000-000062080000}"/>
    <cellStyle name="20% - Énfasis2 16 2 3 2" xfId="2144" xr:uid="{00000000-0005-0000-0000-000063080000}"/>
    <cellStyle name="20% - Énfasis2 16 2 3 2 2" xfId="2145" xr:uid="{00000000-0005-0000-0000-000064080000}"/>
    <cellStyle name="20% - Énfasis2 16 2 3 3" xfId="2146" xr:uid="{00000000-0005-0000-0000-000065080000}"/>
    <cellStyle name="20% - Énfasis2 16 2 4" xfId="2147" xr:uid="{00000000-0005-0000-0000-000066080000}"/>
    <cellStyle name="20% - Énfasis2 16 2 4 2" xfId="2148" xr:uid="{00000000-0005-0000-0000-000067080000}"/>
    <cellStyle name="20% - Énfasis2 16 2 4 2 2" xfId="2149" xr:uid="{00000000-0005-0000-0000-000068080000}"/>
    <cellStyle name="20% - Énfasis2 16 2 4 3" xfId="2150" xr:uid="{00000000-0005-0000-0000-000069080000}"/>
    <cellStyle name="20% - Énfasis2 16 2 5" xfId="2151" xr:uid="{00000000-0005-0000-0000-00006A080000}"/>
    <cellStyle name="20% - Énfasis2 16 2 5 2" xfId="2152" xr:uid="{00000000-0005-0000-0000-00006B080000}"/>
    <cellStyle name="20% - Énfasis2 16 2 6" xfId="2153" xr:uid="{00000000-0005-0000-0000-00006C080000}"/>
    <cellStyle name="20% - Énfasis2 16 3" xfId="2154" xr:uid="{00000000-0005-0000-0000-00006D080000}"/>
    <cellStyle name="20% - Énfasis2 16 3 2" xfId="2155" xr:uid="{00000000-0005-0000-0000-00006E080000}"/>
    <cellStyle name="20% - Énfasis2 16 3 2 2" xfId="2156" xr:uid="{00000000-0005-0000-0000-00006F080000}"/>
    <cellStyle name="20% - Énfasis2 16 3 2 2 2" xfId="2157" xr:uid="{00000000-0005-0000-0000-000070080000}"/>
    <cellStyle name="20% - Énfasis2 16 3 2 3" xfId="2158" xr:uid="{00000000-0005-0000-0000-000071080000}"/>
    <cellStyle name="20% - Énfasis2 16 3 3" xfId="2159" xr:uid="{00000000-0005-0000-0000-000072080000}"/>
    <cellStyle name="20% - Énfasis2 16 3 3 2" xfId="2160" xr:uid="{00000000-0005-0000-0000-000073080000}"/>
    <cellStyle name="20% - Énfasis2 16 3 3 2 2" xfId="2161" xr:uid="{00000000-0005-0000-0000-000074080000}"/>
    <cellStyle name="20% - Énfasis2 16 3 3 3" xfId="2162" xr:uid="{00000000-0005-0000-0000-000075080000}"/>
    <cellStyle name="20% - Énfasis2 16 3 4" xfId="2163" xr:uid="{00000000-0005-0000-0000-000076080000}"/>
    <cellStyle name="20% - Énfasis2 16 3 4 2" xfId="2164" xr:uid="{00000000-0005-0000-0000-000077080000}"/>
    <cellStyle name="20% - Énfasis2 16 3 5" xfId="2165" xr:uid="{00000000-0005-0000-0000-000078080000}"/>
    <cellStyle name="20% - Énfasis2 16 4" xfId="2166" xr:uid="{00000000-0005-0000-0000-000079080000}"/>
    <cellStyle name="20% - Énfasis2 16 4 2" xfId="2167" xr:uid="{00000000-0005-0000-0000-00007A080000}"/>
    <cellStyle name="20% - Énfasis2 16 4 2 2" xfId="2168" xr:uid="{00000000-0005-0000-0000-00007B080000}"/>
    <cellStyle name="20% - Énfasis2 16 4 2 2 2" xfId="2169" xr:uid="{00000000-0005-0000-0000-00007C080000}"/>
    <cellStyle name="20% - Énfasis2 16 4 2 3" xfId="2170" xr:uid="{00000000-0005-0000-0000-00007D080000}"/>
    <cellStyle name="20% - Énfasis2 16 4 3" xfId="2171" xr:uid="{00000000-0005-0000-0000-00007E080000}"/>
    <cellStyle name="20% - Énfasis2 16 4 3 2" xfId="2172" xr:uid="{00000000-0005-0000-0000-00007F080000}"/>
    <cellStyle name="20% - Énfasis2 16 4 4" xfId="2173" xr:uid="{00000000-0005-0000-0000-000080080000}"/>
    <cellStyle name="20% - Énfasis2 16 5" xfId="2174" xr:uid="{00000000-0005-0000-0000-000081080000}"/>
    <cellStyle name="20% - Énfasis2 16 5 2" xfId="2175" xr:uid="{00000000-0005-0000-0000-000082080000}"/>
    <cellStyle name="20% - Énfasis2 16 5 2 2" xfId="2176" xr:uid="{00000000-0005-0000-0000-000083080000}"/>
    <cellStyle name="20% - Énfasis2 16 5 3" xfId="2177" xr:uid="{00000000-0005-0000-0000-000084080000}"/>
    <cellStyle name="20% - Énfasis2 16 6" xfId="2178" xr:uid="{00000000-0005-0000-0000-000085080000}"/>
    <cellStyle name="20% - Énfasis2 16 6 2" xfId="2179" xr:uid="{00000000-0005-0000-0000-000086080000}"/>
    <cellStyle name="20% - Énfasis2 16 6 2 2" xfId="2180" xr:uid="{00000000-0005-0000-0000-000087080000}"/>
    <cellStyle name="20% - Énfasis2 16 6 3" xfId="2181" xr:uid="{00000000-0005-0000-0000-000088080000}"/>
    <cellStyle name="20% - Énfasis2 16 7" xfId="2182" xr:uid="{00000000-0005-0000-0000-000089080000}"/>
    <cellStyle name="20% - Énfasis2 16 7 2" xfId="2183" xr:uid="{00000000-0005-0000-0000-00008A080000}"/>
    <cellStyle name="20% - Énfasis2 16 8" xfId="2184" xr:uid="{00000000-0005-0000-0000-00008B080000}"/>
    <cellStyle name="20% - Énfasis2 17" xfId="2185" xr:uid="{00000000-0005-0000-0000-00008C080000}"/>
    <cellStyle name="20% - Énfasis2 17 2" xfId="2186" xr:uid="{00000000-0005-0000-0000-00008D080000}"/>
    <cellStyle name="20% - Énfasis2 17 2 2" xfId="2187" xr:uid="{00000000-0005-0000-0000-00008E080000}"/>
    <cellStyle name="20% - Énfasis2 17 2 2 2" xfId="2188" xr:uid="{00000000-0005-0000-0000-00008F080000}"/>
    <cellStyle name="20% - Énfasis2 17 2 2 2 2" xfId="2189" xr:uid="{00000000-0005-0000-0000-000090080000}"/>
    <cellStyle name="20% - Énfasis2 17 2 2 3" xfId="2190" xr:uid="{00000000-0005-0000-0000-000091080000}"/>
    <cellStyle name="20% - Énfasis2 17 2 3" xfId="2191" xr:uid="{00000000-0005-0000-0000-000092080000}"/>
    <cellStyle name="20% - Énfasis2 17 2 3 2" xfId="2192" xr:uid="{00000000-0005-0000-0000-000093080000}"/>
    <cellStyle name="20% - Énfasis2 17 2 3 2 2" xfId="2193" xr:uid="{00000000-0005-0000-0000-000094080000}"/>
    <cellStyle name="20% - Énfasis2 17 2 3 3" xfId="2194" xr:uid="{00000000-0005-0000-0000-000095080000}"/>
    <cellStyle name="20% - Énfasis2 17 2 4" xfId="2195" xr:uid="{00000000-0005-0000-0000-000096080000}"/>
    <cellStyle name="20% - Énfasis2 17 2 4 2" xfId="2196" xr:uid="{00000000-0005-0000-0000-000097080000}"/>
    <cellStyle name="20% - Énfasis2 17 2 5" xfId="2197" xr:uid="{00000000-0005-0000-0000-000098080000}"/>
    <cellStyle name="20% - Énfasis2 17 3" xfId="2198" xr:uid="{00000000-0005-0000-0000-000099080000}"/>
    <cellStyle name="20% - Énfasis2 17 3 2" xfId="2199" xr:uid="{00000000-0005-0000-0000-00009A080000}"/>
    <cellStyle name="20% - Énfasis2 17 3 2 2" xfId="2200" xr:uid="{00000000-0005-0000-0000-00009B080000}"/>
    <cellStyle name="20% - Énfasis2 17 3 2 2 2" xfId="2201" xr:uid="{00000000-0005-0000-0000-00009C080000}"/>
    <cellStyle name="20% - Énfasis2 17 3 2 3" xfId="2202" xr:uid="{00000000-0005-0000-0000-00009D080000}"/>
    <cellStyle name="20% - Énfasis2 17 3 3" xfId="2203" xr:uid="{00000000-0005-0000-0000-00009E080000}"/>
    <cellStyle name="20% - Énfasis2 17 3 3 2" xfId="2204" xr:uid="{00000000-0005-0000-0000-00009F080000}"/>
    <cellStyle name="20% - Énfasis2 17 3 4" xfId="2205" xr:uid="{00000000-0005-0000-0000-0000A0080000}"/>
    <cellStyle name="20% - Énfasis2 17 4" xfId="2206" xr:uid="{00000000-0005-0000-0000-0000A1080000}"/>
    <cellStyle name="20% - Énfasis2 17 4 2" xfId="2207" xr:uid="{00000000-0005-0000-0000-0000A2080000}"/>
    <cellStyle name="20% - Énfasis2 17 4 2 2" xfId="2208" xr:uid="{00000000-0005-0000-0000-0000A3080000}"/>
    <cellStyle name="20% - Énfasis2 17 4 3" xfId="2209" xr:uid="{00000000-0005-0000-0000-0000A4080000}"/>
    <cellStyle name="20% - Énfasis2 17 5" xfId="2210" xr:uid="{00000000-0005-0000-0000-0000A5080000}"/>
    <cellStyle name="20% - Énfasis2 17 5 2" xfId="2211" xr:uid="{00000000-0005-0000-0000-0000A6080000}"/>
    <cellStyle name="20% - Énfasis2 17 5 2 2" xfId="2212" xr:uid="{00000000-0005-0000-0000-0000A7080000}"/>
    <cellStyle name="20% - Énfasis2 17 5 3" xfId="2213" xr:uid="{00000000-0005-0000-0000-0000A8080000}"/>
    <cellStyle name="20% - Énfasis2 17 6" xfId="2214" xr:uid="{00000000-0005-0000-0000-0000A9080000}"/>
    <cellStyle name="20% - Énfasis2 17 6 2" xfId="2215" xr:uid="{00000000-0005-0000-0000-0000AA080000}"/>
    <cellStyle name="20% - Énfasis2 17 7" xfId="2216" xr:uid="{00000000-0005-0000-0000-0000AB080000}"/>
    <cellStyle name="20% - Énfasis2 18" xfId="2217" xr:uid="{00000000-0005-0000-0000-0000AC080000}"/>
    <cellStyle name="20% - Énfasis2 18 2" xfId="2218" xr:uid="{00000000-0005-0000-0000-0000AD080000}"/>
    <cellStyle name="20% - Énfasis2 18 2 2" xfId="2219" xr:uid="{00000000-0005-0000-0000-0000AE080000}"/>
    <cellStyle name="20% - Énfasis2 18 2 2 2" xfId="2220" xr:uid="{00000000-0005-0000-0000-0000AF080000}"/>
    <cellStyle name="20% - Énfasis2 18 2 2 2 2" xfId="2221" xr:uid="{00000000-0005-0000-0000-0000B0080000}"/>
    <cellStyle name="20% - Énfasis2 18 2 2 3" xfId="2222" xr:uid="{00000000-0005-0000-0000-0000B1080000}"/>
    <cellStyle name="20% - Énfasis2 18 2 3" xfId="2223" xr:uid="{00000000-0005-0000-0000-0000B2080000}"/>
    <cellStyle name="20% - Énfasis2 18 2 3 2" xfId="2224" xr:uid="{00000000-0005-0000-0000-0000B3080000}"/>
    <cellStyle name="20% - Énfasis2 18 2 3 2 2" xfId="2225" xr:uid="{00000000-0005-0000-0000-0000B4080000}"/>
    <cellStyle name="20% - Énfasis2 18 2 3 3" xfId="2226" xr:uid="{00000000-0005-0000-0000-0000B5080000}"/>
    <cellStyle name="20% - Énfasis2 18 2 4" xfId="2227" xr:uid="{00000000-0005-0000-0000-0000B6080000}"/>
    <cellStyle name="20% - Énfasis2 18 2 4 2" xfId="2228" xr:uid="{00000000-0005-0000-0000-0000B7080000}"/>
    <cellStyle name="20% - Énfasis2 18 2 5" xfId="2229" xr:uid="{00000000-0005-0000-0000-0000B8080000}"/>
    <cellStyle name="20% - Énfasis2 18 3" xfId="2230" xr:uid="{00000000-0005-0000-0000-0000B9080000}"/>
    <cellStyle name="20% - Énfasis2 18 3 2" xfId="2231" xr:uid="{00000000-0005-0000-0000-0000BA080000}"/>
    <cellStyle name="20% - Énfasis2 18 3 2 2" xfId="2232" xr:uid="{00000000-0005-0000-0000-0000BB080000}"/>
    <cellStyle name="20% - Énfasis2 18 3 2 2 2" xfId="2233" xr:uid="{00000000-0005-0000-0000-0000BC080000}"/>
    <cellStyle name="20% - Énfasis2 18 3 2 3" xfId="2234" xr:uid="{00000000-0005-0000-0000-0000BD080000}"/>
    <cellStyle name="20% - Énfasis2 18 3 3" xfId="2235" xr:uid="{00000000-0005-0000-0000-0000BE080000}"/>
    <cellStyle name="20% - Énfasis2 18 3 3 2" xfId="2236" xr:uid="{00000000-0005-0000-0000-0000BF080000}"/>
    <cellStyle name="20% - Énfasis2 18 3 4" xfId="2237" xr:uid="{00000000-0005-0000-0000-0000C0080000}"/>
    <cellStyle name="20% - Énfasis2 18 4" xfId="2238" xr:uid="{00000000-0005-0000-0000-0000C1080000}"/>
    <cellStyle name="20% - Énfasis2 18 4 2" xfId="2239" xr:uid="{00000000-0005-0000-0000-0000C2080000}"/>
    <cellStyle name="20% - Énfasis2 18 4 2 2" xfId="2240" xr:uid="{00000000-0005-0000-0000-0000C3080000}"/>
    <cellStyle name="20% - Énfasis2 18 4 3" xfId="2241" xr:uid="{00000000-0005-0000-0000-0000C4080000}"/>
    <cellStyle name="20% - Énfasis2 18 5" xfId="2242" xr:uid="{00000000-0005-0000-0000-0000C5080000}"/>
    <cellStyle name="20% - Énfasis2 18 5 2" xfId="2243" xr:uid="{00000000-0005-0000-0000-0000C6080000}"/>
    <cellStyle name="20% - Énfasis2 18 5 2 2" xfId="2244" xr:uid="{00000000-0005-0000-0000-0000C7080000}"/>
    <cellStyle name="20% - Énfasis2 18 5 3" xfId="2245" xr:uid="{00000000-0005-0000-0000-0000C8080000}"/>
    <cellStyle name="20% - Énfasis2 18 6" xfId="2246" xr:uid="{00000000-0005-0000-0000-0000C9080000}"/>
    <cellStyle name="20% - Énfasis2 18 6 2" xfId="2247" xr:uid="{00000000-0005-0000-0000-0000CA080000}"/>
    <cellStyle name="20% - Énfasis2 18 7" xfId="2248" xr:uid="{00000000-0005-0000-0000-0000CB080000}"/>
    <cellStyle name="20% - Énfasis2 19" xfId="2249" xr:uid="{00000000-0005-0000-0000-0000CC080000}"/>
    <cellStyle name="20% - Énfasis2 19 2" xfId="2250" xr:uid="{00000000-0005-0000-0000-0000CD080000}"/>
    <cellStyle name="20% - Énfasis2 19 2 2" xfId="2251" xr:uid="{00000000-0005-0000-0000-0000CE080000}"/>
    <cellStyle name="20% - Énfasis2 19 2 2 2" xfId="2252" xr:uid="{00000000-0005-0000-0000-0000CF080000}"/>
    <cellStyle name="20% - Énfasis2 19 2 2 2 2" xfId="2253" xr:uid="{00000000-0005-0000-0000-0000D0080000}"/>
    <cellStyle name="20% - Énfasis2 19 2 2 3" xfId="2254" xr:uid="{00000000-0005-0000-0000-0000D1080000}"/>
    <cellStyle name="20% - Énfasis2 19 2 3" xfId="2255" xr:uid="{00000000-0005-0000-0000-0000D2080000}"/>
    <cellStyle name="20% - Énfasis2 19 2 3 2" xfId="2256" xr:uid="{00000000-0005-0000-0000-0000D3080000}"/>
    <cellStyle name="20% - Énfasis2 19 2 3 2 2" xfId="2257" xr:uid="{00000000-0005-0000-0000-0000D4080000}"/>
    <cellStyle name="20% - Énfasis2 19 2 3 3" xfId="2258" xr:uid="{00000000-0005-0000-0000-0000D5080000}"/>
    <cellStyle name="20% - Énfasis2 19 2 4" xfId="2259" xr:uid="{00000000-0005-0000-0000-0000D6080000}"/>
    <cellStyle name="20% - Énfasis2 19 2 4 2" xfId="2260" xr:uid="{00000000-0005-0000-0000-0000D7080000}"/>
    <cellStyle name="20% - Énfasis2 19 2 5" xfId="2261" xr:uid="{00000000-0005-0000-0000-0000D8080000}"/>
    <cellStyle name="20% - Énfasis2 19 3" xfId="2262" xr:uid="{00000000-0005-0000-0000-0000D9080000}"/>
    <cellStyle name="20% - Énfasis2 19 3 2" xfId="2263" xr:uid="{00000000-0005-0000-0000-0000DA080000}"/>
    <cellStyle name="20% - Énfasis2 19 3 2 2" xfId="2264" xr:uid="{00000000-0005-0000-0000-0000DB080000}"/>
    <cellStyle name="20% - Énfasis2 19 3 2 2 2" xfId="2265" xr:uid="{00000000-0005-0000-0000-0000DC080000}"/>
    <cellStyle name="20% - Énfasis2 19 3 2 3" xfId="2266" xr:uid="{00000000-0005-0000-0000-0000DD080000}"/>
    <cellStyle name="20% - Énfasis2 19 3 3" xfId="2267" xr:uid="{00000000-0005-0000-0000-0000DE080000}"/>
    <cellStyle name="20% - Énfasis2 19 3 3 2" xfId="2268" xr:uid="{00000000-0005-0000-0000-0000DF080000}"/>
    <cellStyle name="20% - Énfasis2 19 3 4" xfId="2269" xr:uid="{00000000-0005-0000-0000-0000E0080000}"/>
    <cellStyle name="20% - Énfasis2 19 4" xfId="2270" xr:uid="{00000000-0005-0000-0000-0000E1080000}"/>
    <cellStyle name="20% - Énfasis2 19 4 2" xfId="2271" xr:uid="{00000000-0005-0000-0000-0000E2080000}"/>
    <cellStyle name="20% - Énfasis2 19 4 2 2" xfId="2272" xr:uid="{00000000-0005-0000-0000-0000E3080000}"/>
    <cellStyle name="20% - Énfasis2 19 4 3" xfId="2273" xr:uid="{00000000-0005-0000-0000-0000E4080000}"/>
    <cellStyle name="20% - Énfasis2 19 5" xfId="2274" xr:uid="{00000000-0005-0000-0000-0000E5080000}"/>
    <cellStyle name="20% - Énfasis2 19 5 2" xfId="2275" xr:uid="{00000000-0005-0000-0000-0000E6080000}"/>
    <cellStyle name="20% - Énfasis2 19 5 2 2" xfId="2276" xr:uid="{00000000-0005-0000-0000-0000E7080000}"/>
    <cellStyle name="20% - Énfasis2 19 5 3" xfId="2277" xr:uid="{00000000-0005-0000-0000-0000E8080000}"/>
    <cellStyle name="20% - Énfasis2 19 6" xfId="2278" xr:uid="{00000000-0005-0000-0000-0000E9080000}"/>
    <cellStyle name="20% - Énfasis2 19 6 2" xfId="2279" xr:uid="{00000000-0005-0000-0000-0000EA080000}"/>
    <cellStyle name="20% - Énfasis2 19 7" xfId="2280" xr:uid="{00000000-0005-0000-0000-0000EB080000}"/>
    <cellStyle name="20% - Énfasis2 2" xfId="2281" xr:uid="{00000000-0005-0000-0000-0000EC080000}"/>
    <cellStyle name="20% - Énfasis2 2 10" xfId="2282" xr:uid="{00000000-0005-0000-0000-0000ED080000}"/>
    <cellStyle name="20% - Énfasis2 2 10 2" xfId="2283" xr:uid="{00000000-0005-0000-0000-0000EE080000}"/>
    <cellStyle name="20% - Énfasis2 2 11" xfId="2284" xr:uid="{00000000-0005-0000-0000-0000EF080000}"/>
    <cellStyle name="20% - Énfasis2 2 11 2" xfId="2285" xr:uid="{00000000-0005-0000-0000-0000F0080000}"/>
    <cellStyle name="20% - Énfasis2 2 12" xfId="2286" xr:uid="{00000000-0005-0000-0000-0000F1080000}"/>
    <cellStyle name="20% - Énfasis2 2 2" xfId="2287" xr:uid="{00000000-0005-0000-0000-0000F2080000}"/>
    <cellStyle name="20% - Énfasis2 2 2 2" xfId="2288" xr:uid="{00000000-0005-0000-0000-0000F3080000}"/>
    <cellStyle name="20% - Énfasis2 2 2 2 2" xfId="2289" xr:uid="{00000000-0005-0000-0000-0000F4080000}"/>
    <cellStyle name="20% - Énfasis2 2 2 2 2 2" xfId="2290" xr:uid="{00000000-0005-0000-0000-0000F5080000}"/>
    <cellStyle name="20% - Énfasis2 2 2 2 2 2 2" xfId="2291" xr:uid="{00000000-0005-0000-0000-0000F6080000}"/>
    <cellStyle name="20% - Énfasis2 2 2 2 2 2 2 2" xfId="2292" xr:uid="{00000000-0005-0000-0000-0000F7080000}"/>
    <cellStyle name="20% - Énfasis2 2 2 2 2 2 2 2 2" xfId="2293" xr:uid="{00000000-0005-0000-0000-0000F8080000}"/>
    <cellStyle name="20% - Énfasis2 2 2 2 2 2 2 3" xfId="2294" xr:uid="{00000000-0005-0000-0000-0000F9080000}"/>
    <cellStyle name="20% - Énfasis2 2 2 2 2 2 3" xfId="2295" xr:uid="{00000000-0005-0000-0000-0000FA080000}"/>
    <cellStyle name="20% - Énfasis2 2 2 2 2 2 3 2" xfId="2296" xr:uid="{00000000-0005-0000-0000-0000FB080000}"/>
    <cellStyle name="20% - Énfasis2 2 2 2 2 2 4" xfId="2297" xr:uid="{00000000-0005-0000-0000-0000FC080000}"/>
    <cellStyle name="20% - Énfasis2 2 2 2 2 3" xfId="2298" xr:uid="{00000000-0005-0000-0000-0000FD080000}"/>
    <cellStyle name="20% - Énfasis2 2 2 2 2 3 2" xfId="2299" xr:uid="{00000000-0005-0000-0000-0000FE080000}"/>
    <cellStyle name="20% - Énfasis2 2 2 2 2 3 2 2" xfId="2300" xr:uid="{00000000-0005-0000-0000-0000FF080000}"/>
    <cellStyle name="20% - Énfasis2 2 2 2 2 3 3" xfId="2301" xr:uid="{00000000-0005-0000-0000-000000090000}"/>
    <cellStyle name="20% - Énfasis2 2 2 2 2 4" xfId="2302" xr:uid="{00000000-0005-0000-0000-000001090000}"/>
    <cellStyle name="20% - Énfasis2 2 2 2 2 4 2" xfId="2303" xr:uid="{00000000-0005-0000-0000-000002090000}"/>
    <cellStyle name="20% - Énfasis2 2 2 2 2 4 2 2" xfId="2304" xr:uid="{00000000-0005-0000-0000-000003090000}"/>
    <cellStyle name="20% - Énfasis2 2 2 2 2 4 3" xfId="2305" xr:uid="{00000000-0005-0000-0000-000004090000}"/>
    <cellStyle name="20% - Énfasis2 2 2 2 2 5" xfId="2306" xr:uid="{00000000-0005-0000-0000-000005090000}"/>
    <cellStyle name="20% - Énfasis2 2 2 2 2 5 2" xfId="2307" xr:uid="{00000000-0005-0000-0000-000006090000}"/>
    <cellStyle name="20% - Énfasis2 2 2 2 2 6" xfId="2308" xr:uid="{00000000-0005-0000-0000-000007090000}"/>
    <cellStyle name="20% - Énfasis2 2 2 2 3" xfId="2309" xr:uid="{00000000-0005-0000-0000-000008090000}"/>
    <cellStyle name="20% - Énfasis2 2 2 2 3 2" xfId="2310" xr:uid="{00000000-0005-0000-0000-000009090000}"/>
    <cellStyle name="20% - Énfasis2 2 2 2 3 2 2" xfId="2311" xr:uid="{00000000-0005-0000-0000-00000A090000}"/>
    <cellStyle name="20% - Énfasis2 2 2 2 3 2 2 2" xfId="2312" xr:uid="{00000000-0005-0000-0000-00000B090000}"/>
    <cellStyle name="20% - Énfasis2 2 2 2 3 2 3" xfId="2313" xr:uid="{00000000-0005-0000-0000-00000C090000}"/>
    <cellStyle name="20% - Énfasis2 2 2 2 3 3" xfId="2314" xr:uid="{00000000-0005-0000-0000-00000D090000}"/>
    <cellStyle name="20% - Énfasis2 2 2 2 3 3 2" xfId="2315" xr:uid="{00000000-0005-0000-0000-00000E090000}"/>
    <cellStyle name="20% - Énfasis2 2 2 2 3 4" xfId="2316" xr:uid="{00000000-0005-0000-0000-00000F090000}"/>
    <cellStyle name="20% - Énfasis2 2 2 2 4" xfId="2317" xr:uid="{00000000-0005-0000-0000-000010090000}"/>
    <cellStyle name="20% - Énfasis2 2 2 2 4 2" xfId="2318" xr:uid="{00000000-0005-0000-0000-000011090000}"/>
    <cellStyle name="20% - Énfasis2 2 2 2 4 2 2" xfId="2319" xr:uid="{00000000-0005-0000-0000-000012090000}"/>
    <cellStyle name="20% - Énfasis2 2 2 2 4 3" xfId="2320" xr:uid="{00000000-0005-0000-0000-000013090000}"/>
    <cellStyle name="20% - Énfasis2 2 2 2 5" xfId="2321" xr:uid="{00000000-0005-0000-0000-000014090000}"/>
    <cellStyle name="20% - Énfasis2 2 2 2 5 2" xfId="2322" xr:uid="{00000000-0005-0000-0000-000015090000}"/>
    <cellStyle name="20% - Énfasis2 2 2 2 5 2 2" xfId="2323" xr:uid="{00000000-0005-0000-0000-000016090000}"/>
    <cellStyle name="20% - Énfasis2 2 2 2 5 3" xfId="2324" xr:uid="{00000000-0005-0000-0000-000017090000}"/>
    <cellStyle name="20% - Énfasis2 2 2 2 6" xfId="2325" xr:uid="{00000000-0005-0000-0000-000018090000}"/>
    <cellStyle name="20% - Énfasis2 2 2 2 6 2" xfId="2326" xr:uid="{00000000-0005-0000-0000-000019090000}"/>
    <cellStyle name="20% - Énfasis2 2 2 2 7" xfId="2327" xr:uid="{00000000-0005-0000-0000-00001A090000}"/>
    <cellStyle name="20% - Énfasis2 2 2 3" xfId="2328" xr:uid="{00000000-0005-0000-0000-00001B090000}"/>
    <cellStyle name="20% - Énfasis2 2 2 3 2" xfId="2329" xr:uid="{00000000-0005-0000-0000-00001C090000}"/>
    <cellStyle name="20% - Énfasis2 2 2 3 2 2" xfId="2330" xr:uid="{00000000-0005-0000-0000-00001D090000}"/>
    <cellStyle name="20% - Énfasis2 2 2 3 2 2 2" xfId="2331" xr:uid="{00000000-0005-0000-0000-00001E090000}"/>
    <cellStyle name="20% - Énfasis2 2 2 3 2 2 2 2" xfId="2332" xr:uid="{00000000-0005-0000-0000-00001F090000}"/>
    <cellStyle name="20% - Énfasis2 2 2 3 2 2 3" xfId="2333" xr:uid="{00000000-0005-0000-0000-000020090000}"/>
    <cellStyle name="20% - Énfasis2 2 2 3 2 3" xfId="2334" xr:uid="{00000000-0005-0000-0000-000021090000}"/>
    <cellStyle name="20% - Énfasis2 2 2 3 2 3 2" xfId="2335" xr:uid="{00000000-0005-0000-0000-000022090000}"/>
    <cellStyle name="20% - Énfasis2 2 2 3 2 4" xfId="2336" xr:uid="{00000000-0005-0000-0000-000023090000}"/>
    <cellStyle name="20% - Énfasis2 2 2 3 3" xfId="2337" xr:uid="{00000000-0005-0000-0000-000024090000}"/>
    <cellStyle name="20% - Énfasis2 2 2 3 3 2" xfId="2338" xr:uid="{00000000-0005-0000-0000-000025090000}"/>
    <cellStyle name="20% - Énfasis2 2 2 3 3 2 2" xfId="2339" xr:uid="{00000000-0005-0000-0000-000026090000}"/>
    <cellStyle name="20% - Énfasis2 2 2 3 3 3" xfId="2340" xr:uid="{00000000-0005-0000-0000-000027090000}"/>
    <cellStyle name="20% - Énfasis2 2 2 3 4" xfId="2341" xr:uid="{00000000-0005-0000-0000-000028090000}"/>
    <cellStyle name="20% - Énfasis2 2 2 3 4 2" xfId="2342" xr:uid="{00000000-0005-0000-0000-000029090000}"/>
    <cellStyle name="20% - Énfasis2 2 2 3 4 2 2" xfId="2343" xr:uid="{00000000-0005-0000-0000-00002A090000}"/>
    <cellStyle name="20% - Énfasis2 2 2 3 4 3" xfId="2344" xr:uid="{00000000-0005-0000-0000-00002B090000}"/>
    <cellStyle name="20% - Énfasis2 2 2 3 5" xfId="2345" xr:uid="{00000000-0005-0000-0000-00002C090000}"/>
    <cellStyle name="20% - Énfasis2 2 2 3 5 2" xfId="2346" xr:uid="{00000000-0005-0000-0000-00002D090000}"/>
    <cellStyle name="20% - Énfasis2 2 2 3 6" xfId="2347" xr:uid="{00000000-0005-0000-0000-00002E090000}"/>
    <cellStyle name="20% - Énfasis2 2 2 4" xfId="2348" xr:uid="{00000000-0005-0000-0000-00002F090000}"/>
    <cellStyle name="20% - Énfasis2 2 2 4 2" xfId="2349" xr:uid="{00000000-0005-0000-0000-000030090000}"/>
    <cellStyle name="20% - Énfasis2 2 2 4 2 2" xfId="2350" xr:uid="{00000000-0005-0000-0000-000031090000}"/>
    <cellStyle name="20% - Énfasis2 2 2 4 2 2 2" xfId="2351" xr:uid="{00000000-0005-0000-0000-000032090000}"/>
    <cellStyle name="20% - Énfasis2 2 2 4 2 3" xfId="2352" xr:uid="{00000000-0005-0000-0000-000033090000}"/>
    <cellStyle name="20% - Énfasis2 2 2 4 3" xfId="2353" xr:uid="{00000000-0005-0000-0000-000034090000}"/>
    <cellStyle name="20% - Énfasis2 2 2 4 3 2" xfId="2354" xr:uid="{00000000-0005-0000-0000-000035090000}"/>
    <cellStyle name="20% - Énfasis2 2 2 4 3 2 2" xfId="2355" xr:uid="{00000000-0005-0000-0000-000036090000}"/>
    <cellStyle name="20% - Énfasis2 2 2 4 3 3" xfId="2356" xr:uid="{00000000-0005-0000-0000-000037090000}"/>
    <cellStyle name="20% - Énfasis2 2 2 4 4" xfId="2357" xr:uid="{00000000-0005-0000-0000-000038090000}"/>
    <cellStyle name="20% - Énfasis2 2 2 4 4 2" xfId="2358" xr:uid="{00000000-0005-0000-0000-000039090000}"/>
    <cellStyle name="20% - Énfasis2 2 2 4 5" xfId="2359" xr:uid="{00000000-0005-0000-0000-00003A090000}"/>
    <cellStyle name="20% - Énfasis2 2 2 5" xfId="2360" xr:uid="{00000000-0005-0000-0000-00003B090000}"/>
    <cellStyle name="20% - Énfasis2 2 2 5 2" xfId="2361" xr:uid="{00000000-0005-0000-0000-00003C090000}"/>
    <cellStyle name="20% - Énfasis2 2 2 5 2 2" xfId="2362" xr:uid="{00000000-0005-0000-0000-00003D090000}"/>
    <cellStyle name="20% - Énfasis2 2 2 5 2 2 2" xfId="2363" xr:uid="{00000000-0005-0000-0000-00003E090000}"/>
    <cellStyle name="20% - Énfasis2 2 2 5 2 3" xfId="2364" xr:uid="{00000000-0005-0000-0000-00003F090000}"/>
    <cellStyle name="20% - Énfasis2 2 2 5 3" xfId="2365" xr:uid="{00000000-0005-0000-0000-000040090000}"/>
    <cellStyle name="20% - Énfasis2 2 2 5 3 2" xfId="2366" xr:uid="{00000000-0005-0000-0000-000041090000}"/>
    <cellStyle name="20% - Énfasis2 2 2 5 4" xfId="2367" xr:uid="{00000000-0005-0000-0000-000042090000}"/>
    <cellStyle name="20% - Énfasis2 2 2 6" xfId="2368" xr:uid="{00000000-0005-0000-0000-000043090000}"/>
    <cellStyle name="20% - Énfasis2 2 2 6 2" xfId="2369" xr:uid="{00000000-0005-0000-0000-000044090000}"/>
    <cellStyle name="20% - Énfasis2 2 2 6 2 2" xfId="2370" xr:uid="{00000000-0005-0000-0000-000045090000}"/>
    <cellStyle name="20% - Énfasis2 2 2 6 3" xfId="2371" xr:uid="{00000000-0005-0000-0000-000046090000}"/>
    <cellStyle name="20% - Énfasis2 2 2 7" xfId="2372" xr:uid="{00000000-0005-0000-0000-000047090000}"/>
    <cellStyle name="20% - Énfasis2 2 2 7 2" xfId="2373" xr:uid="{00000000-0005-0000-0000-000048090000}"/>
    <cellStyle name="20% - Énfasis2 2 2 7 2 2" xfId="2374" xr:uid="{00000000-0005-0000-0000-000049090000}"/>
    <cellStyle name="20% - Énfasis2 2 2 7 3" xfId="2375" xr:uid="{00000000-0005-0000-0000-00004A090000}"/>
    <cellStyle name="20% - Énfasis2 2 2 8" xfId="2376" xr:uid="{00000000-0005-0000-0000-00004B090000}"/>
    <cellStyle name="20% - Énfasis2 2 2 8 2" xfId="2377" xr:uid="{00000000-0005-0000-0000-00004C090000}"/>
    <cellStyle name="20% - Énfasis2 2 2 9" xfId="2378" xr:uid="{00000000-0005-0000-0000-00004D090000}"/>
    <cellStyle name="20% - Énfasis2 2 3" xfId="2379" xr:uid="{00000000-0005-0000-0000-00004E090000}"/>
    <cellStyle name="20% - Énfasis2 2 3 2" xfId="2380" xr:uid="{00000000-0005-0000-0000-00004F090000}"/>
    <cellStyle name="20% - Énfasis2 2 3 2 2" xfId="2381" xr:uid="{00000000-0005-0000-0000-000050090000}"/>
    <cellStyle name="20% - Énfasis2 2 3 2 2 2" xfId="2382" xr:uid="{00000000-0005-0000-0000-000051090000}"/>
    <cellStyle name="20% - Énfasis2 2 3 2 2 2 2" xfId="2383" xr:uid="{00000000-0005-0000-0000-000052090000}"/>
    <cellStyle name="20% - Énfasis2 2 3 2 2 2 2 2" xfId="2384" xr:uid="{00000000-0005-0000-0000-000053090000}"/>
    <cellStyle name="20% - Énfasis2 2 3 2 2 2 3" xfId="2385" xr:uid="{00000000-0005-0000-0000-000054090000}"/>
    <cellStyle name="20% - Énfasis2 2 3 2 2 3" xfId="2386" xr:uid="{00000000-0005-0000-0000-000055090000}"/>
    <cellStyle name="20% - Énfasis2 2 3 2 2 3 2" xfId="2387" xr:uid="{00000000-0005-0000-0000-000056090000}"/>
    <cellStyle name="20% - Énfasis2 2 3 2 2 4" xfId="2388" xr:uid="{00000000-0005-0000-0000-000057090000}"/>
    <cellStyle name="20% - Énfasis2 2 3 2 3" xfId="2389" xr:uid="{00000000-0005-0000-0000-000058090000}"/>
    <cellStyle name="20% - Énfasis2 2 3 2 3 2" xfId="2390" xr:uid="{00000000-0005-0000-0000-000059090000}"/>
    <cellStyle name="20% - Énfasis2 2 3 2 3 2 2" xfId="2391" xr:uid="{00000000-0005-0000-0000-00005A090000}"/>
    <cellStyle name="20% - Énfasis2 2 3 2 3 3" xfId="2392" xr:uid="{00000000-0005-0000-0000-00005B090000}"/>
    <cellStyle name="20% - Énfasis2 2 3 2 4" xfId="2393" xr:uid="{00000000-0005-0000-0000-00005C090000}"/>
    <cellStyle name="20% - Énfasis2 2 3 2 4 2" xfId="2394" xr:uid="{00000000-0005-0000-0000-00005D090000}"/>
    <cellStyle name="20% - Énfasis2 2 3 2 4 2 2" xfId="2395" xr:uid="{00000000-0005-0000-0000-00005E090000}"/>
    <cellStyle name="20% - Énfasis2 2 3 2 4 3" xfId="2396" xr:uid="{00000000-0005-0000-0000-00005F090000}"/>
    <cellStyle name="20% - Énfasis2 2 3 2 5" xfId="2397" xr:uid="{00000000-0005-0000-0000-000060090000}"/>
    <cellStyle name="20% - Énfasis2 2 3 2 5 2" xfId="2398" xr:uid="{00000000-0005-0000-0000-000061090000}"/>
    <cellStyle name="20% - Énfasis2 2 3 2 6" xfId="2399" xr:uid="{00000000-0005-0000-0000-000062090000}"/>
    <cellStyle name="20% - Énfasis2 2 3 3" xfId="2400" xr:uid="{00000000-0005-0000-0000-000063090000}"/>
    <cellStyle name="20% - Énfasis2 2 3 3 2" xfId="2401" xr:uid="{00000000-0005-0000-0000-000064090000}"/>
    <cellStyle name="20% - Énfasis2 2 3 3 2 2" xfId="2402" xr:uid="{00000000-0005-0000-0000-000065090000}"/>
    <cellStyle name="20% - Énfasis2 2 3 3 2 2 2" xfId="2403" xr:uid="{00000000-0005-0000-0000-000066090000}"/>
    <cellStyle name="20% - Énfasis2 2 3 3 2 3" xfId="2404" xr:uid="{00000000-0005-0000-0000-000067090000}"/>
    <cellStyle name="20% - Énfasis2 2 3 3 3" xfId="2405" xr:uid="{00000000-0005-0000-0000-000068090000}"/>
    <cellStyle name="20% - Énfasis2 2 3 3 3 2" xfId="2406" xr:uid="{00000000-0005-0000-0000-000069090000}"/>
    <cellStyle name="20% - Énfasis2 2 3 3 3 2 2" xfId="2407" xr:uid="{00000000-0005-0000-0000-00006A090000}"/>
    <cellStyle name="20% - Énfasis2 2 3 3 3 3" xfId="2408" xr:uid="{00000000-0005-0000-0000-00006B090000}"/>
    <cellStyle name="20% - Énfasis2 2 3 3 4" xfId="2409" xr:uid="{00000000-0005-0000-0000-00006C090000}"/>
    <cellStyle name="20% - Énfasis2 2 3 3 4 2" xfId="2410" xr:uid="{00000000-0005-0000-0000-00006D090000}"/>
    <cellStyle name="20% - Énfasis2 2 3 3 5" xfId="2411" xr:uid="{00000000-0005-0000-0000-00006E090000}"/>
    <cellStyle name="20% - Énfasis2 2 3 4" xfId="2412" xr:uid="{00000000-0005-0000-0000-00006F090000}"/>
    <cellStyle name="20% - Énfasis2 2 3 4 2" xfId="2413" xr:uid="{00000000-0005-0000-0000-000070090000}"/>
    <cellStyle name="20% - Énfasis2 2 3 4 2 2" xfId="2414" xr:uid="{00000000-0005-0000-0000-000071090000}"/>
    <cellStyle name="20% - Énfasis2 2 3 4 2 2 2" xfId="2415" xr:uid="{00000000-0005-0000-0000-000072090000}"/>
    <cellStyle name="20% - Énfasis2 2 3 4 2 3" xfId="2416" xr:uid="{00000000-0005-0000-0000-000073090000}"/>
    <cellStyle name="20% - Énfasis2 2 3 4 3" xfId="2417" xr:uid="{00000000-0005-0000-0000-000074090000}"/>
    <cellStyle name="20% - Énfasis2 2 3 4 3 2" xfId="2418" xr:uid="{00000000-0005-0000-0000-000075090000}"/>
    <cellStyle name="20% - Énfasis2 2 3 4 3 2 2" xfId="2419" xr:uid="{00000000-0005-0000-0000-000076090000}"/>
    <cellStyle name="20% - Énfasis2 2 3 4 3 3" xfId="2420" xr:uid="{00000000-0005-0000-0000-000077090000}"/>
    <cellStyle name="20% - Énfasis2 2 3 4 4" xfId="2421" xr:uid="{00000000-0005-0000-0000-000078090000}"/>
    <cellStyle name="20% - Énfasis2 2 3 4 4 2" xfId="2422" xr:uid="{00000000-0005-0000-0000-000079090000}"/>
    <cellStyle name="20% - Énfasis2 2 3 4 5" xfId="2423" xr:uid="{00000000-0005-0000-0000-00007A090000}"/>
    <cellStyle name="20% - Énfasis2 2 3 5" xfId="2424" xr:uid="{00000000-0005-0000-0000-00007B090000}"/>
    <cellStyle name="20% - Énfasis2 2 3 5 2" xfId="2425" xr:uid="{00000000-0005-0000-0000-00007C090000}"/>
    <cellStyle name="20% - Énfasis2 2 3 5 2 2" xfId="2426" xr:uid="{00000000-0005-0000-0000-00007D090000}"/>
    <cellStyle name="20% - Énfasis2 2 3 5 2 2 2" xfId="2427" xr:uid="{00000000-0005-0000-0000-00007E090000}"/>
    <cellStyle name="20% - Énfasis2 2 3 5 2 3" xfId="2428" xr:uid="{00000000-0005-0000-0000-00007F090000}"/>
    <cellStyle name="20% - Énfasis2 2 3 5 3" xfId="2429" xr:uid="{00000000-0005-0000-0000-000080090000}"/>
    <cellStyle name="20% - Énfasis2 2 3 5 3 2" xfId="2430" xr:uid="{00000000-0005-0000-0000-000081090000}"/>
    <cellStyle name="20% - Énfasis2 2 3 5 4" xfId="2431" xr:uid="{00000000-0005-0000-0000-000082090000}"/>
    <cellStyle name="20% - Énfasis2 2 3 6" xfId="2432" xr:uid="{00000000-0005-0000-0000-000083090000}"/>
    <cellStyle name="20% - Énfasis2 2 3 6 2" xfId="2433" xr:uid="{00000000-0005-0000-0000-000084090000}"/>
    <cellStyle name="20% - Énfasis2 2 3 6 2 2" xfId="2434" xr:uid="{00000000-0005-0000-0000-000085090000}"/>
    <cellStyle name="20% - Énfasis2 2 3 6 3" xfId="2435" xr:uid="{00000000-0005-0000-0000-000086090000}"/>
    <cellStyle name="20% - Énfasis2 2 3 7" xfId="2436" xr:uid="{00000000-0005-0000-0000-000087090000}"/>
    <cellStyle name="20% - Énfasis2 2 3 7 2" xfId="2437" xr:uid="{00000000-0005-0000-0000-000088090000}"/>
    <cellStyle name="20% - Énfasis2 2 3 7 2 2" xfId="2438" xr:uid="{00000000-0005-0000-0000-000089090000}"/>
    <cellStyle name="20% - Énfasis2 2 3 7 3" xfId="2439" xr:uid="{00000000-0005-0000-0000-00008A090000}"/>
    <cellStyle name="20% - Énfasis2 2 3 8" xfId="2440" xr:uid="{00000000-0005-0000-0000-00008B090000}"/>
    <cellStyle name="20% - Énfasis2 2 3 8 2" xfId="2441" xr:uid="{00000000-0005-0000-0000-00008C090000}"/>
    <cellStyle name="20% - Énfasis2 2 3 9" xfId="2442" xr:uid="{00000000-0005-0000-0000-00008D090000}"/>
    <cellStyle name="20% - Énfasis2 2 4" xfId="2443" xr:uid="{00000000-0005-0000-0000-00008E090000}"/>
    <cellStyle name="20% - Énfasis2 2 4 2" xfId="2444" xr:uid="{00000000-0005-0000-0000-00008F090000}"/>
    <cellStyle name="20% - Énfasis2 2 4 2 2" xfId="2445" xr:uid="{00000000-0005-0000-0000-000090090000}"/>
    <cellStyle name="20% - Énfasis2 2 4 2 2 2" xfId="2446" xr:uid="{00000000-0005-0000-0000-000091090000}"/>
    <cellStyle name="20% - Énfasis2 2 4 2 2 2 2" xfId="2447" xr:uid="{00000000-0005-0000-0000-000092090000}"/>
    <cellStyle name="20% - Énfasis2 2 4 2 2 3" xfId="2448" xr:uid="{00000000-0005-0000-0000-000093090000}"/>
    <cellStyle name="20% - Énfasis2 2 4 2 3" xfId="2449" xr:uid="{00000000-0005-0000-0000-000094090000}"/>
    <cellStyle name="20% - Énfasis2 2 4 2 3 2" xfId="2450" xr:uid="{00000000-0005-0000-0000-000095090000}"/>
    <cellStyle name="20% - Énfasis2 2 4 2 4" xfId="2451" xr:uid="{00000000-0005-0000-0000-000096090000}"/>
    <cellStyle name="20% - Énfasis2 2 4 3" xfId="2452" xr:uid="{00000000-0005-0000-0000-000097090000}"/>
    <cellStyle name="20% - Énfasis2 2 4 3 2" xfId="2453" xr:uid="{00000000-0005-0000-0000-000098090000}"/>
    <cellStyle name="20% - Énfasis2 2 4 3 2 2" xfId="2454" xr:uid="{00000000-0005-0000-0000-000099090000}"/>
    <cellStyle name="20% - Énfasis2 2 4 3 3" xfId="2455" xr:uid="{00000000-0005-0000-0000-00009A090000}"/>
    <cellStyle name="20% - Énfasis2 2 4 4" xfId="2456" xr:uid="{00000000-0005-0000-0000-00009B090000}"/>
    <cellStyle name="20% - Énfasis2 2 4 4 2" xfId="2457" xr:uid="{00000000-0005-0000-0000-00009C090000}"/>
    <cellStyle name="20% - Énfasis2 2 4 4 2 2" xfId="2458" xr:uid="{00000000-0005-0000-0000-00009D090000}"/>
    <cellStyle name="20% - Énfasis2 2 4 4 3" xfId="2459" xr:uid="{00000000-0005-0000-0000-00009E090000}"/>
    <cellStyle name="20% - Énfasis2 2 4 5" xfId="2460" xr:uid="{00000000-0005-0000-0000-00009F090000}"/>
    <cellStyle name="20% - Énfasis2 2 4 5 2" xfId="2461" xr:uid="{00000000-0005-0000-0000-0000A0090000}"/>
    <cellStyle name="20% - Énfasis2 2 4 6" xfId="2462" xr:uid="{00000000-0005-0000-0000-0000A1090000}"/>
    <cellStyle name="20% - Énfasis2 2 5" xfId="2463" xr:uid="{00000000-0005-0000-0000-0000A2090000}"/>
    <cellStyle name="20% - Énfasis2 2 5 2" xfId="2464" xr:uid="{00000000-0005-0000-0000-0000A3090000}"/>
    <cellStyle name="20% - Énfasis2 2 5 2 2" xfId="2465" xr:uid="{00000000-0005-0000-0000-0000A4090000}"/>
    <cellStyle name="20% - Énfasis2 2 5 2 2 2" xfId="2466" xr:uid="{00000000-0005-0000-0000-0000A5090000}"/>
    <cellStyle name="20% - Énfasis2 2 5 2 3" xfId="2467" xr:uid="{00000000-0005-0000-0000-0000A6090000}"/>
    <cellStyle name="20% - Énfasis2 2 5 3" xfId="2468" xr:uid="{00000000-0005-0000-0000-0000A7090000}"/>
    <cellStyle name="20% - Énfasis2 2 5 3 2" xfId="2469" xr:uid="{00000000-0005-0000-0000-0000A8090000}"/>
    <cellStyle name="20% - Énfasis2 2 5 3 2 2" xfId="2470" xr:uid="{00000000-0005-0000-0000-0000A9090000}"/>
    <cellStyle name="20% - Énfasis2 2 5 3 3" xfId="2471" xr:uid="{00000000-0005-0000-0000-0000AA090000}"/>
    <cellStyle name="20% - Énfasis2 2 5 4" xfId="2472" xr:uid="{00000000-0005-0000-0000-0000AB090000}"/>
    <cellStyle name="20% - Énfasis2 2 5 4 2" xfId="2473" xr:uid="{00000000-0005-0000-0000-0000AC090000}"/>
    <cellStyle name="20% - Énfasis2 2 5 5" xfId="2474" xr:uid="{00000000-0005-0000-0000-0000AD090000}"/>
    <cellStyle name="20% - Énfasis2 2 6" xfId="2475" xr:uid="{00000000-0005-0000-0000-0000AE090000}"/>
    <cellStyle name="20% - Énfasis2 2 6 2" xfId="2476" xr:uid="{00000000-0005-0000-0000-0000AF090000}"/>
    <cellStyle name="20% - Énfasis2 2 6 2 2" xfId="2477" xr:uid="{00000000-0005-0000-0000-0000B0090000}"/>
    <cellStyle name="20% - Énfasis2 2 6 2 2 2" xfId="2478" xr:uid="{00000000-0005-0000-0000-0000B1090000}"/>
    <cellStyle name="20% - Énfasis2 2 6 2 3" xfId="2479" xr:uid="{00000000-0005-0000-0000-0000B2090000}"/>
    <cellStyle name="20% - Énfasis2 2 6 3" xfId="2480" xr:uid="{00000000-0005-0000-0000-0000B3090000}"/>
    <cellStyle name="20% - Énfasis2 2 6 3 2" xfId="2481" xr:uid="{00000000-0005-0000-0000-0000B4090000}"/>
    <cellStyle name="20% - Énfasis2 2 6 3 2 2" xfId="2482" xr:uid="{00000000-0005-0000-0000-0000B5090000}"/>
    <cellStyle name="20% - Énfasis2 2 6 3 3" xfId="2483" xr:uid="{00000000-0005-0000-0000-0000B6090000}"/>
    <cellStyle name="20% - Énfasis2 2 6 4" xfId="2484" xr:uid="{00000000-0005-0000-0000-0000B7090000}"/>
    <cellStyle name="20% - Énfasis2 2 6 4 2" xfId="2485" xr:uid="{00000000-0005-0000-0000-0000B8090000}"/>
    <cellStyle name="20% - Énfasis2 2 6 5" xfId="2486" xr:uid="{00000000-0005-0000-0000-0000B9090000}"/>
    <cellStyle name="20% - Énfasis2 2 7" xfId="2487" xr:uid="{00000000-0005-0000-0000-0000BA090000}"/>
    <cellStyle name="20% - Énfasis2 2 7 2" xfId="2488" xr:uid="{00000000-0005-0000-0000-0000BB090000}"/>
    <cellStyle name="20% - Énfasis2 2 7 2 2" xfId="2489" xr:uid="{00000000-0005-0000-0000-0000BC090000}"/>
    <cellStyle name="20% - Énfasis2 2 7 2 2 2" xfId="2490" xr:uid="{00000000-0005-0000-0000-0000BD090000}"/>
    <cellStyle name="20% - Énfasis2 2 7 2 3" xfId="2491" xr:uid="{00000000-0005-0000-0000-0000BE090000}"/>
    <cellStyle name="20% - Énfasis2 2 7 3" xfId="2492" xr:uid="{00000000-0005-0000-0000-0000BF090000}"/>
    <cellStyle name="20% - Énfasis2 2 7 3 2" xfId="2493" xr:uid="{00000000-0005-0000-0000-0000C0090000}"/>
    <cellStyle name="20% - Énfasis2 2 7 4" xfId="2494" xr:uid="{00000000-0005-0000-0000-0000C1090000}"/>
    <cellStyle name="20% - Énfasis2 2 8" xfId="2495" xr:uid="{00000000-0005-0000-0000-0000C2090000}"/>
    <cellStyle name="20% - Énfasis2 2 8 2" xfId="2496" xr:uid="{00000000-0005-0000-0000-0000C3090000}"/>
    <cellStyle name="20% - Énfasis2 2 8 2 2" xfId="2497" xr:uid="{00000000-0005-0000-0000-0000C4090000}"/>
    <cellStyle name="20% - Énfasis2 2 8 3" xfId="2498" xr:uid="{00000000-0005-0000-0000-0000C5090000}"/>
    <cellStyle name="20% - Énfasis2 2 9" xfId="2499" xr:uid="{00000000-0005-0000-0000-0000C6090000}"/>
    <cellStyle name="20% - Énfasis2 2 9 2" xfId="2500" xr:uid="{00000000-0005-0000-0000-0000C7090000}"/>
    <cellStyle name="20% - Énfasis2 2 9 2 2" xfId="2501" xr:uid="{00000000-0005-0000-0000-0000C8090000}"/>
    <cellStyle name="20% - Énfasis2 2 9 3" xfId="2502" xr:uid="{00000000-0005-0000-0000-0000C9090000}"/>
    <cellStyle name="20% - Énfasis2 20" xfId="2503" xr:uid="{00000000-0005-0000-0000-0000CA090000}"/>
    <cellStyle name="20% - Énfasis2 20 2" xfId="2504" xr:uid="{00000000-0005-0000-0000-0000CB090000}"/>
    <cellStyle name="20% - Énfasis2 20 2 2" xfId="2505" xr:uid="{00000000-0005-0000-0000-0000CC090000}"/>
    <cellStyle name="20% - Énfasis2 20 2 2 2" xfId="2506" xr:uid="{00000000-0005-0000-0000-0000CD090000}"/>
    <cellStyle name="20% - Énfasis2 20 2 2 2 2" xfId="2507" xr:uid="{00000000-0005-0000-0000-0000CE090000}"/>
    <cellStyle name="20% - Énfasis2 20 2 2 3" xfId="2508" xr:uid="{00000000-0005-0000-0000-0000CF090000}"/>
    <cellStyle name="20% - Énfasis2 20 2 3" xfId="2509" xr:uid="{00000000-0005-0000-0000-0000D0090000}"/>
    <cellStyle name="20% - Énfasis2 20 2 3 2" xfId="2510" xr:uid="{00000000-0005-0000-0000-0000D1090000}"/>
    <cellStyle name="20% - Énfasis2 20 2 3 2 2" xfId="2511" xr:uid="{00000000-0005-0000-0000-0000D2090000}"/>
    <cellStyle name="20% - Énfasis2 20 2 3 3" xfId="2512" xr:uid="{00000000-0005-0000-0000-0000D3090000}"/>
    <cellStyle name="20% - Énfasis2 20 2 4" xfId="2513" xr:uid="{00000000-0005-0000-0000-0000D4090000}"/>
    <cellStyle name="20% - Énfasis2 20 2 4 2" xfId="2514" xr:uid="{00000000-0005-0000-0000-0000D5090000}"/>
    <cellStyle name="20% - Énfasis2 20 2 5" xfId="2515" xr:uid="{00000000-0005-0000-0000-0000D6090000}"/>
    <cellStyle name="20% - Énfasis2 20 3" xfId="2516" xr:uid="{00000000-0005-0000-0000-0000D7090000}"/>
    <cellStyle name="20% - Énfasis2 20 3 2" xfId="2517" xr:uid="{00000000-0005-0000-0000-0000D8090000}"/>
    <cellStyle name="20% - Énfasis2 20 3 2 2" xfId="2518" xr:uid="{00000000-0005-0000-0000-0000D9090000}"/>
    <cellStyle name="20% - Énfasis2 20 3 2 2 2" xfId="2519" xr:uid="{00000000-0005-0000-0000-0000DA090000}"/>
    <cellStyle name="20% - Énfasis2 20 3 2 3" xfId="2520" xr:uid="{00000000-0005-0000-0000-0000DB090000}"/>
    <cellStyle name="20% - Énfasis2 20 3 3" xfId="2521" xr:uid="{00000000-0005-0000-0000-0000DC090000}"/>
    <cellStyle name="20% - Énfasis2 20 3 3 2" xfId="2522" xr:uid="{00000000-0005-0000-0000-0000DD090000}"/>
    <cellStyle name="20% - Énfasis2 20 3 4" xfId="2523" xr:uid="{00000000-0005-0000-0000-0000DE090000}"/>
    <cellStyle name="20% - Énfasis2 20 4" xfId="2524" xr:uid="{00000000-0005-0000-0000-0000DF090000}"/>
    <cellStyle name="20% - Énfasis2 20 4 2" xfId="2525" xr:uid="{00000000-0005-0000-0000-0000E0090000}"/>
    <cellStyle name="20% - Énfasis2 20 4 2 2" xfId="2526" xr:uid="{00000000-0005-0000-0000-0000E1090000}"/>
    <cellStyle name="20% - Énfasis2 20 4 3" xfId="2527" xr:uid="{00000000-0005-0000-0000-0000E2090000}"/>
    <cellStyle name="20% - Énfasis2 20 5" xfId="2528" xr:uid="{00000000-0005-0000-0000-0000E3090000}"/>
    <cellStyle name="20% - Énfasis2 20 5 2" xfId="2529" xr:uid="{00000000-0005-0000-0000-0000E4090000}"/>
    <cellStyle name="20% - Énfasis2 20 5 2 2" xfId="2530" xr:uid="{00000000-0005-0000-0000-0000E5090000}"/>
    <cellStyle name="20% - Énfasis2 20 5 3" xfId="2531" xr:uid="{00000000-0005-0000-0000-0000E6090000}"/>
    <cellStyle name="20% - Énfasis2 20 6" xfId="2532" xr:uid="{00000000-0005-0000-0000-0000E7090000}"/>
    <cellStyle name="20% - Énfasis2 20 6 2" xfId="2533" xr:uid="{00000000-0005-0000-0000-0000E8090000}"/>
    <cellStyle name="20% - Énfasis2 20 7" xfId="2534" xr:uid="{00000000-0005-0000-0000-0000E9090000}"/>
    <cellStyle name="20% - Énfasis2 21" xfId="2535" xr:uid="{00000000-0005-0000-0000-0000EA090000}"/>
    <cellStyle name="20% - Énfasis2 21 2" xfId="2536" xr:uid="{00000000-0005-0000-0000-0000EB090000}"/>
    <cellStyle name="20% - Énfasis2 21 2 2" xfId="2537" xr:uid="{00000000-0005-0000-0000-0000EC090000}"/>
    <cellStyle name="20% - Énfasis2 21 2 2 2" xfId="2538" xr:uid="{00000000-0005-0000-0000-0000ED090000}"/>
    <cellStyle name="20% - Énfasis2 21 2 2 2 2" xfId="2539" xr:uid="{00000000-0005-0000-0000-0000EE090000}"/>
    <cellStyle name="20% - Énfasis2 21 2 2 3" xfId="2540" xr:uid="{00000000-0005-0000-0000-0000EF090000}"/>
    <cellStyle name="20% - Énfasis2 21 2 3" xfId="2541" xr:uid="{00000000-0005-0000-0000-0000F0090000}"/>
    <cellStyle name="20% - Énfasis2 21 2 3 2" xfId="2542" xr:uid="{00000000-0005-0000-0000-0000F1090000}"/>
    <cellStyle name="20% - Énfasis2 21 2 3 2 2" xfId="2543" xr:uid="{00000000-0005-0000-0000-0000F2090000}"/>
    <cellStyle name="20% - Énfasis2 21 2 3 3" xfId="2544" xr:uid="{00000000-0005-0000-0000-0000F3090000}"/>
    <cellStyle name="20% - Énfasis2 21 2 4" xfId="2545" xr:uid="{00000000-0005-0000-0000-0000F4090000}"/>
    <cellStyle name="20% - Énfasis2 21 2 4 2" xfId="2546" xr:uid="{00000000-0005-0000-0000-0000F5090000}"/>
    <cellStyle name="20% - Énfasis2 21 2 5" xfId="2547" xr:uid="{00000000-0005-0000-0000-0000F6090000}"/>
    <cellStyle name="20% - Énfasis2 21 3" xfId="2548" xr:uid="{00000000-0005-0000-0000-0000F7090000}"/>
    <cellStyle name="20% - Énfasis2 21 3 2" xfId="2549" xr:uid="{00000000-0005-0000-0000-0000F8090000}"/>
    <cellStyle name="20% - Énfasis2 21 3 2 2" xfId="2550" xr:uid="{00000000-0005-0000-0000-0000F9090000}"/>
    <cellStyle name="20% - Énfasis2 21 3 2 2 2" xfId="2551" xr:uid="{00000000-0005-0000-0000-0000FA090000}"/>
    <cellStyle name="20% - Énfasis2 21 3 2 3" xfId="2552" xr:uid="{00000000-0005-0000-0000-0000FB090000}"/>
    <cellStyle name="20% - Énfasis2 21 3 3" xfId="2553" xr:uid="{00000000-0005-0000-0000-0000FC090000}"/>
    <cellStyle name="20% - Énfasis2 21 3 3 2" xfId="2554" xr:uid="{00000000-0005-0000-0000-0000FD090000}"/>
    <cellStyle name="20% - Énfasis2 21 3 4" xfId="2555" xr:uid="{00000000-0005-0000-0000-0000FE090000}"/>
    <cellStyle name="20% - Énfasis2 21 4" xfId="2556" xr:uid="{00000000-0005-0000-0000-0000FF090000}"/>
    <cellStyle name="20% - Énfasis2 21 4 2" xfId="2557" xr:uid="{00000000-0005-0000-0000-0000000A0000}"/>
    <cellStyle name="20% - Énfasis2 21 4 2 2" xfId="2558" xr:uid="{00000000-0005-0000-0000-0000010A0000}"/>
    <cellStyle name="20% - Énfasis2 21 4 3" xfId="2559" xr:uid="{00000000-0005-0000-0000-0000020A0000}"/>
    <cellStyle name="20% - Énfasis2 21 5" xfId="2560" xr:uid="{00000000-0005-0000-0000-0000030A0000}"/>
    <cellStyle name="20% - Énfasis2 21 5 2" xfId="2561" xr:uid="{00000000-0005-0000-0000-0000040A0000}"/>
    <cellStyle name="20% - Énfasis2 21 5 2 2" xfId="2562" xr:uid="{00000000-0005-0000-0000-0000050A0000}"/>
    <cellStyle name="20% - Énfasis2 21 5 3" xfId="2563" xr:uid="{00000000-0005-0000-0000-0000060A0000}"/>
    <cellStyle name="20% - Énfasis2 21 6" xfId="2564" xr:uid="{00000000-0005-0000-0000-0000070A0000}"/>
    <cellStyle name="20% - Énfasis2 21 6 2" xfId="2565" xr:uid="{00000000-0005-0000-0000-0000080A0000}"/>
    <cellStyle name="20% - Énfasis2 21 7" xfId="2566" xr:uid="{00000000-0005-0000-0000-0000090A0000}"/>
    <cellStyle name="20% - Énfasis2 22" xfId="2567" xr:uid="{00000000-0005-0000-0000-00000A0A0000}"/>
    <cellStyle name="20% - Énfasis2 22 2" xfId="2568" xr:uid="{00000000-0005-0000-0000-00000B0A0000}"/>
    <cellStyle name="20% - Énfasis2 22 2 2" xfId="2569" xr:uid="{00000000-0005-0000-0000-00000C0A0000}"/>
    <cellStyle name="20% - Énfasis2 22 2 2 2" xfId="2570" xr:uid="{00000000-0005-0000-0000-00000D0A0000}"/>
    <cellStyle name="20% - Énfasis2 22 2 2 2 2" xfId="2571" xr:uid="{00000000-0005-0000-0000-00000E0A0000}"/>
    <cellStyle name="20% - Énfasis2 22 2 2 3" xfId="2572" xr:uid="{00000000-0005-0000-0000-00000F0A0000}"/>
    <cellStyle name="20% - Énfasis2 22 2 3" xfId="2573" xr:uid="{00000000-0005-0000-0000-0000100A0000}"/>
    <cellStyle name="20% - Énfasis2 22 2 3 2" xfId="2574" xr:uid="{00000000-0005-0000-0000-0000110A0000}"/>
    <cellStyle name="20% - Énfasis2 22 2 3 2 2" xfId="2575" xr:uid="{00000000-0005-0000-0000-0000120A0000}"/>
    <cellStyle name="20% - Énfasis2 22 2 3 3" xfId="2576" xr:uid="{00000000-0005-0000-0000-0000130A0000}"/>
    <cellStyle name="20% - Énfasis2 22 2 4" xfId="2577" xr:uid="{00000000-0005-0000-0000-0000140A0000}"/>
    <cellStyle name="20% - Énfasis2 22 2 4 2" xfId="2578" xr:uid="{00000000-0005-0000-0000-0000150A0000}"/>
    <cellStyle name="20% - Énfasis2 22 2 5" xfId="2579" xr:uid="{00000000-0005-0000-0000-0000160A0000}"/>
    <cellStyle name="20% - Énfasis2 22 3" xfId="2580" xr:uid="{00000000-0005-0000-0000-0000170A0000}"/>
    <cellStyle name="20% - Énfasis2 22 3 2" xfId="2581" xr:uid="{00000000-0005-0000-0000-0000180A0000}"/>
    <cellStyle name="20% - Énfasis2 22 3 2 2" xfId="2582" xr:uid="{00000000-0005-0000-0000-0000190A0000}"/>
    <cellStyle name="20% - Énfasis2 22 3 2 2 2" xfId="2583" xr:uid="{00000000-0005-0000-0000-00001A0A0000}"/>
    <cellStyle name="20% - Énfasis2 22 3 2 3" xfId="2584" xr:uid="{00000000-0005-0000-0000-00001B0A0000}"/>
    <cellStyle name="20% - Énfasis2 22 3 3" xfId="2585" xr:uid="{00000000-0005-0000-0000-00001C0A0000}"/>
    <cellStyle name="20% - Énfasis2 22 3 3 2" xfId="2586" xr:uid="{00000000-0005-0000-0000-00001D0A0000}"/>
    <cellStyle name="20% - Énfasis2 22 3 4" xfId="2587" xr:uid="{00000000-0005-0000-0000-00001E0A0000}"/>
    <cellStyle name="20% - Énfasis2 22 4" xfId="2588" xr:uid="{00000000-0005-0000-0000-00001F0A0000}"/>
    <cellStyle name="20% - Énfasis2 22 4 2" xfId="2589" xr:uid="{00000000-0005-0000-0000-0000200A0000}"/>
    <cellStyle name="20% - Énfasis2 22 4 2 2" xfId="2590" xr:uid="{00000000-0005-0000-0000-0000210A0000}"/>
    <cellStyle name="20% - Énfasis2 22 4 3" xfId="2591" xr:uid="{00000000-0005-0000-0000-0000220A0000}"/>
    <cellStyle name="20% - Énfasis2 22 5" xfId="2592" xr:uid="{00000000-0005-0000-0000-0000230A0000}"/>
    <cellStyle name="20% - Énfasis2 22 5 2" xfId="2593" xr:uid="{00000000-0005-0000-0000-0000240A0000}"/>
    <cellStyle name="20% - Énfasis2 22 5 2 2" xfId="2594" xr:uid="{00000000-0005-0000-0000-0000250A0000}"/>
    <cellStyle name="20% - Énfasis2 22 5 3" xfId="2595" xr:uid="{00000000-0005-0000-0000-0000260A0000}"/>
    <cellStyle name="20% - Énfasis2 22 6" xfId="2596" xr:uid="{00000000-0005-0000-0000-0000270A0000}"/>
    <cellStyle name="20% - Énfasis2 22 6 2" xfId="2597" xr:uid="{00000000-0005-0000-0000-0000280A0000}"/>
    <cellStyle name="20% - Énfasis2 22 7" xfId="2598" xr:uid="{00000000-0005-0000-0000-0000290A0000}"/>
    <cellStyle name="20% - Énfasis2 23" xfId="2599" xr:uid="{00000000-0005-0000-0000-00002A0A0000}"/>
    <cellStyle name="20% - Énfasis2 23 2" xfId="2600" xr:uid="{00000000-0005-0000-0000-00002B0A0000}"/>
    <cellStyle name="20% - Énfasis2 23 2 2" xfId="2601" xr:uid="{00000000-0005-0000-0000-00002C0A0000}"/>
    <cellStyle name="20% - Énfasis2 23 2 2 2" xfId="2602" xr:uid="{00000000-0005-0000-0000-00002D0A0000}"/>
    <cellStyle name="20% - Énfasis2 23 2 2 2 2" xfId="2603" xr:uid="{00000000-0005-0000-0000-00002E0A0000}"/>
    <cellStyle name="20% - Énfasis2 23 2 2 3" xfId="2604" xr:uid="{00000000-0005-0000-0000-00002F0A0000}"/>
    <cellStyle name="20% - Énfasis2 23 2 3" xfId="2605" xr:uid="{00000000-0005-0000-0000-0000300A0000}"/>
    <cellStyle name="20% - Énfasis2 23 2 3 2" xfId="2606" xr:uid="{00000000-0005-0000-0000-0000310A0000}"/>
    <cellStyle name="20% - Énfasis2 23 2 3 2 2" xfId="2607" xr:uid="{00000000-0005-0000-0000-0000320A0000}"/>
    <cellStyle name="20% - Énfasis2 23 2 3 3" xfId="2608" xr:uid="{00000000-0005-0000-0000-0000330A0000}"/>
    <cellStyle name="20% - Énfasis2 23 2 4" xfId="2609" xr:uid="{00000000-0005-0000-0000-0000340A0000}"/>
    <cellStyle name="20% - Énfasis2 23 2 4 2" xfId="2610" xr:uid="{00000000-0005-0000-0000-0000350A0000}"/>
    <cellStyle name="20% - Énfasis2 23 2 5" xfId="2611" xr:uid="{00000000-0005-0000-0000-0000360A0000}"/>
    <cellStyle name="20% - Énfasis2 23 3" xfId="2612" xr:uid="{00000000-0005-0000-0000-0000370A0000}"/>
    <cellStyle name="20% - Énfasis2 23 3 2" xfId="2613" xr:uid="{00000000-0005-0000-0000-0000380A0000}"/>
    <cellStyle name="20% - Énfasis2 23 3 2 2" xfId="2614" xr:uid="{00000000-0005-0000-0000-0000390A0000}"/>
    <cellStyle name="20% - Énfasis2 23 3 2 2 2" xfId="2615" xr:uid="{00000000-0005-0000-0000-00003A0A0000}"/>
    <cellStyle name="20% - Énfasis2 23 3 2 3" xfId="2616" xr:uid="{00000000-0005-0000-0000-00003B0A0000}"/>
    <cellStyle name="20% - Énfasis2 23 3 3" xfId="2617" xr:uid="{00000000-0005-0000-0000-00003C0A0000}"/>
    <cellStyle name="20% - Énfasis2 23 3 3 2" xfId="2618" xr:uid="{00000000-0005-0000-0000-00003D0A0000}"/>
    <cellStyle name="20% - Énfasis2 23 3 4" xfId="2619" xr:uid="{00000000-0005-0000-0000-00003E0A0000}"/>
    <cellStyle name="20% - Énfasis2 23 4" xfId="2620" xr:uid="{00000000-0005-0000-0000-00003F0A0000}"/>
    <cellStyle name="20% - Énfasis2 23 4 2" xfId="2621" xr:uid="{00000000-0005-0000-0000-0000400A0000}"/>
    <cellStyle name="20% - Énfasis2 23 4 2 2" xfId="2622" xr:uid="{00000000-0005-0000-0000-0000410A0000}"/>
    <cellStyle name="20% - Énfasis2 23 4 3" xfId="2623" xr:uid="{00000000-0005-0000-0000-0000420A0000}"/>
    <cellStyle name="20% - Énfasis2 23 5" xfId="2624" xr:uid="{00000000-0005-0000-0000-0000430A0000}"/>
    <cellStyle name="20% - Énfasis2 23 5 2" xfId="2625" xr:uid="{00000000-0005-0000-0000-0000440A0000}"/>
    <cellStyle name="20% - Énfasis2 23 5 2 2" xfId="2626" xr:uid="{00000000-0005-0000-0000-0000450A0000}"/>
    <cellStyle name="20% - Énfasis2 23 5 3" xfId="2627" xr:uid="{00000000-0005-0000-0000-0000460A0000}"/>
    <cellStyle name="20% - Énfasis2 23 6" xfId="2628" xr:uid="{00000000-0005-0000-0000-0000470A0000}"/>
    <cellStyle name="20% - Énfasis2 23 6 2" xfId="2629" xr:uid="{00000000-0005-0000-0000-0000480A0000}"/>
    <cellStyle name="20% - Énfasis2 23 7" xfId="2630" xr:uid="{00000000-0005-0000-0000-0000490A0000}"/>
    <cellStyle name="20% - Énfasis2 24" xfId="2631" xr:uid="{00000000-0005-0000-0000-00004A0A0000}"/>
    <cellStyle name="20% - Énfasis2 24 2" xfId="2632" xr:uid="{00000000-0005-0000-0000-00004B0A0000}"/>
    <cellStyle name="20% - Énfasis2 24 2 2" xfId="2633" xr:uid="{00000000-0005-0000-0000-00004C0A0000}"/>
    <cellStyle name="20% - Énfasis2 24 2 2 2" xfId="2634" xr:uid="{00000000-0005-0000-0000-00004D0A0000}"/>
    <cellStyle name="20% - Énfasis2 24 2 2 2 2" xfId="2635" xr:uid="{00000000-0005-0000-0000-00004E0A0000}"/>
    <cellStyle name="20% - Énfasis2 24 2 2 3" xfId="2636" xr:uid="{00000000-0005-0000-0000-00004F0A0000}"/>
    <cellStyle name="20% - Énfasis2 24 2 3" xfId="2637" xr:uid="{00000000-0005-0000-0000-0000500A0000}"/>
    <cellStyle name="20% - Énfasis2 24 2 3 2" xfId="2638" xr:uid="{00000000-0005-0000-0000-0000510A0000}"/>
    <cellStyle name="20% - Énfasis2 24 2 3 2 2" xfId="2639" xr:uid="{00000000-0005-0000-0000-0000520A0000}"/>
    <cellStyle name="20% - Énfasis2 24 2 3 3" xfId="2640" xr:uid="{00000000-0005-0000-0000-0000530A0000}"/>
    <cellStyle name="20% - Énfasis2 24 2 4" xfId="2641" xr:uid="{00000000-0005-0000-0000-0000540A0000}"/>
    <cellStyle name="20% - Énfasis2 24 2 4 2" xfId="2642" xr:uid="{00000000-0005-0000-0000-0000550A0000}"/>
    <cellStyle name="20% - Énfasis2 24 2 5" xfId="2643" xr:uid="{00000000-0005-0000-0000-0000560A0000}"/>
    <cellStyle name="20% - Énfasis2 24 3" xfId="2644" xr:uid="{00000000-0005-0000-0000-0000570A0000}"/>
    <cellStyle name="20% - Énfasis2 24 3 2" xfId="2645" xr:uid="{00000000-0005-0000-0000-0000580A0000}"/>
    <cellStyle name="20% - Énfasis2 24 3 2 2" xfId="2646" xr:uid="{00000000-0005-0000-0000-0000590A0000}"/>
    <cellStyle name="20% - Énfasis2 24 3 2 2 2" xfId="2647" xr:uid="{00000000-0005-0000-0000-00005A0A0000}"/>
    <cellStyle name="20% - Énfasis2 24 3 2 3" xfId="2648" xr:uid="{00000000-0005-0000-0000-00005B0A0000}"/>
    <cellStyle name="20% - Énfasis2 24 3 3" xfId="2649" xr:uid="{00000000-0005-0000-0000-00005C0A0000}"/>
    <cellStyle name="20% - Énfasis2 24 3 3 2" xfId="2650" xr:uid="{00000000-0005-0000-0000-00005D0A0000}"/>
    <cellStyle name="20% - Énfasis2 24 3 4" xfId="2651" xr:uid="{00000000-0005-0000-0000-00005E0A0000}"/>
    <cellStyle name="20% - Énfasis2 24 4" xfId="2652" xr:uid="{00000000-0005-0000-0000-00005F0A0000}"/>
    <cellStyle name="20% - Énfasis2 24 4 2" xfId="2653" xr:uid="{00000000-0005-0000-0000-0000600A0000}"/>
    <cellStyle name="20% - Énfasis2 24 4 2 2" xfId="2654" xr:uid="{00000000-0005-0000-0000-0000610A0000}"/>
    <cellStyle name="20% - Énfasis2 24 4 3" xfId="2655" xr:uid="{00000000-0005-0000-0000-0000620A0000}"/>
    <cellStyle name="20% - Énfasis2 24 5" xfId="2656" xr:uid="{00000000-0005-0000-0000-0000630A0000}"/>
    <cellStyle name="20% - Énfasis2 24 5 2" xfId="2657" xr:uid="{00000000-0005-0000-0000-0000640A0000}"/>
    <cellStyle name="20% - Énfasis2 24 5 2 2" xfId="2658" xr:uid="{00000000-0005-0000-0000-0000650A0000}"/>
    <cellStyle name="20% - Énfasis2 24 5 3" xfId="2659" xr:uid="{00000000-0005-0000-0000-0000660A0000}"/>
    <cellStyle name="20% - Énfasis2 24 6" xfId="2660" xr:uid="{00000000-0005-0000-0000-0000670A0000}"/>
    <cellStyle name="20% - Énfasis2 24 6 2" xfId="2661" xr:uid="{00000000-0005-0000-0000-0000680A0000}"/>
    <cellStyle name="20% - Énfasis2 24 7" xfId="2662" xr:uid="{00000000-0005-0000-0000-0000690A0000}"/>
    <cellStyle name="20% - Énfasis2 25" xfId="2663" xr:uid="{00000000-0005-0000-0000-00006A0A0000}"/>
    <cellStyle name="20% - Énfasis2 25 2" xfId="2664" xr:uid="{00000000-0005-0000-0000-00006B0A0000}"/>
    <cellStyle name="20% - Énfasis2 25 2 2" xfId="2665" xr:uid="{00000000-0005-0000-0000-00006C0A0000}"/>
    <cellStyle name="20% - Énfasis2 25 2 2 2" xfId="2666" xr:uid="{00000000-0005-0000-0000-00006D0A0000}"/>
    <cellStyle name="20% - Énfasis2 25 2 2 2 2" xfId="2667" xr:uid="{00000000-0005-0000-0000-00006E0A0000}"/>
    <cellStyle name="20% - Énfasis2 25 2 2 3" xfId="2668" xr:uid="{00000000-0005-0000-0000-00006F0A0000}"/>
    <cellStyle name="20% - Énfasis2 25 2 3" xfId="2669" xr:uid="{00000000-0005-0000-0000-0000700A0000}"/>
    <cellStyle name="20% - Énfasis2 25 2 3 2" xfId="2670" xr:uid="{00000000-0005-0000-0000-0000710A0000}"/>
    <cellStyle name="20% - Énfasis2 25 2 3 2 2" xfId="2671" xr:uid="{00000000-0005-0000-0000-0000720A0000}"/>
    <cellStyle name="20% - Énfasis2 25 2 3 3" xfId="2672" xr:uid="{00000000-0005-0000-0000-0000730A0000}"/>
    <cellStyle name="20% - Énfasis2 25 2 4" xfId="2673" xr:uid="{00000000-0005-0000-0000-0000740A0000}"/>
    <cellStyle name="20% - Énfasis2 25 2 4 2" xfId="2674" xr:uid="{00000000-0005-0000-0000-0000750A0000}"/>
    <cellStyle name="20% - Énfasis2 25 2 5" xfId="2675" xr:uid="{00000000-0005-0000-0000-0000760A0000}"/>
    <cellStyle name="20% - Énfasis2 25 3" xfId="2676" xr:uid="{00000000-0005-0000-0000-0000770A0000}"/>
    <cellStyle name="20% - Énfasis2 25 3 2" xfId="2677" xr:uid="{00000000-0005-0000-0000-0000780A0000}"/>
    <cellStyle name="20% - Énfasis2 25 3 2 2" xfId="2678" xr:uid="{00000000-0005-0000-0000-0000790A0000}"/>
    <cellStyle name="20% - Énfasis2 25 3 2 2 2" xfId="2679" xr:uid="{00000000-0005-0000-0000-00007A0A0000}"/>
    <cellStyle name="20% - Énfasis2 25 3 2 3" xfId="2680" xr:uid="{00000000-0005-0000-0000-00007B0A0000}"/>
    <cellStyle name="20% - Énfasis2 25 3 3" xfId="2681" xr:uid="{00000000-0005-0000-0000-00007C0A0000}"/>
    <cellStyle name="20% - Énfasis2 25 3 3 2" xfId="2682" xr:uid="{00000000-0005-0000-0000-00007D0A0000}"/>
    <cellStyle name="20% - Énfasis2 25 3 4" xfId="2683" xr:uid="{00000000-0005-0000-0000-00007E0A0000}"/>
    <cellStyle name="20% - Énfasis2 25 4" xfId="2684" xr:uid="{00000000-0005-0000-0000-00007F0A0000}"/>
    <cellStyle name="20% - Énfasis2 25 4 2" xfId="2685" xr:uid="{00000000-0005-0000-0000-0000800A0000}"/>
    <cellStyle name="20% - Énfasis2 25 4 2 2" xfId="2686" xr:uid="{00000000-0005-0000-0000-0000810A0000}"/>
    <cellStyle name="20% - Énfasis2 25 4 3" xfId="2687" xr:uid="{00000000-0005-0000-0000-0000820A0000}"/>
    <cellStyle name="20% - Énfasis2 25 5" xfId="2688" xr:uid="{00000000-0005-0000-0000-0000830A0000}"/>
    <cellStyle name="20% - Énfasis2 25 5 2" xfId="2689" xr:uid="{00000000-0005-0000-0000-0000840A0000}"/>
    <cellStyle name="20% - Énfasis2 25 5 2 2" xfId="2690" xr:uid="{00000000-0005-0000-0000-0000850A0000}"/>
    <cellStyle name="20% - Énfasis2 25 5 3" xfId="2691" xr:uid="{00000000-0005-0000-0000-0000860A0000}"/>
    <cellStyle name="20% - Énfasis2 25 6" xfId="2692" xr:uid="{00000000-0005-0000-0000-0000870A0000}"/>
    <cellStyle name="20% - Énfasis2 25 6 2" xfId="2693" xr:uid="{00000000-0005-0000-0000-0000880A0000}"/>
    <cellStyle name="20% - Énfasis2 25 7" xfId="2694" xr:uid="{00000000-0005-0000-0000-0000890A0000}"/>
    <cellStyle name="20% - Énfasis2 26" xfId="2695" xr:uid="{00000000-0005-0000-0000-00008A0A0000}"/>
    <cellStyle name="20% - Énfasis2 26 2" xfId="2696" xr:uid="{00000000-0005-0000-0000-00008B0A0000}"/>
    <cellStyle name="20% - Énfasis2 26 2 2" xfId="2697" xr:uid="{00000000-0005-0000-0000-00008C0A0000}"/>
    <cellStyle name="20% - Énfasis2 26 2 2 2" xfId="2698" xr:uid="{00000000-0005-0000-0000-00008D0A0000}"/>
    <cellStyle name="20% - Énfasis2 26 2 2 2 2" xfId="2699" xr:uid="{00000000-0005-0000-0000-00008E0A0000}"/>
    <cellStyle name="20% - Énfasis2 26 2 2 3" xfId="2700" xr:uid="{00000000-0005-0000-0000-00008F0A0000}"/>
    <cellStyle name="20% - Énfasis2 26 2 3" xfId="2701" xr:uid="{00000000-0005-0000-0000-0000900A0000}"/>
    <cellStyle name="20% - Énfasis2 26 2 3 2" xfId="2702" xr:uid="{00000000-0005-0000-0000-0000910A0000}"/>
    <cellStyle name="20% - Énfasis2 26 2 3 2 2" xfId="2703" xr:uid="{00000000-0005-0000-0000-0000920A0000}"/>
    <cellStyle name="20% - Énfasis2 26 2 3 3" xfId="2704" xr:uid="{00000000-0005-0000-0000-0000930A0000}"/>
    <cellStyle name="20% - Énfasis2 26 2 4" xfId="2705" xr:uid="{00000000-0005-0000-0000-0000940A0000}"/>
    <cellStyle name="20% - Énfasis2 26 2 4 2" xfId="2706" xr:uid="{00000000-0005-0000-0000-0000950A0000}"/>
    <cellStyle name="20% - Énfasis2 26 2 5" xfId="2707" xr:uid="{00000000-0005-0000-0000-0000960A0000}"/>
    <cellStyle name="20% - Énfasis2 26 3" xfId="2708" xr:uid="{00000000-0005-0000-0000-0000970A0000}"/>
    <cellStyle name="20% - Énfasis2 26 3 2" xfId="2709" xr:uid="{00000000-0005-0000-0000-0000980A0000}"/>
    <cellStyle name="20% - Énfasis2 26 3 2 2" xfId="2710" xr:uid="{00000000-0005-0000-0000-0000990A0000}"/>
    <cellStyle name="20% - Énfasis2 26 3 2 2 2" xfId="2711" xr:uid="{00000000-0005-0000-0000-00009A0A0000}"/>
    <cellStyle name="20% - Énfasis2 26 3 2 3" xfId="2712" xr:uid="{00000000-0005-0000-0000-00009B0A0000}"/>
    <cellStyle name="20% - Énfasis2 26 3 3" xfId="2713" xr:uid="{00000000-0005-0000-0000-00009C0A0000}"/>
    <cellStyle name="20% - Énfasis2 26 3 3 2" xfId="2714" xr:uid="{00000000-0005-0000-0000-00009D0A0000}"/>
    <cellStyle name="20% - Énfasis2 26 3 4" xfId="2715" xr:uid="{00000000-0005-0000-0000-00009E0A0000}"/>
    <cellStyle name="20% - Énfasis2 26 4" xfId="2716" xr:uid="{00000000-0005-0000-0000-00009F0A0000}"/>
    <cellStyle name="20% - Énfasis2 26 4 2" xfId="2717" xr:uid="{00000000-0005-0000-0000-0000A00A0000}"/>
    <cellStyle name="20% - Énfasis2 26 4 2 2" xfId="2718" xr:uid="{00000000-0005-0000-0000-0000A10A0000}"/>
    <cellStyle name="20% - Énfasis2 26 4 3" xfId="2719" xr:uid="{00000000-0005-0000-0000-0000A20A0000}"/>
    <cellStyle name="20% - Énfasis2 26 5" xfId="2720" xr:uid="{00000000-0005-0000-0000-0000A30A0000}"/>
    <cellStyle name="20% - Énfasis2 26 5 2" xfId="2721" xr:uid="{00000000-0005-0000-0000-0000A40A0000}"/>
    <cellStyle name="20% - Énfasis2 26 5 2 2" xfId="2722" xr:uid="{00000000-0005-0000-0000-0000A50A0000}"/>
    <cellStyle name="20% - Énfasis2 26 5 3" xfId="2723" xr:uid="{00000000-0005-0000-0000-0000A60A0000}"/>
    <cellStyle name="20% - Énfasis2 26 6" xfId="2724" xr:uid="{00000000-0005-0000-0000-0000A70A0000}"/>
    <cellStyle name="20% - Énfasis2 26 6 2" xfId="2725" xr:uid="{00000000-0005-0000-0000-0000A80A0000}"/>
    <cellStyle name="20% - Énfasis2 26 7" xfId="2726" xr:uid="{00000000-0005-0000-0000-0000A90A0000}"/>
    <cellStyle name="20% - Énfasis2 27" xfId="2727" xr:uid="{00000000-0005-0000-0000-0000AA0A0000}"/>
    <cellStyle name="20% - Énfasis2 27 2" xfId="2728" xr:uid="{00000000-0005-0000-0000-0000AB0A0000}"/>
    <cellStyle name="20% - Énfasis2 27 2 2" xfId="2729" xr:uid="{00000000-0005-0000-0000-0000AC0A0000}"/>
    <cellStyle name="20% - Énfasis2 27 2 2 2" xfId="2730" xr:uid="{00000000-0005-0000-0000-0000AD0A0000}"/>
    <cellStyle name="20% - Énfasis2 27 2 2 2 2" xfId="2731" xr:uid="{00000000-0005-0000-0000-0000AE0A0000}"/>
    <cellStyle name="20% - Énfasis2 27 2 2 3" xfId="2732" xr:uid="{00000000-0005-0000-0000-0000AF0A0000}"/>
    <cellStyle name="20% - Énfasis2 27 2 3" xfId="2733" xr:uid="{00000000-0005-0000-0000-0000B00A0000}"/>
    <cellStyle name="20% - Énfasis2 27 2 3 2" xfId="2734" xr:uid="{00000000-0005-0000-0000-0000B10A0000}"/>
    <cellStyle name="20% - Énfasis2 27 2 3 2 2" xfId="2735" xr:uid="{00000000-0005-0000-0000-0000B20A0000}"/>
    <cellStyle name="20% - Énfasis2 27 2 3 3" xfId="2736" xr:uid="{00000000-0005-0000-0000-0000B30A0000}"/>
    <cellStyle name="20% - Énfasis2 27 2 4" xfId="2737" xr:uid="{00000000-0005-0000-0000-0000B40A0000}"/>
    <cellStyle name="20% - Énfasis2 27 2 4 2" xfId="2738" xr:uid="{00000000-0005-0000-0000-0000B50A0000}"/>
    <cellStyle name="20% - Énfasis2 27 2 5" xfId="2739" xr:uid="{00000000-0005-0000-0000-0000B60A0000}"/>
    <cellStyle name="20% - Énfasis2 27 3" xfId="2740" xr:uid="{00000000-0005-0000-0000-0000B70A0000}"/>
    <cellStyle name="20% - Énfasis2 27 3 2" xfId="2741" xr:uid="{00000000-0005-0000-0000-0000B80A0000}"/>
    <cellStyle name="20% - Énfasis2 27 3 2 2" xfId="2742" xr:uid="{00000000-0005-0000-0000-0000B90A0000}"/>
    <cellStyle name="20% - Énfasis2 27 3 2 2 2" xfId="2743" xr:uid="{00000000-0005-0000-0000-0000BA0A0000}"/>
    <cellStyle name="20% - Énfasis2 27 3 2 3" xfId="2744" xr:uid="{00000000-0005-0000-0000-0000BB0A0000}"/>
    <cellStyle name="20% - Énfasis2 27 3 3" xfId="2745" xr:uid="{00000000-0005-0000-0000-0000BC0A0000}"/>
    <cellStyle name="20% - Énfasis2 27 3 3 2" xfId="2746" xr:uid="{00000000-0005-0000-0000-0000BD0A0000}"/>
    <cellStyle name="20% - Énfasis2 27 3 4" xfId="2747" xr:uid="{00000000-0005-0000-0000-0000BE0A0000}"/>
    <cellStyle name="20% - Énfasis2 27 4" xfId="2748" xr:uid="{00000000-0005-0000-0000-0000BF0A0000}"/>
    <cellStyle name="20% - Énfasis2 27 4 2" xfId="2749" xr:uid="{00000000-0005-0000-0000-0000C00A0000}"/>
    <cellStyle name="20% - Énfasis2 27 4 2 2" xfId="2750" xr:uid="{00000000-0005-0000-0000-0000C10A0000}"/>
    <cellStyle name="20% - Énfasis2 27 4 3" xfId="2751" xr:uid="{00000000-0005-0000-0000-0000C20A0000}"/>
    <cellStyle name="20% - Énfasis2 27 5" xfId="2752" xr:uid="{00000000-0005-0000-0000-0000C30A0000}"/>
    <cellStyle name="20% - Énfasis2 27 5 2" xfId="2753" xr:uid="{00000000-0005-0000-0000-0000C40A0000}"/>
    <cellStyle name="20% - Énfasis2 27 5 2 2" xfId="2754" xr:uid="{00000000-0005-0000-0000-0000C50A0000}"/>
    <cellStyle name="20% - Énfasis2 27 5 3" xfId="2755" xr:uid="{00000000-0005-0000-0000-0000C60A0000}"/>
    <cellStyle name="20% - Énfasis2 27 6" xfId="2756" xr:uid="{00000000-0005-0000-0000-0000C70A0000}"/>
    <cellStyle name="20% - Énfasis2 27 6 2" xfId="2757" xr:uid="{00000000-0005-0000-0000-0000C80A0000}"/>
    <cellStyle name="20% - Énfasis2 27 7" xfId="2758" xr:uid="{00000000-0005-0000-0000-0000C90A0000}"/>
    <cellStyle name="20% - Énfasis2 28" xfId="2759" xr:uid="{00000000-0005-0000-0000-0000CA0A0000}"/>
    <cellStyle name="20% - Énfasis2 28 2" xfId="2760" xr:uid="{00000000-0005-0000-0000-0000CB0A0000}"/>
    <cellStyle name="20% - Énfasis2 28 2 2" xfId="2761" xr:uid="{00000000-0005-0000-0000-0000CC0A0000}"/>
    <cellStyle name="20% - Énfasis2 28 2 2 2" xfId="2762" xr:uid="{00000000-0005-0000-0000-0000CD0A0000}"/>
    <cellStyle name="20% - Énfasis2 28 2 2 2 2" xfId="2763" xr:uid="{00000000-0005-0000-0000-0000CE0A0000}"/>
    <cellStyle name="20% - Énfasis2 28 2 2 3" xfId="2764" xr:uid="{00000000-0005-0000-0000-0000CF0A0000}"/>
    <cellStyle name="20% - Énfasis2 28 2 3" xfId="2765" xr:uid="{00000000-0005-0000-0000-0000D00A0000}"/>
    <cellStyle name="20% - Énfasis2 28 2 3 2" xfId="2766" xr:uid="{00000000-0005-0000-0000-0000D10A0000}"/>
    <cellStyle name="20% - Énfasis2 28 2 3 2 2" xfId="2767" xr:uid="{00000000-0005-0000-0000-0000D20A0000}"/>
    <cellStyle name="20% - Énfasis2 28 2 3 3" xfId="2768" xr:uid="{00000000-0005-0000-0000-0000D30A0000}"/>
    <cellStyle name="20% - Énfasis2 28 2 4" xfId="2769" xr:uid="{00000000-0005-0000-0000-0000D40A0000}"/>
    <cellStyle name="20% - Énfasis2 28 2 4 2" xfId="2770" xr:uid="{00000000-0005-0000-0000-0000D50A0000}"/>
    <cellStyle name="20% - Énfasis2 28 2 5" xfId="2771" xr:uid="{00000000-0005-0000-0000-0000D60A0000}"/>
    <cellStyle name="20% - Énfasis2 28 3" xfId="2772" xr:uid="{00000000-0005-0000-0000-0000D70A0000}"/>
    <cellStyle name="20% - Énfasis2 28 3 2" xfId="2773" xr:uid="{00000000-0005-0000-0000-0000D80A0000}"/>
    <cellStyle name="20% - Énfasis2 28 3 2 2" xfId="2774" xr:uid="{00000000-0005-0000-0000-0000D90A0000}"/>
    <cellStyle name="20% - Énfasis2 28 3 3" xfId="2775" xr:uid="{00000000-0005-0000-0000-0000DA0A0000}"/>
    <cellStyle name="20% - Énfasis2 28 4" xfId="2776" xr:uid="{00000000-0005-0000-0000-0000DB0A0000}"/>
    <cellStyle name="20% - Énfasis2 28 4 2" xfId="2777" xr:uid="{00000000-0005-0000-0000-0000DC0A0000}"/>
    <cellStyle name="20% - Énfasis2 28 4 2 2" xfId="2778" xr:uid="{00000000-0005-0000-0000-0000DD0A0000}"/>
    <cellStyle name="20% - Énfasis2 28 4 3" xfId="2779" xr:uid="{00000000-0005-0000-0000-0000DE0A0000}"/>
    <cellStyle name="20% - Énfasis2 28 5" xfId="2780" xr:uid="{00000000-0005-0000-0000-0000DF0A0000}"/>
    <cellStyle name="20% - Énfasis2 28 5 2" xfId="2781" xr:uid="{00000000-0005-0000-0000-0000E00A0000}"/>
    <cellStyle name="20% - Énfasis2 28 6" xfId="2782" xr:uid="{00000000-0005-0000-0000-0000E10A0000}"/>
    <cellStyle name="20% - Énfasis2 29" xfId="2783" xr:uid="{00000000-0005-0000-0000-0000E20A0000}"/>
    <cellStyle name="20% - Énfasis2 29 2" xfId="2784" xr:uid="{00000000-0005-0000-0000-0000E30A0000}"/>
    <cellStyle name="20% - Énfasis2 29 2 2" xfId="2785" xr:uid="{00000000-0005-0000-0000-0000E40A0000}"/>
    <cellStyle name="20% - Énfasis2 29 2 2 2" xfId="2786" xr:uid="{00000000-0005-0000-0000-0000E50A0000}"/>
    <cellStyle name="20% - Énfasis2 29 2 2 2 2" xfId="2787" xr:uid="{00000000-0005-0000-0000-0000E60A0000}"/>
    <cellStyle name="20% - Énfasis2 29 2 2 3" xfId="2788" xr:uid="{00000000-0005-0000-0000-0000E70A0000}"/>
    <cellStyle name="20% - Énfasis2 29 2 3" xfId="2789" xr:uid="{00000000-0005-0000-0000-0000E80A0000}"/>
    <cellStyle name="20% - Énfasis2 29 2 3 2" xfId="2790" xr:uid="{00000000-0005-0000-0000-0000E90A0000}"/>
    <cellStyle name="20% - Énfasis2 29 2 4" xfId="2791" xr:uid="{00000000-0005-0000-0000-0000EA0A0000}"/>
    <cellStyle name="20% - Énfasis2 29 3" xfId="2792" xr:uid="{00000000-0005-0000-0000-0000EB0A0000}"/>
    <cellStyle name="20% - Énfasis2 29 3 2" xfId="2793" xr:uid="{00000000-0005-0000-0000-0000EC0A0000}"/>
    <cellStyle name="20% - Énfasis2 29 3 2 2" xfId="2794" xr:uid="{00000000-0005-0000-0000-0000ED0A0000}"/>
    <cellStyle name="20% - Énfasis2 29 3 3" xfId="2795" xr:uid="{00000000-0005-0000-0000-0000EE0A0000}"/>
    <cellStyle name="20% - Énfasis2 29 4" xfId="2796" xr:uid="{00000000-0005-0000-0000-0000EF0A0000}"/>
    <cellStyle name="20% - Énfasis2 29 4 2" xfId="2797" xr:uid="{00000000-0005-0000-0000-0000F00A0000}"/>
    <cellStyle name="20% - Énfasis2 29 5" xfId="2798" xr:uid="{00000000-0005-0000-0000-0000F10A0000}"/>
    <cellStyle name="20% - Énfasis2 3" xfId="2799" xr:uid="{00000000-0005-0000-0000-0000F20A0000}"/>
    <cellStyle name="20% - Énfasis2 3 10" xfId="2800" xr:uid="{00000000-0005-0000-0000-0000F30A0000}"/>
    <cellStyle name="20% - Énfasis2 3 10 2" xfId="2801" xr:uid="{00000000-0005-0000-0000-0000F40A0000}"/>
    <cellStyle name="20% - Énfasis2 3 11" xfId="2802" xr:uid="{00000000-0005-0000-0000-0000F50A0000}"/>
    <cellStyle name="20% - Énfasis2 3 11 2" xfId="2803" xr:uid="{00000000-0005-0000-0000-0000F60A0000}"/>
    <cellStyle name="20% - Énfasis2 3 12" xfId="2804" xr:uid="{00000000-0005-0000-0000-0000F70A0000}"/>
    <cellStyle name="20% - Énfasis2 3 2" xfId="2805" xr:uid="{00000000-0005-0000-0000-0000F80A0000}"/>
    <cellStyle name="20% - Énfasis2 3 2 2" xfId="2806" xr:uid="{00000000-0005-0000-0000-0000F90A0000}"/>
    <cellStyle name="20% - Énfasis2 3 2 2 2" xfId="2807" xr:uid="{00000000-0005-0000-0000-0000FA0A0000}"/>
    <cellStyle name="20% - Énfasis2 3 2 2 2 2" xfId="2808" xr:uid="{00000000-0005-0000-0000-0000FB0A0000}"/>
    <cellStyle name="20% - Énfasis2 3 2 2 2 2 2" xfId="2809" xr:uid="{00000000-0005-0000-0000-0000FC0A0000}"/>
    <cellStyle name="20% - Énfasis2 3 2 2 2 2 2 2" xfId="2810" xr:uid="{00000000-0005-0000-0000-0000FD0A0000}"/>
    <cellStyle name="20% - Énfasis2 3 2 2 2 2 2 2 2" xfId="2811" xr:uid="{00000000-0005-0000-0000-0000FE0A0000}"/>
    <cellStyle name="20% - Énfasis2 3 2 2 2 2 2 3" xfId="2812" xr:uid="{00000000-0005-0000-0000-0000FF0A0000}"/>
    <cellStyle name="20% - Énfasis2 3 2 2 2 2 3" xfId="2813" xr:uid="{00000000-0005-0000-0000-0000000B0000}"/>
    <cellStyle name="20% - Énfasis2 3 2 2 2 2 3 2" xfId="2814" xr:uid="{00000000-0005-0000-0000-0000010B0000}"/>
    <cellStyle name="20% - Énfasis2 3 2 2 2 2 4" xfId="2815" xr:uid="{00000000-0005-0000-0000-0000020B0000}"/>
    <cellStyle name="20% - Énfasis2 3 2 2 2 3" xfId="2816" xr:uid="{00000000-0005-0000-0000-0000030B0000}"/>
    <cellStyle name="20% - Énfasis2 3 2 2 2 3 2" xfId="2817" xr:uid="{00000000-0005-0000-0000-0000040B0000}"/>
    <cellStyle name="20% - Énfasis2 3 2 2 2 3 2 2" xfId="2818" xr:uid="{00000000-0005-0000-0000-0000050B0000}"/>
    <cellStyle name="20% - Énfasis2 3 2 2 2 3 3" xfId="2819" xr:uid="{00000000-0005-0000-0000-0000060B0000}"/>
    <cellStyle name="20% - Énfasis2 3 2 2 2 4" xfId="2820" xr:uid="{00000000-0005-0000-0000-0000070B0000}"/>
    <cellStyle name="20% - Énfasis2 3 2 2 2 4 2" xfId="2821" xr:uid="{00000000-0005-0000-0000-0000080B0000}"/>
    <cellStyle name="20% - Énfasis2 3 2 2 2 4 2 2" xfId="2822" xr:uid="{00000000-0005-0000-0000-0000090B0000}"/>
    <cellStyle name="20% - Énfasis2 3 2 2 2 4 3" xfId="2823" xr:uid="{00000000-0005-0000-0000-00000A0B0000}"/>
    <cellStyle name="20% - Énfasis2 3 2 2 2 5" xfId="2824" xr:uid="{00000000-0005-0000-0000-00000B0B0000}"/>
    <cellStyle name="20% - Énfasis2 3 2 2 2 5 2" xfId="2825" xr:uid="{00000000-0005-0000-0000-00000C0B0000}"/>
    <cellStyle name="20% - Énfasis2 3 2 2 2 6" xfId="2826" xr:uid="{00000000-0005-0000-0000-00000D0B0000}"/>
    <cellStyle name="20% - Énfasis2 3 2 2 3" xfId="2827" xr:uid="{00000000-0005-0000-0000-00000E0B0000}"/>
    <cellStyle name="20% - Énfasis2 3 2 2 3 2" xfId="2828" xr:uid="{00000000-0005-0000-0000-00000F0B0000}"/>
    <cellStyle name="20% - Énfasis2 3 2 2 3 2 2" xfId="2829" xr:uid="{00000000-0005-0000-0000-0000100B0000}"/>
    <cellStyle name="20% - Énfasis2 3 2 2 3 2 2 2" xfId="2830" xr:uid="{00000000-0005-0000-0000-0000110B0000}"/>
    <cellStyle name="20% - Énfasis2 3 2 2 3 2 3" xfId="2831" xr:uid="{00000000-0005-0000-0000-0000120B0000}"/>
    <cellStyle name="20% - Énfasis2 3 2 2 3 3" xfId="2832" xr:uid="{00000000-0005-0000-0000-0000130B0000}"/>
    <cellStyle name="20% - Énfasis2 3 2 2 3 3 2" xfId="2833" xr:uid="{00000000-0005-0000-0000-0000140B0000}"/>
    <cellStyle name="20% - Énfasis2 3 2 2 3 4" xfId="2834" xr:uid="{00000000-0005-0000-0000-0000150B0000}"/>
    <cellStyle name="20% - Énfasis2 3 2 2 4" xfId="2835" xr:uid="{00000000-0005-0000-0000-0000160B0000}"/>
    <cellStyle name="20% - Énfasis2 3 2 2 4 2" xfId="2836" xr:uid="{00000000-0005-0000-0000-0000170B0000}"/>
    <cellStyle name="20% - Énfasis2 3 2 2 4 2 2" xfId="2837" xr:uid="{00000000-0005-0000-0000-0000180B0000}"/>
    <cellStyle name="20% - Énfasis2 3 2 2 4 3" xfId="2838" xr:uid="{00000000-0005-0000-0000-0000190B0000}"/>
    <cellStyle name="20% - Énfasis2 3 2 2 5" xfId="2839" xr:uid="{00000000-0005-0000-0000-00001A0B0000}"/>
    <cellStyle name="20% - Énfasis2 3 2 2 5 2" xfId="2840" xr:uid="{00000000-0005-0000-0000-00001B0B0000}"/>
    <cellStyle name="20% - Énfasis2 3 2 2 5 2 2" xfId="2841" xr:uid="{00000000-0005-0000-0000-00001C0B0000}"/>
    <cellStyle name="20% - Énfasis2 3 2 2 5 3" xfId="2842" xr:uid="{00000000-0005-0000-0000-00001D0B0000}"/>
    <cellStyle name="20% - Énfasis2 3 2 2 6" xfId="2843" xr:uid="{00000000-0005-0000-0000-00001E0B0000}"/>
    <cellStyle name="20% - Énfasis2 3 2 2 6 2" xfId="2844" xr:uid="{00000000-0005-0000-0000-00001F0B0000}"/>
    <cellStyle name="20% - Énfasis2 3 2 2 7" xfId="2845" xr:uid="{00000000-0005-0000-0000-0000200B0000}"/>
    <cellStyle name="20% - Énfasis2 3 2 3" xfId="2846" xr:uid="{00000000-0005-0000-0000-0000210B0000}"/>
    <cellStyle name="20% - Énfasis2 3 2 3 2" xfId="2847" xr:uid="{00000000-0005-0000-0000-0000220B0000}"/>
    <cellStyle name="20% - Énfasis2 3 2 3 2 2" xfId="2848" xr:uid="{00000000-0005-0000-0000-0000230B0000}"/>
    <cellStyle name="20% - Énfasis2 3 2 3 2 2 2" xfId="2849" xr:uid="{00000000-0005-0000-0000-0000240B0000}"/>
    <cellStyle name="20% - Énfasis2 3 2 3 2 2 2 2" xfId="2850" xr:uid="{00000000-0005-0000-0000-0000250B0000}"/>
    <cellStyle name="20% - Énfasis2 3 2 3 2 2 3" xfId="2851" xr:uid="{00000000-0005-0000-0000-0000260B0000}"/>
    <cellStyle name="20% - Énfasis2 3 2 3 2 3" xfId="2852" xr:uid="{00000000-0005-0000-0000-0000270B0000}"/>
    <cellStyle name="20% - Énfasis2 3 2 3 2 3 2" xfId="2853" xr:uid="{00000000-0005-0000-0000-0000280B0000}"/>
    <cellStyle name="20% - Énfasis2 3 2 3 2 4" xfId="2854" xr:uid="{00000000-0005-0000-0000-0000290B0000}"/>
    <cellStyle name="20% - Énfasis2 3 2 3 3" xfId="2855" xr:uid="{00000000-0005-0000-0000-00002A0B0000}"/>
    <cellStyle name="20% - Énfasis2 3 2 3 3 2" xfId="2856" xr:uid="{00000000-0005-0000-0000-00002B0B0000}"/>
    <cellStyle name="20% - Énfasis2 3 2 3 3 2 2" xfId="2857" xr:uid="{00000000-0005-0000-0000-00002C0B0000}"/>
    <cellStyle name="20% - Énfasis2 3 2 3 3 3" xfId="2858" xr:uid="{00000000-0005-0000-0000-00002D0B0000}"/>
    <cellStyle name="20% - Énfasis2 3 2 3 4" xfId="2859" xr:uid="{00000000-0005-0000-0000-00002E0B0000}"/>
    <cellStyle name="20% - Énfasis2 3 2 3 4 2" xfId="2860" xr:uid="{00000000-0005-0000-0000-00002F0B0000}"/>
    <cellStyle name="20% - Énfasis2 3 2 3 4 2 2" xfId="2861" xr:uid="{00000000-0005-0000-0000-0000300B0000}"/>
    <cellStyle name="20% - Énfasis2 3 2 3 4 3" xfId="2862" xr:uid="{00000000-0005-0000-0000-0000310B0000}"/>
    <cellStyle name="20% - Énfasis2 3 2 3 5" xfId="2863" xr:uid="{00000000-0005-0000-0000-0000320B0000}"/>
    <cellStyle name="20% - Énfasis2 3 2 3 5 2" xfId="2864" xr:uid="{00000000-0005-0000-0000-0000330B0000}"/>
    <cellStyle name="20% - Énfasis2 3 2 3 6" xfId="2865" xr:uid="{00000000-0005-0000-0000-0000340B0000}"/>
    <cellStyle name="20% - Énfasis2 3 2 4" xfId="2866" xr:uid="{00000000-0005-0000-0000-0000350B0000}"/>
    <cellStyle name="20% - Énfasis2 3 2 4 2" xfId="2867" xr:uid="{00000000-0005-0000-0000-0000360B0000}"/>
    <cellStyle name="20% - Énfasis2 3 2 4 2 2" xfId="2868" xr:uid="{00000000-0005-0000-0000-0000370B0000}"/>
    <cellStyle name="20% - Énfasis2 3 2 4 2 2 2" xfId="2869" xr:uid="{00000000-0005-0000-0000-0000380B0000}"/>
    <cellStyle name="20% - Énfasis2 3 2 4 2 3" xfId="2870" xr:uid="{00000000-0005-0000-0000-0000390B0000}"/>
    <cellStyle name="20% - Énfasis2 3 2 4 3" xfId="2871" xr:uid="{00000000-0005-0000-0000-00003A0B0000}"/>
    <cellStyle name="20% - Énfasis2 3 2 4 3 2" xfId="2872" xr:uid="{00000000-0005-0000-0000-00003B0B0000}"/>
    <cellStyle name="20% - Énfasis2 3 2 4 3 2 2" xfId="2873" xr:uid="{00000000-0005-0000-0000-00003C0B0000}"/>
    <cellStyle name="20% - Énfasis2 3 2 4 3 3" xfId="2874" xr:uid="{00000000-0005-0000-0000-00003D0B0000}"/>
    <cellStyle name="20% - Énfasis2 3 2 4 4" xfId="2875" xr:uid="{00000000-0005-0000-0000-00003E0B0000}"/>
    <cellStyle name="20% - Énfasis2 3 2 4 4 2" xfId="2876" xr:uid="{00000000-0005-0000-0000-00003F0B0000}"/>
    <cellStyle name="20% - Énfasis2 3 2 4 5" xfId="2877" xr:uid="{00000000-0005-0000-0000-0000400B0000}"/>
    <cellStyle name="20% - Énfasis2 3 2 5" xfId="2878" xr:uid="{00000000-0005-0000-0000-0000410B0000}"/>
    <cellStyle name="20% - Énfasis2 3 2 5 2" xfId="2879" xr:uid="{00000000-0005-0000-0000-0000420B0000}"/>
    <cellStyle name="20% - Énfasis2 3 2 5 2 2" xfId="2880" xr:uid="{00000000-0005-0000-0000-0000430B0000}"/>
    <cellStyle name="20% - Énfasis2 3 2 5 2 2 2" xfId="2881" xr:uid="{00000000-0005-0000-0000-0000440B0000}"/>
    <cellStyle name="20% - Énfasis2 3 2 5 2 3" xfId="2882" xr:uid="{00000000-0005-0000-0000-0000450B0000}"/>
    <cellStyle name="20% - Énfasis2 3 2 5 3" xfId="2883" xr:uid="{00000000-0005-0000-0000-0000460B0000}"/>
    <cellStyle name="20% - Énfasis2 3 2 5 3 2" xfId="2884" xr:uid="{00000000-0005-0000-0000-0000470B0000}"/>
    <cellStyle name="20% - Énfasis2 3 2 5 4" xfId="2885" xr:uid="{00000000-0005-0000-0000-0000480B0000}"/>
    <cellStyle name="20% - Énfasis2 3 2 6" xfId="2886" xr:uid="{00000000-0005-0000-0000-0000490B0000}"/>
    <cellStyle name="20% - Énfasis2 3 2 6 2" xfId="2887" xr:uid="{00000000-0005-0000-0000-00004A0B0000}"/>
    <cellStyle name="20% - Énfasis2 3 2 6 2 2" xfId="2888" xr:uid="{00000000-0005-0000-0000-00004B0B0000}"/>
    <cellStyle name="20% - Énfasis2 3 2 6 3" xfId="2889" xr:uid="{00000000-0005-0000-0000-00004C0B0000}"/>
    <cellStyle name="20% - Énfasis2 3 2 7" xfId="2890" xr:uid="{00000000-0005-0000-0000-00004D0B0000}"/>
    <cellStyle name="20% - Énfasis2 3 2 7 2" xfId="2891" xr:uid="{00000000-0005-0000-0000-00004E0B0000}"/>
    <cellStyle name="20% - Énfasis2 3 2 7 2 2" xfId="2892" xr:uid="{00000000-0005-0000-0000-00004F0B0000}"/>
    <cellStyle name="20% - Énfasis2 3 2 7 3" xfId="2893" xr:uid="{00000000-0005-0000-0000-0000500B0000}"/>
    <cellStyle name="20% - Énfasis2 3 2 8" xfId="2894" xr:uid="{00000000-0005-0000-0000-0000510B0000}"/>
    <cellStyle name="20% - Énfasis2 3 2 8 2" xfId="2895" xr:uid="{00000000-0005-0000-0000-0000520B0000}"/>
    <cellStyle name="20% - Énfasis2 3 2 9" xfId="2896" xr:uid="{00000000-0005-0000-0000-0000530B0000}"/>
    <cellStyle name="20% - Énfasis2 3 3" xfId="2897" xr:uid="{00000000-0005-0000-0000-0000540B0000}"/>
    <cellStyle name="20% - Énfasis2 3 3 2" xfId="2898" xr:uid="{00000000-0005-0000-0000-0000550B0000}"/>
    <cellStyle name="20% - Énfasis2 3 3 2 2" xfId="2899" xr:uid="{00000000-0005-0000-0000-0000560B0000}"/>
    <cellStyle name="20% - Énfasis2 3 3 2 2 2" xfId="2900" xr:uid="{00000000-0005-0000-0000-0000570B0000}"/>
    <cellStyle name="20% - Énfasis2 3 3 2 2 2 2" xfId="2901" xr:uid="{00000000-0005-0000-0000-0000580B0000}"/>
    <cellStyle name="20% - Énfasis2 3 3 2 2 2 2 2" xfId="2902" xr:uid="{00000000-0005-0000-0000-0000590B0000}"/>
    <cellStyle name="20% - Énfasis2 3 3 2 2 2 3" xfId="2903" xr:uid="{00000000-0005-0000-0000-00005A0B0000}"/>
    <cellStyle name="20% - Énfasis2 3 3 2 2 3" xfId="2904" xr:uid="{00000000-0005-0000-0000-00005B0B0000}"/>
    <cellStyle name="20% - Énfasis2 3 3 2 2 3 2" xfId="2905" xr:uid="{00000000-0005-0000-0000-00005C0B0000}"/>
    <cellStyle name="20% - Énfasis2 3 3 2 2 4" xfId="2906" xr:uid="{00000000-0005-0000-0000-00005D0B0000}"/>
    <cellStyle name="20% - Énfasis2 3 3 2 3" xfId="2907" xr:uid="{00000000-0005-0000-0000-00005E0B0000}"/>
    <cellStyle name="20% - Énfasis2 3 3 2 3 2" xfId="2908" xr:uid="{00000000-0005-0000-0000-00005F0B0000}"/>
    <cellStyle name="20% - Énfasis2 3 3 2 3 2 2" xfId="2909" xr:uid="{00000000-0005-0000-0000-0000600B0000}"/>
    <cellStyle name="20% - Énfasis2 3 3 2 3 3" xfId="2910" xr:uid="{00000000-0005-0000-0000-0000610B0000}"/>
    <cellStyle name="20% - Énfasis2 3 3 2 4" xfId="2911" xr:uid="{00000000-0005-0000-0000-0000620B0000}"/>
    <cellStyle name="20% - Énfasis2 3 3 2 4 2" xfId="2912" xr:uid="{00000000-0005-0000-0000-0000630B0000}"/>
    <cellStyle name="20% - Énfasis2 3 3 2 4 2 2" xfId="2913" xr:uid="{00000000-0005-0000-0000-0000640B0000}"/>
    <cellStyle name="20% - Énfasis2 3 3 2 4 3" xfId="2914" xr:uid="{00000000-0005-0000-0000-0000650B0000}"/>
    <cellStyle name="20% - Énfasis2 3 3 2 5" xfId="2915" xr:uid="{00000000-0005-0000-0000-0000660B0000}"/>
    <cellStyle name="20% - Énfasis2 3 3 2 5 2" xfId="2916" xr:uid="{00000000-0005-0000-0000-0000670B0000}"/>
    <cellStyle name="20% - Énfasis2 3 3 2 6" xfId="2917" xr:uid="{00000000-0005-0000-0000-0000680B0000}"/>
    <cellStyle name="20% - Énfasis2 3 3 3" xfId="2918" xr:uid="{00000000-0005-0000-0000-0000690B0000}"/>
    <cellStyle name="20% - Énfasis2 3 3 3 2" xfId="2919" xr:uid="{00000000-0005-0000-0000-00006A0B0000}"/>
    <cellStyle name="20% - Énfasis2 3 3 3 2 2" xfId="2920" xr:uid="{00000000-0005-0000-0000-00006B0B0000}"/>
    <cellStyle name="20% - Énfasis2 3 3 3 2 2 2" xfId="2921" xr:uid="{00000000-0005-0000-0000-00006C0B0000}"/>
    <cellStyle name="20% - Énfasis2 3 3 3 2 3" xfId="2922" xr:uid="{00000000-0005-0000-0000-00006D0B0000}"/>
    <cellStyle name="20% - Énfasis2 3 3 3 3" xfId="2923" xr:uid="{00000000-0005-0000-0000-00006E0B0000}"/>
    <cellStyle name="20% - Énfasis2 3 3 3 3 2" xfId="2924" xr:uid="{00000000-0005-0000-0000-00006F0B0000}"/>
    <cellStyle name="20% - Énfasis2 3 3 3 3 2 2" xfId="2925" xr:uid="{00000000-0005-0000-0000-0000700B0000}"/>
    <cellStyle name="20% - Énfasis2 3 3 3 3 3" xfId="2926" xr:uid="{00000000-0005-0000-0000-0000710B0000}"/>
    <cellStyle name="20% - Énfasis2 3 3 3 4" xfId="2927" xr:uid="{00000000-0005-0000-0000-0000720B0000}"/>
    <cellStyle name="20% - Énfasis2 3 3 3 4 2" xfId="2928" xr:uid="{00000000-0005-0000-0000-0000730B0000}"/>
    <cellStyle name="20% - Énfasis2 3 3 3 5" xfId="2929" xr:uid="{00000000-0005-0000-0000-0000740B0000}"/>
    <cellStyle name="20% - Énfasis2 3 3 4" xfId="2930" xr:uid="{00000000-0005-0000-0000-0000750B0000}"/>
    <cellStyle name="20% - Énfasis2 3 3 4 2" xfId="2931" xr:uid="{00000000-0005-0000-0000-0000760B0000}"/>
    <cellStyle name="20% - Énfasis2 3 3 4 2 2" xfId="2932" xr:uid="{00000000-0005-0000-0000-0000770B0000}"/>
    <cellStyle name="20% - Énfasis2 3 3 4 2 2 2" xfId="2933" xr:uid="{00000000-0005-0000-0000-0000780B0000}"/>
    <cellStyle name="20% - Énfasis2 3 3 4 2 3" xfId="2934" xr:uid="{00000000-0005-0000-0000-0000790B0000}"/>
    <cellStyle name="20% - Énfasis2 3 3 4 3" xfId="2935" xr:uid="{00000000-0005-0000-0000-00007A0B0000}"/>
    <cellStyle name="20% - Énfasis2 3 3 4 3 2" xfId="2936" xr:uid="{00000000-0005-0000-0000-00007B0B0000}"/>
    <cellStyle name="20% - Énfasis2 3 3 4 3 2 2" xfId="2937" xr:uid="{00000000-0005-0000-0000-00007C0B0000}"/>
    <cellStyle name="20% - Énfasis2 3 3 4 3 3" xfId="2938" xr:uid="{00000000-0005-0000-0000-00007D0B0000}"/>
    <cellStyle name="20% - Énfasis2 3 3 4 4" xfId="2939" xr:uid="{00000000-0005-0000-0000-00007E0B0000}"/>
    <cellStyle name="20% - Énfasis2 3 3 4 4 2" xfId="2940" xr:uid="{00000000-0005-0000-0000-00007F0B0000}"/>
    <cellStyle name="20% - Énfasis2 3 3 4 5" xfId="2941" xr:uid="{00000000-0005-0000-0000-0000800B0000}"/>
    <cellStyle name="20% - Énfasis2 3 3 5" xfId="2942" xr:uid="{00000000-0005-0000-0000-0000810B0000}"/>
    <cellStyle name="20% - Énfasis2 3 3 5 2" xfId="2943" xr:uid="{00000000-0005-0000-0000-0000820B0000}"/>
    <cellStyle name="20% - Énfasis2 3 3 5 2 2" xfId="2944" xr:uid="{00000000-0005-0000-0000-0000830B0000}"/>
    <cellStyle name="20% - Énfasis2 3 3 5 2 2 2" xfId="2945" xr:uid="{00000000-0005-0000-0000-0000840B0000}"/>
    <cellStyle name="20% - Énfasis2 3 3 5 2 3" xfId="2946" xr:uid="{00000000-0005-0000-0000-0000850B0000}"/>
    <cellStyle name="20% - Énfasis2 3 3 5 3" xfId="2947" xr:uid="{00000000-0005-0000-0000-0000860B0000}"/>
    <cellStyle name="20% - Énfasis2 3 3 5 3 2" xfId="2948" xr:uid="{00000000-0005-0000-0000-0000870B0000}"/>
    <cellStyle name="20% - Énfasis2 3 3 5 4" xfId="2949" xr:uid="{00000000-0005-0000-0000-0000880B0000}"/>
    <cellStyle name="20% - Énfasis2 3 3 6" xfId="2950" xr:uid="{00000000-0005-0000-0000-0000890B0000}"/>
    <cellStyle name="20% - Énfasis2 3 3 6 2" xfId="2951" xr:uid="{00000000-0005-0000-0000-00008A0B0000}"/>
    <cellStyle name="20% - Énfasis2 3 3 6 2 2" xfId="2952" xr:uid="{00000000-0005-0000-0000-00008B0B0000}"/>
    <cellStyle name="20% - Énfasis2 3 3 6 3" xfId="2953" xr:uid="{00000000-0005-0000-0000-00008C0B0000}"/>
    <cellStyle name="20% - Énfasis2 3 3 7" xfId="2954" xr:uid="{00000000-0005-0000-0000-00008D0B0000}"/>
    <cellStyle name="20% - Énfasis2 3 3 7 2" xfId="2955" xr:uid="{00000000-0005-0000-0000-00008E0B0000}"/>
    <cellStyle name="20% - Énfasis2 3 3 7 2 2" xfId="2956" xr:uid="{00000000-0005-0000-0000-00008F0B0000}"/>
    <cellStyle name="20% - Énfasis2 3 3 7 3" xfId="2957" xr:uid="{00000000-0005-0000-0000-0000900B0000}"/>
    <cellStyle name="20% - Énfasis2 3 3 8" xfId="2958" xr:uid="{00000000-0005-0000-0000-0000910B0000}"/>
    <cellStyle name="20% - Énfasis2 3 3 8 2" xfId="2959" xr:uid="{00000000-0005-0000-0000-0000920B0000}"/>
    <cellStyle name="20% - Énfasis2 3 3 9" xfId="2960" xr:uid="{00000000-0005-0000-0000-0000930B0000}"/>
    <cellStyle name="20% - Énfasis2 3 4" xfId="2961" xr:uid="{00000000-0005-0000-0000-0000940B0000}"/>
    <cellStyle name="20% - Énfasis2 3 4 2" xfId="2962" xr:uid="{00000000-0005-0000-0000-0000950B0000}"/>
    <cellStyle name="20% - Énfasis2 3 4 2 2" xfId="2963" xr:uid="{00000000-0005-0000-0000-0000960B0000}"/>
    <cellStyle name="20% - Énfasis2 3 4 2 2 2" xfId="2964" xr:uid="{00000000-0005-0000-0000-0000970B0000}"/>
    <cellStyle name="20% - Énfasis2 3 4 2 2 2 2" xfId="2965" xr:uid="{00000000-0005-0000-0000-0000980B0000}"/>
    <cellStyle name="20% - Énfasis2 3 4 2 2 3" xfId="2966" xr:uid="{00000000-0005-0000-0000-0000990B0000}"/>
    <cellStyle name="20% - Énfasis2 3 4 2 3" xfId="2967" xr:uid="{00000000-0005-0000-0000-00009A0B0000}"/>
    <cellStyle name="20% - Énfasis2 3 4 2 3 2" xfId="2968" xr:uid="{00000000-0005-0000-0000-00009B0B0000}"/>
    <cellStyle name="20% - Énfasis2 3 4 2 4" xfId="2969" xr:uid="{00000000-0005-0000-0000-00009C0B0000}"/>
    <cellStyle name="20% - Énfasis2 3 4 3" xfId="2970" xr:uid="{00000000-0005-0000-0000-00009D0B0000}"/>
    <cellStyle name="20% - Énfasis2 3 4 3 2" xfId="2971" xr:uid="{00000000-0005-0000-0000-00009E0B0000}"/>
    <cellStyle name="20% - Énfasis2 3 4 3 2 2" xfId="2972" xr:uid="{00000000-0005-0000-0000-00009F0B0000}"/>
    <cellStyle name="20% - Énfasis2 3 4 3 3" xfId="2973" xr:uid="{00000000-0005-0000-0000-0000A00B0000}"/>
    <cellStyle name="20% - Énfasis2 3 4 4" xfId="2974" xr:uid="{00000000-0005-0000-0000-0000A10B0000}"/>
    <cellStyle name="20% - Énfasis2 3 4 4 2" xfId="2975" xr:uid="{00000000-0005-0000-0000-0000A20B0000}"/>
    <cellStyle name="20% - Énfasis2 3 4 4 2 2" xfId="2976" xr:uid="{00000000-0005-0000-0000-0000A30B0000}"/>
    <cellStyle name="20% - Énfasis2 3 4 4 3" xfId="2977" xr:uid="{00000000-0005-0000-0000-0000A40B0000}"/>
    <cellStyle name="20% - Énfasis2 3 4 5" xfId="2978" xr:uid="{00000000-0005-0000-0000-0000A50B0000}"/>
    <cellStyle name="20% - Énfasis2 3 4 5 2" xfId="2979" xr:uid="{00000000-0005-0000-0000-0000A60B0000}"/>
    <cellStyle name="20% - Énfasis2 3 4 6" xfId="2980" xr:uid="{00000000-0005-0000-0000-0000A70B0000}"/>
    <cellStyle name="20% - Énfasis2 3 5" xfId="2981" xr:uid="{00000000-0005-0000-0000-0000A80B0000}"/>
    <cellStyle name="20% - Énfasis2 3 5 2" xfId="2982" xr:uid="{00000000-0005-0000-0000-0000A90B0000}"/>
    <cellStyle name="20% - Énfasis2 3 5 2 2" xfId="2983" xr:uid="{00000000-0005-0000-0000-0000AA0B0000}"/>
    <cellStyle name="20% - Énfasis2 3 5 2 2 2" xfId="2984" xr:uid="{00000000-0005-0000-0000-0000AB0B0000}"/>
    <cellStyle name="20% - Énfasis2 3 5 2 3" xfId="2985" xr:uid="{00000000-0005-0000-0000-0000AC0B0000}"/>
    <cellStyle name="20% - Énfasis2 3 5 3" xfId="2986" xr:uid="{00000000-0005-0000-0000-0000AD0B0000}"/>
    <cellStyle name="20% - Énfasis2 3 5 3 2" xfId="2987" xr:uid="{00000000-0005-0000-0000-0000AE0B0000}"/>
    <cellStyle name="20% - Énfasis2 3 5 3 2 2" xfId="2988" xr:uid="{00000000-0005-0000-0000-0000AF0B0000}"/>
    <cellStyle name="20% - Énfasis2 3 5 3 3" xfId="2989" xr:uid="{00000000-0005-0000-0000-0000B00B0000}"/>
    <cellStyle name="20% - Énfasis2 3 5 4" xfId="2990" xr:uid="{00000000-0005-0000-0000-0000B10B0000}"/>
    <cellStyle name="20% - Énfasis2 3 5 4 2" xfId="2991" xr:uid="{00000000-0005-0000-0000-0000B20B0000}"/>
    <cellStyle name="20% - Énfasis2 3 5 5" xfId="2992" xr:uid="{00000000-0005-0000-0000-0000B30B0000}"/>
    <cellStyle name="20% - Énfasis2 3 6" xfId="2993" xr:uid="{00000000-0005-0000-0000-0000B40B0000}"/>
    <cellStyle name="20% - Énfasis2 3 6 2" xfId="2994" xr:uid="{00000000-0005-0000-0000-0000B50B0000}"/>
    <cellStyle name="20% - Énfasis2 3 6 2 2" xfId="2995" xr:uid="{00000000-0005-0000-0000-0000B60B0000}"/>
    <cellStyle name="20% - Énfasis2 3 6 2 2 2" xfId="2996" xr:uid="{00000000-0005-0000-0000-0000B70B0000}"/>
    <cellStyle name="20% - Énfasis2 3 6 2 3" xfId="2997" xr:uid="{00000000-0005-0000-0000-0000B80B0000}"/>
    <cellStyle name="20% - Énfasis2 3 6 3" xfId="2998" xr:uid="{00000000-0005-0000-0000-0000B90B0000}"/>
    <cellStyle name="20% - Énfasis2 3 6 3 2" xfId="2999" xr:uid="{00000000-0005-0000-0000-0000BA0B0000}"/>
    <cellStyle name="20% - Énfasis2 3 6 3 2 2" xfId="3000" xr:uid="{00000000-0005-0000-0000-0000BB0B0000}"/>
    <cellStyle name="20% - Énfasis2 3 6 3 3" xfId="3001" xr:uid="{00000000-0005-0000-0000-0000BC0B0000}"/>
    <cellStyle name="20% - Énfasis2 3 6 4" xfId="3002" xr:uid="{00000000-0005-0000-0000-0000BD0B0000}"/>
    <cellStyle name="20% - Énfasis2 3 6 4 2" xfId="3003" xr:uid="{00000000-0005-0000-0000-0000BE0B0000}"/>
    <cellStyle name="20% - Énfasis2 3 6 5" xfId="3004" xr:uid="{00000000-0005-0000-0000-0000BF0B0000}"/>
    <cellStyle name="20% - Énfasis2 3 7" xfId="3005" xr:uid="{00000000-0005-0000-0000-0000C00B0000}"/>
    <cellStyle name="20% - Énfasis2 3 7 2" xfId="3006" xr:uid="{00000000-0005-0000-0000-0000C10B0000}"/>
    <cellStyle name="20% - Énfasis2 3 7 2 2" xfId="3007" xr:uid="{00000000-0005-0000-0000-0000C20B0000}"/>
    <cellStyle name="20% - Énfasis2 3 7 2 2 2" xfId="3008" xr:uid="{00000000-0005-0000-0000-0000C30B0000}"/>
    <cellStyle name="20% - Énfasis2 3 7 2 3" xfId="3009" xr:uid="{00000000-0005-0000-0000-0000C40B0000}"/>
    <cellStyle name="20% - Énfasis2 3 7 3" xfId="3010" xr:uid="{00000000-0005-0000-0000-0000C50B0000}"/>
    <cellStyle name="20% - Énfasis2 3 7 3 2" xfId="3011" xr:uid="{00000000-0005-0000-0000-0000C60B0000}"/>
    <cellStyle name="20% - Énfasis2 3 7 4" xfId="3012" xr:uid="{00000000-0005-0000-0000-0000C70B0000}"/>
    <cellStyle name="20% - Énfasis2 3 8" xfId="3013" xr:uid="{00000000-0005-0000-0000-0000C80B0000}"/>
    <cellStyle name="20% - Énfasis2 3 8 2" xfId="3014" xr:uid="{00000000-0005-0000-0000-0000C90B0000}"/>
    <cellStyle name="20% - Énfasis2 3 8 2 2" xfId="3015" xr:uid="{00000000-0005-0000-0000-0000CA0B0000}"/>
    <cellStyle name="20% - Énfasis2 3 8 3" xfId="3016" xr:uid="{00000000-0005-0000-0000-0000CB0B0000}"/>
    <cellStyle name="20% - Énfasis2 3 9" xfId="3017" xr:uid="{00000000-0005-0000-0000-0000CC0B0000}"/>
    <cellStyle name="20% - Énfasis2 3 9 2" xfId="3018" xr:uid="{00000000-0005-0000-0000-0000CD0B0000}"/>
    <cellStyle name="20% - Énfasis2 3 9 2 2" xfId="3019" xr:uid="{00000000-0005-0000-0000-0000CE0B0000}"/>
    <cellStyle name="20% - Énfasis2 3 9 3" xfId="3020" xr:uid="{00000000-0005-0000-0000-0000CF0B0000}"/>
    <cellStyle name="20% - Énfasis2 30" xfId="3021" xr:uid="{00000000-0005-0000-0000-0000D00B0000}"/>
    <cellStyle name="20% - Énfasis2 30 2" xfId="3022" xr:uid="{00000000-0005-0000-0000-0000D10B0000}"/>
    <cellStyle name="20% - Énfasis2 30 2 2" xfId="3023" xr:uid="{00000000-0005-0000-0000-0000D20B0000}"/>
    <cellStyle name="20% - Énfasis2 30 2 2 2" xfId="3024" xr:uid="{00000000-0005-0000-0000-0000D30B0000}"/>
    <cellStyle name="20% - Énfasis2 30 2 2 2 2" xfId="3025" xr:uid="{00000000-0005-0000-0000-0000D40B0000}"/>
    <cellStyle name="20% - Énfasis2 30 2 2 3" xfId="3026" xr:uid="{00000000-0005-0000-0000-0000D50B0000}"/>
    <cellStyle name="20% - Énfasis2 30 2 3" xfId="3027" xr:uid="{00000000-0005-0000-0000-0000D60B0000}"/>
    <cellStyle name="20% - Énfasis2 30 2 3 2" xfId="3028" xr:uid="{00000000-0005-0000-0000-0000D70B0000}"/>
    <cellStyle name="20% - Énfasis2 30 2 4" xfId="3029" xr:uid="{00000000-0005-0000-0000-0000D80B0000}"/>
    <cellStyle name="20% - Énfasis2 30 3" xfId="3030" xr:uid="{00000000-0005-0000-0000-0000D90B0000}"/>
    <cellStyle name="20% - Énfasis2 30 3 2" xfId="3031" xr:uid="{00000000-0005-0000-0000-0000DA0B0000}"/>
    <cellStyle name="20% - Énfasis2 30 3 2 2" xfId="3032" xr:uid="{00000000-0005-0000-0000-0000DB0B0000}"/>
    <cellStyle name="20% - Énfasis2 30 3 3" xfId="3033" xr:uid="{00000000-0005-0000-0000-0000DC0B0000}"/>
    <cellStyle name="20% - Énfasis2 30 4" xfId="3034" xr:uid="{00000000-0005-0000-0000-0000DD0B0000}"/>
    <cellStyle name="20% - Énfasis2 30 4 2" xfId="3035" xr:uid="{00000000-0005-0000-0000-0000DE0B0000}"/>
    <cellStyle name="20% - Énfasis2 30 5" xfId="3036" xr:uid="{00000000-0005-0000-0000-0000DF0B0000}"/>
    <cellStyle name="20% - Énfasis2 31" xfId="3037" xr:uid="{00000000-0005-0000-0000-0000E00B0000}"/>
    <cellStyle name="20% - Énfasis2 31 2" xfId="3038" xr:uid="{00000000-0005-0000-0000-0000E10B0000}"/>
    <cellStyle name="20% - Énfasis2 31 2 2" xfId="3039" xr:uid="{00000000-0005-0000-0000-0000E20B0000}"/>
    <cellStyle name="20% - Énfasis2 31 2 2 2" xfId="3040" xr:uid="{00000000-0005-0000-0000-0000E30B0000}"/>
    <cellStyle name="20% - Énfasis2 31 2 2 2 2" xfId="3041" xr:uid="{00000000-0005-0000-0000-0000E40B0000}"/>
    <cellStyle name="20% - Énfasis2 31 2 2 3" xfId="3042" xr:uid="{00000000-0005-0000-0000-0000E50B0000}"/>
    <cellStyle name="20% - Énfasis2 31 2 3" xfId="3043" xr:uid="{00000000-0005-0000-0000-0000E60B0000}"/>
    <cellStyle name="20% - Énfasis2 31 2 3 2" xfId="3044" xr:uid="{00000000-0005-0000-0000-0000E70B0000}"/>
    <cellStyle name="20% - Énfasis2 31 2 4" xfId="3045" xr:uid="{00000000-0005-0000-0000-0000E80B0000}"/>
    <cellStyle name="20% - Énfasis2 31 3" xfId="3046" xr:uid="{00000000-0005-0000-0000-0000E90B0000}"/>
    <cellStyle name="20% - Énfasis2 31 3 2" xfId="3047" xr:uid="{00000000-0005-0000-0000-0000EA0B0000}"/>
    <cellStyle name="20% - Énfasis2 31 3 2 2" xfId="3048" xr:uid="{00000000-0005-0000-0000-0000EB0B0000}"/>
    <cellStyle name="20% - Énfasis2 31 3 3" xfId="3049" xr:uid="{00000000-0005-0000-0000-0000EC0B0000}"/>
    <cellStyle name="20% - Énfasis2 31 4" xfId="3050" xr:uid="{00000000-0005-0000-0000-0000ED0B0000}"/>
    <cellStyle name="20% - Énfasis2 31 4 2" xfId="3051" xr:uid="{00000000-0005-0000-0000-0000EE0B0000}"/>
    <cellStyle name="20% - Énfasis2 31 5" xfId="3052" xr:uid="{00000000-0005-0000-0000-0000EF0B0000}"/>
    <cellStyle name="20% - Énfasis2 32" xfId="3053" xr:uid="{00000000-0005-0000-0000-0000F00B0000}"/>
    <cellStyle name="20% - Énfasis2 32 2" xfId="3054" xr:uid="{00000000-0005-0000-0000-0000F10B0000}"/>
    <cellStyle name="20% - Énfasis2 32 2 2" xfId="3055" xr:uid="{00000000-0005-0000-0000-0000F20B0000}"/>
    <cellStyle name="20% - Énfasis2 32 2 2 2" xfId="3056" xr:uid="{00000000-0005-0000-0000-0000F30B0000}"/>
    <cellStyle name="20% - Énfasis2 32 2 2 2 2" xfId="3057" xr:uid="{00000000-0005-0000-0000-0000F40B0000}"/>
    <cellStyle name="20% - Énfasis2 32 2 2 3" xfId="3058" xr:uid="{00000000-0005-0000-0000-0000F50B0000}"/>
    <cellStyle name="20% - Énfasis2 32 2 3" xfId="3059" xr:uid="{00000000-0005-0000-0000-0000F60B0000}"/>
    <cellStyle name="20% - Énfasis2 32 2 3 2" xfId="3060" xr:uid="{00000000-0005-0000-0000-0000F70B0000}"/>
    <cellStyle name="20% - Énfasis2 32 2 4" xfId="3061" xr:uid="{00000000-0005-0000-0000-0000F80B0000}"/>
    <cellStyle name="20% - Énfasis2 32 3" xfId="3062" xr:uid="{00000000-0005-0000-0000-0000F90B0000}"/>
    <cellStyle name="20% - Énfasis2 32 3 2" xfId="3063" xr:uid="{00000000-0005-0000-0000-0000FA0B0000}"/>
    <cellStyle name="20% - Énfasis2 32 3 2 2" xfId="3064" xr:uid="{00000000-0005-0000-0000-0000FB0B0000}"/>
    <cellStyle name="20% - Énfasis2 32 3 3" xfId="3065" xr:uid="{00000000-0005-0000-0000-0000FC0B0000}"/>
    <cellStyle name="20% - Énfasis2 32 4" xfId="3066" xr:uid="{00000000-0005-0000-0000-0000FD0B0000}"/>
    <cellStyle name="20% - Énfasis2 32 4 2" xfId="3067" xr:uid="{00000000-0005-0000-0000-0000FE0B0000}"/>
    <cellStyle name="20% - Énfasis2 32 5" xfId="3068" xr:uid="{00000000-0005-0000-0000-0000FF0B0000}"/>
    <cellStyle name="20% - Énfasis2 33" xfId="3069" xr:uid="{00000000-0005-0000-0000-0000000C0000}"/>
    <cellStyle name="20% - Énfasis2 33 2" xfId="3070" xr:uid="{00000000-0005-0000-0000-0000010C0000}"/>
    <cellStyle name="20% - Énfasis2 33 2 2" xfId="3071" xr:uid="{00000000-0005-0000-0000-0000020C0000}"/>
    <cellStyle name="20% - Énfasis2 33 2 2 2" xfId="3072" xr:uid="{00000000-0005-0000-0000-0000030C0000}"/>
    <cellStyle name="20% - Énfasis2 33 2 3" xfId="3073" xr:uid="{00000000-0005-0000-0000-0000040C0000}"/>
    <cellStyle name="20% - Énfasis2 33 3" xfId="3074" xr:uid="{00000000-0005-0000-0000-0000050C0000}"/>
    <cellStyle name="20% - Énfasis2 33 3 2" xfId="3075" xr:uid="{00000000-0005-0000-0000-0000060C0000}"/>
    <cellStyle name="20% - Énfasis2 33 3 2 2" xfId="3076" xr:uid="{00000000-0005-0000-0000-0000070C0000}"/>
    <cellStyle name="20% - Énfasis2 33 3 3" xfId="3077" xr:uid="{00000000-0005-0000-0000-0000080C0000}"/>
    <cellStyle name="20% - Énfasis2 33 4" xfId="3078" xr:uid="{00000000-0005-0000-0000-0000090C0000}"/>
    <cellStyle name="20% - Énfasis2 33 4 2" xfId="3079" xr:uid="{00000000-0005-0000-0000-00000A0C0000}"/>
    <cellStyle name="20% - Énfasis2 33 5" xfId="3080" xr:uid="{00000000-0005-0000-0000-00000B0C0000}"/>
    <cellStyle name="20% - Énfasis2 34" xfId="3081" xr:uid="{00000000-0005-0000-0000-00000C0C0000}"/>
    <cellStyle name="20% - Énfasis2 34 2" xfId="3082" xr:uid="{00000000-0005-0000-0000-00000D0C0000}"/>
    <cellStyle name="20% - Énfasis2 34 2 2" xfId="3083" xr:uid="{00000000-0005-0000-0000-00000E0C0000}"/>
    <cellStyle name="20% - Énfasis2 34 2 2 2" xfId="3084" xr:uid="{00000000-0005-0000-0000-00000F0C0000}"/>
    <cellStyle name="20% - Énfasis2 34 2 3" xfId="3085" xr:uid="{00000000-0005-0000-0000-0000100C0000}"/>
    <cellStyle name="20% - Énfasis2 34 3" xfId="3086" xr:uid="{00000000-0005-0000-0000-0000110C0000}"/>
    <cellStyle name="20% - Énfasis2 34 3 2" xfId="3087" xr:uid="{00000000-0005-0000-0000-0000120C0000}"/>
    <cellStyle name="20% - Énfasis2 34 3 2 2" xfId="3088" xr:uid="{00000000-0005-0000-0000-0000130C0000}"/>
    <cellStyle name="20% - Énfasis2 34 3 3" xfId="3089" xr:uid="{00000000-0005-0000-0000-0000140C0000}"/>
    <cellStyle name="20% - Énfasis2 34 4" xfId="3090" xr:uid="{00000000-0005-0000-0000-0000150C0000}"/>
    <cellStyle name="20% - Énfasis2 34 4 2" xfId="3091" xr:uid="{00000000-0005-0000-0000-0000160C0000}"/>
    <cellStyle name="20% - Énfasis2 34 5" xfId="3092" xr:uid="{00000000-0005-0000-0000-0000170C0000}"/>
    <cellStyle name="20% - Énfasis2 35" xfId="3093" xr:uid="{00000000-0005-0000-0000-0000180C0000}"/>
    <cellStyle name="20% - Énfasis2 35 2" xfId="3094" xr:uid="{00000000-0005-0000-0000-0000190C0000}"/>
    <cellStyle name="20% - Énfasis2 35 2 2" xfId="3095" xr:uid="{00000000-0005-0000-0000-00001A0C0000}"/>
    <cellStyle name="20% - Énfasis2 35 2 2 2" xfId="3096" xr:uid="{00000000-0005-0000-0000-00001B0C0000}"/>
    <cellStyle name="20% - Énfasis2 35 2 3" xfId="3097" xr:uid="{00000000-0005-0000-0000-00001C0C0000}"/>
    <cellStyle name="20% - Énfasis2 35 3" xfId="3098" xr:uid="{00000000-0005-0000-0000-00001D0C0000}"/>
    <cellStyle name="20% - Énfasis2 35 3 2" xfId="3099" xr:uid="{00000000-0005-0000-0000-00001E0C0000}"/>
    <cellStyle name="20% - Énfasis2 35 3 2 2" xfId="3100" xr:uid="{00000000-0005-0000-0000-00001F0C0000}"/>
    <cellStyle name="20% - Énfasis2 35 3 3" xfId="3101" xr:uid="{00000000-0005-0000-0000-0000200C0000}"/>
    <cellStyle name="20% - Énfasis2 35 4" xfId="3102" xr:uid="{00000000-0005-0000-0000-0000210C0000}"/>
    <cellStyle name="20% - Énfasis2 35 4 2" xfId="3103" xr:uid="{00000000-0005-0000-0000-0000220C0000}"/>
    <cellStyle name="20% - Énfasis2 35 5" xfId="3104" xr:uid="{00000000-0005-0000-0000-0000230C0000}"/>
    <cellStyle name="20% - Énfasis2 36" xfId="3105" xr:uid="{00000000-0005-0000-0000-0000240C0000}"/>
    <cellStyle name="20% - Énfasis2 36 2" xfId="3106" xr:uid="{00000000-0005-0000-0000-0000250C0000}"/>
    <cellStyle name="20% - Énfasis2 36 2 2" xfId="3107" xr:uid="{00000000-0005-0000-0000-0000260C0000}"/>
    <cellStyle name="20% - Énfasis2 36 2 2 2" xfId="3108" xr:uid="{00000000-0005-0000-0000-0000270C0000}"/>
    <cellStyle name="20% - Énfasis2 36 2 3" xfId="3109" xr:uid="{00000000-0005-0000-0000-0000280C0000}"/>
    <cellStyle name="20% - Énfasis2 36 3" xfId="3110" xr:uid="{00000000-0005-0000-0000-0000290C0000}"/>
    <cellStyle name="20% - Énfasis2 36 3 2" xfId="3111" xr:uid="{00000000-0005-0000-0000-00002A0C0000}"/>
    <cellStyle name="20% - Énfasis2 36 4" xfId="3112" xr:uid="{00000000-0005-0000-0000-00002B0C0000}"/>
    <cellStyle name="20% - Énfasis2 37" xfId="3113" xr:uid="{00000000-0005-0000-0000-00002C0C0000}"/>
    <cellStyle name="20% - Énfasis2 37 2" xfId="3114" xr:uid="{00000000-0005-0000-0000-00002D0C0000}"/>
    <cellStyle name="20% - Énfasis2 37 2 2" xfId="3115" xr:uid="{00000000-0005-0000-0000-00002E0C0000}"/>
    <cellStyle name="20% - Énfasis2 37 2 2 2" xfId="3116" xr:uid="{00000000-0005-0000-0000-00002F0C0000}"/>
    <cellStyle name="20% - Énfasis2 37 2 3" xfId="3117" xr:uid="{00000000-0005-0000-0000-0000300C0000}"/>
    <cellStyle name="20% - Énfasis2 37 3" xfId="3118" xr:uid="{00000000-0005-0000-0000-0000310C0000}"/>
    <cellStyle name="20% - Énfasis2 37 3 2" xfId="3119" xr:uid="{00000000-0005-0000-0000-0000320C0000}"/>
    <cellStyle name="20% - Énfasis2 37 4" xfId="3120" xr:uid="{00000000-0005-0000-0000-0000330C0000}"/>
    <cellStyle name="20% - Énfasis2 38" xfId="3121" xr:uid="{00000000-0005-0000-0000-0000340C0000}"/>
    <cellStyle name="20% - Énfasis2 38 2" xfId="3122" xr:uid="{00000000-0005-0000-0000-0000350C0000}"/>
    <cellStyle name="20% - Énfasis2 38 2 2" xfId="3123" xr:uid="{00000000-0005-0000-0000-0000360C0000}"/>
    <cellStyle name="20% - Énfasis2 38 2 2 2" xfId="3124" xr:uid="{00000000-0005-0000-0000-0000370C0000}"/>
    <cellStyle name="20% - Énfasis2 38 2 3" xfId="3125" xr:uid="{00000000-0005-0000-0000-0000380C0000}"/>
    <cellStyle name="20% - Énfasis2 38 3" xfId="3126" xr:uid="{00000000-0005-0000-0000-0000390C0000}"/>
    <cellStyle name="20% - Énfasis2 38 3 2" xfId="3127" xr:uid="{00000000-0005-0000-0000-00003A0C0000}"/>
    <cellStyle name="20% - Énfasis2 38 4" xfId="3128" xr:uid="{00000000-0005-0000-0000-00003B0C0000}"/>
    <cellStyle name="20% - Énfasis2 39" xfId="3129" xr:uid="{00000000-0005-0000-0000-00003C0C0000}"/>
    <cellStyle name="20% - Énfasis2 39 2" xfId="3130" xr:uid="{00000000-0005-0000-0000-00003D0C0000}"/>
    <cellStyle name="20% - Énfasis2 39 2 2" xfId="3131" xr:uid="{00000000-0005-0000-0000-00003E0C0000}"/>
    <cellStyle name="20% - Énfasis2 39 2 2 2" xfId="3132" xr:uid="{00000000-0005-0000-0000-00003F0C0000}"/>
    <cellStyle name="20% - Énfasis2 39 2 3" xfId="3133" xr:uid="{00000000-0005-0000-0000-0000400C0000}"/>
    <cellStyle name="20% - Énfasis2 39 3" xfId="3134" xr:uid="{00000000-0005-0000-0000-0000410C0000}"/>
    <cellStyle name="20% - Énfasis2 39 3 2" xfId="3135" xr:uid="{00000000-0005-0000-0000-0000420C0000}"/>
    <cellStyle name="20% - Énfasis2 39 4" xfId="3136" xr:uid="{00000000-0005-0000-0000-0000430C0000}"/>
    <cellStyle name="20% - Énfasis2 4" xfId="3137" xr:uid="{00000000-0005-0000-0000-0000440C0000}"/>
    <cellStyle name="20% - Énfasis2 4 10" xfId="3138" xr:uid="{00000000-0005-0000-0000-0000450C0000}"/>
    <cellStyle name="20% - Énfasis2 4 10 2" xfId="3139" xr:uid="{00000000-0005-0000-0000-0000460C0000}"/>
    <cellStyle name="20% - Énfasis2 4 11" xfId="3140" xr:uid="{00000000-0005-0000-0000-0000470C0000}"/>
    <cellStyle name="20% - Énfasis2 4 2" xfId="3141" xr:uid="{00000000-0005-0000-0000-0000480C0000}"/>
    <cellStyle name="20% - Énfasis2 4 2 2" xfId="3142" xr:uid="{00000000-0005-0000-0000-0000490C0000}"/>
    <cellStyle name="20% - Énfasis2 4 2 2 2" xfId="3143" xr:uid="{00000000-0005-0000-0000-00004A0C0000}"/>
    <cellStyle name="20% - Énfasis2 4 2 2 2 2" xfId="3144" xr:uid="{00000000-0005-0000-0000-00004B0C0000}"/>
    <cellStyle name="20% - Énfasis2 4 2 2 2 2 2" xfId="3145" xr:uid="{00000000-0005-0000-0000-00004C0C0000}"/>
    <cellStyle name="20% - Énfasis2 4 2 2 2 2 2 2" xfId="3146" xr:uid="{00000000-0005-0000-0000-00004D0C0000}"/>
    <cellStyle name="20% - Énfasis2 4 2 2 2 2 3" xfId="3147" xr:uid="{00000000-0005-0000-0000-00004E0C0000}"/>
    <cellStyle name="20% - Énfasis2 4 2 2 2 3" xfId="3148" xr:uid="{00000000-0005-0000-0000-00004F0C0000}"/>
    <cellStyle name="20% - Énfasis2 4 2 2 2 3 2" xfId="3149" xr:uid="{00000000-0005-0000-0000-0000500C0000}"/>
    <cellStyle name="20% - Énfasis2 4 2 2 2 4" xfId="3150" xr:uid="{00000000-0005-0000-0000-0000510C0000}"/>
    <cellStyle name="20% - Énfasis2 4 2 2 3" xfId="3151" xr:uid="{00000000-0005-0000-0000-0000520C0000}"/>
    <cellStyle name="20% - Énfasis2 4 2 2 3 2" xfId="3152" xr:uid="{00000000-0005-0000-0000-0000530C0000}"/>
    <cellStyle name="20% - Énfasis2 4 2 2 3 2 2" xfId="3153" xr:uid="{00000000-0005-0000-0000-0000540C0000}"/>
    <cellStyle name="20% - Énfasis2 4 2 2 3 3" xfId="3154" xr:uid="{00000000-0005-0000-0000-0000550C0000}"/>
    <cellStyle name="20% - Énfasis2 4 2 2 4" xfId="3155" xr:uid="{00000000-0005-0000-0000-0000560C0000}"/>
    <cellStyle name="20% - Énfasis2 4 2 2 4 2" xfId="3156" xr:uid="{00000000-0005-0000-0000-0000570C0000}"/>
    <cellStyle name="20% - Énfasis2 4 2 2 4 2 2" xfId="3157" xr:uid="{00000000-0005-0000-0000-0000580C0000}"/>
    <cellStyle name="20% - Énfasis2 4 2 2 4 3" xfId="3158" xr:uid="{00000000-0005-0000-0000-0000590C0000}"/>
    <cellStyle name="20% - Énfasis2 4 2 2 5" xfId="3159" xr:uid="{00000000-0005-0000-0000-00005A0C0000}"/>
    <cellStyle name="20% - Énfasis2 4 2 2 5 2" xfId="3160" xr:uid="{00000000-0005-0000-0000-00005B0C0000}"/>
    <cellStyle name="20% - Énfasis2 4 2 2 6" xfId="3161" xr:uid="{00000000-0005-0000-0000-00005C0C0000}"/>
    <cellStyle name="20% - Énfasis2 4 2 3" xfId="3162" xr:uid="{00000000-0005-0000-0000-00005D0C0000}"/>
    <cellStyle name="20% - Énfasis2 4 2 3 2" xfId="3163" xr:uid="{00000000-0005-0000-0000-00005E0C0000}"/>
    <cellStyle name="20% - Énfasis2 4 2 3 2 2" xfId="3164" xr:uid="{00000000-0005-0000-0000-00005F0C0000}"/>
    <cellStyle name="20% - Énfasis2 4 2 3 2 2 2" xfId="3165" xr:uid="{00000000-0005-0000-0000-0000600C0000}"/>
    <cellStyle name="20% - Énfasis2 4 2 3 2 3" xfId="3166" xr:uid="{00000000-0005-0000-0000-0000610C0000}"/>
    <cellStyle name="20% - Énfasis2 4 2 3 3" xfId="3167" xr:uid="{00000000-0005-0000-0000-0000620C0000}"/>
    <cellStyle name="20% - Énfasis2 4 2 3 3 2" xfId="3168" xr:uid="{00000000-0005-0000-0000-0000630C0000}"/>
    <cellStyle name="20% - Énfasis2 4 2 3 3 2 2" xfId="3169" xr:uid="{00000000-0005-0000-0000-0000640C0000}"/>
    <cellStyle name="20% - Énfasis2 4 2 3 3 3" xfId="3170" xr:uid="{00000000-0005-0000-0000-0000650C0000}"/>
    <cellStyle name="20% - Énfasis2 4 2 3 4" xfId="3171" xr:uid="{00000000-0005-0000-0000-0000660C0000}"/>
    <cellStyle name="20% - Énfasis2 4 2 3 4 2" xfId="3172" xr:uid="{00000000-0005-0000-0000-0000670C0000}"/>
    <cellStyle name="20% - Énfasis2 4 2 3 5" xfId="3173" xr:uid="{00000000-0005-0000-0000-0000680C0000}"/>
    <cellStyle name="20% - Énfasis2 4 2 4" xfId="3174" xr:uid="{00000000-0005-0000-0000-0000690C0000}"/>
    <cellStyle name="20% - Énfasis2 4 2 4 2" xfId="3175" xr:uid="{00000000-0005-0000-0000-00006A0C0000}"/>
    <cellStyle name="20% - Énfasis2 4 2 4 2 2" xfId="3176" xr:uid="{00000000-0005-0000-0000-00006B0C0000}"/>
    <cellStyle name="20% - Énfasis2 4 2 4 2 2 2" xfId="3177" xr:uid="{00000000-0005-0000-0000-00006C0C0000}"/>
    <cellStyle name="20% - Énfasis2 4 2 4 2 3" xfId="3178" xr:uid="{00000000-0005-0000-0000-00006D0C0000}"/>
    <cellStyle name="20% - Énfasis2 4 2 4 3" xfId="3179" xr:uid="{00000000-0005-0000-0000-00006E0C0000}"/>
    <cellStyle name="20% - Énfasis2 4 2 4 3 2" xfId="3180" xr:uid="{00000000-0005-0000-0000-00006F0C0000}"/>
    <cellStyle name="20% - Énfasis2 4 2 4 3 2 2" xfId="3181" xr:uid="{00000000-0005-0000-0000-0000700C0000}"/>
    <cellStyle name="20% - Énfasis2 4 2 4 3 3" xfId="3182" xr:uid="{00000000-0005-0000-0000-0000710C0000}"/>
    <cellStyle name="20% - Énfasis2 4 2 4 4" xfId="3183" xr:uid="{00000000-0005-0000-0000-0000720C0000}"/>
    <cellStyle name="20% - Énfasis2 4 2 4 4 2" xfId="3184" xr:uid="{00000000-0005-0000-0000-0000730C0000}"/>
    <cellStyle name="20% - Énfasis2 4 2 4 5" xfId="3185" xr:uid="{00000000-0005-0000-0000-0000740C0000}"/>
    <cellStyle name="20% - Énfasis2 4 2 5" xfId="3186" xr:uid="{00000000-0005-0000-0000-0000750C0000}"/>
    <cellStyle name="20% - Énfasis2 4 2 5 2" xfId="3187" xr:uid="{00000000-0005-0000-0000-0000760C0000}"/>
    <cellStyle name="20% - Énfasis2 4 2 5 2 2" xfId="3188" xr:uid="{00000000-0005-0000-0000-0000770C0000}"/>
    <cellStyle name="20% - Énfasis2 4 2 5 2 2 2" xfId="3189" xr:uid="{00000000-0005-0000-0000-0000780C0000}"/>
    <cellStyle name="20% - Énfasis2 4 2 5 2 3" xfId="3190" xr:uid="{00000000-0005-0000-0000-0000790C0000}"/>
    <cellStyle name="20% - Énfasis2 4 2 5 3" xfId="3191" xr:uid="{00000000-0005-0000-0000-00007A0C0000}"/>
    <cellStyle name="20% - Énfasis2 4 2 5 3 2" xfId="3192" xr:uid="{00000000-0005-0000-0000-00007B0C0000}"/>
    <cellStyle name="20% - Énfasis2 4 2 5 4" xfId="3193" xr:uid="{00000000-0005-0000-0000-00007C0C0000}"/>
    <cellStyle name="20% - Énfasis2 4 2 6" xfId="3194" xr:uid="{00000000-0005-0000-0000-00007D0C0000}"/>
    <cellStyle name="20% - Énfasis2 4 2 6 2" xfId="3195" xr:uid="{00000000-0005-0000-0000-00007E0C0000}"/>
    <cellStyle name="20% - Énfasis2 4 2 6 2 2" xfId="3196" xr:uid="{00000000-0005-0000-0000-00007F0C0000}"/>
    <cellStyle name="20% - Énfasis2 4 2 6 3" xfId="3197" xr:uid="{00000000-0005-0000-0000-0000800C0000}"/>
    <cellStyle name="20% - Énfasis2 4 2 7" xfId="3198" xr:uid="{00000000-0005-0000-0000-0000810C0000}"/>
    <cellStyle name="20% - Énfasis2 4 2 7 2" xfId="3199" xr:uid="{00000000-0005-0000-0000-0000820C0000}"/>
    <cellStyle name="20% - Énfasis2 4 2 7 2 2" xfId="3200" xr:uid="{00000000-0005-0000-0000-0000830C0000}"/>
    <cellStyle name="20% - Énfasis2 4 2 7 3" xfId="3201" xr:uid="{00000000-0005-0000-0000-0000840C0000}"/>
    <cellStyle name="20% - Énfasis2 4 2 8" xfId="3202" xr:uid="{00000000-0005-0000-0000-0000850C0000}"/>
    <cellStyle name="20% - Énfasis2 4 2 8 2" xfId="3203" xr:uid="{00000000-0005-0000-0000-0000860C0000}"/>
    <cellStyle name="20% - Énfasis2 4 2 9" xfId="3204" xr:uid="{00000000-0005-0000-0000-0000870C0000}"/>
    <cellStyle name="20% - Énfasis2 4 3" xfId="3205" xr:uid="{00000000-0005-0000-0000-0000880C0000}"/>
    <cellStyle name="20% - Énfasis2 4 3 2" xfId="3206" xr:uid="{00000000-0005-0000-0000-0000890C0000}"/>
    <cellStyle name="20% - Énfasis2 4 3 2 2" xfId="3207" xr:uid="{00000000-0005-0000-0000-00008A0C0000}"/>
    <cellStyle name="20% - Énfasis2 4 3 2 2 2" xfId="3208" xr:uid="{00000000-0005-0000-0000-00008B0C0000}"/>
    <cellStyle name="20% - Énfasis2 4 3 2 2 2 2" xfId="3209" xr:uid="{00000000-0005-0000-0000-00008C0C0000}"/>
    <cellStyle name="20% - Énfasis2 4 3 2 2 3" xfId="3210" xr:uid="{00000000-0005-0000-0000-00008D0C0000}"/>
    <cellStyle name="20% - Énfasis2 4 3 2 3" xfId="3211" xr:uid="{00000000-0005-0000-0000-00008E0C0000}"/>
    <cellStyle name="20% - Énfasis2 4 3 2 3 2" xfId="3212" xr:uid="{00000000-0005-0000-0000-00008F0C0000}"/>
    <cellStyle name="20% - Énfasis2 4 3 2 4" xfId="3213" xr:uid="{00000000-0005-0000-0000-0000900C0000}"/>
    <cellStyle name="20% - Énfasis2 4 3 3" xfId="3214" xr:uid="{00000000-0005-0000-0000-0000910C0000}"/>
    <cellStyle name="20% - Énfasis2 4 3 3 2" xfId="3215" xr:uid="{00000000-0005-0000-0000-0000920C0000}"/>
    <cellStyle name="20% - Énfasis2 4 3 3 2 2" xfId="3216" xr:uid="{00000000-0005-0000-0000-0000930C0000}"/>
    <cellStyle name="20% - Énfasis2 4 3 3 3" xfId="3217" xr:uid="{00000000-0005-0000-0000-0000940C0000}"/>
    <cellStyle name="20% - Énfasis2 4 3 4" xfId="3218" xr:uid="{00000000-0005-0000-0000-0000950C0000}"/>
    <cellStyle name="20% - Énfasis2 4 3 4 2" xfId="3219" xr:uid="{00000000-0005-0000-0000-0000960C0000}"/>
    <cellStyle name="20% - Énfasis2 4 3 4 2 2" xfId="3220" xr:uid="{00000000-0005-0000-0000-0000970C0000}"/>
    <cellStyle name="20% - Énfasis2 4 3 4 3" xfId="3221" xr:uid="{00000000-0005-0000-0000-0000980C0000}"/>
    <cellStyle name="20% - Énfasis2 4 3 5" xfId="3222" xr:uid="{00000000-0005-0000-0000-0000990C0000}"/>
    <cellStyle name="20% - Énfasis2 4 3 5 2" xfId="3223" xr:uid="{00000000-0005-0000-0000-00009A0C0000}"/>
    <cellStyle name="20% - Énfasis2 4 3 6" xfId="3224" xr:uid="{00000000-0005-0000-0000-00009B0C0000}"/>
    <cellStyle name="20% - Énfasis2 4 4" xfId="3225" xr:uid="{00000000-0005-0000-0000-00009C0C0000}"/>
    <cellStyle name="20% - Énfasis2 4 4 2" xfId="3226" xr:uid="{00000000-0005-0000-0000-00009D0C0000}"/>
    <cellStyle name="20% - Énfasis2 4 4 2 2" xfId="3227" xr:uid="{00000000-0005-0000-0000-00009E0C0000}"/>
    <cellStyle name="20% - Énfasis2 4 4 2 2 2" xfId="3228" xr:uid="{00000000-0005-0000-0000-00009F0C0000}"/>
    <cellStyle name="20% - Énfasis2 4 4 2 3" xfId="3229" xr:uid="{00000000-0005-0000-0000-0000A00C0000}"/>
    <cellStyle name="20% - Énfasis2 4 4 3" xfId="3230" xr:uid="{00000000-0005-0000-0000-0000A10C0000}"/>
    <cellStyle name="20% - Énfasis2 4 4 3 2" xfId="3231" xr:uid="{00000000-0005-0000-0000-0000A20C0000}"/>
    <cellStyle name="20% - Énfasis2 4 4 3 2 2" xfId="3232" xr:uid="{00000000-0005-0000-0000-0000A30C0000}"/>
    <cellStyle name="20% - Énfasis2 4 4 3 3" xfId="3233" xr:uid="{00000000-0005-0000-0000-0000A40C0000}"/>
    <cellStyle name="20% - Énfasis2 4 4 4" xfId="3234" xr:uid="{00000000-0005-0000-0000-0000A50C0000}"/>
    <cellStyle name="20% - Énfasis2 4 4 4 2" xfId="3235" xr:uid="{00000000-0005-0000-0000-0000A60C0000}"/>
    <cellStyle name="20% - Énfasis2 4 4 5" xfId="3236" xr:uid="{00000000-0005-0000-0000-0000A70C0000}"/>
    <cellStyle name="20% - Énfasis2 4 5" xfId="3237" xr:uid="{00000000-0005-0000-0000-0000A80C0000}"/>
    <cellStyle name="20% - Énfasis2 4 5 2" xfId="3238" xr:uid="{00000000-0005-0000-0000-0000A90C0000}"/>
    <cellStyle name="20% - Énfasis2 4 5 2 2" xfId="3239" xr:uid="{00000000-0005-0000-0000-0000AA0C0000}"/>
    <cellStyle name="20% - Énfasis2 4 5 2 2 2" xfId="3240" xr:uid="{00000000-0005-0000-0000-0000AB0C0000}"/>
    <cellStyle name="20% - Énfasis2 4 5 2 3" xfId="3241" xr:uid="{00000000-0005-0000-0000-0000AC0C0000}"/>
    <cellStyle name="20% - Énfasis2 4 5 3" xfId="3242" xr:uid="{00000000-0005-0000-0000-0000AD0C0000}"/>
    <cellStyle name="20% - Énfasis2 4 5 3 2" xfId="3243" xr:uid="{00000000-0005-0000-0000-0000AE0C0000}"/>
    <cellStyle name="20% - Énfasis2 4 5 3 2 2" xfId="3244" xr:uid="{00000000-0005-0000-0000-0000AF0C0000}"/>
    <cellStyle name="20% - Énfasis2 4 5 3 3" xfId="3245" xr:uid="{00000000-0005-0000-0000-0000B00C0000}"/>
    <cellStyle name="20% - Énfasis2 4 5 4" xfId="3246" xr:uid="{00000000-0005-0000-0000-0000B10C0000}"/>
    <cellStyle name="20% - Énfasis2 4 5 4 2" xfId="3247" xr:uid="{00000000-0005-0000-0000-0000B20C0000}"/>
    <cellStyle name="20% - Énfasis2 4 5 5" xfId="3248" xr:uid="{00000000-0005-0000-0000-0000B30C0000}"/>
    <cellStyle name="20% - Énfasis2 4 6" xfId="3249" xr:uid="{00000000-0005-0000-0000-0000B40C0000}"/>
    <cellStyle name="20% - Énfasis2 4 6 2" xfId="3250" xr:uid="{00000000-0005-0000-0000-0000B50C0000}"/>
    <cellStyle name="20% - Énfasis2 4 6 2 2" xfId="3251" xr:uid="{00000000-0005-0000-0000-0000B60C0000}"/>
    <cellStyle name="20% - Énfasis2 4 6 2 2 2" xfId="3252" xr:uid="{00000000-0005-0000-0000-0000B70C0000}"/>
    <cellStyle name="20% - Énfasis2 4 6 2 3" xfId="3253" xr:uid="{00000000-0005-0000-0000-0000B80C0000}"/>
    <cellStyle name="20% - Énfasis2 4 6 3" xfId="3254" xr:uid="{00000000-0005-0000-0000-0000B90C0000}"/>
    <cellStyle name="20% - Énfasis2 4 6 3 2" xfId="3255" xr:uid="{00000000-0005-0000-0000-0000BA0C0000}"/>
    <cellStyle name="20% - Énfasis2 4 6 4" xfId="3256" xr:uid="{00000000-0005-0000-0000-0000BB0C0000}"/>
    <cellStyle name="20% - Énfasis2 4 7" xfId="3257" xr:uid="{00000000-0005-0000-0000-0000BC0C0000}"/>
    <cellStyle name="20% - Énfasis2 4 7 2" xfId="3258" xr:uid="{00000000-0005-0000-0000-0000BD0C0000}"/>
    <cellStyle name="20% - Énfasis2 4 7 2 2" xfId="3259" xr:uid="{00000000-0005-0000-0000-0000BE0C0000}"/>
    <cellStyle name="20% - Énfasis2 4 7 3" xfId="3260" xr:uid="{00000000-0005-0000-0000-0000BF0C0000}"/>
    <cellStyle name="20% - Énfasis2 4 8" xfId="3261" xr:uid="{00000000-0005-0000-0000-0000C00C0000}"/>
    <cellStyle name="20% - Énfasis2 4 8 2" xfId="3262" xr:uid="{00000000-0005-0000-0000-0000C10C0000}"/>
    <cellStyle name="20% - Énfasis2 4 8 2 2" xfId="3263" xr:uid="{00000000-0005-0000-0000-0000C20C0000}"/>
    <cellStyle name="20% - Énfasis2 4 8 3" xfId="3264" xr:uid="{00000000-0005-0000-0000-0000C30C0000}"/>
    <cellStyle name="20% - Énfasis2 4 9" xfId="3265" xr:uid="{00000000-0005-0000-0000-0000C40C0000}"/>
    <cellStyle name="20% - Énfasis2 4 9 2" xfId="3266" xr:uid="{00000000-0005-0000-0000-0000C50C0000}"/>
    <cellStyle name="20% - Énfasis2 40" xfId="3267" xr:uid="{00000000-0005-0000-0000-0000C60C0000}"/>
    <cellStyle name="20% - Énfasis2 40 2" xfId="3268" xr:uid="{00000000-0005-0000-0000-0000C70C0000}"/>
    <cellStyle name="20% - Énfasis2 40 2 2" xfId="3269" xr:uid="{00000000-0005-0000-0000-0000C80C0000}"/>
    <cellStyle name="20% - Énfasis2 40 2 2 2" xfId="3270" xr:uid="{00000000-0005-0000-0000-0000C90C0000}"/>
    <cellStyle name="20% - Énfasis2 40 2 3" xfId="3271" xr:uid="{00000000-0005-0000-0000-0000CA0C0000}"/>
    <cellStyle name="20% - Énfasis2 40 3" xfId="3272" xr:uid="{00000000-0005-0000-0000-0000CB0C0000}"/>
    <cellStyle name="20% - Énfasis2 40 3 2" xfId="3273" xr:uid="{00000000-0005-0000-0000-0000CC0C0000}"/>
    <cellStyle name="20% - Énfasis2 40 4" xfId="3274" xr:uid="{00000000-0005-0000-0000-0000CD0C0000}"/>
    <cellStyle name="20% - Énfasis2 41" xfId="3275" xr:uid="{00000000-0005-0000-0000-0000CE0C0000}"/>
    <cellStyle name="20% - Énfasis2 41 2" xfId="3276" xr:uid="{00000000-0005-0000-0000-0000CF0C0000}"/>
    <cellStyle name="20% - Énfasis2 41 2 2" xfId="3277" xr:uid="{00000000-0005-0000-0000-0000D00C0000}"/>
    <cellStyle name="20% - Énfasis2 41 3" xfId="3278" xr:uid="{00000000-0005-0000-0000-0000D10C0000}"/>
    <cellStyle name="20% - Énfasis2 42" xfId="3279" xr:uid="{00000000-0005-0000-0000-0000D20C0000}"/>
    <cellStyle name="20% - Énfasis2 42 2" xfId="3280" xr:uid="{00000000-0005-0000-0000-0000D30C0000}"/>
    <cellStyle name="20% - Énfasis2 42 2 2" xfId="3281" xr:uid="{00000000-0005-0000-0000-0000D40C0000}"/>
    <cellStyle name="20% - Énfasis2 42 3" xfId="3282" xr:uid="{00000000-0005-0000-0000-0000D50C0000}"/>
    <cellStyle name="20% - Énfasis2 43" xfId="3283" xr:uid="{00000000-0005-0000-0000-0000D60C0000}"/>
    <cellStyle name="20% - Énfasis2 43 2" xfId="3284" xr:uid="{00000000-0005-0000-0000-0000D70C0000}"/>
    <cellStyle name="20% - Énfasis2 43 2 2" xfId="3285" xr:uid="{00000000-0005-0000-0000-0000D80C0000}"/>
    <cellStyle name="20% - Énfasis2 43 3" xfId="3286" xr:uid="{00000000-0005-0000-0000-0000D90C0000}"/>
    <cellStyle name="20% - Énfasis2 44" xfId="3287" xr:uid="{00000000-0005-0000-0000-0000DA0C0000}"/>
    <cellStyle name="20% - Énfasis2 44 2" xfId="3288" xr:uid="{00000000-0005-0000-0000-0000DB0C0000}"/>
    <cellStyle name="20% - Énfasis2 44 2 2" xfId="3289" xr:uid="{00000000-0005-0000-0000-0000DC0C0000}"/>
    <cellStyle name="20% - Énfasis2 44 3" xfId="3290" xr:uid="{00000000-0005-0000-0000-0000DD0C0000}"/>
    <cellStyle name="20% - Énfasis2 45" xfId="3291" xr:uid="{00000000-0005-0000-0000-0000DE0C0000}"/>
    <cellStyle name="20% - Énfasis2 45 2" xfId="3292" xr:uid="{00000000-0005-0000-0000-0000DF0C0000}"/>
    <cellStyle name="20% - Énfasis2 45 2 2" xfId="3293" xr:uid="{00000000-0005-0000-0000-0000E00C0000}"/>
    <cellStyle name="20% - Énfasis2 45 3" xfId="3294" xr:uid="{00000000-0005-0000-0000-0000E10C0000}"/>
    <cellStyle name="20% - Énfasis2 46" xfId="3295" xr:uid="{00000000-0005-0000-0000-0000E20C0000}"/>
    <cellStyle name="20% - Énfasis2 46 2" xfId="3296" xr:uid="{00000000-0005-0000-0000-0000E30C0000}"/>
    <cellStyle name="20% - Énfasis2 46 2 2" xfId="3297" xr:uid="{00000000-0005-0000-0000-0000E40C0000}"/>
    <cellStyle name="20% - Énfasis2 46 3" xfId="3298" xr:uid="{00000000-0005-0000-0000-0000E50C0000}"/>
    <cellStyle name="20% - Énfasis2 47" xfId="3299" xr:uid="{00000000-0005-0000-0000-0000E60C0000}"/>
    <cellStyle name="20% - Énfasis2 47 2" xfId="3300" xr:uid="{00000000-0005-0000-0000-0000E70C0000}"/>
    <cellStyle name="20% - Énfasis2 47 2 2" xfId="3301" xr:uid="{00000000-0005-0000-0000-0000E80C0000}"/>
    <cellStyle name="20% - Énfasis2 47 3" xfId="3302" xr:uid="{00000000-0005-0000-0000-0000E90C0000}"/>
    <cellStyle name="20% - Énfasis2 48" xfId="3303" xr:uid="{00000000-0005-0000-0000-0000EA0C0000}"/>
    <cellStyle name="20% - Énfasis2 48 2" xfId="3304" xr:uid="{00000000-0005-0000-0000-0000EB0C0000}"/>
    <cellStyle name="20% - Énfasis2 48 2 2" xfId="3305" xr:uid="{00000000-0005-0000-0000-0000EC0C0000}"/>
    <cellStyle name="20% - Énfasis2 48 3" xfId="3306" xr:uid="{00000000-0005-0000-0000-0000ED0C0000}"/>
    <cellStyle name="20% - Énfasis2 49" xfId="3307" xr:uid="{00000000-0005-0000-0000-0000EE0C0000}"/>
    <cellStyle name="20% - Énfasis2 49 2" xfId="3308" xr:uid="{00000000-0005-0000-0000-0000EF0C0000}"/>
    <cellStyle name="20% - Énfasis2 5" xfId="3309" xr:uid="{00000000-0005-0000-0000-0000F00C0000}"/>
    <cellStyle name="20% - Énfasis2 5 2" xfId="3310" xr:uid="{00000000-0005-0000-0000-0000F10C0000}"/>
    <cellStyle name="20% - Énfasis2 5 2 2" xfId="3311" xr:uid="{00000000-0005-0000-0000-0000F20C0000}"/>
    <cellStyle name="20% - Énfasis2 5 2 2 2" xfId="3312" xr:uid="{00000000-0005-0000-0000-0000F30C0000}"/>
    <cellStyle name="20% - Énfasis2 5 2 2 2 2" xfId="3313" xr:uid="{00000000-0005-0000-0000-0000F40C0000}"/>
    <cellStyle name="20% - Énfasis2 5 2 2 2 2 2" xfId="3314" xr:uid="{00000000-0005-0000-0000-0000F50C0000}"/>
    <cellStyle name="20% - Énfasis2 5 2 2 2 3" xfId="3315" xr:uid="{00000000-0005-0000-0000-0000F60C0000}"/>
    <cellStyle name="20% - Énfasis2 5 2 2 3" xfId="3316" xr:uid="{00000000-0005-0000-0000-0000F70C0000}"/>
    <cellStyle name="20% - Énfasis2 5 2 2 3 2" xfId="3317" xr:uid="{00000000-0005-0000-0000-0000F80C0000}"/>
    <cellStyle name="20% - Énfasis2 5 2 2 3 2 2" xfId="3318" xr:uid="{00000000-0005-0000-0000-0000F90C0000}"/>
    <cellStyle name="20% - Énfasis2 5 2 2 3 3" xfId="3319" xr:uid="{00000000-0005-0000-0000-0000FA0C0000}"/>
    <cellStyle name="20% - Énfasis2 5 2 2 4" xfId="3320" xr:uid="{00000000-0005-0000-0000-0000FB0C0000}"/>
    <cellStyle name="20% - Énfasis2 5 2 2 4 2" xfId="3321" xr:uid="{00000000-0005-0000-0000-0000FC0C0000}"/>
    <cellStyle name="20% - Énfasis2 5 2 2 5" xfId="3322" xr:uid="{00000000-0005-0000-0000-0000FD0C0000}"/>
    <cellStyle name="20% - Énfasis2 5 2 3" xfId="3323" xr:uid="{00000000-0005-0000-0000-0000FE0C0000}"/>
    <cellStyle name="20% - Énfasis2 5 2 3 2" xfId="3324" xr:uid="{00000000-0005-0000-0000-0000FF0C0000}"/>
    <cellStyle name="20% - Énfasis2 5 2 3 2 2" xfId="3325" xr:uid="{00000000-0005-0000-0000-0000000D0000}"/>
    <cellStyle name="20% - Énfasis2 5 2 3 2 2 2" xfId="3326" xr:uid="{00000000-0005-0000-0000-0000010D0000}"/>
    <cellStyle name="20% - Énfasis2 5 2 3 2 3" xfId="3327" xr:uid="{00000000-0005-0000-0000-0000020D0000}"/>
    <cellStyle name="20% - Énfasis2 5 2 3 3" xfId="3328" xr:uid="{00000000-0005-0000-0000-0000030D0000}"/>
    <cellStyle name="20% - Énfasis2 5 2 3 3 2" xfId="3329" xr:uid="{00000000-0005-0000-0000-0000040D0000}"/>
    <cellStyle name="20% - Énfasis2 5 2 3 3 2 2" xfId="3330" xr:uid="{00000000-0005-0000-0000-0000050D0000}"/>
    <cellStyle name="20% - Énfasis2 5 2 3 3 3" xfId="3331" xr:uid="{00000000-0005-0000-0000-0000060D0000}"/>
    <cellStyle name="20% - Énfasis2 5 2 3 4" xfId="3332" xr:uid="{00000000-0005-0000-0000-0000070D0000}"/>
    <cellStyle name="20% - Énfasis2 5 2 3 4 2" xfId="3333" xr:uid="{00000000-0005-0000-0000-0000080D0000}"/>
    <cellStyle name="20% - Énfasis2 5 2 3 5" xfId="3334" xr:uid="{00000000-0005-0000-0000-0000090D0000}"/>
    <cellStyle name="20% - Énfasis2 5 2 4" xfId="3335" xr:uid="{00000000-0005-0000-0000-00000A0D0000}"/>
    <cellStyle name="20% - Énfasis2 5 2 4 2" xfId="3336" xr:uid="{00000000-0005-0000-0000-00000B0D0000}"/>
    <cellStyle name="20% - Énfasis2 5 2 4 2 2" xfId="3337" xr:uid="{00000000-0005-0000-0000-00000C0D0000}"/>
    <cellStyle name="20% - Énfasis2 5 2 4 2 2 2" xfId="3338" xr:uid="{00000000-0005-0000-0000-00000D0D0000}"/>
    <cellStyle name="20% - Énfasis2 5 2 4 2 3" xfId="3339" xr:uid="{00000000-0005-0000-0000-00000E0D0000}"/>
    <cellStyle name="20% - Énfasis2 5 2 4 3" xfId="3340" xr:uid="{00000000-0005-0000-0000-00000F0D0000}"/>
    <cellStyle name="20% - Énfasis2 5 2 4 3 2" xfId="3341" xr:uid="{00000000-0005-0000-0000-0000100D0000}"/>
    <cellStyle name="20% - Énfasis2 5 2 4 4" xfId="3342" xr:uid="{00000000-0005-0000-0000-0000110D0000}"/>
    <cellStyle name="20% - Énfasis2 5 2 5" xfId="3343" xr:uid="{00000000-0005-0000-0000-0000120D0000}"/>
    <cellStyle name="20% - Énfasis2 5 2 5 2" xfId="3344" xr:uid="{00000000-0005-0000-0000-0000130D0000}"/>
    <cellStyle name="20% - Énfasis2 5 2 5 2 2" xfId="3345" xr:uid="{00000000-0005-0000-0000-0000140D0000}"/>
    <cellStyle name="20% - Énfasis2 5 2 5 3" xfId="3346" xr:uid="{00000000-0005-0000-0000-0000150D0000}"/>
    <cellStyle name="20% - Énfasis2 5 2 6" xfId="3347" xr:uid="{00000000-0005-0000-0000-0000160D0000}"/>
    <cellStyle name="20% - Énfasis2 5 2 6 2" xfId="3348" xr:uid="{00000000-0005-0000-0000-0000170D0000}"/>
    <cellStyle name="20% - Énfasis2 5 2 6 2 2" xfId="3349" xr:uid="{00000000-0005-0000-0000-0000180D0000}"/>
    <cellStyle name="20% - Énfasis2 5 2 6 3" xfId="3350" xr:uid="{00000000-0005-0000-0000-0000190D0000}"/>
    <cellStyle name="20% - Énfasis2 5 2 7" xfId="3351" xr:uid="{00000000-0005-0000-0000-00001A0D0000}"/>
    <cellStyle name="20% - Énfasis2 5 2 7 2" xfId="3352" xr:uid="{00000000-0005-0000-0000-00001B0D0000}"/>
    <cellStyle name="20% - Énfasis2 5 2 8" xfId="3353" xr:uid="{00000000-0005-0000-0000-00001C0D0000}"/>
    <cellStyle name="20% - Énfasis2 5 3" xfId="3354" xr:uid="{00000000-0005-0000-0000-00001D0D0000}"/>
    <cellStyle name="20% - Énfasis2 5 3 2" xfId="3355" xr:uid="{00000000-0005-0000-0000-00001E0D0000}"/>
    <cellStyle name="20% - Énfasis2 5 3 2 2" xfId="3356" xr:uid="{00000000-0005-0000-0000-00001F0D0000}"/>
    <cellStyle name="20% - Énfasis2 5 3 2 2 2" xfId="3357" xr:uid="{00000000-0005-0000-0000-0000200D0000}"/>
    <cellStyle name="20% - Énfasis2 5 3 2 3" xfId="3358" xr:uid="{00000000-0005-0000-0000-0000210D0000}"/>
    <cellStyle name="20% - Énfasis2 5 3 3" xfId="3359" xr:uid="{00000000-0005-0000-0000-0000220D0000}"/>
    <cellStyle name="20% - Énfasis2 5 3 3 2" xfId="3360" xr:uid="{00000000-0005-0000-0000-0000230D0000}"/>
    <cellStyle name="20% - Énfasis2 5 3 3 2 2" xfId="3361" xr:uid="{00000000-0005-0000-0000-0000240D0000}"/>
    <cellStyle name="20% - Énfasis2 5 3 3 3" xfId="3362" xr:uid="{00000000-0005-0000-0000-0000250D0000}"/>
    <cellStyle name="20% - Énfasis2 5 3 4" xfId="3363" xr:uid="{00000000-0005-0000-0000-0000260D0000}"/>
    <cellStyle name="20% - Énfasis2 5 3 4 2" xfId="3364" xr:uid="{00000000-0005-0000-0000-0000270D0000}"/>
    <cellStyle name="20% - Énfasis2 5 3 5" xfId="3365" xr:uid="{00000000-0005-0000-0000-0000280D0000}"/>
    <cellStyle name="20% - Énfasis2 5 4" xfId="3366" xr:uid="{00000000-0005-0000-0000-0000290D0000}"/>
    <cellStyle name="20% - Énfasis2 5 4 2" xfId="3367" xr:uid="{00000000-0005-0000-0000-00002A0D0000}"/>
    <cellStyle name="20% - Énfasis2 5 4 2 2" xfId="3368" xr:uid="{00000000-0005-0000-0000-00002B0D0000}"/>
    <cellStyle name="20% - Énfasis2 5 4 2 2 2" xfId="3369" xr:uid="{00000000-0005-0000-0000-00002C0D0000}"/>
    <cellStyle name="20% - Énfasis2 5 4 2 3" xfId="3370" xr:uid="{00000000-0005-0000-0000-00002D0D0000}"/>
    <cellStyle name="20% - Énfasis2 5 4 3" xfId="3371" xr:uid="{00000000-0005-0000-0000-00002E0D0000}"/>
    <cellStyle name="20% - Énfasis2 5 4 3 2" xfId="3372" xr:uid="{00000000-0005-0000-0000-00002F0D0000}"/>
    <cellStyle name="20% - Énfasis2 5 4 3 2 2" xfId="3373" xr:uid="{00000000-0005-0000-0000-0000300D0000}"/>
    <cellStyle name="20% - Énfasis2 5 4 3 3" xfId="3374" xr:uid="{00000000-0005-0000-0000-0000310D0000}"/>
    <cellStyle name="20% - Énfasis2 5 4 4" xfId="3375" xr:uid="{00000000-0005-0000-0000-0000320D0000}"/>
    <cellStyle name="20% - Énfasis2 5 4 4 2" xfId="3376" xr:uid="{00000000-0005-0000-0000-0000330D0000}"/>
    <cellStyle name="20% - Énfasis2 5 4 5" xfId="3377" xr:uid="{00000000-0005-0000-0000-0000340D0000}"/>
    <cellStyle name="20% - Énfasis2 5 5" xfId="3378" xr:uid="{00000000-0005-0000-0000-0000350D0000}"/>
    <cellStyle name="20% - Énfasis2 5 5 2" xfId="3379" xr:uid="{00000000-0005-0000-0000-0000360D0000}"/>
    <cellStyle name="20% - Énfasis2 5 5 2 2" xfId="3380" xr:uid="{00000000-0005-0000-0000-0000370D0000}"/>
    <cellStyle name="20% - Énfasis2 5 5 2 2 2" xfId="3381" xr:uid="{00000000-0005-0000-0000-0000380D0000}"/>
    <cellStyle name="20% - Énfasis2 5 5 2 3" xfId="3382" xr:uid="{00000000-0005-0000-0000-0000390D0000}"/>
    <cellStyle name="20% - Énfasis2 5 5 3" xfId="3383" xr:uid="{00000000-0005-0000-0000-00003A0D0000}"/>
    <cellStyle name="20% - Énfasis2 5 5 3 2" xfId="3384" xr:uid="{00000000-0005-0000-0000-00003B0D0000}"/>
    <cellStyle name="20% - Énfasis2 5 5 4" xfId="3385" xr:uid="{00000000-0005-0000-0000-00003C0D0000}"/>
    <cellStyle name="20% - Énfasis2 5 6" xfId="3386" xr:uid="{00000000-0005-0000-0000-00003D0D0000}"/>
    <cellStyle name="20% - Énfasis2 5 6 2" xfId="3387" xr:uid="{00000000-0005-0000-0000-00003E0D0000}"/>
    <cellStyle name="20% - Énfasis2 5 6 2 2" xfId="3388" xr:uid="{00000000-0005-0000-0000-00003F0D0000}"/>
    <cellStyle name="20% - Énfasis2 5 6 3" xfId="3389" xr:uid="{00000000-0005-0000-0000-0000400D0000}"/>
    <cellStyle name="20% - Énfasis2 5 7" xfId="3390" xr:uid="{00000000-0005-0000-0000-0000410D0000}"/>
    <cellStyle name="20% - Énfasis2 5 7 2" xfId="3391" xr:uid="{00000000-0005-0000-0000-0000420D0000}"/>
    <cellStyle name="20% - Énfasis2 5 7 2 2" xfId="3392" xr:uid="{00000000-0005-0000-0000-0000430D0000}"/>
    <cellStyle name="20% - Énfasis2 5 7 3" xfId="3393" xr:uid="{00000000-0005-0000-0000-0000440D0000}"/>
    <cellStyle name="20% - Énfasis2 5 8" xfId="3394" xr:uid="{00000000-0005-0000-0000-0000450D0000}"/>
    <cellStyle name="20% - Énfasis2 5 8 2" xfId="3395" xr:uid="{00000000-0005-0000-0000-0000460D0000}"/>
    <cellStyle name="20% - Énfasis2 5 9" xfId="3396" xr:uid="{00000000-0005-0000-0000-0000470D0000}"/>
    <cellStyle name="20% - Énfasis2 50" xfId="3397" xr:uid="{00000000-0005-0000-0000-0000480D0000}"/>
    <cellStyle name="20% - Énfasis2 50 2" xfId="3398" xr:uid="{00000000-0005-0000-0000-0000490D0000}"/>
    <cellStyle name="20% - Énfasis2 51" xfId="3399" xr:uid="{00000000-0005-0000-0000-00004A0D0000}"/>
    <cellStyle name="20% - Énfasis2 51 2" xfId="3400" xr:uid="{00000000-0005-0000-0000-00004B0D0000}"/>
    <cellStyle name="20% - Énfasis2 52" xfId="3401" xr:uid="{00000000-0005-0000-0000-00004C0D0000}"/>
    <cellStyle name="20% - Énfasis2 52 2" xfId="3402" xr:uid="{00000000-0005-0000-0000-00004D0D0000}"/>
    <cellStyle name="20% - Énfasis2 53" xfId="3403" xr:uid="{00000000-0005-0000-0000-00004E0D0000}"/>
    <cellStyle name="20% - Énfasis2 53 2" xfId="3404" xr:uid="{00000000-0005-0000-0000-00004F0D0000}"/>
    <cellStyle name="20% - Énfasis2 54" xfId="3405" xr:uid="{00000000-0005-0000-0000-0000500D0000}"/>
    <cellStyle name="20% - Énfasis2 54 2" xfId="3406" xr:uid="{00000000-0005-0000-0000-0000510D0000}"/>
    <cellStyle name="20% - Énfasis2 55" xfId="3407" xr:uid="{00000000-0005-0000-0000-0000520D0000}"/>
    <cellStyle name="20% - Énfasis2 55 2" xfId="3408" xr:uid="{00000000-0005-0000-0000-0000530D0000}"/>
    <cellStyle name="20% - Énfasis2 56" xfId="3409" xr:uid="{00000000-0005-0000-0000-0000540D0000}"/>
    <cellStyle name="20% - Énfasis2 56 2" xfId="3410" xr:uid="{00000000-0005-0000-0000-0000550D0000}"/>
    <cellStyle name="20% - Énfasis2 57" xfId="3411" xr:uid="{00000000-0005-0000-0000-0000560D0000}"/>
    <cellStyle name="20% - Énfasis2 57 2" xfId="3412" xr:uid="{00000000-0005-0000-0000-0000570D0000}"/>
    <cellStyle name="20% - Énfasis2 58" xfId="3413" xr:uid="{00000000-0005-0000-0000-0000580D0000}"/>
    <cellStyle name="20% - Énfasis2 58 2" xfId="3414" xr:uid="{00000000-0005-0000-0000-0000590D0000}"/>
    <cellStyle name="20% - Énfasis2 59" xfId="3415" xr:uid="{00000000-0005-0000-0000-00005A0D0000}"/>
    <cellStyle name="20% - Énfasis2 59 2" xfId="3416" xr:uid="{00000000-0005-0000-0000-00005B0D0000}"/>
    <cellStyle name="20% - Énfasis2 6" xfId="3417" xr:uid="{00000000-0005-0000-0000-00005C0D0000}"/>
    <cellStyle name="20% - Énfasis2 6 2" xfId="3418" xr:uid="{00000000-0005-0000-0000-00005D0D0000}"/>
    <cellStyle name="20% - Énfasis2 6 2 2" xfId="3419" xr:uid="{00000000-0005-0000-0000-00005E0D0000}"/>
    <cellStyle name="20% - Énfasis2 6 2 2 2" xfId="3420" xr:uid="{00000000-0005-0000-0000-00005F0D0000}"/>
    <cellStyle name="20% - Énfasis2 6 2 2 2 2" xfId="3421" xr:uid="{00000000-0005-0000-0000-0000600D0000}"/>
    <cellStyle name="20% - Énfasis2 6 2 2 2 2 2" xfId="3422" xr:uid="{00000000-0005-0000-0000-0000610D0000}"/>
    <cellStyle name="20% - Énfasis2 6 2 2 2 3" xfId="3423" xr:uid="{00000000-0005-0000-0000-0000620D0000}"/>
    <cellStyle name="20% - Énfasis2 6 2 2 3" xfId="3424" xr:uid="{00000000-0005-0000-0000-0000630D0000}"/>
    <cellStyle name="20% - Énfasis2 6 2 2 3 2" xfId="3425" xr:uid="{00000000-0005-0000-0000-0000640D0000}"/>
    <cellStyle name="20% - Énfasis2 6 2 2 4" xfId="3426" xr:uid="{00000000-0005-0000-0000-0000650D0000}"/>
    <cellStyle name="20% - Énfasis2 6 2 3" xfId="3427" xr:uid="{00000000-0005-0000-0000-0000660D0000}"/>
    <cellStyle name="20% - Énfasis2 6 2 3 2" xfId="3428" xr:uid="{00000000-0005-0000-0000-0000670D0000}"/>
    <cellStyle name="20% - Énfasis2 6 2 3 2 2" xfId="3429" xr:uid="{00000000-0005-0000-0000-0000680D0000}"/>
    <cellStyle name="20% - Énfasis2 6 2 3 3" xfId="3430" xr:uid="{00000000-0005-0000-0000-0000690D0000}"/>
    <cellStyle name="20% - Énfasis2 6 2 4" xfId="3431" xr:uid="{00000000-0005-0000-0000-00006A0D0000}"/>
    <cellStyle name="20% - Énfasis2 6 2 4 2" xfId="3432" xr:uid="{00000000-0005-0000-0000-00006B0D0000}"/>
    <cellStyle name="20% - Énfasis2 6 2 4 2 2" xfId="3433" xr:uid="{00000000-0005-0000-0000-00006C0D0000}"/>
    <cellStyle name="20% - Énfasis2 6 2 4 3" xfId="3434" xr:uid="{00000000-0005-0000-0000-00006D0D0000}"/>
    <cellStyle name="20% - Énfasis2 6 2 5" xfId="3435" xr:uid="{00000000-0005-0000-0000-00006E0D0000}"/>
    <cellStyle name="20% - Énfasis2 6 2 5 2" xfId="3436" xr:uid="{00000000-0005-0000-0000-00006F0D0000}"/>
    <cellStyle name="20% - Énfasis2 6 2 6" xfId="3437" xr:uid="{00000000-0005-0000-0000-0000700D0000}"/>
    <cellStyle name="20% - Énfasis2 6 3" xfId="3438" xr:uid="{00000000-0005-0000-0000-0000710D0000}"/>
    <cellStyle name="20% - Énfasis2 6 3 2" xfId="3439" xr:uid="{00000000-0005-0000-0000-0000720D0000}"/>
    <cellStyle name="20% - Énfasis2 6 3 2 2" xfId="3440" xr:uid="{00000000-0005-0000-0000-0000730D0000}"/>
    <cellStyle name="20% - Énfasis2 6 3 2 2 2" xfId="3441" xr:uid="{00000000-0005-0000-0000-0000740D0000}"/>
    <cellStyle name="20% - Énfasis2 6 3 2 3" xfId="3442" xr:uid="{00000000-0005-0000-0000-0000750D0000}"/>
    <cellStyle name="20% - Énfasis2 6 3 3" xfId="3443" xr:uid="{00000000-0005-0000-0000-0000760D0000}"/>
    <cellStyle name="20% - Énfasis2 6 3 3 2" xfId="3444" xr:uid="{00000000-0005-0000-0000-0000770D0000}"/>
    <cellStyle name="20% - Énfasis2 6 3 3 2 2" xfId="3445" xr:uid="{00000000-0005-0000-0000-0000780D0000}"/>
    <cellStyle name="20% - Énfasis2 6 3 3 3" xfId="3446" xr:uid="{00000000-0005-0000-0000-0000790D0000}"/>
    <cellStyle name="20% - Énfasis2 6 3 4" xfId="3447" xr:uid="{00000000-0005-0000-0000-00007A0D0000}"/>
    <cellStyle name="20% - Énfasis2 6 3 4 2" xfId="3448" xr:uid="{00000000-0005-0000-0000-00007B0D0000}"/>
    <cellStyle name="20% - Énfasis2 6 3 5" xfId="3449" xr:uid="{00000000-0005-0000-0000-00007C0D0000}"/>
    <cellStyle name="20% - Énfasis2 6 4" xfId="3450" xr:uid="{00000000-0005-0000-0000-00007D0D0000}"/>
    <cellStyle name="20% - Énfasis2 6 4 2" xfId="3451" xr:uid="{00000000-0005-0000-0000-00007E0D0000}"/>
    <cellStyle name="20% - Énfasis2 6 4 2 2" xfId="3452" xr:uid="{00000000-0005-0000-0000-00007F0D0000}"/>
    <cellStyle name="20% - Énfasis2 6 4 2 2 2" xfId="3453" xr:uid="{00000000-0005-0000-0000-0000800D0000}"/>
    <cellStyle name="20% - Énfasis2 6 4 2 3" xfId="3454" xr:uid="{00000000-0005-0000-0000-0000810D0000}"/>
    <cellStyle name="20% - Énfasis2 6 4 3" xfId="3455" xr:uid="{00000000-0005-0000-0000-0000820D0000}"/>
    <cellStyle name="20% - Énfasis2 6 4 3 2" xfId="3456" xr:uid="{00000000-0005-0000-0000-0000830D0000}"/>
    <cellStyle name="20% - Énfasis2 6 4 4" xfId="3457" xr:uid="{00000000-0005-0000-0000-0000840D0000}"/>
    <cellStyle name="20% - Énfasis2 6 5" xfId="3458" xr:uid="{00000000-0005-0000-0000-0000850D0000}"/>
    <cellStyle name="20% - Énfasis2 6 5 2" xfId="3459" xr:uid="{00000000-0005-0000-0000-0000860D0000}"/>
    <cellStyle name="20% - Énfasis2 6 5 2 2" xfId="3460" xr:uid="{00000000-0005-0000-0000-0000870D0000}"/>
    <cellStyle name="20% - Énfasis2 6 5 3" xfId="3461" xr:uid="{00000000-0005-0000-0000-0000880D0000}"/>
    <cellStyle name="20% - Énfasis2 6 6" xfId="3462" xr:uid="{00000000-0005-0000-0000-0000890D0000}"/>
    <cellStyle name="20% - Énfasis2 6 6 2" xfId="3463" xr:uid="{00000000-0005-0000-0000-00008A0D0000}"/>
    <cellStyle name="20% - Énfasis2 6 6 2 2" xfId="3464" xr:uid="{00000000-0005-0000-0000-00008B0D0000}"/>
    <cellStyle name="20% - Énfasis2 6 6 3" xfId="3465" xr:uid="{00000000-0005-0000-0000-00008C0D0000}"/>
    <cellStyle name="20% - Énfasis2 6 7" xfId="3466" xr:uid="{00000000-0005-0000-0000-00008D0D0000}"/>
    <cellStyle name="20% - Énfasis2 6 7 2" xfId="3467" xr:uid="{00000000-0005-0000-0000-00008E0D0000}"/>
    <cellStyle name="20% - Énfasis2 6 8" xfId="3468" xr:uid="{00000000-0005-0000-0000-00008F0D0000}"/>
    <cellStyle name="20% - Énfasis2 60" xfId="3469" xr:uid="{00000000-0005-0000-0000-0000900D0000}"/>
    <cellStyle name="20% - Énfasis2 60 2" xfId="3470" xr:uid="{00000000-0005-0000-0000-0000910D0000}"/>
    <cellStyle name="20% - Énfasis2 61" xfId="3471" xr:uid="{00000000-0005-0000-0000-0000920D0000}"/>
    <cellStyle name="20% - Énfasis2 61 2" xfId="3472" xr:uid="{00000000-0005-0000-0000-0000930D0000}"/>
    <cellStyle name="20% - Énfasis2 62" xfId="3473" xr:uid="{00000000-0005-0000-0000-0000940D0000}"/>
    <cellStyle name="20% - Énfasis2 62 2" xfId="3474" xr:uid="{00000000-0005-0000-0000-0000950D0000}"/>
    <cellStyle name="20% - Énfasis2 63" xfId="3475" xr:uid="{00000000-0005-0000-0000-0000960D0000}"/>
    <cellStyle name="20% - Énfasis2 63 2" xfId="3476" xr:uid="{00000000-0005-0000-0000-0000970D0000}"/>
    <cellStyle name="20% - Énfasis2 64" xfId="3477" xr:uid="{00000000-0005-0000-0000-0000980D0000}"/>
    <cellStyle name="20% - Énfasis2 64 2" xfId="3478" xr:uid="{00000000-0005-0000-0000-0000990D0000}"/>
    <cellStyle name="20% - Énfasis2 65" xfId="3479" xr:uid="{00000000-0005-0000-0000-00009A0D0000}"/>
    <cellStyle name="20% - Énfasis2 65 2" xfId="3480" xr:uid="{00000000-0005-0000-0000-00009B0D0000}"/>
    <cellStyle name="20% - Énfasis2 66" xfId="3481" xr:uid="{00000000-0005-0000-0000-00009C0D0000}"/>
    <cellStyle name="20% - Énfasis2 66 2" xfId="3482" xr:uid="{00000000-0005-0000-0000-00009D0D0000}"/>
    <cellStyle name="20% - Énfasis2 7" xfId="3483" xr:uid="{00000000-0005-0000-0000-00009E0D0000}"/>
    <cellStyle name="20% - Énfasis2 7 2" xfId="3484" xr:uid="{00000000-0005-0000-0000-00009F0D0000}"/>
    <cellStyle name="20% - Énfasis2 7 2 2" xfId="3485" xr:uid="{00000000-0005-0000-0000-0000A00D0000}"/>
    <cellStyle name="20% - Énfasis2 7 2 2 2" xfId="3486" xr:uid="{00000000-0005-0000-0000-0000A10D0000}"/>
    <cellStyle name="20% - Énfasis2 7 2 2 2 2" xfId="3487" xr:uid="{00000000-0005-0000-0000-0000A20D0000}"/>
    <cellStyle name="20% - Énfasis2 7 2 2 2 2 2" xfId="3488" xr:uid="{00000000-0005-0000-0000-0000A30D0000}"/>
    <cellStyle name="20% - Énfasis2 7 2 2 2 3" xfId="3489" xr:uid="{00000000-0005-0000-0000-0000A40D0000}"/>
    <cellStyle name="20% - Énfasis2 7 2 2 3" xfId="3490" xr:uid="{00000000-0005-0000-0000-0000A50D0000}"/>
    <cellStyle name="20% - Énfasis2 7 2 2 3 2" xfId="3491" xr:uid="{00000000-0005-0000-0000-0000A60D0000}"/>
    <cellStyle name="20% - Énfasis2 7 2 2 4" xfId="3492" xr:uid="{00000000-0005-0000-0000-0000A70D0000}"/>
    <cellStyle name="20% - Énfasis2 7 2 3" xfId="3493" xr:uid="{00000000-0005-0000-0000-0000A80D0000}"/>
    <cellStyle name="20% - Énfasis2 7 2 3 2" xfId="3494" xr:uid="{00000000-0005-0000-0000-0000A90D0000}"/>
    <cellStyle name="20% - Énfasis2 7 2 3 2 2" xfId="3495" xr:uid="{00000000-0005-0000-0000-0000AA0D0000}"/>
    <cellStyle name="20% - Énfasis2 7 2 3 3" xfId="3496" xr:uid="{00000000-0005-0000-0000-0000AB0D0000}"/>
    <cellStyle name="20% - Énfasis2 7 2 4" xfId="3497" xr:uid="{00000000-0005-0000-0000-0000AC0D0000}"/>
    <cellStyle name="20% - Énfasis2 7 2 4 2" xfId="3498" xr:uid="{00000000-0005-0000-0000-0000AD0D0000}"/>
    <cellStyle name="20% - Énfasis2 7 2 4 2 2" xfId="3499" xr:uid="{00000000-0005-0000-0000-0000AE0D0000}"/>
    <cellStyle name="20% - Énfasis2 7 2 4 3" xfId="3500" xr:uid="{00000000-0005-0000-0000-0000AF0D0000}"/>
    <cellStyle name="20% - Énfasis2 7 2 5" xfId="3501" xr:uid="{00000000-0005-0000-0000-0000B00D0000}"/>
    <cellStyle name="20% - Énfasis2 7 2 5 2" xfId="3502" xr:uid="{00000000-0005-0000-0000-0000B10D0000}"/>
    <cellStyle name="20% - Énfasis2 7 2 6" xfId="3503" xr:uid="{00000000-0005-0000-0000-0000B20D0000}"/>
    <cellStyle name="20% - Énfasis2 7 3" xfId="3504" xr:uid="{00000000-0005-0000-0000-0000B30D0000}"/>
    <cellStyle name="20% - Énfasis2 7 3 2" xfId="3505" xr:uid="{00000000-0005-0000-0000-0000B40D0000}"/>
    <cellStyle name="20% - Énfasis2 7 3 2 2" xfId="3506" xr:uid="{00000000-0005-0000-0000-0000B50D0000}"/>
    <cellStyle name="20% - Énfasis2 7 3 2 2 2" xfId="3507" xr:uid="{00000000-0005-0000-0000-0000B60D0000}"/>
    <cellStyle name="20% - Énfasis2 7 3 2 3" xfId="3508" xr:uid="{00000000-0005-0000-0000-0000B70D0000}"/>
    <cellStyle name="20% - Énfasis2 7 3 3" xfId="3509" xr:uid="{00000000-0005-0000-0000-0000B80D0000}"/>
    <cellStyle name="20% - Énfasis2 7 3 3 2" xfId="3510" xr:uid="{00000000-0005-0000-0000-0000B90D0000}"/>
    <cellStyle name="20% - Énfasis2 7 3 3 2 2" xfId="3511" xr:uid="{00000000-0005-0000-0000-0000BA0D0000}"/>
    <cellStyle name="20% - Énfasis2 7 3 3 3" xfId="3512" xr:uid="{00000000-0005-0000-0000-0000BB0D0000}"/>
    <cellStyle name="20% - Énfasis2 7 3 4" xfId="3513" xr:uid="{00000000-0005-0000-0000-0000BC0D0000}"/>
    <cellStyle name="20% - Énfasis2 7 3 4 2" xfId="3514" xr:uid="{00000000-0005-0000-0000-0000BD0D0000}"/>
    <cellStyle name="20% - Énfasis2 7 3 5" xfId="3515" xr:uid="{00000000-0005-0000-0000-0000BE0D0000}"/>
    <cellStyle name="20% - Énfasis2 7 4" xfId="3516" xr:uid="{00000000-0005-0000-0000-0000BF0D0000}"/>
    <cellStyle name="20% - Énfasis2 7 4 2" xfId="3517" xr:uid="{00000000-0005-0000-0000-0000C00D0000}"/>
    <cellStyle name="20% - Énfasis2 7 4 2 2" xfId="3518" xr:uid="{00000000-0005-0000-0000-0000C10D0000}"/>
    <cellStyle name="20% - Énfasis2 7 4 2 2 2" xfId="3519" xr:uid="{00000000-0005-0000-0000-0000C20D0000}"/>
    <cellStyle name="20% - Énfasis2 7 4 2 3" xfId="3520" xr:uid="{00000000-0005-0000-0000-0000C30D0000}"/>
    <cellStyle name="20% - Énfasis2 7 4 3" xfId="3521" xr:uid="{00000000-0005-0000-0000-0000C40D0000}"/>
    <cellStyle name="20% - Énfasis2 7 4 3 2" xfId="3522" xr:uid="{00000000-0005-0000-0000-0000C50D0000}"/>
    <cellStyle name="20% - Énfasis2 7 4 4" xfId="3523" xr:uid="{00000000-0005-0000-0000-0000C60D0000}"/>
    <cellStyle name="20% - Énfasis2 7 5" xfId="3524" xr:uid="{00000000-0005-0000-0000-0000C70D0000}"/>
    <cellStyle name="20% - Énfasis2 7 5 2" xfId="3525" xr:uid="{00000000-0005-0000-0000-0000C80D0000}"/>
    <cellStyle name="20% - Énfasis2 7 5 2 2" xfId="3526" xr:uid="{00000000-0005-0000-0000-0000C90D0000}"/>
    <cellStyle name="20% - Énfasis2 7 5 3" xfId="3527" xr:uid="{00000000-0005-0000-0000-0000CA0D0000}"/>
    <cellStyle name="20% - Énfasis2 7 6" xfId="3528" xr:uid="{00000000-0005-0000-0000-0000CB0D0000}"/>
    <cellStyle name="20% - Énfasis2 7 6 2" xfId="3529" xr:uid="{00000000-0005-0000-0000-0000CC0D0000}"/>
    <cellStyle name="20% - Énfasis2 7 6 2 2" xfId="3530" xr:uid="{00000000-0005-0000-0000-0000CD0D0000}"/>
    <cellStyle name="20% - Énfasis2 7 6 3" xfId="3531" xr:uid="{00000000-0005-0000-0000-0000CE0D0000}"/>
    <cellStyle name="20% - Énfasis2 7 7" xfId="3532" xr:uid="{00000000-0005-0000-0000-0000CF0D0000}"/>
    <cellStyle name="20% - Énfasis2 7 7 2" xfId="3533" xr:uid="{00000000-0005-0000-0000-0000D00D0000}"/>
    <cellStyle name="20% - Énfasis2 7 8" xfId="3534" xr:uid="{00000000-0005-0000-0000-0000D10D0000}"/>
    <cellStyle name="20% - Énfasis2 8" xfId="3535" xr:uid="{00000000-0005-0000-0000-0000D20D0000}"/>
    <cellStyle name="20% - Énfasis2 8 2" xfId="3536" xr:uid="{00000000-0005-0000-0000-0000D30D0000}"/>
    <cellStyle name="20% - Énfasis2 8 2 2" xfId="3537" xr:uid="{00000000-0005-0000-0000-0000D40D0000}"/>
    <cellStyle name="20% - Énfasis2 8 2 2 2" xfId="3538" xr:uid="{00000000-0005-0000-0000-0000D50D0000}"/>
    <cellStyle name="20% - Énfasis2 8 2 2 2 2" xfId="3539" xr:uid="{00000000-0005-0000-0000-0000D60D0000}"/>
    <cellStyle name="20% - Énfasis2 8 2 2 2 2 2" xfId="3540" xr:uid="{00000000-0005-0000-0000-0000D70D0000}"/>
    <cellStyle name="20% - Énfasis2 8 2 2 2 3" xfId="3541" xr:uid="{00000000-0005-0000-0000-0000D80D0000}"/>
    <cellStyle name="20% - Énfasis2 8 2 2 3" xfId="3542" xr:uid="{00000000-0005-0000-0000-0000D90D0000}"/>
    <cellStyle name="20% - Énfasis2 8 2 2 3 2" xfId="3543" xr:uid="{00000000-0005-0000-0000-0000DA0D0000}"/>
    <cellStyle name="20% - Énfasis2 8 2 2 4" xfId="3544" xr:uid="{00000000-0005-0000-0000-0000DB0D0000}"/>
    <cellStyle name="20% - Énfasis2 8 2 3" xfId="3545" xr:uid="{00000000-0005-0000-0000-0000DC0D0000}"/>
    <cellStyle name="20% - Énfasis2 8 2 3 2" xfId="3546" xr:uid="{00000000-0005-0000-0000-0000DD0D0000}"/>
    <cellStyle name="20% - Énfasis2 8 2 3 2 2" xfId="3547" xr:uid="{00000000-0005-0000-0000-0000DE0D0000}"/>
    <cellStyle name="20% - Énfasis2 8 2 3 3" xfId="3548" xr:uid="{00000000-0005-0000-0000-0000DF0D0000}"/>
    <cellStyle name="20% - Énfasis2 8 2 4" xfId="3549" xr:uid="{00000000-0005-0000-0000-0000E00D0000}"/>
    <cellStyle name="20% - Énfasis2 8 2 4 2" xfId="3550" xr:uid="{00000000-0005-0000-0000-0000E10D0000}"/>
    <cellStyle name="20% - Énfasis2 8 2 4 2 2" xfId="3551" xr:uid="{00000000-0005-0000-0000-0000E20D0000}"/>
    <cellStyle name="20% - Énfasis2 8 2 4 3" xfId="3552" xr:uid="{00000000-0005-0000-0000-0000E30D0000}"/>
    <cellStyle name="20% - Énfasis2 8 2 5" xfId="3553" xr:uid="{00000000-0005-0000-0000-0000E40D0000}"/>
    <cellStyle name="20% - Énfasis2 8 2 5 2" xfId="3554" xr:uid="{00000000-0005-0000-0000-0000E50D0000}"/>
    <cellStyle name="20% - Énfasis2 8 2 6" xfId="3555" xr:uid="{00000000-0005-0000-0000-0000E60D0000}"/>
    <cellStyle name="20% - Énfasis2 8 3" xfId="3556" xr:uid="{00000000-0005-0000-0000-0000E70D0000}"/>
    <cellStyle name="20% - Énfasis2 8 3 2" xfId="3557" xr:uid="{00000000-0005-0000-0000-0000E80D0000}"/>
    <cellStyle name="20% - Énfasis2 8 3 2 2" xfId="3558" xr:uid="{00000000-0005-0000-0000-0000E90D0000}"/>
    <cellStyle name="20% - Énfasis2 8 3 2 2 2" xfId="3559" xr:uid="{00000000-0005-0000-0000-0000EA0D0000}"/>
    <cellStyle name="20% - Énfasis2 8 3 2 3" xfId="3560" xr:uid="{00000000-0005-0000-0000-0000EB0D0000}"/>
    <cellStyle name="20% - Énfasis2 8 3 3" xfId="3561" xr:uid="{00000000-0005-0000-0000-0000EC0D0000}"/>
    <cellStyle name="20% - Énfasis2 8 3 3 2" xfId="3562" xr:uid="{00000000-0005-0000-0000-0000ED0D0000}"/>
    <cellStyle name="20% - Énfasis2 8 3 3 2 2" xfId="3563" xr:uid="{00000000-0005-0000-0000-0000EE0D0000}"/>
    <cellStyle name="20% - Énfasis2 8 3 3 3" xfId="3564" xr:uid="{00000000-0005-0000-0000-0000EF0D0000}"/>
    <cellStyle name="20% - Énfasis2 8 3 4" xfId="3565" xr:uid="{00000000-0005-0000-0000-0000F00D0000}"/>
    <cellStyle name="20% - Énfasis2 8 3 4 2" xfId="3566" xr:uid="{00000000-0005-0000-0000-0000F10D0000}"/>
    <cellStyle name="20% - Énfasis2 8 3 5" xfId="3567" xr:uid="{00000000-0005-0000-0000-0000F20D0000}"/>
    <cellStyle name="20% - Énfasis2 8 4" xfId="3568" xr:uid="{00000000-0005-0000-0000-0000F30D0000}"/>
    <cellStyle name="20% - Énfasis2 8 4 2" xfId="3569" xr:uid="{00000000-0005-0000-0000-0000F40D0000}"/>
    <cellStyle name="20% - Énfasis2 8 4 2 2" xfId="3570" xr:uid="{00000000-0005-0000-0000-0000F50D0000}"/>
    <cellStyle name="20% - Énfasis2 8 4 2 2 2" xfId="3571" xr:uid="{00000000-0005-0000-0000-0000F60D0000}"/>
    <cellStyle name="20% - Énfasis2 8 4 2 3" xfId="3572" xr:uid="{00000000-0005-0000-0000-0000F70D0000}"/>
    <cellStyle name="20% - Énfasis2 8 4 3" xfId="3573" xr:uid="{00000000-0005-0000-0000-0000F80D0000}"/>
    <cellStyle name="20% - Énfasis2 8 4 3 2" xfId="3574" xr:uid="{00000000-0005-0000-0000-0000F90D0000}"/>
    <cellStyle name="20% - Énfasis2 8 4 4" xfId="3575" xr:uid="{00000000-0005-0000-0000-0000FA0D0000}"/>
    <cellStyle name="20% - Énfasis2 8 5" xfId="3576" xr:uid="{00000000-0005-0000-0000-0000FB0D0000}"/>
    <cellStyle name="20% - Énfasis2 8 5 2" xfId="3577" xr:uid="{00000000-0005-0000-0000-0000FC0D0000}"/>
    <cellStyle name="20% - Énfasis2 8 5 2 2" xfId="3578" xr:uid="{00000000-0005-0000-0000-0000FD0D0000}"/>
    <cellStyle name="20% - Énfasis2 8 5 3" xfId="3579" xr:uid="{00000000-0005-0000-0000-0000FE0D0000}"/>
    <cellStyle name="20% - Énfasis2 8 6" xfId="3580" xr:uid="{00000000-0005-0000-0000-0000FF0D0000}"/>
    <cellStyle name="20% - Énfasis2 8 6 2" xfId="3581" xr:uid="{00000000-0005-0000-0000-0000000E0000}"/>
    <cellStyle name="20% - Énfasis2 8 6 2 2" xfId="3582" xr:uid="{00000000-0005-0000-0000-0000010E0000}"/>
    <cellStyle name="20% - Énfasis2 8 6 3" xfId="3583" xr:uid="{00000000-0005-0000-0000-0000020E0000}"/>
    <cellStyle name="20% - Énfasis2 8 7" xfId="3584" xr:uid="{00000000-0005-0000-0000-0000030E0000}"/>
    <cellStyle name="20% - Énfasis2 8 7 2" xfId="3585" xr:uid="{00000000-0005-0000-0000-0000040E0000}"/>
    <cellStyle name="20% - Énfasis2 8 8" xfId="3586" xr:uid="{00000000-0005-0000-0000-0000050E0000}"/>
    <cellStyle name="20% - Énfasis2 9" xfId="3587" xr:uid="{00000000-0005-0000-0000-0000060E0000}"/>
    <cellStyle name="20% - Énfasis2 9 2" xfId="3588" xr:uid="{00000000-0005-0000-0000-0000070E0000}"/>
    <cellStyle name="20% - Énfasis2 9 2 2" xfId="3589" xr:uid="{00000000-0005-0000-0000-0000080E0000}"/>
    <cellStyle name="20% - Énfasis2 9 2 2 2" xfId="3590" xr:uid="{00000000-0005-0000-0000-0000090E0000}"/>
    <cellStyle name="20% - Énfasis2 9 2 2 2 2" xfId="3591" xr:uid="{00000000-0005-0000-0000-00000A0E0000}"/>
    <cellStyle name="20% - Énfasis2 9 2 2 2 2 2" xfId="3592" xr:uid="{00000000-0005-0000-0000-00000B0E0000}"/>
    <cellStyle name="20% - Énfasis2 9 2 2 2 3" xfId="3593" xr:uid="{00000000-0005-0000-0000-00000C0E0000}"/>
    <cellStyle name="20% - Énfasis2 9 2 2 3" xfId="3594" xr:uid="{00000000-0005-0000-0000-00000D0E0000}"/>
    <cellStyle name="20% - Énfasis2 9 2 2 3 2" xfId="3595" xr:uid="{00000000-0005-0000-0000-00000E0E0000}"/>
    <cellStyle name="20% - Énfasis2 9 2 2 4" xfId="3596" xr:uid="{00000000-0005-0000-0000-00000F0E0000}"/>
    <cellStyle name="20% - Énfasis2 9 2 3" xfId="3597" xr:uid="{00000000-0005-0000-0000-0000100E0000}"/>
    <cellStyle name="20% - Énfasis2 9 2 3 2" xfId="3598" xr:uid="{00000000-0005-0000-0000-0000110E0000}"/>
    <cellStyle name="20% - Énfasis2 9 2 3 2 2" xfId="3599" xr:uid="{00000000-0005-0000-0000-0000120E0000}"/>
    <cellStyle name="20% - Énfasis2 9 2 3 3" xfId="3600" xr:uid="{00000000-0005-0000-0000-0000130E0000}"/>
    <cellStyle name="20% - Énfasis2 9 2 4" xfId="3601" xr:uid="{00000000-0005-0000-0000-0000140E0000}"/>
    <cellStyle name="20% - Énfasis2 9 2 4 2" xfId="3602" xr:uid="{00000000-0005-0000-0000-0000150E0000}"/>
    <cellStyle name="20% - Énfasis2 9 2 4 2 2" xfId="3603" xr:uid="{00000000-0005-0000-0000-0000160E0000}"/>
    <cellStyle name="20% - Énfasis2 9 2 4 3" xfId="3604" xr:uid="{00000000-0005-0000-0000-0000170E0000}"/>
    <cellStyle name="20% - Énfasis2 9 2 5" xfId="3605" xr:uid="{00000000-0005-0000-0000-0000180E0000}"/>
    <cellStyle name="20% - Énfasis2 9 2 5 2" xfId="3606" xr:uid="{00000000-0005-0000-0000-0000190E0000}"/>
    <cellStyle name="20% - Énfasis2 9 2 6" xfId="3607" xr:uid="{00000000-0005-0000-0000-00001A0E0000}"/>
    <cellStyle name="20% - Énfasis2 9 3" xfId="3608" xr:uid="{00000000-0005-0000-0000-00001B0E0000}"/>
    <cellStyle name="20% - Énfasis2 9 3 2" xfId="3609" xr:uid="{00000000-0005-0000-0000-00001C0E0000}"/>
    <cellStyle name="20% - Énfasis2 9 3 2 2" xfId="3610" xr:uid="{00000000-0005-0000-0000-00001D0E0000}"/>
    <cellStyle name="20% - Énfasis2 9 3 2 2 2" xfId="3611" xr:uid="{00000000-0005-0000-0000-00001E0E0000}"/>
    <cellStyle name="20% - Énfasis2 9 3 2 3" xfId="3612" xr:uid="{00000000-0005-0000-0000-00001F0E0000}"/>
    <cellStyle name="20% - Énfasis2 9 3 3" xfId="3613" xr:uid="{00000000-0005-0000-0000-0000200E0000}"/>
    <cellStyle name="20% - Énfasis2 9 3 3 2" xfId="3614" xr:uid="{00000000-0005-0000-0000-0000210E0000}"/>
    <cellStyle name="20% - Énfasis2 9 3 3 2 2" xfId="3615" xr:uid="{00000000-0005-0000-0000-0000220E0000}"/>
    <cellStyle name="20% - Énfasis2 9 3 3 3" xfId="3616" xr:uid="{00000000-0005-0000-0000-0000230E0000}"/>
    <cellStyle name="20% - Énfasis2 9 3 4" xfId="3617" xr:uid="{00000000-0005-0000-0000-0000240E0000}"/>
    <cellStyle name="20% - Énfasis2 9 3 4 2" xfId="3618" xr:uid="{00000000-0005-0000-0000-0000250E0000}"/>
    <cellStyle name="20% - Énfasis2 9 3 5" xfId="3619" xr:uid="{00000000-0005-0000-0000-0000260E0000}"/>
    <cellStyle name="20% - Énfasis2 9 4" xfId="3620" xr:uid="{00000000-0005-0000-0000-0000270E0000}"/>
    <cellStyle name="20% - Énfasis2 9 4 2" xfId="3621" xr:uid="{00000000-0005-0000-0000-0000280E0000}"/>
    <cellStyle name="20% - Énfasis2 9 4 2 2" xfId="3622" xr:uid="{00000000-0005-0000-0000-0000290E0000}"/>
    <cellStyle name="20% - Énfasis2 9 4 2 2 2" xfId="3623" xr:uid="{00000000-0005-0000-0000-00002A0E0000}"/>
    <cellStyle name="20% - Énfasis2 9 4 2 3" xfId="3624" xr:uid="{00000000-0005-0000-0000-00002B0E0000}"/>
    <cellStyle name="20% - Énfasis2 9 4 3" xfId="3625" xr:uid="{00000000-0005-0000-0000-00002C0E0000}"/>
    <cellStyle name="20% - Énfasis2 9 4 3 2" xfId="3626" xr:uid="{00000000-0005-0000-0000-00002D0E0000}"/>
    <cellStyle name="20% - Énfasis2 9 4 4" xfId="3627" xr:uid="{00000000-0005-0000-0000-00002E0E0000}"/>
    <cellStyle name="20% - Énfasis2 9 5" xfId="3628" xr:uid="{00000000-0005-0000-0000-00002F0E0000}"/>
    <cellStyle name="20% - Énfasis2 9 5 2" xfId="3629" xr:uid="{00000000-0005-0000-0000-0000300E0000}"/>
    <cellStyle name="20% - Énfasis2 9 5 2 2" xfId="3630" xr:uid="{00000000-0005-0000-0000-0000310E0000}"/>
    <cellStyle name="20% - Énfasis2 9 5 3" xfId="3631" xr:uid="{00000000-0005-0000-0000-0000320E0000}"/>
    <cellStyle name="20% - Énfasis2 9 6" xfId="3632" xr:uid="{00000000-0005-0000-0000-0000330E0000}"/>
    <cellStyle name="20% - Énfasis2 9 6 2" xfId="3633" xr:uid="{00000000-0005-0000-0000-0000340E0000}"/>
    <cellStyle name="20% - Énfasis2 9 6 2 2" xfId="3634" xr:uid="{00000000-0005-0000-0000-0000350E0000}"/>
    <cellStyle name="20% - Énfasis2 9 6 3" xfId="3635" xr:uid="{00000000-0005-0000-0000-0000360E0000}"/>
    <cellStyle name="20% - Énfasis2 9 7" xfId="3636" xr:uid="{00000000-0005-0000-0000-0000370E0000}"/>
    <cellStyle name="20% - Énfasis2 9 7 2" xfId="3637" xr:uid="{00000000-0005-0000-0000-0000380E0000}"/>
    <cellStyle name="20% - Énfasis2 9 8" xfId="3638" xr:uid="{00000000-0005-0000-0000-0000390E0000}"/>
    <cellStyle name="20% - Énfasis3 10" xfId="3639" xr:uid="{00000000-0005-0000-0000-00003A0E0000}"/>
    <cellStyle name="20% - Énfasis3 10 2" xfId="3640" xr:uid="{00000000-0005-0000-0000-00003B0E0000}"/>
    <cellStyle name="20% - Énfasis3 10 2 2" xfId="3641" xr:uid="{00000000-0005-0000-0000-00003C0E0000}"/>
    <cellStyle name="20% - Énfasis3 10 2 2 2" xfId="3642" xr:uid="{00000000-0005-0000-0000-00003D0E0000}"/>
    <cellStyle name="20% - Énfasis3 10 2 2 2 2" xfId="3643" xr:uid="{00000000-0005-0000-0000-00003E0E0000}"/>
    <cellStyle name="20% - Énfasis3 10 2 2 2 2 2" xfId="3644" xr:uid="{00000000-0005-0000-0000-00003F0E0000}"/>
    <cellStyle name="20% - Énfasis3 10 2 2 2 3" xfId="3645" xr:uid="{00000000-0005-0000-0000-0000400E0000}"/>
    <cellStyle name="20% - Énfasis3 10 2 2 3" xfId="3646" xr:uid="{00000000-0005-0000-0000-0000410E0000}"/>
    <cellStyle name="20% - Énfasis3 10 2 2 3 2" xfId="3647" xr:uid="{00000000-0005-0000-0000-0000420E0000}"/>
    <cellStyle name="20% - Énfasis3 10 2 2 4" xfId="3648" xr:uid="{00000000-0005-0000-0000-0000430E0000}"/>
    <cellStyle name="20% - Énfasis3 10 2 3" xfId="3649" xr:uid="{00000000-0005-0000-0000-0000440E0000}"/>
    <cellStyle name="20% - Énfasis3 10 2 3 2" xfId="3650" xr:uid="{00000000-0005-0000-0000-0000450E0000}"/>
    <cellStyle name="20% - Énfasis3 10 2 3 2 2" xfId="3651" xr:uid="{00000000-0005-0000-0000-0000460E0000}"/>
    <cellStyle name="20% - Énfasis3 10 2 3 3" xfId="3652" xr:uid="{00000000-0005-0000-0000-0000470E0000}"/>
    <cellStyle name="20% - Énfasis3 10 2 4" xfId="3653" xr:uid="{00000000-0005-0000-0000-0000480E0000}"/>
    <cellStyle name="20% - Énfasis3 10 2 4 2" xfId="3654" xr:uid="{00000000-0005-0000-0000-0000490E0000}"/>
    <cellStyle name="20% - Énfasis3 10 2 4 2 2" xfId="3655" xr:uid="{00000000-0005-0000-0000-00004A0E0000}"/>
    <cellStyle name="20% - Énfasis3 10 2 4 3" xfId="3656" xr:uid="{00000000-0005-0000-0000-00004B0E0000}"/>
    <cellStyle name="20% - Énfasis3 10 2 5" xfId="3657" xr:uid="{00000000-0005-0000-0000-00004C0E0000}"/>
    <cellStyle name="20% - Énfasis3 10 2 5 2" xfId="3658" xr:uid="{00000000-0005-0000-0000-00004D0E0000}"/>
    <cellStyle name="20% - Énfasis3 10 2 6" xfId="3659" xr:uid="{00000000-0005-0000-0000-00004E0E0000}"/>
    <cellStyle name="20% - Énfasis3 10 3" xfId="3660" xr:uid="{00000000-0005-0000-0000-00004F0E0000}"/>
    <cellStyle name="20% - Énfasis3 10 3 2" xfId="3661" xr:uid="{00000000-0005-0000-0000-0000500E0000}"/>
    <cellStyle name="20% - Énfasis3 10 3 2 2" xfId="3662" xr:uid="{00000000-0005-0000-0000-0000510E0000}"/>
    <cellStyle name="20% - Énfasis3 10 3 2 2 2" xfId="3663" xr:uid="{00000000-0005-0000-0000-0000520E0000}"/>
    <cellStyle name="20% - Énfasis3 10 3 2 3" xfId="3664" xr:uid="{00000000-0005-0000-0000-0000530E0000}"/>
    <cellStyle name="20% - Énfasis3 10 3 3" xfId="3665" xr:uid="{00000000-0005-0000-0000-0000540E0000}"/>
    <cellStyle name="20% - Énfasis3 10 3 3 2" xfId="3666" xr:uid="{00000000-0005-0000-0000-0000550E0000}"/>
    <cellStyle name="20% - Énfasis3 10 3 3 2 2" xfId="3667" xr:uid="{00000000-0005-0000-0000-0000560E0000}"/>
    <cellStyle name="20% - Énfasis3 10 3 3 3" xfId="3668" xr:uid="{00000000-0005-0000-0000-0000570E0000}"/>
    <cellStyle name="20% - Énfasis3 10 3 4" xfId="3669" xr:uid="{00000000-0005-0000-0000-0000580E0000}"/>
    <cellStyle name="20% - Énfasis3 10 3 4 2" xfId="3670" xr:uid="{00000000-0005-0000-0000-0000590E0000}"/>
    <cellStyle name="20% - Énfasis3 10 3 5" xfId="3671" xr:uid="{00000000-0005-0000-0000-00005A0E0000}"/>
    <cellStyle name="20% - Énfasis3 10 4" xfId="3672" xr:uid="{00000000-0005-0000-0000-00005B0E0000}"/>
    <cellStyle name="20% - Énfasis3 10 4 2" xfId="3673" xr:uid="{00000000-0005-0000-0000-00005C0E0000}"/>
    <cellStyle name="20% - Énfasis3 10 4 2 2" xfId="3674" xr:uid="{00000000-0005-0000-0000-00005D0E0000}"/>
    <cellStyle name="20% - Énfasis3 10 4 2 2 2" xfId="3675" xr:uid="{00000000-0005-0000-0000-00005E0E0000}"/>
    <cellStyle name="20% - Énfasis3 10 4 2 3" xfId="3676" xr:uid="{00000000-0005-0000-0000-00005F0E0000}"/>
    <cellStyle name="20% - Énfasis3 10 4 3" xfId="3677" xr:uid="{00000000-0005-0000-0000-0000600E0000}"/>
    <cellStyle name="20% - Énfasis3 10 4 3 2" xfId="3678" xr:uid="{00000000-0005-0000-0000-0000610E0000}"/>
    <cellStyle name="20% - Énfasis3 10 4 4" xfId="3679" xr:uid="{00000000-0005-0000-0000-0000620E0000}"/>
    <cellStyle name="20% - Énfasis3 10 5" xfId="3680" xr:uid="{00000000-0005-0000-0000-0000630E0000}"/>
    <cellStyle name="20% - Énfasis3 10 5 2" xfId="3681" xr:uid="{00000000-0005-0000-0000-0000640E0000}"/>
    <cellStyle name="20% - Énfasis3 10 5 2 2" xfId="3682" xr:uid="{00000000-0005-0000-0000-0000650E0000}"/>
    <cellStyle name="20% - Énfasis3 10 5 3" xfId="3683" xr:uid="{00000000-0005-0000-0000-0000660E0000}"/>
    <cellStyle name="20% - Énfasis3 10 6" xfId="3684" xr:uid="{00000000-0005-0000-0000-0000670E0000}"/>
    <cellStyle name="20% - Énfasis3 10 6 2" xfId="3685" xr:uid="{00000000-0005-0000-0000-0000680E0000}"/>
    <cellStyle name="20% - Énfasis3 10 6 2 2" xfId="3686" xr:uid="{00000000-0005-0000-0000-0000690E0000}"/>
    <cellStyle name="20% - Énfasis3 10 6 3" xfId="3687" xr:uid="{00000000-0005-0000-0000-00006A0E0000}"/>
    <cellStyle name="20% - Énfasis3 10 7" xfId="3688" xr:uid="{00000000-0005-0000-0000-00006B0E0000}"/>
    <cellStyle name="20% - Énfasis3 10 7 2" xfId="3689" xr:uid="{00000000-0005-0000-0000-00006C0E0000}"/>
    <cellStyle name="20% - Énfasis3 10 8" xfId="3690" xr:uid="{00000000-0005-0000-0000-00006D0E0000}"/>
    <cellStyle name="20% - Énfasis3 11" xfId="3691" xr:uid="{00000000-0005-0000-0000-00006E0E0000}"/>
    <cellStyle name="20% - Énfasis3 11 2" xfId="3692" xr:uid="{00000000-0005-0000-0000-00006F0E0000}"/>
    <cellStyle name="20% - Énfasis3 11 2 2" xfId="3693" xr:uid="{00000000-0005-0000-0000-0000700E0000}"/>
    <cellStyle name="20% - Énfasis3 11 2 2 2" xfId="3694" xr:uid="{00000000-0005-0000-0000-0000710E0000}"/>
    <cellStyle name="20% - Énfasis3 11 2 2 2 2" xfId="3695" xr:uid="{00000000-0005-0000-0000-0000720E0000}"/>
    <cellStyle name="20% - Énfasis3 11 2 2 2 2 2" xfId="3696" xr:uid="{00000000-0005-0000-0000-0000730E0000}"/>
    <cellStyle name="20% - Énfasis3 11 2 2 2 3" xfId="3697" xr:uid="{00000000-0005-0000-0000-0000740E0000}"/>
    <cellStyle name="20% - Énfasis3 11 2 2 3" xfId="3698" xr:uid="{00000000-0005-0000-0000-0000750E0000}"/>
    <cellStyle name="20% - Énfasis3 11 2 2 3 2" xfId="3699" xr:uid="{00000000-0005-0000-0000-0000760E0000}"/>
    <cellStyle name="20% - Énfasis3 11 2 2 4" xfId="3700" xr:uid="{00000000-0005-0000-0000-0000770E0000}"/>
    <cellStyle name="20% - Énfasis3 11 2 3" xfId="3701" xr:uid="{00000000-0005-0000-0000-0000780E0000}"/>
    <cellStyle name="20% - Énfasis3 11 2 3 2" xfId="3702" xr:uid="{00000000-0005-0000-0000-0000790E0000}"/>
    <cellStyle name="20% - Énfasis3 11 2 3 2 2" xfId="3703" xr:uid="{00000000-0005-0000-0000-00007A0E0000}"/>
    <cellStyle name="20% - Énfasis3 11 2 3 3" xfId="3704" xr:uid="{00000000-0005-0000-0000-00007B0E0000}"/>
    <cellStyle name="20% - Énfasis3 11 2 4" xfId="3705" xr:uid="{00000000-0005-0000-0000-00007C0E0000}"/>
    <cellStyle name="20% - Énfasis3 11 2 4 2" xfId="3706" xr:uid="{00000000-0005-0000-0000-00007D0E0000}"/>
    <cellStyle name="20% - Énfasis3 11 2 4 2 2" xfId="3707" xr:uid="{00000000-0005-0000-0000-00007E0E0000}"/>
    <cellStyle name="20% - Énfasis3 11 2 4 3" xfId="3708" xr:uid="{00000000-0005-0000-0000-00007F0E0000}"/>
    <cellStyle name="20% - Énfasis3 11 2 5" xfId="3709" xr:uid="{00000000-0005-0000-0000-0000800E0000}"/>
    <cellStyle name="20% - Énfasis3 11 2 5 2" xfId="3710" xr:uid="{00000000-0005-0000-0000-0000810E0000}"/>
    <cellStyle name="20% - Énfasis3 11 2 6" xfId="3711" xr:uid="{00000000-0005-0000-0000-0000820E0000}"/>
    <cellStyle name="20% - Énfasis3 11 3" xfId="3712" xr:uid="{00000000-0005-0000-0000-0000830E0000}"/>
    <cellStyle name="20% - Énfasis3 11 3 2" xfId="3713" xr:uid="{00000000-0005-0000-0000-0000840E0000}"/>
    <cellStyle name="20% - Énfasis3 11 3 2 2" xfId="3714" xr:uid="{00000000-0005-0000-0000-0000850E0000}"/>
    <cellStyle name="20% - Énfasis3 11 3 2 2 2" xfId="3715" xr:uid="{00000000-0005-0000-0000-0000860E0000}"/>
    <cellStyle name="20% - Énfasis3 11 3 2 3" xfId="3716" xr:uid="{00000000-0005-0000-0000-0000870E0000}"/>
    <cellStyle name="20% - Énfasis3 11 3 3" xfId="3717" xr:uid="{00000000-0005-0000-0000-0000880E0000}"/>
    <cellStyle name="20% - Énfasis3 11 3 3 2" xfId="3718" xr:uid="{00000000-0005-0000-0000-0000890E0000}"/>
    <cellStyle name="20% - Énfasis3 11 3 3 2 2" xfId="3719" xr:uid="{00000000-0005-0000-0000-00008A0E0000}"/>
    <cellStyle name="20% - Énfasis3 11 3 3 3" xfId="3720" xr:uid="{00000000-0005-0000-0000-00008B0E0000}"/>
    <cellStyle name="20% - Énfasis3 11 3 4" xfId="3721" xr:uid="{00000000-0005-0000-0000-00008C0E0000}"/>
    <cellStyle name="20% - Énfasis3 11 3 4 2" xfId="3722" xr:uid="{00000000-0005-0000-0000-00008D0E0000}"/>
    <cellStyle name="20% - Énfasis3 11 3 5" xfId="3723" xr:uid="{00000000-0005-0000-0000-00008E0E0000}"/>
    <cellStyle name="20% - Énfasis3 11 4" xfId="3724" xr:uid="{00000000-0005-0000-0000-00008F0E0000}"/>
    <cellStyle name="20% - Énfasis3 11 4 2" xfId="3725" xr:uid="{00000000-0005-0000-0000-0000900E0000}"/>
    <cellStyle name="20% - Énfasis3 11 4 2 2" xfId="3726" xr:uid="{00000000-0005-0000-0000-0000910E0000}"/>
    <cellStyle name="20% - Énfasis3 11 4 2 2 2" xfId="3727" xr:uid="{00000000-0005-0000-0000-0000920E0000}"/>
    <cellStyle name="20% - Énfasis3 11 4 2 3" xfId="3728" xr:uid="{00000000-0005-0000-0000-0000930E0000}"/>
    <cellStyle name="20% - Énfasis3 11 4 3" xfId="3729" xr:uid="{00000000-0005-0000-0000-0000940E0000}"/>
    <cellStyle name="20% - Énfasis3 11 4 3 2" xfId="3730" xr:uid="{00000000-0005-0000-0000-0000950E0000}"/>
    <cellStyle name="20% - Énfasis3 11 4 4" xfId="3731" xr:uid="{00000000-0005-0000-0000-0000960E0000}"/>
    <cellStyle name="20% - Énfasis3 11 5" xfId="3732" xr:uid="{00000000-0005-0000-0000-0000970E0000}"/>
    <cellStyle name="20% - Énfasis3 11 5 2" xfId="3733" xr:uid="{00000000-0005-0000-0000-0000980E0000}"/>
    <cellStyle name="20% - Énfasis3 11 5 2 2" xfId="3734" xr:uid="{00000000-0005-0000-0000-0000990E0000}"/>
    <cellStyle name="20% - Énfasis3 11 5 3" xfId="3735" xr:uid="{00000000-0005-0000-0000-00009A0E0000}"/>
    <cellStyle name="20% - Énfasis3 11 6" xfId="3736" xr:uid="{00000000-0005-0000-0000-00009B0E0000}"/>
    <cellStyle name="20% - Énfasis3 11 6 2" xfId="3737" xr:uid="{00000000-0005-0000-0000-00009C0E0000}"/>
    <cellStyle name="20% - Énfasis3 11 6 2 2" xfId="3738" xr:uid="{00000000-0005-0000-0000-00009D0E0000}"/>
    <cellStyle name="20% - Énfasis3 11 6 3" xfId="3739" xr:uid="{00000000-0005-0000-0000-00009E0E0000}"/>
    <cellStyle name="20% - Énfasis3 11 7" xfId="3740" xr:uid="{00000000-0005-0000-0000-00009F0E0000}"/>
    <cellStyle name="20% - Énfasis3 11 7 2" xfId="3741" xr:uid="{00000000-0005-0000-0000-0000A00E0000}"/>
    <cellStyle name="20% - Énfasis3 11 8" xfId="3742" xr:uid="{00000000-0005-0000-0000-0000A10E0000}"/>
    <cellStyle name="20% - Énfasis3 12" xfId="3743" xr:uid="{00000000-0005-0000-0000-0000A20E0000}"/>
    <cellStyle name="20% - Énfasis3 12 2" xfId="3744" xr:uid="{00000000-0005-0000-0000-0000A30E0000}"/>
    <cellStyle name="20% - Énfasis3 12 2 2" xfId="3745" xr:uid="{00000000-0005-0000-0000-0000A40E0000}"/>
    <cellStyle name="20% - Énfasis3 12 2 2 2" xfId="3746" xr:uid="{00000000-0005-0000-0000-0000A50E0000}"/>
    <cellStyle name="20% - Énfasis3 12 2 2 2 2" xfId="3747" xr:uid="{00000000-0005-0000-0000-0000A60E0000}"/>
    <cellStyle name="20% - Énfasis3 12 2 2 2 2 2" xfId="3748" xr:uid="{00000000-0005-0000-0000-0000A70E0000}"/>
    <cellStyle name="20% - Énfasis3 12 2 2 2 3" xfId="3749" xr:uid="{00000000-0005-0000-0000-0000A80E0000}"/>
    <cellStyle name="20% - Énfasis3 12 2 2 3" xfId="3750" xr:uid="{00000000-0005-0000-0000-0000A90E0000}"/>
    <cellStyle name="20% - Énfasis3 12 2 2 3 2" xfId="3751" xr:uid="{00000000-0005-0000-0000-0000AA0E0000}"/>
    <cellStyle name="20% - Énfasis3 12 2 2 4" xfId="3752" xr:uid="{00000000-0005-0000-0000-0000AB0E0000}"/>
    <cellStyle name="20% - Énfasis3 12 2 3" xfId="3753" xr:uid="{00000000-0005-0000-0000-0000AC0E0000}"/>
    <cellStyle name="20% - Énfasis3 12 2 3 2" xfId="3754" xr:uid="{00000000-0005-0000-0000-0000AD0E0000}"/>
    <cellStyle name="20% - Énfasis3 12 2 3 2 2" xfId="3755" xr:uid="{00000000-0005-0000-0000-0000AE0E0000}"/>
    <cellStyle name="20% - Énfasis3 12 2 3 3" xfId="3756" xr:uid="{00000000-0005-0000-0000-0000AF0E0000}"/>
    <cellStyle name="20% - Énfasis3 12 2 4" xfId="3757" xr:uid="{00000000-0005-0000-0000-0000B00E0000}"/>
    <cellStyle name="20% - Énfasis3 12 2 4 2" xfId="3758" xr:uid="{00000000-0005-0000-0000-0000B10E0000}"/>
    <cellStyle name="20% - Énfasis3 12 2 4 2 2" xfId="3759" xr:uid="{00000000-0005-0000-0000-0000B20E0000}"/>
    <cellStyle name="20% - Énfasis3 12 2 4 3" xfId="3760" xr:uid="{00000000-0005-0000-0000-0000B30E0000}"/>
    <cellStyle name="20% - Énfasis3 12 2 5" xfId="3761" xr:uid="{00000000-0005-0000-0000-0000B40E0000}"/>
    <cellStyle name="20% - Énfasis3 12 2 5 2" xfId="3762" xr:uid="{00000000-0005-0000-0000-0000B50E0000}"/>
    <cellStyle name="20% - Énfasis3 12 2 6" xfId="3763" xr:uid="{00000000-0005-0000-0000-0000B60E0000}"/>
    <cellStyle name="20% - Énfasis3 12 3" xfId="3764" xr:uid="{00000000-0005-0000-0000-0000B70E0000}"/>
    <cellStyle name="20% - Énfasis3 12 3 2" xfId="3765" xr:uid="{00000000-0005-0000-0000-0000B80E0000}"/>
    <cellStyle name="20% - Énfasis3 12 3 2 2" xfId="3766" xr:uid="{00000000-0005-0000-0000-0000B90E0000}"/>
    <cellStyle name="20% - Énfasis3 12 3 2 2 2" xfId="3767" xr:uid="{00000000-0005-0000-0000-0000BA0E0000}"/>
    <cellStyle name="20% - Énfasis3 12 3 2 3" xfId="3768" xr:uid="{00000000-0005-0000-0000-0000BB0E0000}"/>
    <cellStyle name="20% - Énfasis3 12 3 3" xfId="3769" xr:uid="{00000000-0005-0000-0000-0000BC0E0000}"/>
    <cellStyle name="20% - Énfasis3 12 3 3 2" xfId="3770" xr:uid="{00000000-0005-0000-0000-0000BD0E0000}"/>
    <cellStyle name="20% - Énfasis3 12 3 3 2 2" xfId="3771" xr:uid="{00000000-0005-0000-0000-0000BE0E0000}"/>
    <cellStyle name="20% - Énfasis3 12 3 3 3" xfId="3772" xr:uid="{00000000-0005-0000-0000-0000BF0E0000}"/>
    <cellStyle name="20% - Énfasis3 12 3 4" xfId="3773" xr:uid="{00000000-0005-0000-0000-0000C00E0000}"/>
    <cellStyle name="20% - Énfasis3 12 3 4 2" xfId="3774" xr:uid="{00000000-0005-0000-0000-0000C10E0000}"/>
    <cellStyle name="20% - Énfasis3 12 3 5" xfId="3775" xr:uid="{00000000-0005-0000-0000-0000C20E0000}"/>
    <cellStyle name="20% - Énfasis3 12 4" xfId="3776" xr:uid="{00000000-0005-0000-0000-0000C30E0000}"/>
    <cellStyle name="20% - Énfasis3 12 4 2" xfId="3777" xr:uid="{00000000-0005-0000-0000-0000C40E0000}"/>
    <cellStyle name="20% - Énfasis3 12 4 2 2" xfId="3778" xr:uid="{00000000-0005-0000-0000-0000C50E0000}"/>
    <cellStyle name="20% - Énfasis3 12 4 2 2 2" xfId="3779" xr:uid="{00000000-0005-0000-0000-0000C60E0000}"/>
    <cellStyle name="20% - Énfasis3 12 4 2 3" xfId="3780" xr:uid="{00000000-0005-0000-0000-0000C70E0000}"/>
    <cellStyle name="20% - Énfasis3 12 4 3" xfId="3781" xr:uid="{00000000-0005-0000-0000-0000C80E0000}"/>
    <cellStyle name="20% - Énfasis3 12 4 3 2" xfId="3782" xr:uid="{00000000-0005-0000-0000-0000C90E0000}"/>
    <cellStyle name="20% - Énfasis3 12 4 4" xfId="3783" xr:uid="{00000000-0005-0000-0000-0000CA0E0000}"/>
    <cellStyle name="20% - Énfasis3 12 5" xfId="3784" xr:uid="{00000000-0005-0000-0000-0000CB0E0000}"/>
    <cellStyle name="20% - Énfasis3 12 5 2" xfId="3785" xr:uid="{00000000-0005-0000-0000-0000CC0E0000}"/>
    <cellStyle name="20% - Énfasis3 12 5 2 2" xfId="3786" xr:uid="{00000000-0005-0000-0000-0000CD0E0000}"/>
    <cellStyle name="20% - Énfasis3 12 5 3" xfId="3787" xr:uid="{00000000-0005-0000-0000-0000CE0E0000}"/>
    <cellStyle name="20% - Énfasis3 12 6" xfId="3788" xr:uid="{00000000-0005-0000-0000-0000CF0E0000}"/>
    <cellStyle name="20% - Énfasis3 12 6 2" xfId="3789" xr:uid="{00000000-0005-0000-0000-0000D00E0000}"/>
    <cellStyle name="20% - Énfasis3 12 6 2 2" xfId="3790" xr:uid="{00000000-0005-0000-0000-0000D10E0000}"/>
    <cellStyle name="20% - Énfasis3 12 6 3" xfId="3791" xr:uid="{00000000-0005-0000-0000-0000D20E0000}"/>
    <cellStyle name="20% - Énfasis3 12 7" xfId="3792" xr:uid="{00000000-0005-0000-0000-0000D30E0000}"/>
    <cellStyle name="20% - Énfasis3 12 7 2" xfId="3793" xr:uid="{00000000-0005-0000-0000-0000D40E0000}"/>
    <cellStyle name="20% - Énfasis3 12 8" xfId="3794" xr:uid="{00000000-0005-0000-0000-0000D50E0000}"/>
    <cellStyle name="20% - Énfasis3 13" xfId="3795" xr:uid="{00000000-0005-0000-0000-0000D60E0000}"/>
    <cellStyle name="20% - Énfasis3 13 2" xfId="3796" xr:uid="{00000000-0005-0000-0000-0000D70E0000}"/>
    <cellStyle name="20% - Énfasis3 13 2 2" xfId="3797" xr:uid="{00000000-0005-0000-0000-0000D80E0000}"/>
    <cellStyle name="20% - Énfasis3 13 2 2 2" xfId="3798" xr:uid="{00000000-0005-0000-0000-0000D90E0000}"/>
    <cellStyle name="20% - Énfasis3 13 2 2 2 2" xfId="3799" xr:uid="{00000000-0005-0000-0000-0000DA0E0000}"/>
    <cellStyle name="20% - Énfasis3 13 2 2 2 2 2" xfId="3800" xr:uid="{00000000-0005-0000-0000-0000DB0E0000}"/>
    <cellStyle name="20% - Énfasis3 13 2 2 2 3" xfId="3801" xr:uid="{00000000-0005-0000-0000-0000DC0E0000}"/>
    <cellStyle name="20% - Énfasis3 13 2 2 3" xfId="3802" xr:uid="{00000000-0005-0000-0000-0000DD0E0000}"/>
    <cellStyle name="20% - Énfasis3 13 2 2 3 2" xfId="3803" xr:uid="{00000000-0005-0000-0000-0000DE0E0000}"/>
    <cellStyle name="20% - Énfasis3 13 2 2 4" xfId="3804" xr:uid="{00000000-0005-0000-0000-0000DF0E0000}"/>
    <cellStyle name="20% - Énfasis3 13 2 3" xfId="3805" xr:uid="{00000000-0005-0000-0000-0000E00E0000}"/>
    <cellStyle name="20% - Énfasis3 13 2 3 2" xfId="3806" xr:uid="{00000000-0005-0000-0000-0000E10E0000}"/>
    <cellStyle name="20% - Énfasis3 13 2 3 2 2" xfId="3807" xr:uid="{00000000-0005-0000-0000-0000E20E0000}"/>
    <cellStyle name="20% - Énfasis3 13 2 3 3" xfId="3808" xr:uid="{00000000-0005-0000-0000-0000E30E0000}"/>
    <cellStyle name="20% - Énfasis3 13 2 4" xfId="3809" xr:uid="{00000000-0005-0000-0000-0000E40E0000}"/>
    <cellStyle name="20% - Énfasis3 13 2 4 2" xfId="3810" xr:uid="{00000000-0005-0000-0000-0000E50E0000}"/>
    <cellStyle name="20% - Énfasis3 13 2 4 2 2" xfId="3811" xr:uid="{00000000-0005-0000-0000-0000E60E0000}"/>
    <cellStyle name="20% - Énfasis3 13 2 4 3" xfId="3812" xr:uid="{00000000-0005-0000-0000-0000E70E0000}"/>
    <cellStyle name="20% - Énfasis3 13 2 5" xfId="3813" xr:uid="{00000000-0005-0000-0000-0000E80E0000}"/>
    <cellStyle name="20% - Énfasis3 13 2 5 2" xfId="3814" xr:uid="{00000000-0005-0000-0000-0000E90E0000}"/>
    <cellStyle name="20% - Énfasis3 13 2 6" xfId="3815" xr:uid="{00000000-0005-0000-0000-0000EA0E0000}"/>
    <cellStyle name="20% - Énfasis3 13 3" xfId="3816" xr:uid="{00000000-0005-0000-0000-0000EB0E0000}"/>
    <cellStyle name="20% - Énfasis3 13 3 2" xfId="3817" xr:uid="{00000000-0005-0000-0000-0000EC0E0000}"/>
    <cellStyle name="20% - Énfasis3 13 3 2 2" xfId="3818" xr:uid="{00000000-0005-0000-0000-0000ED0E0000}"/>
    <cellStyle name="20% - Énfasis3 13 3 2 2 2" xfId="3819" xr:uid="{00000000-0005-0000-0000-0000EE0E0000}"/>
    <cellStyle name="20% - Énfasis3 13 3 2 3" xfId="3820" xr:uid="{00000000-0005-0000-0000-0000EF0E0000}"/>
    <cellStyle name="20% - Énfasis3 13 3 3" xfId="3821" xr:uid="{00000000-0005-0000-0000-0000F00E0000}"/>
    <cellStyle name="20% - Énfasis3 13 3 3 2" xfId="3822" xr:uid="{00000000-0005-0000-0000-0000F10E0000}"/>
    <cellStyle name="20% - Énfasis3 13 3 3 2 2" xfId="3823" xr:uid="{00000000-0005-0000-0000-0000F20E0000}"/>
    <cellStyle name="20% - Énfasis3 13 3 3 3" xfId="3824" xr:uid="{00000000-0005-0000-0000-0000F30E0000}"/>
    <cellStyle name="20% - Énfasis3 13 3 4" xfId="3825" xr:uid="{00000000-0005-0000-0000-0000F40E0000}"/>
    <cellStyle name="20% - Énfasis3 13 3 4 2" xfId="3826" xr:uid="{00000000-0005-0000-0000-0000F50E0000}"/>
    <cellStyle name="20% - Énfasis3 13 3 5" xfId="3827" xr:uid="{00000000-0005-0000-0000-0000F60E0000}"/>
    <cellStyle name="20% - Énfasis3 13 4" xfId="3828" xr:uid="{00000000-0005-0000-0000-0000F70E0000}"/>
    <cellStyle name="20% - Énfasis3 13 4 2" xfId="3829" xr:uid="{00000000-0005-0000-0000-0000F80E0000}"/>
    <cellStyle name="20% - Énfasis3 13 4 2 2" xfId="3830" xr:uid="{00000000-0005-0000-0000-0000F90E0000}"/>
    <cellStyle name="20% - Énfasis3 13 4 2 2 2" xfId="3831" xr:uid="{00000000-0005-0000-0000-0000FA0E0000}"/>
    <cellStyle name="20% - Énfasis3 13 4 2 3" xfId="3832" xr:uid="{00000000-0005-0000-0000-0000FB0E0000}"/>
    <cellStyle name="20% - Énfasis3 13 4 3" xfId="3833" xr:uid="{00000000-0005-0000-0000-0000FC0E0000}"/>
    <cellStyle name="20% - Énfasis3 13 4 3 2" xfId="3834" xr:uid="{00000000-0005-0000-0000-0000FD0E0000}"/>
    <cellStyle name="20% - Énfasis3 13 4 4" xfId="3835" xr:uid="{00000000-0005-0000-0000-0000FE0E0000}"/>
    <cellStyle name="20% - Énfasis3 13 5" xfId="3836" xr:uid="{00000000-0005-0000-0000-0000FF0E0000}"/>
    <cellStyle name="20% - Énfasis3 13 5 2" xfId="3837" xr:uid="{00000000-0005-0000-0000-0000000F0000}"/>
    <cellStyle name="20% - Énfasis3 13 5 2 2" xfId="3838" xr:uid="{00000000-0005-0000-0000-0000010F0000}"/>
    <cellStyle name="20% - Énfasis3 13 5 3" xfId="3839" xr:uid="{00000000-0005-0000-0000-0000020F0000}"/>
    <cellStyle name="20% - Énfasis3 13 6" xfId="3840" xr:uid="{00000000-0005-0000-0000-0000030F0000}"/>
    <cellStyle name="20% - Énfasis3 13 6 2" xfId="3841" xr:uid="{00000000-0005-0000-0000-0000040F0000}"/>
    <cellStyle name="20% - Énfasis3 13 6 2 2" xfId="3842" xr:uid="{00000000-0005-0000-0000-0000050F0000}"/>
    <cellStyle name="20% - Énfasis3 13 6 3" xfId="3843" xr:uid="{00000000-0005-0000-0000-0000060F0000}"/>
    <cellStyle name="20% - Énfasis3 13 7" xfId="3844" xr:uid="{00000000-0005-0000-0000-0000070F0000}"/>
    <cellStyle name="20% - Énfasis3 13 7 2" xfId="3845" xr:uid="{00000000-0005-0000-0000-0000080F0000}"/>
    <cellStyle name="20% - Énfasis3 13 8" xfId="3846" xr:uid="{00000000-0005-0000-0000-0000090F0000}"/>
    <cellStyle name="20% - Énfasis3 14" xfId="3847" xr:uid="{00000000-0005-0000-0000-00000A0F0000}"/>
    <cellStyle name="20% - Énfasis3 14 2" xfId="3848" xr:uid="{00000000-0005-0000-0000-00000B0F0000}"/>
    <cellStyle name="20% - Énfasis3 14 2 2" xfId="3849" xr:uid="{00000000-0005-0000-0000-00000C0F0000}"/>
    <cellStyle name="20% - Énfasis3 14 2 2 2" xfId="3850" xr:uid="{00000000-0005-0000-0000-00000D0F0000}"/>
    <cellStyle name="20% - Énfasis3 14 2 2 2 2" xfId="3851" xr:uid="{00000000-0005-0000-0000-00000E0F0000}"/>
    <cellStyle name="20% - Énfasis3 14 2 2 2 2 2" xfId="3852" xr:uid="{00000000-0005-0000-0000-00000F0F0000}"/>
    <cellStyle name="20% - Énfasis3 14 2 2 2 3" xfId="3853" xr:uid="{00000000-0005-0000-0000-0000100F0000}"/>
    <cellStyle name="20% - Énfasis3 14 2 2 3" xfId="3854" xr:uid="{00000000-0005-0000-0000-0000110F0000}"/>
    <cellStyle name="20% - Énfasis3 14 2 2 3 2" xfId="3855" xr:uid="{00000000-0005-0000-0000-0000120F0000}"/>
    <cellStyle name="20% - Énfasis3 14 2 2 4" xfId="3856" xr:uid="{00000000-0005-0000-0000-0000130F0000}"/>
    <cellStyle name="20% - Énfasis3 14 2 3" xfId="3857" xr:uid="{00000000-0005-0000-0000-0000140F0000}"/>
    <cellStyle name="20% - Énfasis3 14 2 3 2" xfId="3858" xr:uid="{00000000-0005-0000-0000-0000150F0000}"/>
    <cellStyle name="20% - Énfasis3 14 2 3 2 2" xfId="3859" xr:uid="{00000000-0005-0000-0000-0000160F0000}"/>
    <cellStyle name="20% - Énfasis3 14 2 3 3" xfId="3860" xr:uid="{00000000-0005-0000-0000-0000170F0000}"/>
    <cellStyle name="20% - Énfasis3 14 2 4" xfId="3861" xr:uid="{00000000-0005-0000-0000-0000180F0000}"/>
    <cellStyle name="20% - Énfasis3 14 2 4 2" xfId="3862" xr:uid="{00000000-0005-0000-0000-0000190F0000}"/>
    <cellStyle name="20% - Énfasis3 14 2 4 2 2" xfId="3863" xr:uid="{00000000-0005-0000-0000-00001A0F0000}"/>
    <cellStyle name="20% - Énfasis3 14 2 4 3" xfId="3864" xr:uid="{00000000-0005-0000-0000-00001B0F0000}"/>
    <cellStyle name="20% - Énfasis3 14 2 5" xfId="3865" xr:uid="{00000000-0005-0000-0000-00001C0F0000}"/>
    <cellStyle name="20% - Énfasis3 14 2 5 2" xfId="3866" xr:uid="{00000000-0005-0000-0000-00001D0F0000}"/>
    <cellStyle name="20% - Énfasis3 14 2 6" xfId="3867" xr:uid="{00000000-0005-0000-0000-00001E0F0000}"/>
    <cellStyle name="20% - Énfasis3 14 3" xfId="3868" xr:uid="{00000000-0005-0000-0000-00001F0F0000}"/>
    <cellStyle name="20% - Énfasis3 14 3 2" xfId="3869" xr:uid="{00000000-0005-0000-0000-0000200F0000}"/>
    <cellStyle name="20% - Énfasis3 14 3 2 2" xfId="3870" xr:uid="{00000000-0005-0000-0000-0000210F0000}"/>
    <cellStyle name="20% - Énfasis3 14 3 2 2 2" xfId="3871" xr:uid="{00000000-0005-0000-0000-0000220F0000}"/>
    <cellStyle name="20% - Énfasis3 14 3 2 3" xfId="3872" xr:uid="{00000000-0005-0000-0000-0000230F0000}"/>
    <cellStyle name="20% - Énfasis3 14 3 3" xfId="3873" xr:uid="{00000000-0005-0000-0000-0000240F0000}"/>
    <cellStyle name="20% - Énfasis3 14 3 3 2" xfId="3874" xr:uid="{00000000-0005-0000-0000-0000250F0000}"/>
    <cellStyle name="20% - Énfasis3 14 3 3 2 2" xfId="3875" xr:uid="{00000000-0005-0000-0000-0000260F0000}"/>
    <cellStyle name="20% - Énfasis3 14 3 3 3" xfId="3876" xr:uid="{00000000-0005-0000-0000-0000270F0000}"/>
    <cellStyle name="20% - Énfasis3 14 3 4" xfId="3877" xr:uid="{00000000-0005-0000-0000-0000280F0000}"/>
    <cellStyle name="20% - Énfasis3 14 3 4 2" xfId="3878" xr:uid="{00000000-0005-0000-0000-0000290F0000}"/>
    <cellStyle name="20% - Énfasis3 14 3 5" xfId="3879" xr:uid="{00000000-0005-0000-0000-00002A0F0000}"/>
    <cellStyle name="20% - Énfasis3 14 4" xfId="3880" xr:uid="{00000000-0005-0000-0000-00002B0F0000}"/>
    <cellStyle name="20% - Énfasis3 14 4 2" xfId="3881" xr:uid="{00000000-0005-0000-0000-00002C0F0000}"/>
    <cellStyle name="20% - Énfasis3 14 4 2 2" xfId="3882" xr:uid="{00000000-0005-0000-0000-00002D0F0000}"/>
    <cellStyle name="20% - Énfasis3 14 4 2 2 2" xfId="3883" xr:uid="{00000000-0005-0000-0000-00002E0F0000}"/>
    <cellStyle name="20% - Énfasis3 14 4 2 3" xfId="3884" xr:uid="{00000000-0005-0000-0000-00002F0F0000}"/>
    <cellStyle name="20% - Énfasis3 14 4 3" xfId="3885" xr:uid="{00000000-0005-0000-0000-0000300F0000}"/>
    <cellStyle name="20% - Énfasis3 14 4 3 2" xfId="3886" xr:uid="{00000000-0005-0000-0000-0000310F0000}"/>
    <cellStyle name="20% - Énfasis3 14 4 4" xfId="3887" xr:uid="{00000000-0005-0000-0000-0000320F0000}"/>
    <cellStyle name="20% - Énfasis3 14 5" xfId="3888" xr:uid="{00000000-0005-0000-0000-0000330F0000}"/>
    <cellStyle name="20% - Énfasis3 14 5 2" xfId="3889" xr:uid="{00000000-0005-0000-0000-0000340F0000}"/>
    <cellStyle name="20% - Énfasis3 14 5 2 2" xfId="3890" xr:uid="{00000000-0005-0000-0000-0000350F0000}"/>
    <cellStyle name="20% - Énfasis3 14 5 3" xfId="3891" xr:uid="{00000000-0005-0000-0000-0000360F0000}"/>
    <cellStyle name="20% - Énfasis3 14 6" xfId="3892" xr:uid="{00000000-0005-0000-0000-0000370F0000}"/>
    <cellStyle name="20% - Énfasis3 14 6 2" xfId="3893" xr:uid="{00000000-0005-0000-0000-0000380F0000}"/>
    <cellStyle name="20% - Énfasis3 14 6 2 2" xfId="3894" xr:uid="{00000000-0005-0000-0000-0000390F0000}"/>
    <cellStyle name="20% - Énfasis3 14 6 3" xfId="3895" xr:uid="{00000000-0005-0000-0000-00003A0F0000}"/>
    <cellStyle name="20% - Énfasis3 14 7" xfId="3896" xr:uid="{00000000-0005-0000-0000-00003B0F0000}"/>
    <cellStyle name="20% - Énfasis3 14 7 2" xfId="3897" xr:uid="{00000000-0005-0000-0000-00003C0F0000}"/>
    <cellStyle name="20% - Énfasis3 14 8" xfId="3898" xr:uid="{00000000-0005-0000-0000-00003D0F0000}"/>
    <cellStyle name="20% - Énfasis3 15" xfId="3899" xr:uid="{00000000-0005-0000-0000-00003E0F0000}"/>
    <cellStyle name="20% - Énfasis3 15 2" xfId="3900" xr:uid="{00000000-0005-0000-0000-00003F0F0000}"/>
    <cellStyle name="20% - Énfasis3 15 2 2" xfId="3901" xr:uid="{00000000-0005-0000-0000-0000400F0000}"/>
    <cellStyle name="20% - Énfasis3 15 2 2 2" xfId="3902" xr:uid="{00000000-0005-0000-0000-0000410F0000}"/>
    <cellStyle name="20% - Énfasis3 15 2 2 2 2" xfId="3903" xr:uid="{00000000-0005-0000-0000-0000420F0000}"/>
    <cellStyle name="20% - Énfasis3 15 2 2 2 2 2" xfId="3904" xr:uid="{00000000-0005-0000-0000-0000430F0000}"/>
    <cellStyle name="20% - Énfasis3 15 2 2 2 3" xfId="3905" xr:uid="{00000000-0005-0000-0000-0000440F0000}"/>
    <cellStyle name="20% - Énfasis3 15 2 2 3" xfId="3906" xr:uid="{00000000-0005-0000-0000-0000450F0000}"/>
    <cellStyle name="20% - Énfasis3 15 2 2 3 2" xfId="3907" xr:uid="{00000000-0005-0000-0000-0000460F0000}"/>
    <cellStyle name="20% - Énfasis3 15 2 2 4" xfId="3908" xr:uid="{00000000-0005-0000-0000-0000470F0000}"/>
    <cellStyle name="20% - Énfasis3 15 2 3" xfId="3909" xr:uid="{00000000-0005-0000-0000-0000480F0000}"/>
    <cellStyle name="20% - Énfasis3 15 2 3 2" xfId="3910" xr:uid="{00000000-0005-0000-0000-0000490F0000}"/>
    <cellStyle name="20% - Énfasis3 15 2 3 2 2" xfId="3911" xr:uid="{00000000-0005-0000-0000-00004A0F0000}"/>
    <cellStyle name="20% - Énfasis3 15 2 3 3" xfId="3912" xr:uid="{00000000-0005-0000-0000-00004B0F0000}"/>
    <cellStyle name="20% - Énfasis3 15 2 4" xfId="3913" xr:uid="{00000000-0005-0000-0000-00004C0F0000}"/>
    <cellStyle name="20% - Énfasis3 15 2 4 2" xfId="3914" xr:uid="{00000000-0005-0000-0000-00004D0F0000}"/>
    <cellStyle name="20% - Énfasis3 15 2 4 2 2" xfId="3915" xr:uid="{00000000-0005-0000-0000-00004E0F0000}"/>
    <cellStyle name="20% - Énfasis3 15 2 4 3" xfId="3916" xr:uid="{00000000-0005-0000-0000-00004F0F0000}"/>
    <cellStyle name="20% - Énfasis3 15 2 5" xfId="3917" xr:uid="{00000000-0005-0000-0000-0000500F0000}"/>
    <cellStyle name="20% - Énfasis3 15 2 5 2" xfId="3918" xr:uid="{00000000-0005-0000-0000-0000510F0000}"/>
    <cellStyle name="20% - Énfasis3 15 2 6" xfId="3919" xr:uid="{00000000-0005-0000-0000-0000520F0000}"/>
    <cellStyle name="20% - Énfasis3 15 3" xfId="3920" xr:uid="{00000000-0005-0000-0000-0000530F0000}"/>
    <cellStyle name="20% - Énfasis3 15 3 2" xfId="3921" xr:uid="{00000000-0005-0000-0000-0000540F0000}"/>
    <cellStyle name="20% - Énfasis3 15 3 2 2" xfId="3922" xr:uid="{00000000-0005-0000-0000-0000550F0000}"/>
    <cellStyle name="20% - Énfasis3 15 3 2 2 2" xfId="3923" xr:uid="{00000000-0005-0000-0000-0000560F0000}"/>
    <cellStyle name="20% - Énfasis3 15 3 2 3" xfId="3924" xr:uid="{00000000-0005-0000-0000-0000570F0000}"/>
    <cellStyle name="20% - Énfasis3 15 3 3" xfId="3925" xr:uid="{00000000-0005-0000-0000-0000580F0000}"/>
    <cellStyle name="20% - Énfasis3 15 3 3 2" xfId="3926" xr:uid="{00000000-0005-0000-0000-0000590F0000}"/>
    <cellStyle name="20% - Énfasis3 15 3 3 2 2" xfId="3927" xr:uid="{00000000-0005-0000-0000-00005A0F0000}"/>
    <cellStyle name="20% - Énfasis3 15 3 3 3" xfId="3928" xr:uid="{00000000-0005-0000-0000-00005B0F0000}"/>
    <cellStyle name="20% - Énfasis3 15 3 4" xfId="3929" xr:uid="{00000000-0005-0000-0000-00005C0F0000}"/>
    <cellStyle name="20% - Énfasis3 15 3 4 2" xfId="3930" xr:uid="{00000000-0005-0000-0000-00005D0F0000}"/>
    <cellStyle name="20% - Énfasis3 15 3 5" xfId="3931" xr:uid="{00000000-0005-0000-0000-00005E0F0000}"/>
    <cellStyle name="20% - Énfasis3 15 4" xfId="3932" xr:uid="{00000000-0005-0000-0000-00005F0F0000}"/>
    <cellStyle name="20% - Énfasis3 15 4 2" xfId="3933" xr:uid="{00000000-0005-0000-0000-0000600F0000}"/>
    <cellStyle name="20% - Énfasis3 15 4 2 2" xfId="3934" xr:uid="{00000000-0005-0000-0000-0000610F0000}"/>
    <cellStyle name="20% - Énfasis3 15 4 2 2 2" xfId="3935" xr:uid="{00000000-0005-0000-0000-0000620F0000}"/>
    <cellStyle name="20% - Énfasis3 15 4 2 3" xfId="3936" xr:uid="{00000000-0005-0000-0000-0000630F0000}"/>
    <cellStyle name="20% - Énfasis3 15 4 3" xfId="3937" xr:uid="{00000000-0005-0000-0000-0000640F0000}"/>
    <cellStyle name="20% - Énfasis3 15 4 3 2" xfId="3938" xr:uid="{00000000-0005-0000-0000-0000650F0000}"/>
    <cellStyle name="20% - Énfasis3 15 4 4" xfId="3939" xr:uid="{00000000-0005-0000-0000-0000660F0000}"/>
    <cellStyle name="20% - Énfasis3 15 5" xfId="3940" xr:uid="{00000000-0005-0000-0000-0000670F0000}"/>
    <cellStyle name="20% - Énfasis3 15 5 2" xfId="3941" xr:uid="{00000000-0005-0000-0000-0000680F0000}"/>
    <cellStyle name="20% - Énfasis3 15 5 2 2" xfId="3942" xr:uid="{00000000-0005-0000-0000-0000690F0000}"/>
    <cellStyle name="20% - Énfasis3 15 5 3" xfId="3943" xr:uid="{00000000-0005-0000-0000-00006A0F0000}"/>
    <cellStyle name="20% - Énfasis3 15 6" xfId="3944" xr:uid="{00000000-0005-0000-0000-00006B0F0000}"/>
    <cellStyle name="20% - Énfasis3 15 6 2" xfId="3945" xr:uid="{00000000-0005-0000-0000-00006C0F0000}"/>
    <cellStyle name="20% - Énfasis3 15 6 2 2" xfId="3946" xr:uid="{00000000-0005-0000-0000-00006D0F0000}"/>
    <cellStyle name="20% - Énfasis3 15 6 3" xfId="3947" xr:uid="{00000000-0005-0000-0000-00006E0F0000}"/>
    <cellStyle name="20% - Énfasis3 15 7" xfId="3948" xr:uid="{00000000-0005-0000-0000-00006F0F0000}"/>
    <cellStyle name="20% - Énfasis3 15 7 2" xfId="3949" xr:uid="{00000000-0005-0000-0000-0000700F0000}"/>
    <cellStyle name="20% - Énfasis3 15 8" xfId="3950" xr:uid="{00000000-0005-0000-0000-0000710F0000}"/>
    <cellStyle name="20% - Énfasis3 16" xfId="3951" xr:uid="{00000000-0005-0000-0000-0000720F0000}"/>
    <cellStyle name="20% - Énfasis3 16 2" xfId="3952" xr:uid="{00000000-0005-0000-0000-0000730F0000}"/>
    <cellStyle name="20% - Énfasis3 16 2 2" xfId="3953" xr:uid="{00000000-0005-0000-0000-0000740F0000}"/>
    <cellStyle name="20% - Énfasis3 16 2 2 2" xfId="3954" xr:uid="{00000000-0005-0000-0000-0000750F0000}"/>
    <cellStyle name="20% - Énfasis3 16 2 2 2 2" xfId="3955" xr:uid="{00000000-0005-0000-0000-0000760F0000}"/>
    <cellStyle name="20% - Énfasis3 16 2 2 2 2 2" xfId="3956" xr:uid="{00000000-0005-0000-0000-0000770F0000}"/>
    <cellStyle name="20% - Énfasis3 16 2 2 2 3" xfId="3957" xr:uid="{00000000-0005-0000-0000-0000780F0000}"/>
    <cellStyle name="20% - Énfasis3 16 2 2 3" xfId="3958" xr:uid="{00000000-0005-0000-0000-0000790F0000}"/>
    <cellStyle name="20% - Énfasis3 16 2 2 3 2" xfId="3959" xr:uid="{00000000-0005-0000-0000-00007A0F0000}"/>
    <cellStyle name="20% - Énfasis3 16 2 2 4" xfId="3960" xr:uid="{00000000-0005-0000-0000-00007B0F0000}"/>
    <cellStyle name="20% - Énfasis3 16 2 3" xfId="3961" xr:uid="{00000000-0005-0000-0000-00007C0F0000}"/>
    <cellStyle name="20% - Énfasis3 16 2 3 2" xfId="3962" xr:uid="{00000000-0005-0000-0000-00007D0F0000}"/>
    <cellStyle name="20% - Énfasis3 16 2 3 2 2" xfId="3963" xr:uid="{00000000-0005-0000-0000-00007E0F0000}"/>
    <cellStyle name="20% - Énfasis3 16 2 3 3" xfId="3964" xr:uid="{00000000-0005-0000-0000-00007F0F0000}"/>
    <cellStyle name="20% - Énfasis3 16 2 4" xfId="3965" xr:uid="{00000000-0005-0000-0000-0000800F0000}"/>
    <cellStyle name="20% - Énfasis3 16 2 4 2" xfId="3966" xr:uid="{00000000-0005-0000-0000-0000810F0000}"/>
    <cellStyle name="20% - Énfasis3 16 2 4 2 2" xfId="3967" xr:uid="{00000000-0005-0000-0000-0000820F0000}"/>
    <cellStyle name="20% - Énfasis3 16 2 4 3" xfId="3968" xr:uid="{00000000-0005-0000-0000-0000830F0000}"/>
    <cellStyle name="20% - Énfasis3 16 2 5" xfId="3969" xr:uid="{00000000-0005-0000-0000-0000840F0000}"/>
    <cellStyle name="20% - Énfasis3 16 2 5 2" xfId="3970" xr:uid="{00000000-0005-0000-0000-0000850F0000}"/>
    <cellStyle name="20% - Énfasis3 16 2 6" xfId="3971" xr:uid="{00000000-0005-0000-0000-0000860F0000}"/>
    <cellStyle name="20% - Énfasis3 16 3" xfId="3972" xr:uid="{00000000-0005-0000-0000-0000870F0000}"/>
    <cellStyle name="20% - Énfasis3 16 3 2" xfId="3973" xr:uid="{00000000-0005-0000-0000-0000880F0000}"/>
    <cellStyle name="20% - Énfasis3 16 3 2 2" xfId="3974" xr:uid="{00000000-0005-0000-0000-0000890F0000}"/>
    <cellStyle name="20% - Énfasis3 16 3 2 2 2" xfId="3975" xr:uid="{00000000-0005-0000-0000-00008A0F0000}"/>
    <cellStyle name="20% - Énfasis3 16 3 2 3" xfId="3976" xr:uid="{00000000-0005-0000-0000-00008B0F0000}"/>
    <cellStyle name="20% - Énfasis3 16 3 3" xfId="3977" xr:uid="{00000000-0005-0000-0000-00008C0F0000}"/>
    <cellStyle name="20% - Énfasis3 16 3 3 2" xfId="3978" xr:uid="{00000000-0005-0000-0000-00008D0F0000}"/>
    <cellStyle name="20% - Énfasis3 16 3 3 2 2" xfId="3979" xr:uid="{00000000-0005-0000-0000-00008E0F0000}"/>
    <cellStyle name="20% - Énfasis3 16 3 3 3" xfId="3980" xr:uid="{00000000-0005-0000-0000-00008F0F0000}"/>
    <cellStyle name="20% - Énfasis3 16 3 4" xfId="3981" xr:uid="{00000000-0005-0000-0000-0000900F0000}"/>
    <cellStyle name="20% - Énfasis3 16 3 4 2" xfId="3982" xr:uid="{00000000-0005-0000-0000-0000910F0000}"/>
    <cellStyle name="20% - Énfasis3 16 3 5" xfId="3983" xr:uid="{00000000-0005-0000-0000-0000920F0000}"/>
    <cellStyle name="20% - Énfasis3 16 4" xfId="3984" xr:uid="{00000000-0005-0000-0000-0000930F0000}"/>
    <cellStyle name="20% - Énfasis3 16 4 2" xfId="3985" xr:uid="{00000000-0005-0000-0000-0000940F0000}"/>
    <cellStyle name="20% - Énfasis3 16 4 2 2" xfId="3986" xr:uid="{00000000-0005-0000-0000-0000950F0000}"/>
    <cellStyle name="20% - Énfasis3 16 4 2 2 2" xfId="3987" xr:uid="{00000000-0005-0000-0000-0000960F0000}"/>
    <cellStyle name="20% - Énfasis3 16 4 2 3" xfId="3988" xr:uid="{00000000-0005-0000-0000-0000970F0000}"/>
    <cellStyle name="20% - Énfasis3 16 4 3" xfId="3989" xr:uid="{00000000-0005-0000-0000-0000980F0000}"/>
    <cellStyle name="20% - Énfasis3 16 4 3 2" xfId="3990" xr:uid="{00000000-0005-0000-0000-0000990F0000}"/>
    <cellStyle name="20% - Énfasis3 16 4 4" xfId="3991" xr:uid="{00000000-0005-0000-0000-00009A0F0000}"/>
    <cellStyle name="20% - Énfasis3 16 5" xfId="3992" xr:uid="{00000000-0005-0000-0000-00009B0F0000}"/>
    <cellStyle name="20% - Énfasis3 16 5 2" xfId="3993" xr:uid="{00000000-0005-0000-0000-00009C0F0000}"/>
    <cellStyle name="20% - Énfasis3 16 5 2 2" xfId="3994" xr:uid="{00000000-0005-0000-0000-00009D0F0000}"/>
    <cellStyle name="20% - Énfasis3 16 5 3" xfId="3995" xr:uid="{00000000-0005-0000-0000-00009E0F0000}"/>
    <cellStyle name="20% - Énfasis3 16 6" xfId="3996" xr:uid="{00000000-0005-0000-0000-00009F0F0000}"/>
    <cellStyle name="20% - Énfasis3 16 6 2" xfId="3997" xr:uid="{00000000-0005-0000-0000-0000A00F0000}"/>
    <cellStyle name="20% - Énfasis3 16 6 2 2" xfId="3998" xr:uid="{00000000-0005-0000-0000-0000A10F0000}"/>
    <cellStyle name="20% - Énfasis3 16 6 3" xfId="3999" xr:uid="{00000000-0005-0000-0000-0000A20F0000}"/>
    <cellStyle name="20% - Énfasis3 16 7" xfId="4000" xr:uid="{00000000-0005-0000-0000-0000A30F0000}"/>
    <cellStyle name="20% - Énfasis3 16 7 2" xfId="4001" xr:uid="{00000000-0005-0000-0000-0000A40F0000}"/>
    <cellStyle name="20% - Énfasis3 16 8" xfId="4002" xr:uid="{00000000-0005-0000-0000-0000A50F0000}"/>
    <cellStyle name="20% - Énfasis3 17" xfId="4003" xr:uid="{00000000-0005-0000-0000-0000A60F0000}"/>
    <cellStyle name="20% - Énfasis3 17 2" xfId="4004" xr:uid="{00000000-0005-0000-0000-0000A70F0000}"/>
    <cellStyle name="20% - Énfasis3 17 2 2" xfId="4005" xr:uid="{00000000-0005-0000-0000-0000A80F0000}"/>
    <cellStyle name="20% - Énfasis3 17 2 2 2" xfId="4006" xr:uid="{00000000-0005-0000-0000-0000A90F0000}"/>
    <cellStyle name="20% - Énfasis3 17 2 2 2 2" xfId="4007" xr:uid="{00000000-0005-0000-0000-0000AA0F0000}"/>
    <cellStyle name="20% - Énfasis3 17 2 2 3" xfId="4008" xr:uid="{00000000-0005-0000-0000-0000AB0F0000}"/>
    <cellStyle name="20% - Énfasis3 17 2 3" xfId="4009" xr:uid="{00000000-0005-0000-0000-0000AC0F0000}"/>
    <cellStyle name="20% - Énfasis3 17 2 3 2" xfId="4010" xr:uid="{00000000-0005-0000-0000-0000AD0F0000}"/>
    <cellStyle name="20% - Énfasis3 17 2 3 2 2" xfId="4011" xr:uid="{00000000-0005-0000-0000-0000AE0F0000}"/>
    <cellStyle name="20% - Énfasis3 17 2 3 3" xfId="4012" xr:uid="{00000000-0005-0000-0000-0000AF0F0000}"/>
    <cellStyle name="20% - Énfasis3 17 2 4" xfId="4013" xr:uid="{00000000-0005-0000-0000-0000B00F0000}"/>
    <cellStyle name="20% - Énfasis3 17 2 4 2" xfId="4014" xr:uid="{00000000-0005-0000-0000-0000B10F0000}"/>
    <cellStyle name="20% - Énfasis3 17 2 5" xfId="4015" xr:uid="{00000000-0005-0000-0000-0000B20F0000}"/>
    <cellStyle name="20% - Énfasis3 17 3" xfId="4016" xr:uid="{00000000-0005-0000-0000-0000B30F0000}"/>
    <cellStyle name="20% - Énfasis3 17 3 2" xfId="4017" xr:uid="{00000000-0005-0000-0000-0000B40F0000}"/>
    <cellStyle name="20% - Énfasis3 17 3 2 2" xfId="4018" xr:uid="{00000000-0005-0000-0000-0000B50F0000}"/>
    <cellStyle name="20% - Énfasis3 17 3 2 2 2" xfId="4019" xr:uid="{00000000-0005-0000-0000-0000B60F0000}"/>
    <cellStyle name="20% - Énfasis3 17 3 2 3" xfId="4020" xr:uid="{00000000-0005-0000-0000-0000B70F0000}"/>
    <cellStyle name="20% - Énfasis3 17 3 3" xfId="4021" xr:uid="{00000000-0005-0000-0000-0000B80F0000}"/>
    <cellStyle name="20% - Énfasis3 17 3 3 2" xfId="4022" xr:uid="{00000000-0005-0000-0000-0000B90F0000}"/>
    <cellStyle name="20% - Énfasis3 17 3 4" xfId="4023" xr:uid="{00000000-0005-0000-0000-0000BA0F0000}"/>
    <cellStyle name="20% - Énfasis3 17 4" xfId="4024" xr:uid="{00000000-0005-0000-0000-0000BB0F0000}"/>
    <cellStyle name="20% - Énfasis3 17 4 2" xfId="4025" xr:uid="{00000000-0005-0000-0000-0000BC0F0000}"/>
    <cellStyle name="20% - Énfasis3 17 4 2 2" xfId="4026" xr:uid="{00000000-0005-0000-0000-0000BD0F0000}"/>
    <cellStyle name="20% - Énfasis3 17 4 3" xfId="4027" xr:uid="{00000000-0005-0000-0000-0000BE0F0000}"/>
    <cellStyle name="20% - Énfasis3 17 5" xfId="4028" xr:uid="{00000000-0005-0000-0000-0000BF0F0000}"/>
    <cellStyle name="20% - Énfasis3 17 5 2" xfId="4029" xr:uid="{00000000-0005-0000-0000-0000C00F0000}"/>
    <cellStyle name="20% - Énfasis3 17 5 2 2" xfId="4030" xr:uid="{00000000-0005-0000-0000-0000C10F0000}"/>
    <cellStyle name="20% - Énfasis3 17 5 3" xfId="4031" xr:uid="{00000000-0005-0000-0000-0000C20F0000}"/>
    <cellStyle name="20% - Énfasis3 17 6" xfId="4032" xr:uid="{00000000-0005-0000-0000-0000C30F0000}"/>
    <cellStyle name="20% - Énfasis3 17 6 2" xfId="4033" xr:uid="{00000000-0005-0000-0000-0000C40F0000}"/>
    <cellStyle name="20% - Énfasis3 17 7" xfId="4034" xr:uid="{00000000-0005-0000-0000-0000C50F0000}"/>
    <cellStyle name="20% - Énfasis3 18" xfId="4035" xr:uid="{00000000-0005-0000-0000-0000C60F0000}"/>
    <cellStyle name="20% - Énfasis3 18 2" xfId="4036" xr:uid="{00000000-0005-0000-0000-0000C70F0000}"/>
    <cellStyle name="20% - Énfasis3 18 2 2" xfId="4037" xr:uid="{00000000-0005-0000-0000-0000C80F0000}"/>
    <cellStyle name="20% - Énfasis3 18 2 2 2" xfId="4038" xr:uid="{00000000-0005-0000-0000-0000C90F0000}"/>
    <cellStyle name="20% - Énfasis3 18 2 2 2 2" xfId="4039" xr:uid="{00000000-0005-0000-0000-0000CA0F0000}"/>
    <cellStyle name="20% - Énfasis3 18 2 2 3" xfId="4040" xr:uid="{00000000-0005-0000-0000-0000CB0F0000}"/>
    <cellStyle name="20% - Énfasis3 18 2 3" xfId="4041" xr:uid="{00000000-0005-0000-0000-0000CC0F0000}"/>
    <cellStyle name="20% - Énfasis3 18 2 3 2" xfId="4042" xr:uid="{00000000-0005-0000-0000-0000CD0F0000}"/>
    <cellStyle name="20% - Énfasis3 18 2 3 2 2" xfId="4043" xr:uid="{00000000-0005-0000-0000-0000CE0F0000}"/>
    <cellStyle name="20% - Énfasis3 18 2 3 3" xfId="4044" xr:uid="{00000000-0005-0000-0000-0000CF0F0000}"/>
    <cellStyle name="20% - Énfasis3 18 2 4" xfId="4045" xr:uid="{00000000-0005-0000-0000-0000D00F0000}"/>
    <cellStyle name="20% - Énfasis3 18 2 4 2" xfId="4046" xr:uid="{00000000-0005-0000-0000-0000D10F0000}"/>
    <cellStyle name="20% - Énfasis3 18 2 5" xfId="4047" xr:uid="{00000000-0005-0000-0000-0000D20F0000}"/>
    <cellStyle name="20% - Énfasis3 18 3" xfId="4048" xr:uid="{00000000-0005-0000-0000-0000D30F0000}"/>
    <cellStyle name="20% - Énfasis3 18 3 2" xfId="4049" xr:uid="{00000000-0005-0000-0000-0000D40F0000}"/>
    <cellStyle name="20% - Énfasis3 18 3 2 2" xfId="4050" xr:uid="{00000000-0005-0000-0000-0000D50F0000}"/>
    <cellStyle name="20% - Énfasis3 18 3 2 2 2" xfId="4051" xr:uid="{00000000-0005-0000-0000-0000D60F0000}"/>
    <cellStyle name="20% - Énfasis3 18 3 2 3" xfId="4052" xr:uid="{00000000-0005-0000-0000-0000D70F0000}"/>
    <cellStyle name="20% - Énfasis3 18 3 3" xfId="4053" xr:uid="{00000000-0005-0000-0000-0000D80F0000}"/>
    <cellStyle name="20% - Énfasis3 18 3 3 2" xfId="4054" xr:uid="{00000000-0005-0000-0000-0000D90F0000}"/>
    <cellStyle name="20% - Énfasis3 18 3 4" xfId="4055" xr:uid="{00000000-0005-0000-0000-0000DA0F0000}"/>
    <cellStyle name="20% - Énfasis3 18 4" xfId="4056" xr:uid="{00000000-0005-0000-0000-0000DB0F0000}"/>
    <cellStyle name="20% - Énfasis3 18 4 2" xfId="4057" xr:uid="{00000000-0005-0000-0000-0000DC0F0000}"/>
    <cellStyle name="20% - Énfasis3 18 4 2 2" xfId="4058" xr:uid="{00000000-0005-0000-0000-0000DD0F0000}"/>
    <cellStyle name="20% - Énfasis3 18 4 3" xfId="4059" xr:uid="{00000000-0005-0000-0000-0000DE0F0000}"/>
    <cellStyle name="20% - Énfasis3 18 5" xfId="4060" xr:uid="{00000000-0005-0000-0000-0000DF0F0000}"/>
    <cellStyle name="20% - Énfasis3 18 5 2" xfId="4061" xr:uid="{00000000-0005-0000-0000-0000E00F0000}"/>
    <cellStyle name="20% - Énfasis3 18 5 2 2" xfId="4062" xr:uid="{00000000-0005-0000-0000-0000E10F0000}"/>
    <cellStyle name="20% - Énfasis3 18 5 3" xfId="4063" xr:uid="{00000000-0005-0000-0000-0000E20F0000}"/>
    <cellStyle name="20% - Énfasis3 18 6" xfId="4064" xr:uid="{00000000-0005-0000-0000-0000E30F0000}"/>
    <cellStyle name="20% - Énfasis3 18 6 2" xfId="4065" xr:uid="{00000000-0005-0000-0000-0000E40F0000}"/>
    <cellStyle name="20% - Énfasis3 18 7" xfId="4066" xr:uid="{00000000-0005-0000-0000-0000E50F0000}"/>
    <cellStyle name="20% - Énfasis3 19" xfId="4067" xr:uid="{00000000-0005-0000-0000-0000E60F0000}"/>
    <cellStyle name="20% - Énfasis3 19 2" xfId="4068" xr:uid="{00000000-0005-0000-0000-0000E70F0000}"/>
    <cellStyle name="20% - Énfasis3 19 2 2" xfId="4069" xr:uid="{00000000-0005-0000-0000-0000E80F0000}"/>
    <cellStyle name="20% - Énfasis3 19 2 2 2" xfId="4070" xr:uid="{00000000-0005-0000-0000-0000E90F0000}"/>
    <cellStyle name="20% - Énfasis3 19 2 2 2 2" xfId="4071" xr:uid="{00000000-0005-0000-0000-0000EA0F0000}"/>
    <cellStyle name="20% - Énfasis3 19 2 2 3" xfId="4072" xr:uid="{00000000-0005-0000-0000-0000EB0F0000}"/>
    <cellStyle name="20% - Énfasis3 19 2 3" xfId="4073" xr:uid="{00000000-0005-0000-0000-0000EC0F0000}"/>
    <cellStyle name="20% - Énfasis3 19 2 3 2" xfId="4074" xr:uid="{00000000-0005-0000-0000-0000ED0F0000}"/>
    <cellStyle name="20% - Énfasis3 19 2 3 2 2" xfId="4075" xr:uid="{00000000-0005-0000-0000-0000EE0F0000}"/>
    <cellStyle name="20% - Énfasis3 19 2 3 3" xfId="4076" xr:uid="{00000000-0005-0000-0000-0000EF0F0000}"/>
    <cellStyle name="20% - Énfasis3 19 2 4" xfId="4077" xr:uid="{00000000-0005-0000-0000-0000F00F0000}"/>
    <cellStyle name="20% - Énfasis3 19 2 4 2" xfId="4078" xr:uid="{00000000-0005-0000-0000-0000F10F0000}"/>
    <cellStyle name="20% - Énfasis3 19 2 5" xfId="4079" xr:uid="{00000000-0005-0000-0000-0000F20F0000}"/>
    <cellStyle name="20% - Énfasis3 19 3" xfId="4080" xr:uid="{00000000-0005-0000-0000-0000F30F0000}"/>
    <cellStyle name="20% - Énfasis3 19 3 2" xfId="4081" xr:uid="{00000000-0005-0000-0000-0000F40F0000}"/>
    <cellStyle name="20% - Énfasis3 19 3 2 2" xfId="4082" xr:uid="{00000000-0005-0000-0000-0000F50F0000}"/>
    <cellStyle name="20% - Énfasis3 19 3 2 2 2" xfId="4083" xr:uid="{00000000-0005-0000-0000-0000F60F0000}"/>
    <cellStyle name="20% - Énfasis3 19 3 2 3" xfId="4084" xr:uid="{00000000-0005-0000-0000-0000F70F0000}"/>
    <cellStyle name="20% - Énfasis3 19 3 3" xfId="4085" xr:uid="{00000000-0005-0000-0000-0000F80F0000}"/>
    <cellStyle name="20% - Énfasis3 19 3 3 2" xfId="4086" xr:uid="{00000000-0005-0000-0000-0000F90F0000}"/>
    <cellStyle name="20% - Énfasis3 19 3 4" xfId="4087" xr:uid="{00000000-0005-0000-0000-0000FA0F0000}"/>
    <cellStyle name="20% - Énfasis3 19 4" xfId="4088" xr:uid="{00000000-0005-0000-0000-0000FB0F0000}"/>
    <cellStyle name="20% - Énfasis3 19 4 2" xfId="4089" xr:uid="{00000000-0005-0000-0000-0000FC0F0000}"/>
    <cellStyle name="20% - Énfasis3 19 4 2 2" xfId="4090" xr:uid="{00000000-0005-0000-0000-0000FD0F0000}"/>
    <cellStyle name="20% - Énfasis3 19 4 3" xfId="4091" xr:uid="{00000000-0005-0000-0000-0000FE0F0000}"/>
    <cellStyle name="20% - Énfasis3 19 5" xfId="4092" xr:uid="{00000000-0005-0000-0000-0000FF0F0000}"/>
    <cellStyle name="20% - Énfasis3 19 5 2" xfId="4093" xr:uid="{00000000-0005-0000-0000-000000100000}"/>
    <cellStyle name="20% - Énfasis3 19 5 2 2" xfId="4094" xr:uid="{00000000-0005-0000-0000-000001100000}"/>
    <cellStyle name="20% - Énfasis3 19 5 3" xfId="4095" xr:uid="{00000000-0005-0000-0000-000002100000}"/>
    <cellStyle name="20% - Énfasis3 19 6" xfId="4096" xr:uid="{00000000-0005-0000-0000-000003100000}"/>
    <cellStyle name="20% - Énfasis3 19 6 2" xfId="4097" xr:uid="{00000000-0005-0000-0000-000004100000}"/>
    <cellStyle name="20% - Énfasis3 19 7" xfId="4098" xr:uid="{00000000-0005-0000-0000-000005100000}"/>
    <cellStyle name="20% - Énfasis3 2" xfId="4099" xr:uid="{00000000-0005-0000-0000-000006100000}"/>
    <cellStyle name="20% - Énfasis3 2 10" xfId="4100" xr:uid="{00000000-0005-0000-0000-000007100000}"/>
    <cellStyle name="20% - Énfasis3 2 10 2" xfId="4101" xr:uid="{00000000-0005-0000-0000-000008100000}"/>
    <cellStyle name="20% - Énfasis3 2 11" xfId="4102" xr:uid="{00000000-0005-0000-0000-000009100000}"/>
    <cellStyle name="20% - Énfasis3 2 11 2" xfId="4103" xr:uid="{00000000-0005-0000-0000-00000A100000}"/>
    <cellStyle name="20% - Énfasis3 2 12" xfId="4104" xr:uid="{00000000-0005-0000-0000-00000B100000}"/>
    <cellStyle name="20% - Énfasis3 2 2" xfId="4105" xr:uid="{00000000-0005-0000-0000-00000C100000}"/>
    <cellStyle name="20% - Énfasis3 2 2 2" xfId="4106" xr:uid="{00000000-0005-0000-0000-00000D100000}"/>
    <cellStyle name="20% - Énfasis3 2 2 2 2" xfId="4107" xr:uid="{00000000-0005-0000-0000-00000E100000}"/>
    <cellStyle name="20% - Énfasis3 2 2 2 2 2" xfId="4108" xr:uid="{00000000-0005-0000-0000-00000F100000}"/>
    <cellStyle name="20% - Énfasis3 2 2 2 2 2 2" xfId="4109" xr:uid="{00000000-0005-0000-0000-000010100000}"/>
    <cellStyle name="20% - Énfasis3 2 2 2 2 2 2 2" xfId="4110" xr:uid="{00000000-0005-0000-0000-000011100000}"/>
    <cellStyle name="20% - Énfasis3 2 2 2 2 2 2 2 2" xfId="4111" xr:uid="{00000000-0005-0000-0000-000012100000}"/>
    <cellStyle name="20% - Énfasis3 2 2 2 2 2 2 3" xfId="4112" xr:uid="{00000000-0005-0000-0000-000013100000}"/>
    <cellStyle name="20% - Énfasis3 2 2 2 2 2 3" xfId="4113" xr:uid="{00000000-0005-0000-0000-000014100000}"/>
    <cellStyle name="20% - Énfasis3 2 2 2 2 2 3 2" xfId="4114" xr:uid="{00000000-0005-0000-0000-000015100000}"/>
    <cellStyle name="20% - Énfasis3 2 2 2 2 2 4" xfId="4115" xr:uid="{00000000-0005-0000-0000-000016100000}"/>
    <cellStyle name="20% - Énfasis3 2 2 2 2 3" xfId="4116" xr:uid="{00000000-0005-0000-0000-000017100000}"/>
    <cellStyle name="20% - Énfasis3 2 2 2 2 3 2" xfId="4117" xr:uid="{00000000-0005-0000-0000-000018100000}"/>
    <cellStyle name="20% - Énfasis3 2 2 2 2 3 2 2" xfId="4118" xr:uid="{00000000-0005-0000-0000-000019100000}"/>
    <cellStyle name="20% - Énfasis3 2 2 2 2 3 3" xfId="4119" xr:uid="{00000000-0005-0000-0000-00001A100000}"/>
    <cellStyle name="20% - Énfasis3 2 2 2 2 4" xfId="4120" xr:uid="{00000000-0005-0000-0000-00001B100000}"/>
    <cellStyle name="20% - Énfasis3 2 2 2 2 4 2" xfId="4121" xr:uid="{00000000-0005-0000-0000-00001C100000}"/>
    <cellStyle name="20% - Énfasis3 2 2 2 2 4 2 2" xfId="4122" xr:uid="{00000000-0005-0000-0000-00001D100000}"/>
    <cellStyle name="20% - Énfasis3 2 2 2 2 4 3" xfId="4123" xr:uid="{00000000-0005-0000-0000-00001E100000}"/>
    <cellStyle name="20% - Énfasis3 2 2 2 2 5" xfId="4124" xr:uid="{00000000-0005-0000-0000-00001F100000}"/>
    <cellStyle name="20% - Énfasis3 2 2 2 2 5 2" xfId="4125" xr:uid="{00000000-0005-0000-0000-000020100000}"/>
    <cellStyle name="20% - Énfasis3 2 2 2 2 6" xfId="4126" xr:uid="{00000000-0005-0000-0000-000021100000}"/>
    <cellStyle name="20% - Énfasis3 2 2 2 3" xfId="4127" xr:uid="{00000000-0005-0000-0000-000022100000}"/>
    <cellStyle name="20% - Énfasis3 2 2 2 3 2" xfId="4128" xr:uid="{00000000-0005-0000-0000-000023100000}"/>
    <cellStyle name="20% - Énfasis3 2 2 2 3 2 2" xfId="4129" xr:uid="{00000000-0005-0000-0000-000024100000}"/>
    <cellStyle name="20% - Énfasis3 2 2 2 3 2 2 2" xfId="4130" xr:uid="{00000000-0005-0000-0000-000025100000}"/>
    <cellStyle name="20% - Énfasis3 2 2 2 3 2 3" xfId="4131" xr:uid="{00000000-0005-0000-0000-000026100000}"/>
    <cellStyle name="20% - Énfasis3 2 2 2 3 3" xfId="4132" xr:uid="{00000000-0005-0000-0000-000027100000}"/>
    <cellStyle name="20% - Énfasis3 2 2 2 3 3 2" xfId="4133" xr:uid="{00000000-0005-0000-0000-000028100000}"/>
    <cellStyle name="20% - Énfasis3 2 2 2 3 4" xfId="4134" xr:uid="{00000000-0005-0000-0000-000029100000}"/>
    <cellStyle name="20% - Énfasis3 2 2 2 4" xfId="4135" xr:uid="{00000000-0005-0000-0000-00002A100000}"/>
    <cellStyle name="20% - Énfasis3 2 2 2 4 2" xfId="4136" xr:uid="{00000000-0005-0000-0000-00002B100000}"/>
    <cellStyle name="20% - Énfasis3 2 2 2 4 2 2" xfId="4137" xr:uid="{00000000-0005-0000-0000-00002C100000}"/>
    <cellStyle name="20% - Énfasis3 2 2 2 4 3" xfId="4138" xr:uid="{00000000-0005-0000-0000-00002D100000}"/>
    <cellStyle name="20% - Énfasis3 2 2 2 5" xfId="4139" xr:uid="{00000000-0005-0000-0000-00002E100000}"/>
    <cellStyle name="20% - Énfasis3 2 2 2 5 2" xfId="4140" xr:uid="{00000000-0005-0000-0000-00002F100000}"/>
    <cellStyle name="20% - Énfasis3 2 2 2 5 2 2" xfId="4141" xr:uid="{00000000-0005-0000-0000-000030100000}"/>
    <cellStyle name="20% - Énfasis3 2 2 2 5 3" xfId="4142" xr:uid="{00000000-0005-0000-0000-000031100000}"/>
    <cellStyle name="20% - Énfasis3 2 2 2 6" xfId="4143" xr:uid="{00000000-0005-0000-0000-000032100000}"/>
    <cellStyle name="20% - Énfasis3 2 2 2 6 2" xfId="4144" xr:uid="{00000000-0005-0000-0000-000033100000}"/>
    <cellStyle name="20% - Énfasis3 2 2 2 7" xfId="4145" xr:uid="{00000000-0005-0000-0000-000034100000}"/>
    <cellStyle name="20% - Énfasis3 2 2 3" xfId="4146" xr:uid="{00000000-0005-0000-0000-000035100000}"/>
    <cellStyle name="20% - Énfasis3 2 2 3 2" xfId="4147" xr:uid="{00000000-0005-0000-0000-000036100000}"/>
    <cellStyle name="20% - Énfasis3 2 2 3 2 2" xfId="4148" xr:uid="{00000000-0005-0000-0000-000037100000}"/>
    <cellStyle name="20% - Énfasis3 2 2 3 2 2 2" xfId="4149" xr:uid="{00000000-0005-0000-0000-000038100000}"/>
    <cellStyle name="20% - Énfasis3 2 2 3 2 2 2 2" xfId="4150" xr:uid="{00000000-0005-0000-0000-000039100000}"/>
    <cellStyle name="20% - Énfasis3 2 2 3 2 2 3" xfId="4151" xr:uid="{00000000-0005-0000-0000-00003A100000}"/>
    <cellStyle name="20% - Énfasis3 2 2 3 2 3" xfId="4152" xr:uid="{00000000-0005-0000-0000-00003B100000}"/>
    <cellStyle name="20% - Énfasis3 2 2 3 2 3 2" xfId="4153" xr:uid="{00000000-0005-0000-0000-00003C100000}"/>
    <cellStyle name="20% - Énfasis3 2 2 3 2 4" xfId="4154" xr:uid="{00000000-0005-0000-0000-00003D100000}"/>
    <cellStyle name="20% - Énfasis3 2 2 3 3" xfId="4155" xr:uid="{00000000-0005-0000-0000-00003E100000}"/>
    <cellStyle name="20% - Énfasis3 2 2 3 3 2" xfId="4156" xr:uid="{00000000-0005-0000-0000-00003F100000}"/>
    <cellStyle name="20% - Énfasis3 2 2 3 3 2 2" xfId="4157" xr:uid="{00000000-0005-0000-0000-000040100000}"/>
    <cellStyle name="20% - Énfasis3 2 2 3 3 3" xfId="4158" xr:uid="{00000000-0005-0000-0000-000041100000}"/>
    <cellStyle name="20% - Énfasis3 2 2 3 4" xfId="4159" xr:uid="{00000000-0005-0000-0000-000042100000}"/>
    <cellStyle name="20% - Énfasis3 2 2 3 4 2" xfId="4160" xr:uid="{00000000-0005-0000-0000-000043100000}"/>
    <cellStyle name="20% - Énfasis3 2 2 3 4 2 2" xfId="4161" xr:uid="{00000000-0005-0000-0000-000044100000}"/>
    <cellStyle name="20% - Énfasis3 2 2 3 4 3" xfId="4162" xr:uid="{00000000-0005-0000-0000-000045100000}"/>
    <cellStyle name="20% - Énfasis3 2 2 3 5" xfId="4163" xr:uid="{00000000-0005-0000-0000-000046100000}"/>
    <cellStyle name="20% - Énfasis3 2 2 3 5 2" xfId="4164" xr:uid="{00000000-0005-0000-0000-000047100000}"/>
    <cellStyle name="20% - Énfasis3 2 2 3 6" xfId="4165" xr:uid="{00000000-0005-0000-0000-000048100000}"/>
    <cellStyle name="20% - Énfasis3 2 2 4" xfId="4166" xr:uid="{00000000-0005-0000-0000-000049100000}"/>
    <cellStyle name="20% - Énfasis3 2 2 4 2" xfId="4167" xr:uid="{00000000-0005-0000-0000-00004A100000}"/>
    <cellStyle name="20% - Énfasis3 2 2 4 2 2" xfId="4168" xr:uid="{00000000-0005-0000-0000-00004B100000}"/>
    <cellStyle name="20% - Énfasis3 2 2 4 2 2 2" xfId="4169" xr:uid="{00000000-0005-0000-0000-00004C100000}"/>
    <cellStyle name="20% - Énfasis3 2 2 4 2 3" xfId="4170" xr:uid="{00000000-0005-0000-0000-00004D100000}"/>
    <cellStyle name="20% - Énfasis3 2 2 4 3" xfId="4171" xr:uid="{00000000-0005-0000-0000-00004E100000}"/>
    <cellStyle name="20% - Énfasis3 2 2 4 3 2" xfId="4172" xr:uid="{00000000-0005-0000-0000-00004F100000}"/>
    <cellStyle name="20% - Énfasis3 2 2 4 3 2 2" xfId="4173" xr:uid="{00000000-0005-0000-0000-000050100000}"/>
    <cellStyle name="20% - Énfasis3 2 2 4 3 3" xfId="4174" xr:uid="{00000000-0005-0000-0000-000051100000}"/>
    <cellStyle name="20% - Énfasis3 2 2 4 4" xfId="4175" xr:uid="{00000000-0005-0000-0000-000052100000}"/>
    <cellStyle name="20% - Énfasis3 2 2 4 4 2" xfId="4176" xr:uid="{00000000-0005-0000-0000-000053100000}"/>
    <cellStyle name="20% - Énfasis3 2 2 4 5" xfId="4177" xr:uid="{00000000-0005-0000-0000-000054100000}"/>
    <cellStyle name="20% - Énfasis3 2 2 5" xfId="4178" xr:uid="{00000000-0005-0000-0000-000055100000}"/>
    <cellStyle name="20% - Énfasis3 2 2 5 2" xfId="4179" xr:uid="{00000000-0005-0000-0000-000056100000}"/>
    <cellStyle name="20% - Énfasis3 2 2 5 2 2" xfId="4180" xr:uid="{00000000-0005-0000-0000-000057100000}"/>
    <cellStyle name="20% - Énfasis3 2 2 5 2 2 2" xfId="4181" xr:uid="{00000000-0005-0000-0000-000058100000}"/>
    <cellStyle name="20% - Énfasis3 2 2 5 2 3" xfId="4182" xr:uid="{00000000-0005-0000-0000-000059100000}"/>
    <cellStyle name="20% - Énfasis3 2 2 5 3" xfId="4183" xr:uid="{00000000-0005-0000-0000-00005A100000}"/>
    <cellStyle name="20% - Énfasis3 2 2 5 3 2" xfId="4184" xr:uid="{00000000-0005-0000-0000-00005B100000}"/>
    <cellStyle name="20% - Énfasis3 2 2 5 4" xfId="4185" xr:uid="{00000000-0005-0000-0000-00005C100000}"/>
    <cellStyle name="20% - Énfasis3 2 2 6" xfId="4186" xr:uid="{00000000-0005-0000-0000-00005D100000}"/>
    <cellStyle name="20% - Énfasis3 2 2 6 2" xfId="4187" xr:uid="{00000000-0005-0000-0000-00005E100000}"/>
    <cellStyle name="20% - Énfasis3 2 2 6 2 2" xfId="4188" xr:uid="{00000000-0005-0000-0000-00005F100000}"/>
    <cellStyle name="20% - Énfasis3 2 2 6 3" xfId="4189" xr:uid="{00000000-0005-0000-0000-000060100000}"/>
    <cellStyle name="20% - Énfasis3 2 2 7" xfId="4190" xr:uid="{00000000-0005-0000-0000-000061100000}"/>
    <cellStyle name="20% - Énfasis3 2 2 7 2" xfId="4191" xr:uid="{00000000-0005-0000-0000-000062100000}"/>
    <cellStyle name="20% - Énfasis3 2 2 7 2 2" xfId="4192" xr:uid="{00000000-0005-0000-0000-000063100000}"/>
    <cellStyle name="20% - Énfasis3 2 2 7 3" xfId="4193" xr:uid="{00000000-0005-0000-0000-000064100000}"/>
    <cellStyle name="20% - Énfasis3 2 2 8" xfId="4194" xr:uid="{00000000-0005-0000-0000-000065100000}"/>
    <cellStyle name="20% - Énfasis3 2 2 8 2" xfId="4195" xr:uid="{00000000-0005-0000-0000-000066100000}"/>
    <cellStyle name="20% - Énfasis3 2 2 9" xfId="4196" xr:uid="{00000000-0005-0000-0000-000067100000}"/>
    <cellStyle name="20% - Énfasis3 2 3" xfId="4197" xr:uid="{00000000-0005-0000-0000-000068100000}"/>
    <cellStyle name="20% - Énfasis3 2 3 2" xfId="4198" xr:uid="{00000000-0005-0000-0000-000069100000}"/>
    <cellStyle name="20% - Énfasis3 2 3 2 2" xfId="4199" xr:uid="{00000000-0005-0000-0000-00006A100000}"/>
    <cellStyle name="20% - Énfasis3 2 3 2 2 2" xfId="4200" xr:uid="{00000000-0005-0000-0000-00006B100000}"/>
    <cellStyle name="20% - Énfasis3 2 3 2 2 2 2" xfId="4201" xr:uid="{00000000-0005-0000-0000-00006C100000}"/>
    <cellStyle name="20% - Énfasis3 2 3 2 2 2 2 2" xfId="4202" xr:uid="{00000000-0005-0000-0000-00006D100000}"/>
    <cellStyle name="20% - Énfasis3 2 3 2 2 2 3" xfId="4203" xr:uid="{00000000-0005-0000-0000-00006E100000}"/>
    <cellStyle name="20% - Énfasis3 2 3 2 2 3" xfId="4204" xr:uid="{00000000-0005-0000-0000-00006F100000}"/>
    <cellStyle name="20% - Énfasis3 2 3 2 2 3 2" xfId="4205" xr:uid="{00000000-0005-0000-0000-000070100000}"/>
    <cellStyle name="20% - Énfasis3 2 3 2 2 4" xfId="4206" xr:uid="{00000000-0005-0000-0000-000071100000}"/>
    <cellStyle name="20% - Énfasis3 2 3 2 3" xfId="4207" xr:uid="{00000000-0005-0000-0000-000072100000}"/>
    <cellStyle name="20% - Énfasis3 2 3 2 3 2" xfId="4208" xr:uid="{00000000-0005-0000-0000-000073100000}"/>
    <cellStyle name="20% - Énfasis3 2 3 2 3 2 2" xfId="4209" xr:uid="{00000000-0005-0000-0000-000074100000}"/>
    <cellStyle name="20% - Énfasis3 2 3 2 3 3" xfId="4210" xr:uid="{00000000-0005-0000-0000-000075100000}"/>
    <cellStyle name="20% - Énfasis3 2 3 2 4" xfId="4211" xr:uid="{00000000-0005-0000-0000-000076100000}"/>
    <cellStyle name="20% - Énfasis3 2 3 2 4 2" xfId="4212" xr:uid="{00000000-0005-0000-0000-000077100000}"/>
    <cellStyle name="20% - Énfasis3 2 3 2 4 2 2" xfId="4213" xr:uid="{00000000-0005-0000-0000-000078100000}"/>
    <cellStyle name="20% - Énfasis3 2 3 2 4 3" xfId="4214" xr:uid="{00000000-0005-0000-0000-000079100000}"/>
    <cellStyle name="20% - Énfasis3 2 3 2 5" xfId="4215" xr:uid="{00000000-0005-0000-0000-00007A100000}"/>
    <cellStyle name="20% - Énfasis3 2 3 2 5 2" xfId="4216" xr:uid="{00000000-0005-0000-0000-00007B100000}"/>
    <cellStyle name="20% - Énfasis3 2 3 2 6" xfId="4217" xr:uid="{00000000-0005-0000-0000-00007C100000}"/>
    <cellStyle name="20% - Énfasis3 2 3 3" xfId="4218" xr:uid="{00000000-0005-0000-0000-00007D100000}"/>
    <cellStyle name="20% - Énfasis3 2 3 3 2" xfId="4219" xr:uid="{00000000-0005-0000-0000-00007E100000}"/>
    <cellStyle name="20% - Énfasis3 2 3 3 2 2" xfId="4220" xr:uid="{00000000-0005-0000-0000-00007F100000}"/>
    <cellStyle name="20% - Énfasis3 2 3 3 2 2 2" xfId="4221" xr:uid="{00000000-0005-0000-0000-000080100000}"/>
    <cellStyle name="20% - Énfasis3 2 3 3 2 3" xfId="4222" xr:uid="{00000000-0005-0000-0000-000081100000}"/>
    <cellStyle name="20% - Énfasis3 2 3 3 3" xfId="4223" xr:uid="{00000000-0005-0000-0000-000082100000}"/>
    <cellStyle name="20% - Énfasis3 2 3 3 3 2" xfId="4224" xr:uid="{00000000-0005-0000-0000-000083100000}"/>
    <cellStyle name="20% - Énfasis3 2 3 3 3 2 2" xfId="4225" xr:uid="{00000000-0005-0000-0000-000084100000}"/>
    <cellStyle name="20% - Énfasis3 2 3 3 3 3" xfId="4226" xr:uid="{00000000-0005-0000-0000-000085100000}"/>
    <cellStyle name="20% - Énfasis3 2 3 3 4" xfId="4227" xr:uid="{00000000-0005-0000-0000-000086100000}"/>
    <cellStyle name="20% - Énfasis3 2 3 3 4 2" xfId="4228" xr:uid="{00000000-0005-0000-0000-000087100000}"/>
    <cellStyle name="20% - Énfasis3 2 3 3 5" xfId="4229" xr:uid="{00000000-0005-0000-0000-000088100000}"/>
    <cellStyle name="20% - Énfasis3 2 3 4" xfId="4230" xr:uid="{00000000-0005-0000-0000-000089100000}"/>
    <cellStyle name="20% - Énfasis3 2 3 4 2" xfId="4231" xr:uid="{00000000-0005-0000-0000-00008A100000}"/>
    <cellStyle name="20% - Énfasis3 2 3 4 2 2" xfId="4232" xr:uid="{00000000-0005-0000-0000-00008B100000}"/>
    <cellStyle name="20% - Énfasis3 2 3 4 2 2 2" xfId="4233" xr:uid="{00000000-0005-0000-0000-00008C100000}"/>
    <cellStyle name="20% - Énfasis3 2 3 4 2 3" xfId="4234" xr:uid="{00000000-0005-0000-0000-00008D100000}"/>
    <cellStyle name="20% - Énfasis3 2 3 4 3" xfId="4235" xr:uid="{00000000-0005-0000-0000-00008E100000}"/>
    <cellStyle name="20% - Énfasis3 2 3 4 3 2" xfId="4236" xr:uid="{00000000-0005-0000-0000-00008F100000}"/>
    <cellStyle name="20% - Énfasis3 2 3 4 3 2 2" xfId="4237" xr:uid="{00000000-0005-0000-0000-000090100000}"/>
    <cellStyle name="20% - Énfasis3 2 3 4 3 3" xfId="4238" xr:uid="{00000000-0005-0000-0000-000091100000}"/>
    <cellStyle name="20% - Énfasis3 2 3 4 4" xfId="4239" xr:uid="{00000000-0005-0000-0000-000092100000}"/>
    <cellStyle name="20% - Énfasis3 2 3 4 4 2" xfId="4240" xr:uid="{00000000-0005-0000-0000-000093100000}"/>
    <cellStyle name="20% - Énfasis3 2 3 4 5" xfId="4241" xr:uid="{00000000-0005-0000-0000-000094100000}"/>
    <cellStyle name="20% - Énfasis3 2 3 5" xfId="4242" xr:uid="{00000000-0005-0000-0000-000095100000}"/>
    <cellStyle name="20% - Énfasis3 2 3 5 2" xfId="4243" xr:uid="{00000000-0005-0000-0000-000096100000}"/>
    <cellStyle name="20% - Énfasis3 2 3 5 2 2" xfId="4244" xr:uid="{00000000-0005-0000-0000-000097100000}"/>
    <cellStyle name="20% - Énfasis3 2 3 5 2 2 2" xfId="4245" xr:uid="{00000000-0005-0000-0000-000098100000}"/>
    <cellStyle name="20% - Énfasis3 2 3 5 2 3" xfId="4246" xr:uid="{00000000-0005-0000-0000-000099100000}"/>
    <cellStyle name="20% - Énfasis3 2 3 5 3" xfId="4247" xr:uid="{00000000-0005-0000-0000-00009A100000}"/>
    <cellStyle name="20% - Énfasis3 2 3 5 3 2" xfId="4248" xr:uid="{00000000-0005-0000-0000-00009B100000}"/>
    <cellStyle name="20% - Énfasis3 2 3 5 4" xfId="4249" xr:uid="{00000000-0005-0000-0000-00009C100000}"/>
    <cellStyle name="20% - Énfasis3 2 3 6" xfId="4250" xr:uid="{00000000-0005-0000-0000-00009D100000}"/>
    <cellStyle name="20% - Énfasis3 2 3 6 2" xfId="4251" xr:uid="{00000000-0005-0000-0000-00009E100000}"/>
    <cellStyle name="20% - Énfasis3 2 3 6 2 2" xfId="4252" xr:uid="{00000000-0005-0000-0000-00009F100000}"/>
    <cellStyle name="20% - Énfasis3 2 3 6 3" xfId="4253" xr:uid="{00000000-0005-0000-0000-0000A0100000}"/>
    <cellStyle name="20% - Énfasis3 2 3 7" xfId="4254" xr:uid="{00000000-0005-0000-0000-0000A1100000}"/>
    <cellStyle name="20% - Énfasis3 2 3 7 2" xfId="4255" xr:uid="{00000000-0005-0000-0000-0000A2100000}"/>
    <cellStyle name="20% - Énfasis3 2 3 7 2 2" xfId="4256" xr:uid="{00000000-0005-0000-0000-0000A3100000}"/>
    <cellStyle name="20% - Énfasis3 2 3 7 3" xfId="4257" xr:uid="{00000000-0005-0000-0000-0000A4100000}"/>
    <cellStyle name="20% - Énfasis3 2 3 8" xfId="4258" xr:uid="{00000000-0005-0000-0000-0000A5100000}"/>
    <cellStyle name="20% - Énfasis3 2 3 8 2" xfId="4259" xr:uid="{00000000-0005-0000-0000-0000A6100000}"/>
    <cellStyle name="20% - Énfasis3 2 3 9" xfId="4260" xr:uid="{00000000-0005-0000-0000-0000A7100000}"/>
    <cellStyle name="20% - Énfasis3 2 4" xfId="4261" xr:uid="{00000000-0005-0000-0000-0000A8100000}"/>
    <cellStyle name="20% - Énfasis3 2 4 2" xfId="4262" xr:uid="{00000000-0005-0000-0000-0000A9100000}"/>
    <cellStyle name="20% - Énfasis3 2 4 2 2" xfId="4263" xr:uid="{00000000-0005-0000-0000-0000AA100000}"/>
    <cellStyle name="20% - Énfasis3 2 4 2 2 2" xfId="4264" xr:uid="{00000000-0005-0000-0000-0000AB100000}"/>
    <cellStyle name="20% - Énfasis3 2 4 2 2 2 2" xfId="4265" xr:uid="{00000000-0005-0000-0000-0000AC100000}"/>
    <cellStyle name="20% - Énfasis3 2 4 2 2 3" xfId="4266" xr:uid="{00000000-0005-0000-0000-0000AD100000}"/>
    <cellStyle name="20% - Énfasis3 2 4 2 3" xfId="4267" xr:uid="{00000000-0005-0000-0000-0000AE100000}"/>
    <cellStyle name="20% - Énfasis3 2 4 2 3 2" xfId="4268" xr:uid="{00000000-0005-0000-0000-0000AF100000}"/>
    <cellStyle name="20% - Énfasis3 2 4 2 4" xfId="4269" xr:uid="{00000000-0005-0000-0000-0000B0100000}"/>
    <cellStyle name="20% - Énfasis3 2 4 3" xfId="4270" xr:uid="{00000000-0005-0000-0000-0000B1100000}"/>
    <cellStyle name="20% - Énfasis3 2 4 3 2" xfId="4271" xr:uid="{00000000-0005-0000-0000-0000B2100000}"/>
    <cellStyle name="20% - Énfasis3 2 4 3 2 2" xfId="4272" xr:uid="{00000000-0005-0000-0000-0000B3100000}"/>
    <cellStyle name="20% - Énfasis3 2 4 3 3" xfId="4273" xr:uid="{00000000-0005-0000-0000-0000B4100000}"/>
    <cellStyle name="20% - Énfasis3 2 4 4" xfId="4274" xr:uid="{00000000-0005-0000-0000-0000B5100000}"/>
    <cellStyle name="20% - Énfasis3 2 4 4 2" xfId="4275" xr:uid="{00000000-0005-0000-0000-0000B6100000}"/>
    <cellStyle name="20% - Énfasis3 2 4 4 2 2" xfId="4276" xr:uid="{00000000-0005-0000-0000-0000B7100000}"/>
    <cellStyle name="20% - Énfasis3 2 4 4 3" xfId="4277" xr:uid="{00000000-0005-0000-0000-0000B8100000}"/>
    <cellStyle name="20% - Énfasis3 2 4 5" xfId="4278" xr:uid="{00000000-0005-0000-0000-0000B9100000}"/>
    <cellStyle name="20% - Énfasis3 2 4 5 2" xfId="4279" xr:uid="{00000000-0005-0000-0000-0000BA100000}"/>
    <cellStyle name="20% - Énfasis3 2 4 6" xfId="4280" xr:uid="{00000000-0005-0000-0000-0000BB100000}"/>
    <cellStyle name="20% - Énfasis3 2 5" xfId="4281" xr:uid="{00000000-0005-0000-0000-0000BC100000}"/>
    <cellStyle name="20% - Énfasis3 2 5 2" xfId="4282" xr:uid="{00000000-0005-0000-0000-0000BD100000}"/>
    <cellStyle name="20% - Énfasis3 2 5 2 2" xfId="4283" xr:uid="{00000000-0005-0000-0000-0000BE100000}"/>
    <cellStyle name="20% - Énfasis3 2 5 2 2 2" xfId="4284" xr:uid="{00000000-0005-0000-0000-0000BF100000}"/>
    <cellStyle name="20% - Énfasis3 2 5 2 3" xfId="4285" xr:uid="{00000000-0005-0000-0000-0000C0100000}"/>
    <cellStyle name="20% - Énfasis3 2 5 3" xfId="4286" xr:uid="{00000000-0005-0000-0000-0000C1100000}"/>
    <cellStyle name="20% - Énfasis3 2 5 3 2" xfId="4287" xr:uid="{00000000-0005-0000-0000-0000C2100000}"/>
    <cellStyle name="20% - Énfasis3 2 5 3 2 2" xfId="4288" xr:uid="{00000000-0005-0000-0000-0000C3100000}"/>
    <cellStyle name="20% - Énfasis3 2 5 3 3" xfId="4289" xr:uid="{00000000-0005-0000-0000-0000C4100000}"/>
    <cellStyle name="20% - Énfasis3 2 5 4" xfId="4290" xr:uid="{00000000-0005-0000-0000-0000C5100000}"/>
    <cellStyle name="20% - Énfasis3 2 5 4 2" xfId="4291" xr:uid="{00000000-0005-0000-0000-0000C6100000}"/>
    <cellStyle name="20% - Énfasis3 2 5 5" xfId="4292" xr:uid="{00000000-0005-0000-0000-0000C7100000}"/>
    <cellStyle name="20% - Énfasis3 2 6" xfId="4293" xr:uid="{00000000-0005-0000-0000-0000C8100000}"/>
    <cellStyle name="20% - Énfasis3 2 6 2" xfId="4294" xr:uid="{00000000-0005-0000-0000-0000C9100000}"/>
    <cellStyle name="20% - Énfasis3 2 6 2 2" xfId="4295" xr:uid="{00000000-0005-0000-0000-0000CA100000}"/>
    <cellStyle name="20% - Énfasis3 2 6 2 2 2" xfId="4296" xr:uid="{00000000-0005-0000-0000-0000CB100000}"/>
    <cellStyle name="20% - Énfasis3 2 6 2 3" xfId="4297" xr:uid="{00000000-0005-0000-0000-0000CC100000}"/>
    <cellStyle name="20% - Énfasis3 2 6 3" xfId="4298" xr:uid="{00000000-0005-0000-0000-0000CD100000}"/>
    <cellStyle name="20% - Énfasis3 2 6 3 2" xfId="4299" xr:uid="{00000000-0005-0000-0000-0000CE100000}"/>
    <cellStyle name="20% - Énfasis3 2 6 3 2 2" xfId="4300" xr:uid="{00000000-0005-0000-0000-0000CF100000}"/>
    <cellStyle name="20% - Énfasis3 2 6 3 3" xfId="4301" xr:uid="{00000000-0005-0000-0000-0000D0100000}"/>
    <cellStyle name="20% - Énfasis3 2 6 4" xfId="4302" xr:uid="{00000000-0005-0000-0000-0000D1100000}"/>
    <cellStyle name="20% - Énfasis3 2 6 4 2" xfId="4303" xr:uid="{00000000-0005-0000-0000-0000D2100000}"/>
    <cellStyle name="20% - Énfasis3 2 6 5" xfId="4304" xr:uid="{00000000-0005-0000-0000-0000D3100000}"/>
    <cellStyle name="20% - Énfasis3 2 7" xfId="4305" xr:uid="{00000000-0005-0000-0000-0000D4100000}"/>
    <cellStyle name="20% - Énfasis3 2 7 2" xfId="4306" xr:uid="{00000000-0005-0000-0000-0000D5100000}"/>
    <cellStyle name="20% - Énfasis3 2 7 2 2" xfId="4307" xr:uid="{00000000-0005-0000-0000-0000D6100000}"/>
    <cellStyle name="20% - Énfasis3 2 7 2 2 2" xfId="4308" xr:uid="{00000000-0005-0000-0000-0000D7100000}"/>
    <cellStyle name="20% - Énfasis3 2 7 2 3" xfId="4309" xr:uid="{00000000-0005-0000-0000-0000D8100000}"/>
    <cellStyle name="20% - Énfasis3 2 7 3" xfId="4310" xr:uid="{00000000-0005-0000-0000-0000D9100000}"/>
    <cellStyle name="20% - Énfasis3 2 7 3 2" xfId="4311" xr:uid="{00000000-0005-0000-0000-0000DA100000}"/>
    <cellStyle name="20% - Énfasis3 2 7 4" xfId="4312" xr:uid="{00000000-0005-0000-0000-0000DB100000}"/>
    <cellStyle name="20% - Énfasis3 2 8" xfId="4313" xr:uid="{00000000-0005-0000-0000-0000DC100000}"/>
    <cellStyle name="20% - Énfasis3 2 8 2" xfId="4314" xr:uid="{00000000-0005-0000-0000-0000DD100000}"/>
    <cellStyle name="20% - Énfasis3 2 8 2 2" xfId="4315" xr:uid="{00000000-0005-0000-0000-0000DE100000}"/>
    <cellStyle name="20% - Énfasis3 2 8 3" xfId="4316" xr:uid="{00000000-0005-0000-0000-0000DF100000}"/>
    <cellStyle name="20% - Énfasis3 2 9" xfId="4317" xr:uid="{00000000-0005-0000-0000-0000E0100000}"/>
    <cellStyle name="20% - Énfasis3 2 9 2" xfId="4318" xr:uid="{00000000-0005-0000-0000-0000E1100000}"/>
    <cellStyle name="20% - Énfasis3 2 9 2 2" xfId="4319" xr:uid="{00000000-0005-0000-0000-0000E2100000}"/>
    <cellStyle name="20% - Énfasis3 2 9 3" xfId="4320" xr:uid="{00000000-0005-0000-0000-0000E3100000}"/>
    <cellStyle name="20% - Énfasis3 20" xfId="4321" xr:uid="{00000000-0005-0000-0000-0000E4100000}"/>
    <cellStyle name="20% - Énfasis3 20 2" xfId="4322" xr:uid="{00000000-0005-0000-0000-0000E5100000}"/>
    <cellStyle name="20% - Énfasis3 20 2 2" xfId="4323" xr:uid="{00000000-0005-0000-0000-0000E6100000}"/>
    <cellStyle name="20% - Énfasis3 20 2 2 2" xfId="4324" xr:uid="{00000000-0005-0000-0000-0000E7100000}"/>
    <cellStyle name="20% - Énfasis3 20 2 2 2 2" xfId="4325" xr:uid="{00000000-0005-0000-0000-0000E8100000}"/>
    <cellStyle name="20% - Énfasis3 20 2 2 3" xfId="4326" xr:uid="{00000000-0005-0000-0000-0000E9100000}"/>
    <cellStyle name="20% - Énfasis3 20 2 3" xfId="4327" xr:uid="{00000000-0005-0000-0000-0000EA100000}"/>
    <cellStyle name="20% - Énfasis3 20 2 3 2" xfId="4328" xr:uid="{00000000-0005-0000-0000-0000EB100000}"/>
    <cellStyle name="20% - Énfasis3 20 2 3 2 2" xfId="4329" xr:uid="{00000000-0005-0000-0000-0000EC100000}"/>
    <cellStyle name="20% - Énfasis3 20 2 3 3" xfId="4330" xr:uid="{00000000-0005-0000-0000-0000ED100000}"/>
    <cellStyle name="20% - Énfasis3 20 2 4" xfId="4331" xr:uid="{00000000-0005-0000-0000-0000EE100000}"/>
    <cellStyle name="20% - Énfasis3 20 2 4 2" xfId="4332" xr:uid="{00000000-0005-0000-0000-0000EF100000}"/>
    <cellStyle name="20% - Énfasis3 20 2 5" xfId="4333" xr:uid="{00000000-0005-0000-0000-0000F0100000}"/>
    <cellStyle name="20% - Énfasis3 20 3" xfId="4334" xr:uid="{00000000-0005-0000-0000-0000F1100000}"/>
    <cellStyle name="20% - Énfasis3 20 3 2" xfId="4335" xr:uid="{00000000-0005-0000-0000-0000F2100000}"/>
    <cellStyle name="20% - Énfasis3 20 3 2 2" xfId="4336" xr:uid="{00000000-0005-0000-0000-0000F3100000}"/>
    <cellStyle name="20% - Énfasis3 20 3 2 2 2" xfId="4337" xr:uid="{00000000-0005-0000-0000-0000F4100000}"/>
    <cellStyle name="20% - Énfasis3 20 3 2 3" xfId="4338" xr:uid="{00000000-0005-0000-0000-0000F5100000}"/>
    <cellStyle name="20% - Énfasis3 20 3 3" xfId="4339" xr:uid="{00000000-0005-0000-0000-0000F6100000}"/>
    <cellStyle name="20% - Énfasis3 20 3 3 2" xfId="4340" xr:uid="{00000000-0005-0000-0000-0000F7100000}"/>
    <cellStyle name="20% - Énfasis3 20 3 4" xfId="4341" xr:uid="{00000000-0005-0000-0000-0000F8100000}"/>
    <cellStyle name="20% - Énfasis3 20 4" xfId="4342" xr:uid="{00000000-0005-0000-0000-0000F9100000}"/>
    <cellStyle name="20% - Énfasis3 20 4 2" xfId="4343" xr:uid="{00000000-0005-0000-0000-0000FA100000}"/>
    <cellStyle name="20% - Énfasis3 20 4 2 2" xfId="4344" xr:uid="{00000000-0005-0000-0000-0000FB100000}"/>
    <cellStyle name="20% - Énfasis3 20 4 3" xfId="4345" xr:uid="{00000000-0005-0000-0000-0000FC100000}"/>
    <cellStyle name="20% - Énfasis3 20 5" xfId="4346" xr:uid="{00000000-0005-0000-0000-0000FD100000}"/>
    <cellStyle name="20% - Énfasis3 20 5 2" xfId="4347" xr:uid="{00000000-0005-0000-0000-0000FE100000}"/>
    <cellStyle name="20% - Énfasis3 20 5 2 2" xfId="4348" xr:uid="{00000000-0005-0000-0000-0000FF100000}"/>
    <cellStyle name="20% - Énfasis3 20 5 3" xfId="4349" xr:uid="{00000000-0005-0000-0000-000000110000}"/>
    <cellStyle name="20% - Énfasis3 20 6" xfId="4350" xr:uid="{00000000-0005-0000-0000-000001110000}"/>
    <cellStyle name="20% - Énfasis3 20 6 2" xfId="4351" xr:uid="{00000000-0005-0000-0000-000002110000}"/>
    <cellStyle name="20% - Énfasis3 20 7" xfId="4352" xr:uid="{00000000-0005-0000-0000-000003110000}"/>
    <cellStyle name="20% - Énfasis3 21" xfId="4353" xr:uid="{00000000-0005-0000-0000-000004110000}"/>
    <cellStyle name="20% - Énfasis3 21 2" xfId="4354" xr:uid="{00000000-0005-0000-0000-000005110000}"/>
    <cellStyle name="20% - Énfasis3 21 2 2" xfId="4355" xr:uid="{00000000-0005-0000-0000-000006110000}"/>
    <cellStyle name="20% - Énfasis3 21 2 2 2" xfId="4356" xr:uid="{00000000-0005-0000-0000-000007110000}"/>
    <cellStyle name="20% - Énfasis3 21 2 2 2 2" xfId="4357" xr:uid="{00000000-0005-0000-0000-000008110000}"/>
    <cellStyle name="20% - Énfasis3 21 2 2 3" xfId="4358" xr:uid="{00000000-0005-0000-0000-000009110000}"/>
    <cellStyle name="20% - Énfasis3 21 2 3" xfId="4359" xr:uid="{00000000-0005-0000-0000-00000A110000}"/>
    <cellStyle name="20% - Énfasis3 21 2 3 2" xfId="4360" xr:uid="{00000000-0005-0000-0000-00000B110000}"/>
    <cellStyle name="20% - Énfasis3 21 2 3 2 2" xfId="4361" xr:uid="{00000000-0005-0000-0000-00000C110000}"/>
    <cellStyle name="20% - Énfasis3 21 2 3 3" xfId="4362" xr:uid="{00000000-0005-0000-0000-00000D110000}"/>
    <cellStyle name="20% - Énfasis3 21 2 4" xfId="4363" xr:uid="{00000000-0005-0000-0000-00000E110000}"/>
    <cellStyle name="20% - Énfasis3 21 2 4 2" xfId="4364" xr:uid="{00000000-0005-0000-0000-00000F110000}"/>
    <cellStyle name="20% - Énfasis3 21 2 5" xfId="4365" xr:uid="{00000000-0005-0000-0000-000010110000}"/>
    <cellStyle name="20% - Énfasis3 21 3" xfId="4366" xr:uid="{00000000-0005-0000-0000-000011110000}"/>
    <cellStyle name="20% - Énfasis3 21 3 2" xfId="4367" xr:uid="{00000000-0005-0000-0000-000012110000}"/>
    <cellStyle name="20% - Énfasis3 21 3 2 2" xfId="4368" xr:uid="{00000000-0005-0000-0000-000013110000}"/>
    <cellStyle name="20% - Énfasis3 21 3 2 2 2" xfId="4369" xr:uid="{00000000-0005-0000-0000-000014110000}"/>
    <cellStyle name="20% - Énfasis3 21 3 2 3" xfId="4370" xr:uid="{00000000-0005-0000-0000-000015110000}"/>
    <cellStyle name="20% - Énfasis3 21 3 3" xfId="4371" xr:uid="{00000000-0005-0000-0000-000016110000}"/>
    <cellStyle name="20% - Énfasis3 21 3 3 2" xfId="4372" xr:uid="{00000000-0005-0000-0000-000017110000}"/>
    <cellStyle name="20% - Énfasis3 21 3 4" xfId="4373" xr:uid="{00000000-0005-0000-0000-000018110000}"/>
    <cellStyle name="20% - Énfasis3 21 4" xfId="4374" xr:uid="{00000000-0005-0000-0000-000019110000}"/>
    <cellStyle name="20% - Énfasis3 21 4 2" xfId="4375" xr:uid="{00000000-0005-0000-0000-00001A110000}"/>
    <cellStyle name="20% - Énfasis3 21 4 2 2" xfId="4376" xr:uid="{00000000-0005-0000-0000-00001B110000}"/>
    <cellStyle name="20% - Énfasis3 21 4 3" xfId="4377" xr:uid="{00000000-0005-0000-0000-00001C110000}"/>
    <cellStyle name="20% - Énfasis3 21 5" xfId="4378" xr:uid="{00000000-0005-0000-0000-00001D110000}"/>
    <cellStyle name="20% - Énfasis3 21 5 2" xfId="4379" xr:uid="{00000000-0005-0000-0000-00001E110000}"/>
    <cellStyle name="20% - Énfasis3 21 5 2 2" xfId="4380" xr:uid="{00000000-0005-0000-0000-00001F110000}"/>
    <cellStyle name="20% - Énfasis3 21 5 3" xfId="4381" xr:uid="{00000000-0005-0000-0000-000020110000}"/>
    <cellStyle name="20% - Énfasis3 21 6" xfId="4382" xr:uid="{00000000-0005-0000-0000-000021110000}"/>
    <cellStyle name="20% - Énfasis3 21 6 2" xfId="4383" xr:uid="{00000000-0005-0000-0000-000022110000}"/>
    <cellStyle name="20% - Énfasis3 21 7" xfId="4384" xr:uid="{00000000-0005-0000-0000-000023110000}"/>
    <cellStyle name="20% - Énfasis3 22" xfId="4385" xr:uid="{00000000-0005-0000-0000-000024110000}"/>
    <cellStyle name="20% - Énfasis3 22 2" xfId="4386" xr:uid="{00000000-0005-0000-0000-000025110000}"/>
    <cellStyle name="20% - Énfasis3 22 2 2" xfId="4387" xr:uid="{00000000-0005-0000-0000-000026110000}"/>
    <cellStyle name="20% - Énfasis3 22 2 2 2" xfId="4388" xr:uid="{00000000-0005-0000-0000-000027110000}"/>
    <cellStyle name="20% - Énfasis3 22 2 2 2 2" xfId="4389" xr:uid="{00000000-0005-0000-0000-000028110000}"/>
    <cellStyle name="20% - Énfasis3 22 2 2 3" xfId="4390" xr:uid="{00000000-0005-0000-0000-000029110000}"/>
    <cellStyle name="20% - Énfasis3 22 2 3" xfId="4391" xr:uid="{00000000-0005-0000-0000-00002A110000}"/>
    <cellStyle name="20% - Énfasis3 22 2 3 2" xfId="4392" xr:uid="{00000000-0005-0000-0000-00002B110000}"/>
    <cellStyle name="20% - Énfasis3 22 2 3 2 2" xfId="4393" xr:uid="{00000000-0005-0000-0000-00002C110000}"/>
    <cellStyle name="20% - Énfasis3 22 2 3 3" xfId="4394" xr:uid="{00000000-0005-0000-0000-00002D110000}"/>
    <cellStyle name="20% - Énfasis3 22 2 4" xfId="4395" xr:uid="{00000000-0005-0000-0000-00002E110000}"/>
    <cellStyle name="20% - Énfasis3 22 2 4 2" xfId="4396" xr:uid="{00000000-0005-0000-0000-00002F110000}"/>
    <cellStyle name="20% - Énfasis3 22 2 5" xfId="4397" xr:uid="{00000000-0005-0000-0000-000030110000}"/>
    <cellStyle name="20% - Énfasis3 22 3" xfId="4398" xr:uid="{00000000-0005-0000-0000-000031110000}"/>
    <cellStyle name="20% - Énfasis3 22 3 2" xfId="4399" xr:uid="{00000000-0005-0000-0000-000032110000}"/>
    <cellStyle name="20% - Énfasis3 22 3 2 2" xfId="4400" xr:uid="{00000000-0005-0000-0000-000033110000}"/>
    <cellStyle name="20% - Énfasis3 22 3 2 2 2" xfId="4401" xr:uid="{00000000-0005-0000-0000-000034110000}"/>
    <cellStyle name="20% - Énfasis3 22 3 2 3" xfId="4402" xr:uid="{00000000-0005-0000-0000-000035110000}"/>
    <cellStyle name="20% - Énfasis3 22 3 3" xfId="4403" xr:uid="{00000000-0005-0000-0000-000036110000}"/>
    <cellStyle name="20% - Énfasis3 22 3 3 2" xfId="4404" xr:uid="{00000000-0005-0000-0000-000037110000}"/>
    <cellStyle name="20% - Énfasis3 22 3 4" xfId="4405" xr:uid="{00000000-0005-0000-0000-000038110000}"/>
    <cellStyle name="20% - Énfasis3 22 4" xfId="4406" xr:uid="{00000000-0005-0000-0000-000039110000}"/>
    <cellStyle name="20% - Énfasis3 22 4 2" xfId="4407" xr:uid="{00000000-0005-0000-0000-00003A110000}"/>
    <cellStyle name="20% - Énfasis3 22 4 2 2" xfId="4408" xr:uid="{00000000-0005-0000-0000-00003B110000}"/>
    <cellStyle name="20% - Énfasis3 22 4 3" xfId="4409" xr:uid="{00000000-0005-0000-0000-00003C110000}"/>
    <cellStyle name="20% - Énfasis3 22 5" xfId="4410" xr:uid="{00000000-0005-0000-0000-00003D110000}"/>
    <cellStyle name="20% - Énfasis3 22 5 2" xfId="4411" xr:uid="{00000000-0005-0000-0000-00003E110000}"/>
    <cellStyle name="20% - Énfasis3 22 5 2 2" xfId="4412" xr:uid="{00000000-0005-0000-0000-00003F110000}"/>
    <cellStyle name="20% - Énfasis3 22 5 3" xfId="4413" xr:uid="{00000000-0005-0000-0000-000040110000}"/>
    <cellStyle name="20% - Énfasis3 22 6" xfId="4414" xr:uid="{00000000-0005-0000-0000-000041110000}"/>
    <cellStyle name="20% - Énfasis3 22 6 2" xfId="4415" xr:uid="{00000000-0005-0000-0000-000042110000}"/>
    <cellStyle name="20% - Énfasis3 22 7" xfId="4416" xr:uid="{00000000-0005-0000-0000-000043110000}"/>
    <cellStyle name="20% - Énfasis3 23" xfId="4417" xr:uid="{00000000-0005-0000-0000-000044110000}"/>
    <cellStyle name="20% - Énfasis3 23 2" xfId="4418" xr:uid="{00000000-0005-0000-0000-000045110000}"/>
    <cellStyle name="20% - Énfasis3 23 2 2" xfId="4419" xr:uid="{00000000-0005-0000-0000-000046110000}"/>
    <cellStyle name="20% - Énfasis3 23 2 2 2" xfId="4420" xr:uid="{00000000-0005-0000-0000-000047110000}"/>
    <cellStyle name="20% - Énfasis3 23 2 2 2 2" xfId="4421" xr:uid="{00000000-0005-0000-0000-000048110000}"/>
    <cellStyle name="20% - Énfasis3 23 2 2 3" xfId="4422" xr:uid="{00000000-0005-0000-0000-000049110000}"/>
    <cellStyle name="20% - Énfasis3 23 2 3" xfId="4423" xr:uid="{00000000-0005-0000-0000-00004A110000}"/>
    <cellStyle name="20% - Énfasis3 23 2 3 2" xfId="4424" xr:uid="{00000000-0005-0000-0000-00004B110000}"/>
    <cellStyle name="20% - Énfasis3 23 2 3 2 2" xfId="4425" xr:uid="{00000000-0005-0000-0000-00004C110000}"/>
    <cellStyle name="20% - Énfasis3 23 2 3 3" xfId="4426" xr:uid="{00000000-0005-0000-0000-00004D110000}"/>
    <cellStyle name="20% - Énfasis3 23 2 4" xfId="4427" xr:uid="{00000000-0005-0000-0000-00004E110000}"/>
    <cellStyle name="20% - Énfasis3 23 2 4 2" xfId="4428" xr:uid="{00000000-0005-0000-0000-00004F110000}"/>
    <cellStyle name="20% - Énfasis3 23 2 5" xfId="4429" xr:uid="{00000000-0005-0000-0000-000050110000}"/>
    <cellStyle name="20% - Énfasis3 23 3" xfId="4430" xr:uid="{00000000-0005-0000-0000-000051110000}"/>
    <cellStyle name="20% - Énfasis3 23 3 2" xfId="4431" xr:uid="{00000000-0005-0000-0000-000052110000}"/>
    <cellStyle name="20% - Énfasis3 23 3 2 2" xfId="4432" xr:uid="{00000000-0005-0000-0000-000053110000}"/>
    <cellStyle name="20% - Énfasis3 23 3 2 2 2" xfId="4433" xr:uid="{00000000-0005-0000-0000-000054110000}"/>
    <cellStyle name="20% - Énfasis3 23 3 2 3" xfId="4434" xr:uid="{00000000-0005-0000-0000-000055110000}"/>
    <cellStyle name="20% - Énfasis3 23 3 3" xfId="4435" xr:uid="{00000000-0005-0000-0000-000056110000}"/>
    <cellStyle name="20% - Énfasis3 23 3 3 2" xfId="4436" xr:uid="{00000000-0005-0000-0000-000057110000}"/>
    <cellStyle name="20% - Énfasis3 23 3 4" xfId="4437" xr:uid="{00000000-0005-0000-0000-000058110000}"/>
    <cellStyle name="20% - Énfasis3 23 4" xfId="4438" xr:uid="{00000000-0005-0000-0000-000059110000}"/>
    <cellStyle name="20% - Énfasis3 23 4 2" xfId="4439" xr:uid="{00000000-0005-0000-0000-00005A110000}"/>
    <cellStyle name="20% - Énfasis3 23 4 2 2" xfId="4440" xr:uid="{00000000-0005-0000-0000-00005B110000}"/>
    <cellStyle name="20% - Énfasis3 23 4 3" xfId="4441" xr:uid="{00000000-0005-0000-0000-00005C110000}"/>
    <cellStyle name="20% - Énfasis3 23 5" xfId="4442" xr:uid="{00000000-0005-0000-0000-00005D110000}"/>
    <cellStyle name="20% - Énfasis3 23 5 2" xfId="4443" xr:uid="{00000000-0005-0000-0000-00005E110000}"/>
    <cellStyle name="20% - Énfasis3 23 5 2 2" xfId="4444" xr:uid="{00000000-0005-0000-0000-00005F110000}"/>
    <cellStyle name="20% - Énfasis3 23 5 3" xfId="4445" xr:uid="{00000000-0005-0000-0000-000060110000}"/>
    <cellStyle name="20% - Énfasis3 23 6" xfId="4446" xr:uid="{00000000-0005-0000-0000-000061110000}"/>
    <cellStyle name="20% - Énfasis3 23 6 2" xfId="4447" xr:uid="{00000000-0005-0000-0000-000062110000}"/>
    <cellStyle name="20% - Énfasis3 23 7" xfId="4448" xr:uid="{00000000-0005-0000-0000-000063110000}"/>
    <cellStyle name="20% - Énfasis3 24" xfId="4449" xr:uid="{00000000-0005-0000-0000-000064110000}"/>
    <cellStyle name="20% - Énfasis3 24 2" xfId="4450" xr:uid="{00000000-0005-0000-0000-000065110000}"/>
    <cellStyle name="20% - Énfasis3 24 2 2" xfId="4451" xr:uid="{00000000-0005-0000-0000-000066110000}"/>
    <cellStyle name="20% - Énfasis3 24 2 2 2" xfId="4452" xr:uid="{00000000-0005-0000-0000-000067110000}"/>
    <cellStyle name="20% - Énfasis3 24 2 2 2 2" xfId="4453" xr:uid="{00000000-0005-0000-0000-000068110000}"/>
    <cellStyle name="20% - Énfasis3 24 2 2 3" xfId="4454" xr:uid="{00000000-0005-0000-0000-000069110000}"/>
    <cellStyle name="20% - Énfasis3 24 2 3" xfId="4455" xr:uid="{00000000-0005-0000-0000-00006A110000}"/>
    <cellStyle name="20% - Énfasis3 24 2 3 2" xfId="4456" xr:uid="{00000000-0005-0000-0000-00006B110000}"/>
    <cellStyle name="20% - Énfasis3 24 2 3 2 2" xfId="4457" xr:uid="{00000000-0005-0000-0000-00006C110000}"/>
    <cellStyle name="20% - Énfasis3 24 2 3 3" xfId="4458" xr:uid="{00000000-0005-0000-0000-00006D110000}"/>
    <cellStyle name="20% - Énfasis3 24 2 4" xfId="4459" xr:uid="{00000000-0005-0000-0000-00006E110000}"/>
    <cellStyle name="20% - Énfasis3 24 2 4 2" xfId="4460" xr:uid="{00000000-0005-0000-0000-00006F110000}"/>
    <cellStyle name="20% - Énfasis3 24 2 5" xfId="4461" xr:uid="{00000000-0005-0000-0000-000070110000}"/>
    <cellStyle name="20% - Énfasis3 24 3" xfId="4462" xr:uid="{00000000-0005-0000-0000-000071110000}"/>
    <cellStyle name="20% - Énfasis3 24 3 2" xfId="4463" xr:uid="{00000000-0005-0000-0000-000072110000}"/>
    <cellStyle name="20% - Énfasis3 24 3 2 2" xfId="4464" xr:uid="{00000000-0005-0000-0000-000073110000}"/>
    <cellStyle name="20% - Énfasis3 24 3 2 2 2" xfId="4465" xr:uid="{00000000-0005-0000-0000-000074110000}"/>
    <cellStyle name="20% - Énfasis3 24 3 2 3" xfId="4466" xr:uid="{00000000-0005-0000-0000-000075110000}"/>
    <cellStyle name="20% - Énfasis3 24 3 3" xfId="4467" xr:uid="{00000000-0005-0000-0000-000076110000}"/>
    <cellStyle name="20% - Énfasis3 24 3 3 2" xfId="4468" xr:uid="{00000000-0005-0000-0000-000077110000}"/>
    <cellStyle name="20% - Énfasis3 24 3 4" xfId="4469" xr:uid="{00000000-0005-0000-0000-000078110000}"/>
    <cellStyle name="20% - Énfasis3 24 4" xfId="4470" xr:uid="{00000000-0005-0000-0000-000079110000}"/>
    <cellStyle name="20% - Énfasis3 24 4 2" xfId="4471" xr:uid="{00000000-0005-0000-0000-00007A110000}"/>
    <cellStyle name="20% - Énfasis3 24 4 2 2" xfId="4472" xr:uid="{00000000-0005-0000-0000-00007B110000}"/>
    <cellStyle name="20% - Énfasis3 24 4 3" xfId="4473" xr:uid="{00000000-0005-0000-0000-00007C110000}"/>
    <cellStyle name="20% - Énfasis3 24 5" xfId="4474" xr:uid="{00000000-0005-0000-0000-00007D110000}"/>
    <cellStyle name="20% - Énfasis3 24 5 2" xfId="4475" xr:uid="{00000000-0005-0000-0000-00007E110000}"/>
    <cellStyle name="20% - Énfasis3 24 5 2 2" xfId="4476" xr:uid="{00000000-0005-0000-0000-00007F110000}"/>
    <cellStyle name="20% - Énfasis3 24 5 3" xfId="4477" xr:uid="{00000000-0005-0000-0000-000080110000}"/>
    <cellStyle name="20% - Énfasis3 24 6" xfId="4478" xr:uid="{00000000-0005-0000-0000-000081110000}"/>
    <cellStyle name="20% - Énfasis3 24 6 2" xfId="4479" xr:uid="{00000000-0005-0000-0000-000082110000}"/>
    <cellStyle name="20% - Énfasis3 24 7" xfId="4480" xr:uid="{00000000-0005-0000-0000-000083110000}"/>
    <cellStyle name="20% - Énfasis3 25" xfId="4481" xr:uid="{00000000-0005-0000-0000-000084110000}"/>
    <cellStyle name="20% - Énfasis3 25 2" xfId="4482" xr:uid="{00000000-0005-0000-0000-000085110000}"/>
    <cellStyle name="20% - Énfasis3 25 2 2" xfId="4483" xr:uid="{00000000-0005-0000-0000-000086110000}"/>
    <cellStyle name="20% - Énfasis3 25 2 2 2" xfId="4484" xr:uid="{00000000-0005-0000-0000-000087110000}"/>
    <cellStyle name="20% - Énfasis3 25 2 2 2 2" xfId="4485" xr:uid="{00000000-0005-0000-0000-000088110000}"/>
    <cellStyle name="20% - Énfasis3 25 2 2 3" xfId="4486" xr:uid="{00000000-0005-0000-0000-000089110000}"/>
    <cellStyle name="20% - Énfasis3 25 2 3" xfId="4487" xr:uid="{00000000-0005-0000-0000-00008A110000}"/>
    <cellStyle name="20% - Énfasis3 25 2 3 2" xfId="4488" xr:uid="{00000000-0005-0000-0000-00008B110000}"/>
    <cellStyle name="20% - Énfasis3 25 2 3 2 2" xfId="4489" xr:uid="{00000000-0005-0000-0000-00008C110000}"/>
    <cellStyle name="20% - Énfasis3 25 2 3 3" xfId="4490" xr:uid="{00000000-0005-0000-0000-00008D110000}"/>
    <cellStyle name="20% - Énfasis3 25 2 4" xfId="4491" xr:uid="{00000000-0005-0000-0000-00008E110000}"/>
    <cellStyle name="20% - Énfasis3 25 2 4 2" xfId="4492" xr:uid="{00000000-0005-0000-0000-00008F110000}"/>
    <cellStyle name="20% - Énfasis3 25 2 5" xfId="4493" xr:uid="{00000000-0005-0000-0000-000090110000}"/>
    <cellStyle name="20% - Énfasis3 25 3" xfId="4494" xr:uid="{00000000-0005-0000-0000-000091110000}"/>
    <cellStyle name="20% - Énfasis3 25 3 2" xfId="4495" xr:uid="{00000000-0005-0000-0000-000092110000}"/>
    <cellStyle name="20% - Énfasis3 25 3 2 2" xfId="4496" xr:uid="{00000000-0005-0000-0000-000093110000}"/>
    <cellStyle name="20% - Énfasis3 25 3 2 2 2" xfId="4497" xr:uid="{00000000-0005-0000-0000-000094110000}"/>
    <cellStyle name="20% - Énfasis3 25 3 2 3" xfId="4498" xr:uid="{00000000-0005-0000-0000-000095110000}"/>
    <cellStyle name="20% - Énfasis3 25 3 3" xfId="4499" xr:uid="{00000000-0005-0000-0000-000096110000}"/>
    <cellStyle name="20% - Énfasis3 25 3 3 2" xfId="4500" xr:uid="{00000000-0005-0000-0000-000097110000}"/>
    <cellStyle name="20% - Énfasis3 25 3 4" xfId="4501" xr:uid="{00000000-0005-0000-0000-000098110000}"/>
    <cellStyle name="20% - Énfasis3 25 4" xfId="4502" xr:uid="{00000000-0005-0000-0000-000099110000}"/>
    <cellStyle name="20% - Énfasis3 25 4 2" xfId="4503" xr:uid="{00000000-0005-0000-0000-00009A110000}"/>
    <cellStyle name="20% - Énfasis3 25 4 2 2" xfId="4504" xr:uid="{00000000-0005-0000-0000-00009B110000}"/>
    <cellStyle name="20% - Énfasis3 25 4 3" xfId="4505" xr:uid="{00000000-0005-0000-0000-00009C110000}"/>
    <cellStyle name="20% - Énfasis3 25 5" xfId="4506" xr:uid="{00000000-0005-0000-0000-00009D110000}"/>
    <cellStyle name="20% - Énfasis3 25 5 2" xfId="4507" xr:uid="{00000000-0005-0000-0000-00009E110000}"/>
    <cellStyle name="20% - Énfasis3 25 5 2 2" xfId="4508" xr:uid="{00000000-0005-0000-0000-00009F110000}"/>
    <cellStyle name="20% - Énfasis3 25 5 3" xfId="4509" xr:uid="{00000000-0005-0000-0000-0000A0110000}"/>
    <cellStyle name="20% - Énfasis3 25 6" xfId="4510" xr:uid="{00000000-0005-0000-0000-0000A1110000}"/>
    <cellStyle name="20% - Énfasis3 25 6 2" xfId="4511" xr:uid="{00000000-0005-0000-0000-0000A2110000}"/>
    <cellStyle name="20% - Énfasis3 25 7" xfId="4512" xr:uid="{00000000-0005-0000-0000-0000A3110000}"/>
    <cellStyle name="20% - Énfasis3 26" xfId="4513" xr:uid="{00000000-0005-0000-0000-0000A4110000}"/>
    <cellStyle name="20% - Énfasis3 26 2" xfId="4514" xr:uid="{00000000-0005-0000-0000-0000A5110000}"/>
    <cellStyle name="20% - Énfasis3 26 2 2" xfId="4515" xr:uid="{00000000-0005-0000-0000-0000A6110000}"/>
    <cellStyle name="20% - Énfasis3 26 2 2 2" xfId="4516" xr:uid="{00000000-0005-0000-0000-0000A7110000}"/>
    <cellStyle name="20% - Énfasis3 26 2 2 2 2" xfId="4517" xr:uid="{00000000-0005-0000-0000-0000A8110000}"/>
    <cellStyle name="20% - Énfasis3 26 2 2 3" xfId="4518" xr:uid="{00000000-0005-0000-0000-0000A9110000}"/>
    <cellStyle name="20% - Énfasis3 26 2 3" xfId="4519" xr:uid="{00000000-0005-0000-0000-0000AA110000}"/>
    <cellStyle name="20% - Énfasis3 26 2 3 2" xfId="4520" xr:uid="{00000000-0005-0000-0000-0000AB110000}"/>
    <cellStyle name="20% - Énfasis3 26 2 3 2 2" xfId="4521" xr:uid="{00000000-0005-0000-0000-0000AC110000}"/>
    <cellStyle name="20% - Énfasis3 26 2 3 3" xfId="4522" xr:uid="{00000000-0005-0000-0000-0000AD110000}"/>
    <cellStyle name="20% - Énfasis3 26 2 4" xfId="4523" xr:uid="{00000000-0005-0000-0000-0000AE110000}"/>
    <cellStyle name="20% - Énfasis3 26 2 4 2" xfId="4524" xr:uid="{00000000-0005-0000-0000-0000AF110000}"/>
    <cellStyle name="20% - Énfasis3 26 2 5" xfId="4525" xr:uid="{00000000-0005-0000-0000-0000B0110000}"/>
    <cellStyle name="20% - Énfasis3 26 3" xfId="4526" xr:uid="{00000000-0005-0000-0000-0000B1110000}"/>
    <cellStyle name="20% - Énfasis3 26 3 2" xfId="4527" xr:uid="{00000000-0005-0000-0000-0000B2110000}"/>
    <cellStyle name="20% - Énfasis3 26 3 2 2" xfId="4528" xr:uid="{00000000-0005-0000-0000-0000B3110000}"/>
    <cellStyle name="20% - Énfasis3 26 3 2 2 2" xfId="4529" xr:uid="{00000000-0005-0000-0000-0000B4110000}"/>
    <cellStyle name="20% - Énfasis3 26 3 2 3" xfId="4530" xr:uid="{00000000-0005-0000-0000-0000B5110000}"/>
    <cellStyle name="20% - Énfasis3 26 3 3" xfId="4531" xr:uid="{00000000-0005-0000-0000-0000B6110000}"/>
    <cellStyle name="20% - Énfasis3 26 3 3 2" xfId="4532" xr:uid="{00000000-0005-0000-0000-0000B7110000}"/>
    <cellStyle name="20% - Énfasis3 26 3 4" xfId="4533" xr:uid="{00000000-0005-0000-0000-0000B8110000}"/>
    <cellStyle name="20% - Énfasis3 26 4" xfId="4534" xr:uid="{00000000-0005-0000-0000-0000B9110000}"/>
    <cellStyle name="20% - Énfasis3 26 4 2" xfId="4535" xr:uid="{00000000-0005-0000-0000-0000BA110000}"/>
    <cellStyle name="20% - Énfasis3 26 4 2 2" xfId="4536" xr:uid="{00000000-0005-0000-0000-0000BB110000}"/>
    <cellStyle name="20% - Énfasis3 26 4 3" xfId="4537" xr:uid="{00000000-0005-0000-0000-0000BC110000}"/>
    <cellStyle name="20% - Énfasis3 26 5" xfId="4538" xr:uid="{00000000-0005-0000-0000-0000BD110000}"/>
    <cellStyle name="20% - Énfasis3 26 5 2" xfId="4539" xr:uid="{00000000-0005-0000-0000-0000BE110000}"/>
    <cellStyle name="20% - Énfasis3 26 5 2 2" xfId="4540" xr:uid="{00000000-0005-0000-0000-0000BF110000}"/>
    <cellStyle name="20% - Énfasis3 26 5 3" xfId="4541" xr:uid="{00000000-0005-0000-0000-0000C0110000}"/>
    <cellStyle name="20% - Énfasis3 26 6" xfId="4542" xr:uid="{00000000-0005-0000-0000-0000C1110000}"/>
    <cellStyle name="20% - Énfasis3 26 6 2" xfId="4543" xr:uid="{00000000-0005-0000-0000-0000C2110000}"/>
    <cellStyle name="20% - Énfasis3 26 7" xfId="4544" xr:uid="{00000000-0005-0000-0000-0000C3110000}"/>
    <cellStyle name="20% - Énfasis3 27" xfId="4545" xr:uid="{00000000-0005-0000-0000-0000C4110000}"/>
    <cellStyle name="20% - Énfasis3 27 2" xfId="4546" xr:uid="{00000000-0005-0000-0000-0000C5110000}"/>
    <cellStyle name="20% - Énfasis3 27 2 2" xfId="4547" xr:uid="{00000000-0005-0000-0000-0000C6110000}"/>
    <cellStyle name="20% - Énfasis3 27 2 2 2" xfId="4548" xr:uid="{00000000-0005-0000-0000-0000C7110000}"/>
    <cellStyle name="20% - Énfasis3 27 2 2 2 2" xfId="4549" xr:uid="{00000000-0005-0000-0000-0000C8110000}"/>
    <cellStyle name="20% - Énfasis3 27 2 2 3" xfId="4550" xr:uid="{00000000-0005-0000-0000-0000C9110000}"/>
    <cellStyle name="20% - Énfasis3 27 2 3" xfId="4551" xr:uid="{00000000-0005-0000-0000-0000CA110000}"/>
    <cellStyle name="20% - Énfasis3 27 2 3 2" xfId="4552" xr:uid="{00000000-0005-0000-0000-0000CB110000}"/>
    <cellStyle name="20% - Énfasis3 27 2 3 2 2" xfId="4553" xr:uid="{00000000-0005-0000-0000-0000CC110000}"/>
    <cellStyle name="20% - Énfasis3 27 2 3 3" xfId="4554" xr:uid="{00000000-0005-0000-0000-0000CD110000}"/>
    <cellStyle name="20% - Énfasis3 27 2 4" xfId="4555" xr:uid="{00000000-0005-0000-0000-0000CE110000}"/>
    <cellStyle name="20% - Énfasis3 27 2 4 2" xfId="4556" xr:uid="{00000000-0005-0000-0000-0000CF110000}"/>
    <cellStyle name="20% - Énfasis3 27 2 5" xfId="4557" xr:uid="{00000000-0005-0000-0000-0000D0110000}"/>
    <cellStyle name="20% - Énfasis3 27 3" xfId="4558" xr:uid="{00000000-0005-0000-0000-0000D1110000}"/>
    <cellStyle name="20% - Énfasis3 27 3 2" xfId="4559" xr:uid="{00000000-0005-0000-0000-0000D2110000}"/>
    <cellStyle name="20% - Énfasis3 27 3 2 2" xfId="4560" xr:uid="{00000000-0005-0000-0000-0000D3110000}"/>
    <cellStyle name="20% - Énfasis3 27 3 2 2 2" xfId="4561" xr:uid="{00000000-0005-0000-0000-0000D4110000}"/>
    <cellStyle name="20% - Énfasis3 27 3 2 3" xfId="4562" xr:uid="{00000000-0005-0000-0000-0000D5110000}"/>
    <cellStyle name="20% - Énfasis3 27 3 3" xfId="4563" xr:uid="{00000000-0005-0000-0000-0000D6110000}"/>
    <cellStyle name="20% - Énfasis3 27 3 3 2" xfId="4564" xr:uid="{00000000-0005-0000-0000-0000D7110000}"/>
    <cellStyle name="20% - Énfasis3 27 3 4" xfId="4565" xr:uid="{00000000-0005-0000-0000-0000D8110000}"/>
    <cellStyle name="20% - Énfasis3 27 4" xfId="4566" xr:uid="{00000000-0005-0000-0000-0000D9110000}"/>
    <cellStyle name="20% - Énfasis3 27 4 2" xfId="4567" xr:uid="{00000000-0005-0000-0000-0000DA110000}"/>
    <cellStyle name="20% - Énfasis3 27 4 2 2" xfId="4568" xr:uid="{00000000-0005-0000-0000-0000DB110000}"/>
    <cellStyle name="20% - Énfasis3 27 4 3" xfId="4569" xr:uid="{00000000-0005-0000-0000-0000DC110000}"/>
    <cellStyle name="20% - Énfasis3 27 5" xfId="4570" xr:uid="{00000000-0005-0000-0000-0000DD110000}"/>
    <cellStyle name="20% - Énfasis3 27 5 2" xfId="4571" xr:uid="{00000000-0005-0000-0000-0000DE110000}"/>
    <cellStyle name="20% - Énfasis3 27 5 2 2" xfId="4572" xr:uid="{00000000-0005-0000-0000-0000DF110000}"/>
    <cellStyle name="20% - Énfasis3 27 5 3" xfId="4573" xr:uid="{00000000-0005-0000-0000-0000E0110000}"/>
    <cellStyle name="20% - Énfasis3 27 6" xfId="4574" xr:uid="{00000000-0005-0000-0000-0000E1110000}"/>
    <cellStyle name="20% - Énfasis3 27 6 2" xfId="4575" xr:uid="{00000000-0005-0000-0000-0000E2110000}"/>
    <cellStyle name="20% - Énfasis3 27 7" xfId="4576" xr:uid="{00000000-0005-0000-0000-0000E3110000}"/>
    <cellStyle name="20% - Énfasis3 28" xfId="4577" xr:uid="{00000000-0005-0000-0000-0000E4110000}"/>
    <cellStyle name="20% - Énfasis3 28 2" xfId="4578" xr:uid="{00000000-0005-0000-0000-0000E5110000}"/>
    <cellStyle name="20% - Énfasis3 28 2 2" xfId="4579" xr:uid="{00000000-0005-0000-0000-0000E6110000}"/>
    <cellStyle name="20% - Énfasis3 28 2 2 2" xfId="4580" xr:uid="{00000000-0005-0000-0000-0000E7110000}"/>
    <cellStyle name="20% - Énfasis3 28 2 2 2 2" xfId="4581" xr:uid="{00000000-0005-0000-0000-0000E8110000}"/>
    <cellStyle name="20% - Énfasis3 28 2 2 3" xfId="4582" xr:uid="{00000000-0005-0000-0000-0000E9110000}"/>
    <cellStyle name="20% - Énfasis3 28 2 3" xfId="4583" xr:uid="{00000000-0005-0000-0000-0000EA110000}"/>
    <cellStyle name="20% - Énfasis3 28 2 3 2" xfId="4584" xr:uid="{00000000-0005-0000-0000-0000EB110000}"/>
    <cellStyle name="20% - Énfasis3 28 2 3 2 2" xfId="4585" xr:uid="{00000000-0005-0000-0000-0000EC110000}"/>
    <cellStyle name="20% - Énfasis3 28 2 3 3" xfId="4586" xr:uid="{00000000-0005-0000-0000-0000ED110000}"/>
    <cellStyle name="20% - Énfasis3 28 2 4" xfId="4587" xr:uid="{00000000-0005-0000-0000-0000EE110000}"/>
    <cellStyle name="20% - Énfasis3 28 2 4 2" xfId="4588" xr:uid="{00000000-0005-0000-0000-0000EF110000}"/>
    <cellStyle name="20% - Énfasis3 28 2 5" xfId="4589" xr:uid="{00000000-0005-0000-0000-0000F0110000}"/>
    <cellStyle name="20% - Énfasis3 28 3" xfId="4590" xr:uid="{00000000-0005-0000-0000-0000F1110000}"/>
    <cellStyle name="20% - Énfasis3 28 3 2" xfId="4591" xr:uid="{00000000-0005-0000-0000-0000F2110000}"/>
    <cellStyle name="20% - Énfasis3 28 3 2 2" xfId="4592" xr:uid="{00000000-0005-0000-0000-0000F3110000}"/>
    <cellStyle name="20% - Énfasis3 28 3 3" xfId="4593" xr:uid="{00000000-0005-0000-0000-0000F4110000}"/>
    <cellStyle name="20% - Énfasis3 28 4" xfId="4594" xr:uid="{00000000-0005-0000-0000-0000F5110000}"/>
    <cellStyle name="20% - Énfasis3 28 4 2" xfId="4595" xr:uid="{00000000-0005-0000-0000-0000F6110000}"/>
    <cellStyle name="20% - Énfasis3 28 4 2 2" xfId="4596" xr:uid="{00000000-0005-0000-0000-0000F7110000}"/>
    <cellStyle name="20% - Énfasis3 28 4 3" xfId="4597" xr:uid="{00000000-0005-0000-0000-0000F8110000}"/>
    <cellStyle name="20% - Énfasis3 28 5" xfId="4598" xr:uid="{00000000-0005-0000-0000-0000F9110000}"/>
    <cellStyle name="20% - Énfasis3 28 5 2" xfId="4599" xr:uid="{00000000-0005-0000-0000-0000FA110000}"/>
    <cellStyle name="20% - Énfasis3 28 6" xfId="4600" xr:uid="{00000000-0005-0000-0000-0000FB110000}"/>
    <cellStyle name="20% - Énfasis3 29" xfId="4601" xr:uid="{00000000-0005-0000-0000-0000FC110000}"/>
    <cellStyle name="20% - Énfasis3 29 2" xfId="4602" xr:uid="{00000000-0005-0000-0000-0000FD110000}"/>
    <cellStyle name="20% - Énfasis3 29 2 2" xfId="4603" xr:uid="{00000000-0005-0000-0000-0000FE110000}"/>
    <cellStyle name="20% - Énfasis3 29 2 2 2" xfId="4604" xr:uid="{00000000-0005-0000-0000-0000FF110000}"/>
    <cellStyle name="20% - Énfasis3 29 2 2 2 2" xfId="4605" xr:uid="{00000000-0005-0000-0000-000000120000}"/>
    <cellStyle name="20% - Énfasis3 29 2 2 3" xfId="4606" xr:uid="{00000000-0005-0000-0000-000001120000}"/>
    <cellStyle name="20% - Énfasis3 29 2 3" xfId="4607" xr:uid="{00000000-0005-0000-0000-000002120000}"/>
    <cellStyle name="20% - Énfasis3 29 2 3 2" xfId="4608" xr:uid="{00000000-0005-0000-0000-000003120000}"/>
    <cellStyle name="20% - Énfasis3 29 2 4" xfId="4609" xr:uid="{00000000-0005-0000-0000-000004120000}"/>
    <cellStyle name="20% - Énfasis3 29 3" xfId="4610" xr:uid="{00000000-0005-0000-0000-000005120000}"/>
    <cellStyle name="20% - Énfasis3 29 3 2" xfId="4611" xr:uid="{00000000-0005-0000-0000-000006120000}"/>
    <cellStyle name="20% - Énfasis3 29 3 2 2" xfId="4612" xr:uid="{00000000-0005-0000-0000-000007120000}"/>
    <cellStyle name="20% - Énfasis3 29 3 3" xfId="4613" xr:uid="{00000000-0005-0000-0000-000008120000}"/>
    <cellStyle name="20% - Énfasis3 29 4" xfId="4614" xr:uid="{00000000-0005-0000-0000-000009120000}"/>
    <cellStyle name="20% - Énfasis3 29 4 2" xfId="4615" xr:uid="{00000000-0005-0000-0000-00000A120000}"/>
    <cellStyle name="20% - Énfasis3 29 5" xfId="4616" xr:uid="{00000000-0005-0000-0000-00000B120000}"/>
    <cellStyle name="20% - Énfasis3 3" xfId="4617" xr:uid="{00000000-0005-0000-0000-00000C120000}"/>
    <cellStyle name="20% - Énfasis3 3 10" xfId="4618" xr:uid="{00000000-0005-0000-0000-00000D120000}"/>
    <cellStyle name="20% - Énfasis3 3 10 2" xfId="4619" xr:uid="{00000000-0005-0000-0000-00000E120000}"/>
    <cellStyle name="20% - Énfasis3 3 11" xfId="4620" xr:uid="{00000000-0005-0000-0000-00000F120000}"/>
    <cellStyle name="20% - Énfasis3 3 11 2" xfId="4621" xr:uid="{00000000-0005-0000-0000-000010120000}"/>
    <cellStyle name="20% - Énfasis3 3 12" xfId="4622" xr:uid="{00000000-0005-0000-0000-000011120000}"/>
    <cellStyle name="20% - Énfasis3 3 2" xfId="4623" xr:uid="{00000000-0005-0000-0000-000012120000}"/>
    <cellStyle name="20% - Énfasis3 3 2 2" xfId="4624" xr:uid="{00000000-0005-0000-0000-000013120000}"/>
    <cellStyle name="20% - Énfasis3 3 2 2 2" xfId="4625" xr:uid="{00000000-0005-0000-0000-000014120000}"/>
    <cellStyle name="20% - Énfasis3 3 2 2 2 2" xfId="4626" xr:uid="{00000000-0005-0000-0000-000015120000}"/>
    <cellStyle name="20% - Énfasis3 3 2 2 2 2 2" xfId="4627" xr:uid="{00000000-0005-0000-0000-000016120000}"/>
    <cellStyle name="20% - Énfasis3 3 2 2 2 2 2 2" xfId="4628" xr:uid="{00000000-0005-0000-0000-000017120000}"/>
    <cellStyle name="20% - Énfasis3 3 2 2 2 2 2 2 2" xfId="4629" xr:uid="{00000000-0005-0000-0000-000018120000}"/>
    <cellStyle name="20% - Énfasis3 3 2 2 2 2 2 3" xfId="4630" xr:uid="{00000000-0005-0000-0000-000019120000}"/>
    <cellStyle name="20% - Énfasis3 3 2 2 2 2 3" xfId="4631" xr:uid="{00000000-0005-0000-0000-00001A120000}"/>
    <cellStyle name="20% - Énfasis3 3 2 2 2 2 3 2" xfId="4632" xr:uid="{00000000-0005-0000-0000-00001B120000}"/>
    <cellStyle name="20% - Énfasis3 3 2 2 2 2 4" xfId="4633" xr:uid="{00000000-0005-0000-0000-00001C120000}"/>
    <cellStyle name="20% - Énfasis3 3 2 2 2 3" xfId="4634" xr:uid="{00000000-0005-0000-0000-00001D120000}"/>
    <cellStyle name="20% - Énfasis3 3 2 2 2 3 2" xfId="4635" xr:uid="{00000000-0005-0000-0000-00001E120000}"/>
    <cellStyle name="20% - Énfasis3 3 2 2 2 3 2 2" xfId="4636" xr:uid="{00000000-0005-0000-0000-00001F120000}"/>
    <cellStyle name="20% - Énfasis3 3 2 2 2 3 3" xfId="4637" xr:uid="{00000000-0005-0000-0000-000020120000}"/>
    <cellStyle name="20% - Énfasis3 3 2 2 2 4" xfId="4638" xr:uid="{00000000-0005-0000-0000-000021120000}"/>
    <cellStyle name="20% - Énfasis3 3 2 2 2 4 2" xfId="4639" xr:uid="{00000000-0005-0000-0000-000022120000}"/>
    <cellStyle name="20% - Énfasis3 3 2 2 2 4 2 2" xfId="4640" xr:uid="{00000000-0005-0000-0000-000023120000}"/>
    <cellStyle name="20% - Énfasis3 3 2 2 2 4 3" xfId="4641" xr:uid="{00000000-0005-0000-0000-000024120000}"/>
    <cellStyle name="20% - Énfasis3 3 2 2 2 5" xfId="4642" xr:uid="{00000000-0005-0000-0000-000025120000}"/>
    <cellStyle name="20% - Énfasis3 3 2 2 2 5 2" xfId="4643" xr:uid="{00000000-0005-0000-0000-000026120000}"/>
    <cellStyle name="20% - Énfasis3 3 2 2 2 6" xfId="4644" xr:uid="{00000000-0005-0000-0000-000027120000}"/>
    <cellStyle name="20% - Énfasis3 3 2 2 3" xfId="4645" xr:uid="{00000000-0005-0000-0000-000028120000}"/>
    <cellStyle name="20% - Énfasis3 3 2 2 3 2" xfId="4646" xr:uid="{00000000-0005-0000-0000-000029120000}"/>
    <cellStyle name="20% - Énfasis3 3 2 2 3 2 2" xfId="4647" xr:uid="{00000000-0005-0000-0000-00002A120000}"/>
    <cellStyle name="20% - Énfasis3 3 2 2 3 2 2 2" xfId="4648" xr:uid="{00000000-0005-0000-0000-00002B120000}"/>
    <cellStyle name="20% - Énfasis3 3 2 2 3 2 3" xfId="4649" xr:uid="{00000000-0005-0000-0000-00002C120000}"/>
    <cellStyle name="20% - Énfasis3 3 2 2 3 3" xfId="4650" xr:uid="{00000000-0005-0000-0000-00002D120000}"/>
    <cellStyle name="20% - Énfasis3 3 2 2 3 3 2" xfId="4651" xr:uid="{00000000-0005-0000-0000-00002E120000}"/>
    <cellStyle name="20% - Énfasis3 3 2 2 3 4" xfId="4652" xr:uid="{00000000-0005-0000-0000-00002F120000}"/>
    <cellStyle name="20% - Énfasis3 3 2 2 4" xfId="4653" xr:uid="{00000000-0005-0000-0000-000030120000}"/>
    <cellStyle name="20% - Énfasis3 3 2 2 4 2" xfId="4654" xr:uid="{00000000-0005-0000-0000-000031120000}"/>
    <cellStyle name="20% - Énfasis3 3 2 2 4 2 2" xfId="4655" xr:uid="{00000000-0005-0000-0000-000032120000}"/>
    <cellStyle name="20% - Énfasis3 3 2 2 4 3" xfId="4656" xr:uid="{00000000-0005-0000-0000-000033120000}"/>
    <cellStyle name="20% - Énfasis3 3 2 2 5" xfId="4657" xr:uid="{00000000-0005-0000-0000-000034120000}"/>
    <cellStyle name="20% - Énfasis3 3 2 2 5 2" xfId="4658" xr:uid="{00000000-0005-0000-0000-000035120000}"/>
    <cellStyle name="20% - Énfasis3 3 2 2 5 2 2" xfId="4659" xr:uid="{00000000-0005-0000-0000-000036120000}"/>
    <cellStyle name="20% - Énfasis3 3 2 2 5 3" xfId="4660" xr:uid="{00000000-0005-0000-0000-000037120000}"/>
    <cellStyle name="20% - Énfasis3 3 2 2 6" xfId="4661" xr:uid="{00000000-0005-0000-0000-000038120000}"/>
    <cellStyle name="20% - Énfasis3 3 2 2 6 2" xfId="4662" xr:uid="{00000000-0005-0000-0000-000039120000}"/>
    <cellStyle name="20% - Énfasis3 3 2 2 7" xfId="4663" xr:uid="{00000000-0005-0000-0000-00003A120000}"/>
    <cellStyle name="20% - Énfasis3 3 2 3" xfId="4664" xr:uid="{00000000-0005-0000-0000-00003B120000}"/>
    <cellStyle name="20% - Énfasis3 3 2 3 2" xfId="4665" xr:uid="{00000000-0005-0000-0000-00003C120000}"/>
    <cellStyle name="20% - Énfasis3 3 2 3 2 2" xfId="4666" xr:uid="{00000000-0005-0000-0000-00003D120000}"/>
    <cellStyle name="20% - Énfasis3 3 2 3 2 2 2" xfId="4667" xr:uid="{00000000-0005-0000-0000-00003E120000}"/>
    <cellStyle name="20% - Énfasis3 3 2 3 2 2 2 2" xfId="4668" xr:uid="{00000000-0005-0000-0000-00003F120000}"/>
    <cellStyle name="20% - Énfasis3 3 2 3 2 2 3" xfId="4669" xr:uid="{00000000-0005-0000-0000-000040120000}"/>
    <cellStyle name="20% - Énfasis3 3 2 3 2 3" xfId="4670" xr:uid="{00000000-0005-0000-0000-000041120000}"/>
    <cellStyle name="20% - Énfasis3 3 2 3 2 3 2" xfId="4671" xr:uid="{00000000-0005-0000-0000-000042120000}"/>
    <cellStyle name="20% - Énfasis3 3 2 3 2 4" xfId="4672" xr:uid="{00000000-0005-0000-0000-000043120000}"/>
    <cellStyle name="20% - Énfasis3 3 2 3 3" xfId="4673" xr:uid="{00000000-0005-0000-0000-000044120000}"/>
    <cellStyle name="20% - Énfasis3 3 2 3 3 2" xfId="4674" xr:uid="{00000000-0005-0000-0000-000045120000}"/>
    <cellStyle name="20% - Énfasis3 3 2 3 3 2 2" xfId="4675" xr:uid="{00000000-0005-0000-0000-000046120000}"/>
    <cellStyle name="20% - Énfasis3 3 2 3 3 3" xfId="4676" xr:uid="{00000000-0005-0000-0000-000047120000}"/>
    <cellStyle name="20% - Énfasis3 3 2 3 4" xfId="4677" xr:uid="{00000000-0005-0000-0000-000048120000}"/>
    <cellStyle name="20% - Énfasis3 3 2 3 4 2" xfId="4678" xr:uid="{00000000-0005-0000-0000-000049120000}"/>
    <cellStyle name="20% - Énfasis3 3 2 3 4 2 2" xfId="4679" xr:uid="{00000000-0005-0000-0000-00004A120000}"/>
    <cellStyle name="20% - Énfasis3 3 2 3 4 3" xfId="4680" xr:uid="{00000000-0005-0000-0000-00004B120000}"/>
    <cellStyle name="20% - Énfasis3 3 2 3 5" xfId="4681" xr:uid="{00000000-0005-0000-0000-00004C120000}"/>
    <cellStyle name="20% - Énfasis3 3 2 3 5 2" xfId="4682" xr:uid="{00000000-0005-0000-0000-00004D120000}"/>
    <cellStyle name="20% - Énfasis3 3 2 3 6" xfId="4683" xr:uid="{00000000-0005-0000-0000-00004E120000}"/>
    <cellStyle name="20% - Énfasis3 3 2 4" xfId="4684" xr:uid="{00000000-0005-0000-0000-00004F120000}"/>
    <cellStyle name="20% - Énfasis3 3 2 4 2" xfId="4685" xr:uid="{00000000-0005-0000-0000-000050120000}"/>
    <cellStyle name="20% - Énfasis3 3 2 4 2 2" xfId="4686" xr:uid="{00000000-0005-0000-0000-000051120000}"/>
    <cellStyle name="20% - Énfasis3 3 2 4 2 2 2" xfId="4687" xr:uid="{00000000-0005-0000-0000-000052120000}"/>
    <cellStyle name="20% - Énfasis3 3 2 4 2 3" xfId="4688" xr:uid="{00000000-0005-0000-0000-000053120000}"/>
    <cellStyle name="20% - Énfasis3 3 2 4 3" xfId="4689" xr:uid="{00000000-0005-0000-0000-000054120000}"/>
    <cellStyle name="20% - Énfasis3 3 2 4 3 2" xfId="4690" xr:uid="{00000000-0005-0000-0000-000055120000}"/>
    <cellStyle name="20% - Énfasis3 3 2 4 3 2 2" xfId="4691" xr:uid="{00000000-0005-0000-0000-000056120000}"/>
    <cellStyle name="20% - Énfasis3 3 2 4 3 3" xfId="4692" xr:uid="{00000000-0005-0000-0000-000057120000}"/>
    <cellStyle name="20% - Énfasis3 3 2 4 4" xfId="4693" xr:uid="{00000000-0005-0000-0000-000058120000}"/>
    <cellStyle name="20% - Énfasis3 3 2 4 4 2" xfId="4694" xr:uid="{00000000-0005-0000-0000-000059120000}"/>
    <cellStyle name="20% - Énfasis3 3 2 4 5" xfId="4695" xr:uid="{00000000-0005-0000-0000-00005A120000}"/>
    <cellStyle name="20% - Énfasis3 3 2 5" xfId="4696" xr:uid="{00000000-0005-0000-0000-00005B120000}"/>
    <cellStyle name="20% - Énfasis3 3 2 5 2" xfId="4697" xr:uid="{00000000-0005-0000-0000-00005C120000}"/>
    <cellStyle name="20% - Énfasis3 3 2 5 2 2" xfId="4698" xr:uid="{00000000-0005-0000-0000-00005D120000}"/>
    <cellStyle name="20% - Énfasis3 3 2 5 2 2 2" xfId="4699" xr:uid="{00000000-0005-0000-0000-00005E120000}"/>
    <cellStyle name="20% - Énfasis3 3 2 5 2 3" xfId="4700" xr:uid="{00000000-0005-0000-0000-00005F120000}"/>
    <cellStyle name="20% - Énfasis3 3 2 5 3" xfId="4701" xr:uid="{00000000-0005-0000-0000-000060120000}"/>
    <cellStyle name="20% - Énfasis3 3 2 5 3 2" xfId="4702" xr:uid="{00000000-0005-0000-0000-000061120000}"/>
    <cellStyle name="20% - Énfasis3 3 2 5 4" xfId="4703" xr:uid="{00000000-0005-0000-0000-000062120000}"/>
    <cellStyle name="20% - Énfasis3 3 2 6" xfId="4704" xr:uid="{00000000-0005-0000-0000-000063120000}"/>
    <cellStyle name="20% - Énfasis3 3 2 6 2" xfId="4705" xr:uid="{00000000-0005-0000-0000-000064120000}"/>
    <cellStyle name="20% - Énfasis3 3 2 6 2 2" xfId="4706" xr:uid="{00000000-0005-0000-0000-000065120000}"/>
    <cellStyle name="20% - Énfasis3 3 2 6 3" xfId="4707" xr:uid="{00000000-0005-0000-0000-000066120000}"/>
    <cellStyle name="20% - Énfasis3 3 2 7" xfId="4708" xr:uid="{00000000-0005-0000-0000-000067120000}"/>
    <cellStyle name="20% - Énfasis3 3 2 7 2" xfId="4709" xr:uid="{00000000-0005-0000-0000-000068120000}"/>
    <cellStyle name="20% - Énfasis3 3 2 7 2 2" xfId="4710" xr:uid="{00000000-0005-0000-0000-000069120000}"/>
    <cellStyle name="20% - Énfasis3 3 2 7 3" xfId="4711" xr:uid="{00000000-0005-0000-0000-00006A120000}"/>
    <cellStyle name="20% - Énfasis3 3 2 8" xfId="4712" xr:uid="{00000000-0005-0000-0000-00006B120000}"/>
    <cellStyle name="20% - Énfasis3 3 2 8 2" xfId="4713" xr:uid="{00000000-0005-0000-0000-00006C120000}"/>
    <cellStyle name="20% - Énfasis3 3 2 9" xfId="4714" xr:uid="{00000000-0005-0000-0000-00006D120000}"/>
    <cellStyle name="20% - Énfasis3 3 3" xfId="4715" xr:uid="{00000000-0005-0000-0000-00006E120000}"/>
    <cellStyle name="20% - Énfasis3 3 3 2" xfId="4716" xr:uid="{00000000-0005-0000-0000-00006F120000}"/>
    <cellStyle name="20% - Énfasis3 3 3 2 2" xfId="4717" xr:uid="{00000000-0005-0000-0000-000070120000}"/>
    <cellStyle name="20% - Énfasis3 3 3 2 2 2" xfId="4718" xr:uid="{00000000-0005-0000-0000-000071120000}"/>
    <cellStyle name="20% - Énfasis3 3 3 2 2 2 2" xfId="4719" xr:uid="{00000000-0005-0000-0000-000072120000}"/>
    <cellStyle name="20% - Énfasis3 3 3 2 2 2 2 2" xfId="4720" xr:uid="{00000000-0005-0000-0000-000073120000}"/>
    <cellStyle name="20% - Énfasis3 3 3 2 2 2 3" xfId="4721" xr:uid="{00000000-0005-0000-0000-000074120000}"/>
    <cellStyle name="20% - Énfasis3 3 3 2 2 3" xfId="4722" xr:uid="{00000000-0005-0000-0000-000075120000}"/>
    <cellStyle name="20% - Énfasis3 3 3 2 2 3 2" xfId="4723" xr:uid="{00000000-0005-0000-0000-000076120000}"/>
    <cellStyle name="20% - Énfasis3 3 3 2 2 4" xfId="4724" xr:uid="{00000000-0005-0000-0000-000077120000}"/>
    <cellStyle name="20% - Énfasis3 3 3 2 3" xfId="4725" xr:uid="{00000000-0005-0000-0000-000078120000}"/>
    <cellStyle name="20% - Énfasis3 3 3 2 3 2" xfId="4726" xr:uid="{00000000-0005-0000-0000-000079120000}"/>
    <cellStyle name="20% - Énfasis3 3 3 2 3 2 2" xfId="4727" xr:uid="{00000000-0005-0000-0000-00007A120000}"/>
    <cellStyle name="20% - Énfasis3 3 3 2 3 3" xfId="4728" xr:uid="{00000000-0005-0000-0000-00007B120000}"/>
    <cellStyle name="20% - Énfasis3 3 3 2 4" xfId="4729" xr:uid="{00000000-0005-0000-0000-00007C120000}"/>
    <cellStyle name="20% - Énfasis3 3 3 2 4 2" xfId="4730" xr:uid="{00000000-0005-0000-0000-00007D120000}"/>
    <cellStyle name="20% - Énfasis3 3 3 2 4 2 2" xfId="4731" xr:uid="{00000000-0005-0000-0000-00007E120000}"/>
    <cellStyle name="20% - Énfasis3 3 3 2 4 3" xfId="4732" xr:uid="{00000000-0005-0000-0000-00007F120000}"/>
    <cellStyle name="20% - Énfasis3 3 3 2 5" xfId="4733" xr:uid="{00000000-0005-0000-0000-000080120000}"/>
    <cellStyle name="20% - Énfasis3 3 3 2 5 2" xfId="4734" xr:uid="{00000000-0005-0000-0000-000081120000}"/>
    <cellStyle name="20% - Énfasis3 3 3 2 6" xfId="4735" xr:uid="{00000000-0005-0000-0000-000082120000}"/>
    <cellStyle name="20% - Énfasis3 3 3 3" xfId="4736" xr:uid="{00000000-0005-0000-0000-000083120000}"/>
    <cellStyle name="20% - Énfasis3 3 3 3 2" xfId="4737" xr:uid="{00000000-0005-0000-0000-000084120000}"/>
    <cellStyle name="20% - Énfasis3 3 3 3 2 2" xfId="4738" xr:uid="{00000000-0005-0000-0000-000085120000}"/>
    <cellStyle name="20% - Énfasis3 3 3 3 2 2 2" xfId="4739" xr:uid="{00000000-0005-0000-0000-000086120000}"/>
    <cellStyle name="20% - Énfasis3 3 3 3 2 3" xfId="4740" xr:uid="{00000000-0005-0000-0000-000087120000}"/>
    <cellStyle name="20% - Énfasis3 3 3 3 3" xfId="4741" xr:uid="{00000000-0005-0000-0000-000088120000}"/>
    <cellStyle name="20% - Énfasis3 3 3 3 3 2" xfId="4742" xr:uid="{00000000-0005-0000-0000-000089120000}"/>
    <cellStyle name="20% - Énfasis3 3 3 3 3 2 2" xfId="4743" xr:uid="{00000000-0005-0000-0000-00008A120000}"/>
    <cellStyle name="20% - Énfasis3 3 3 3 3 3" xfId="4744" xr:uid="{00000000-0005-0000-0000-00008B120000}"/>
    <cellStyle name="20% - Énfasis3 3 3 3 4" xfId="4745" xr:uid="{00000000-0005-0000-0000-00008C120000}"/>
    <cellStyle name="20% - Énfasis3 3 3 3 4 2" xfId="4746" xr:uid="{00000000-0005-0000-0000-00008D120000}"/>
    <cellStyle name="20% - Énfasis3 3 3 3 5" xfId="4747" xr:uid="{00000000-0005-0000-0000-00008E120000}"/>
    <cellStyle name="20% - Énfasis3 3 3 4" xfId="4748" xr:uid="{00000000-0005-0000-0000-00008F120000}"/>
    <cellStyle name="20% - Énfasis3 3 3 4 2" xfId="4749" xr:uid="{00000000-0005-0000-0000-000090120000}"/>
    <cellStyle name="20% - Énfasis3 3 3 4 2 2" xfId="4750" xr:uid="{00000000-0005-0000-0000-000091120000}"/>
    <cellStyle name="20% - Énfasis3 3 3 4 2 2 2" xfId="4751" xr:uid="{00000000-0005-0000-0000-000092120000}"/>
    <cellStyle name="20% - Énfasis3 3 3 4 2 3" xfId="4752" xr:uid="{00000000-0005-0000-0000-000093120000}"/>
    <cellStyle name="20% - Énfasis3 3 3 4 3" xfId="4753" xr:uid="{00000000-0005-0000-0000-000094120000}"/>
    <cellStyle name="20% - Énfasis3 3 3 4 3 2" xfId="4754" xr:uid="{00000000-0005-0000-0000-000095120000}"/>
    <cellStyle name="20% - Énfasis3 3 3 4 3 2 2" xfId="4755" xr:uid="{00000000-0005-0000-0000-000096120000}"/>
    <cellStyle name="20% - Énfasis3 3 3 4 3 3" xfId="4756" xr:uid="{00000000-0005-0000-0000-000097120000}"/>
    <cellStyle name="20% - Énfasis3 3 3 4 4" xfId="4757" xr:uid="{00000000-0005-0000-0000-000098120000}"/>
    <cellStyle name="20% - Énfasis3 3 3 4 4 2" xfId="4758" xr:uid="{00000000-0005-0000-0000-000099120000}"/>
    <cellStyle name="20% - Énfasis3 3 3 4 5" xfId="4759" xr:uid="{00000000-0005-0000-0000-00009A120000}"/>
    <cellStyle name="20% - Énfasis3 3 3 5" xfId="4760" xr:uid="{00000000-0005-0000-0000-00009B120000}"/>
    <cellStyle name="20% - Énfasis3 3 3 5 2" xfId="4761" xr:uid="{00000000-0005-0000-0000-00009C120000}"/>
    <cellStyle name="20% - Énfasis3 3 3 5 2 2" xfId="4762" xr:uid="{00000000-0005-0000-0000-00009D120000}"/>
    <cellStyle name="20% - Énfasis3 3 3 5 2 2 2" xfId="4763" xr:uid="{00000000-0005-0000-0000-00009E120000}"/>
    <cellStyle name="20% - Énfasis3 3 3 5 2 3" xfId="4764" xr:uid="{00000000-0005-0000-0000-00009F120000}"/>
    <cellStyle name="20% - Énfasis3 3 3 5 3" xfId="4765" xr:uid="{00000000-0005-0000-0000-0000A0120000}"/>
    <cellStyle name="20% - Énfasis3 3 3 5 3 2" xfId="4766" xr:uid="{00000000-0005-0000-0000-0000A1120000}"/>
    <cellStyle name="20% - Énfasis3 3 3 5 4" xfId="4767" xr:uid="{00000000-0005-0000-0000-0000A2120000}"/>
    <cellStyle name="20% - Énfasis3 3 3 6" xfId="4768" xr:uid="{00000000-0005-0000-0000-0000A3120000}"/>
    <cellStyle name="20% - Énfasis3 3 3 6 2" xfId="4769" xr:uid="{00000000-0005-0000-0000-0000A4120000}"/>
    <cellStyle name="20% - Énfasis3 3 3 6 2 2" xfId="4770" xr:uid="{00000000-0005-0000-0000-0000A5120000}"/>
    <cellStyle name="20% - Énfasis3 3 3 6 3" xfId="4771" xr:uid="{00000000-0005-0000-0000-0000A6120000}"/>
    <cellStyle name="20% - Énfasis3 3 3 7" xfId="4772" xr:uid="{00000000-0005-0000-0000-0000A7120000}"/>
    <cellStyle name="20% - Énfasis3 3 3 7 2" xfId="4773" xr:uid="{00000000-0005-0000-0000-0000A8120000}"/>
    <cellStyle name="20% - Énfasis3 3 3 7 2 2" xfId="4774" xr:uid="{00000000-0005-0000-0000-0000A9120000}"/>
    <cellStyle name="20% - Énfasis3 3 3 7 3" xfId="4775" xr:uid="{00000000-0005-0000-0000-0000AA120000}"/>
    <cellStyle name="20% - Énfasis3 3 3 8" xfId="4776" xr:uid="{00000000-0005-0000-0000-0000AB120000}"/>
    <cellStyle name="20% - Énfasis3 3 3 8 2" xfId="4777" xr:uid="{00000000-0005-0000-0000-0000AC120000}"/>
    <cellStyle name="20% - Énfasis3 3 3 9" xfId="4778" xr:uid="{00000000-0005-0000-0000-0000AD120000}"/>
    <cellStyle name="20% - Énfasis3 3 4" xfId="4779" xr:uid="{00000000-0005-0000-0000-0000AE120000}"/>
    <cellStyle name="20% - Énfasis3 3 4 2" xfId="4780" xr:uid="{00000000-0005-0000-0000-0000AF120000}"/>
    <cellStyle name="20% - Énfasis3 3 4 2 2" xfId="4781" xr:uid="{00000000-0005-0000-0000-0000B0120000}"/>
    <cellStyle name="20% - Énfasis3 3 4 2 2 2" xfId="4782" xr:uid="{00000000-0005-0000-0000-0000B1120000}"/>
    <cellStyle name="20% - Énfasis3 3 4 2 2 2 2" xfId="4783" xr:uid="{00000000-0005-0000-0000-0000B2120000}"/>
    <cellStyle name="20% - Énfasis3 3 4 2 2 3" xfId="4784" xr:uid="{00000000-0005-0000-0000-0000B3120000}"/>
    <cellStyle name="20% - Énfasis3 3 4 2 3" xfId="4785" xr:uid="{00000000-0005-0000-0000-0000B4120000}"/>
    <cellStyle name="20% - Énfasis3 3 4 2 3 2" xfId="4786" xr:uid="{00000000-0005-0000-0000-0000B5120000}"/>
    <cellStyle name="20% - Énfasis3 3 4 2 4" xfId="4787" xr:uid="{00000000-0005-0000-0000-0000B6120000}"/>
    <cellStyle name="20% - Énfasis3 3 4 3" xfId="4788" xr:uid="{00000000-0005-0000-0000-0000B7120000}"/>
    <cellStyle name="20% - Énfasis3 3 4 3 2" xfId="4789" xr:uid="{00000000-0005-0000-0000-0000B8120000}"/>
    <cellStyle name="20% - Énfasis3 3 4 3 2 2" xfId="4790" xr:uid="{00000000-0005-0000-0000-0000B9120000}"/>
    <cellStyle name="20% - Énfasis3 3 4 3 3" xfId="4791" xr:uid="{00000000-0005-0000-0000-0000BA120000}"/>
    <cellStyle name="20% - Énfasis3 3 4 4" xfId="4792" xr:uid="{00000000-0005-0000-0000-0000BB120000}"/>
    <cellStyle name="20% - Énfasis3 3 4 4 2" xfId="4793" xr:uid="{00000000-0005-0000-0000-0000BC120000}"/>
    <cellStyle name="20% - Énfasis3 3 4 4 2 2" xfId="4794" xr:uid="{00000000-0005-0000-0000-0000BD120000}"/>
    <cellStyle name="20% - Énfasis3 3 4 4 3" xfId="4795" xr:uid="{00000000-0005-0000-0000-0000BE120000}"/>
    <cellStyle name="20% - Énfasis3 3 4 5" xfId="4796" xr:uid="{00000000-0005-0000-0000-0000BF120000}"/>
    <cellStyle name="20% - Énfasis3 3 4 5 2" xfId="4797" xr:uid="{00000000-0005-0000-0000-0000C0120000}"/>
    <cellStyle name="20% - Énfasis3 3 4 6" xfId="4798" xr:uid="{00000000-0005-0000-0000-0000C1120000}"/>
    <cellStyle name="20% - Énfasis3 3 5" xfId="4799" xr:uid="{00000000-0005-0000-0000-0000C2120000}"/>
    <cellStyle name="20% - Énfasis3 3 5 2" xfId="4800" xr:uid="{00000000-0005-0000-0000-0000C3120000}"/>
    <cellStyle name="20% - Énfasis3 3 5 2 2" xfId="4801" xr:uid="{00000000-0005-0000-0000-0000C4120000}"/>
    <cellStyle name="20% - Énfasis3 3 5 2 2 2" xfId="4802" xr:uid="{00000000-0005-0000-0000-0000C5120000}"/>
    <cellStyle name="20% - Énfasis3 3 5 2 3" xfId="4803" xr:uid="{00000000-0005-0000-0000-0000C6120000}"/>
    <cellStyle name="20% - Énfasis3 3 5 3" xfId="4804" xr:uid="{00000000-0005-0000-0000-0000C7120000}"/>
    <cellStyle name="20% - Énfasis3 3 5 3 2" xfId="4805" xr:uid="{00000000-0005-0000-0000-0000C8120000}"/>
    <cellStyle name="20% - Énfasis3 3 5 3 2 2" xfId="4806" xr:uid="{00000000-0005-0000-0000-0000C9120000}"/>
    <cellStyle name="20% - Énfasis3 3 5 3 3" xfId="4807" xr:uid="{00000000-0005-0000-0000-0000CA120000}"/>
    <cellStyle name="20% - Énfasis3 3 5 4" xfId="4808" xr:uid="{00000000-0005-0000-0000-0000CB120000}"/>
    <cellStyle name="20% - Énfasis3 3 5 4 2" xfId="4809" xr:uid="{00000000-0005-0000-0000-0000CC120000}"/>
    <cellStyle name="20% - Énfasis3 3 5 5" xfId="4810" xr:uid="{00000000-0005-0000-0000-0000CD120000}"/>
    <cellStyle name="20% - Énfasis3 3 6" xfId="4811" xr:uid="{00000000-0005-0000-0000-0000CE120000}"/>
    <cellStyle name="20% - Énfasis3 3 6 2" xfId="4812" xr:uid="{00000000-0005-0000-0000-0000CF120000}"/>
    <cellStyle name="20% - Énfasis3 3 6 2 2" xfId="4813" xr:uid="{00000000-0005-0000-0000-0000D0120000}"/>
    <cellStyle name="20% - Énfasis3 3 6 2 2 2" xfId="4814" xr:uid="{00000000-0005-0000-0000-0000D1120000}"/>
    <cellStyle name="20% - Énfasis3 3 6 2 3" xfId="4815" xr:uid="{00000000-0005-0000-0000-0000D2120000}"/>
    <cellStyle name="20% - Énfasis3 3 6 3" xfId="4816" xr:uid="{00000000-0005-0000-0000-0000D3120000}"/>
    <cellStyle name="20% - Énfasis3 3 6 3 2" xfId="4817" xr:uid="{00000000-0005-0000-0000-0000D4120000}"/>
    <cellStyle name="20% - Énfasis3 3 6 3 2 2" xfId="4818" xr:uid="{00000000-0005-0000-0000-0000D5120000}"/>
    <cellStyle name="20% - Énfasis3 3 6 3 3" xfId="4819" xr:uid="{00000000-0005-0000-0000-0000D6120000}"/>
    <cellStyle name="20% - Énfasis3 3 6 4" xfId="4820" xr:uid="{00000000-0005-0000-0000-0000D7120000}"/>
    <cellStyle name="20% - Énfasis3 3 6 4 2" xfId="4821" xr:uid="{00000000-0005-0000-0000-0000D8120000}"/>
    <cellStyle name="20% - Énfasis3 3 6 5" xfId="4822" xr:uid="{00000000-0005-0000-0000-0000D9120000}"/>
    <cellStyle name="20% - Énfasis3 3 7" xfId="4823" xr:uid="{00000000-0005-0000-0000-0000DA120000}"/>
    <cellStyle name="20% - Énfasis3 3 7 2" xfId="4824" xr:uid="{00000000-0005-0000-0000-0000DB120000}"/>
    <cellStyle name="20% - Énfasis3 3 7 2 2" xfId="4825" xr:uid="{00000000-0005-0000-0000-0000DC120000}"/>
    <cellStyle name="20% - Énfasis3 3 7 2 2 2" xfId="4826" xr:uid="{00000000-0005-0000-0000-0000DD120000}"/>
    <cellStyle name="20% - Énfasis3 3 7 2 3" xfId="4827" xr:uid="{00000000-0005-0000-0000-0000DE120000}"/>
    <cellStyle name="20% - Énfasis3 3 7 3" xfId="4828" xr:uid="{00000000-0005-0000-0000-0000DF120000}"/>
    <cellStyle name="20% - Énfasis3 3 7 3 2" xfId="4829" xr:uid="{00000000-0005-0000-0000-0000E0120000}"/>
    <cellStyle name="20% - Énfasis3 3 7 4" xfId="4830" xr:uid="{00000000-0005-0000-0000-0000E1120000}"/>
    <cellStyle name="20% - Énfasis3 3 8" xfId="4831" xr:uid="{00000000-0005-0000-0000-0000E2120000}"/>
    <cellStyle name="20% - Énfasis3 3 8 2" xfId="4832" xr:uid="{00000000-0005-0000-0000-0000E3120000}"/>
    <cellStyle name="20% - Énfasis3 3 8 2 2" xfId="4833" xr:uid="{00000000-0005-0000-0000-0000E4120000}"/>
    <cellStyle name="20% - Énfasis3 3 8 3" xfId="4834" xr:uid="{00000000-0005-0000-0000-0000E5120000}"/>
    <cellStyle name="20% - Énfasis3 3 9" xfId="4835" xr:uid="{00000000-0005-0000-0000-0000E6120000}"/>
    <cellStyle name="20% - Énfasis3 3 9 2" xfId="4836" xr:uid="{00000000-0005-0000-0000-0000E7120000}"/>
    <cellStyle name="20% - Énfasis3 3 9 2 2" xfId="4837" xr:uid="{00000000-0005-0000-0000-0000E8120000}"/>
    <cellStyle name="20% - Énfasis3 3 9 3" xfId="4838" xr:uid="{00000000-0005-0000-0000-0000E9120000}"/>
    <cellStyle name="20% - Énfasis3 30" xfId="4839" xr:uid="{00000000-0005-0000-0000-0000EA120000}"/>
    <cellStyle name="20% - Énfasis3 30 2" xfId="4840" xr:uid="{00000000-0005-0000-0000-0000EB120000}"/>
    <cellStyle name="20% - Énfasis3 30 2 2" xfId="4841" xr:uid="{00000000-0005-0000-0000-0000EC120000}"/>
    <cellStyle name="20% - Énfasis3 30 2 2 2" xfId="4842" xr:uid="{00000000-0005-0000-0000-0000ED120000}"/>
    <cellStyle name="20% - Énfasis3 30 2 2 2 2" xfId="4843" xr:uid="{00000000-0005-0000-0000-0000EE120000}"/>
    <cellStyle name="20% - Énfasis3 30 2 2 3" xfId="4844" xr:uid="{00000000-0005-0000-0000-0000EF120000}"/>
    <cellStyle name="20% - Énfasis3 30 2 3" xfId="4845" xr:uid="{00000000-0005-0000-0000-0000F0120000}"/>
    <cellStyle name="20% - Énfasis3 30 2 3 2" xfId="4846" xr:uid="{00000000-0005-0000-0000-0000F1120000}"/>
    <cellStyle name="20% - Énfasis3 30 2 4" xfId="4847" xr:uid="{00000000-0005-0000-0000-0000F2120000}"/>
    <cellStyle name="20% - Énfasis3 30 3" xfId="4848" xr:uid="{00000000-0005-0000-0000-0000F3120000}"/>
    <cellStyle name="20% - Énfasis3 30 3 2" xfId="4849" xr:uid="{00000000-0005-0000-0000-0000F4120000}"/>
    <cellStyle name="20% - Énfasis3 30 3 2 2" xfId="4850" xr:uid="{00000000-0005-0000-0000-0000F5120000}"/>
    <cellStyle name="20% - Énfasis3 30 3 3" xfId="4851" xr:uid="{00000000-0005-0000-0000-0000F6120000}"/>
    <cellStyle name="20% - Énfasis3 30 4" xfId="4852" xr:uid="{00000000-0005-0000-0000-0000F7120000}"/>
    <cellStyle name="20% - Énfasis3 30 4 2" xfId="4853" xr:uid="{00000000-0005-0000-0000-0000F8120000}"/>
    <cellStyle name="20% - Énfasis3 30 5" xfId="4854" xr:uid="{00000000-0005-0000-0000-0000F9120000}"/>
    <cellStyle name="20% - Énfasis3 31" xfId="4855" xr:uid="{00000000-0005-0000-0000-0000FA120000}"/>
    <cellStyle name="20% - Énfasis3 31 2" xfId="4856" xr:uid="{00000000-0005-0000-0000-0000FB120000}"/>
    <cellStyle name="20% - Énfasis3 31 2 2" xfId="4857" xr:uid="{00000000-0005-0000-0000-0000FC120000}"/>
    <cellStyle name="20% - Énfasis3 31 2 2 2" xfId="4858" xr:uid="{00000000-0005-0000-0000-0000FD120000}"/>
    <cellStyle name="20% - Énfasis3 31 2 2 2 2" xfId="4859" xr:uid="{00000000-0005-0000-0000-0000FE120000}"/>
    <cellStyle name="20% - Énfasis3 31 2 2 3" xfId="4860" xr:uid="{00000000-0005-0000-0000-0000FF120000}"/>
    <cellStyle name="20% - Énfasis3 31 2 3" xfId="4861" xr:uid="{00000000-0005-0000-0000-000000130000}"/>
    <cellStyle name="20% - Énfasis3 31 2 3 2" xfId="4862" xr:uid="{00000000-0005-0000-0000-000001130000}"/>
    <cellStyle name="20% - Énfasis3 31 2 4" xfId="4863" xr:uid="{00000000-0005-0000-0000-000002130000}"/>
    <cellStyle name="20% - Énfasis3 31 3" xfId="4864" xr:uid="{00000000-0005-0000-0000-000003130000}"/>
    <cellStyle name="20% - Énfasis3 31 3 2" xfId="4865" xr:uid="{00000000-0005-0000-0000-000004130000}"/>
    <cellStyle name="20% - Énfasis3 31 3 2 2" xfId="4866" xr:uid="{00000000-0005-0000-0000-000005130000}"/>
    <cellStyle name="20% - Énfasis3 31 3 3" xfId="4867" xr:uid="{00000000-0005-0000-0000-000006130000}"/>
    <cellStyle name="20% - Énfasis3 31 4" xfId="4868" xr:uid="{00000000-0005-0000-0000-000007130000}"/>
    <cellStyle name="20% - Énfasis3 31 4 2" xfId="4869" xr:uid="{00000000-0005-0000-0000-000008130000}"/>
    <cellStyle name="20% - Énfasis3 31 5" xfId="4870" xr:uid="{00000000-0005-0000-0000-000009130000}"/>
    <cellStyle name="20% - Énfasis3 32" xfId="4871" xr:uid="{00000000-0005-0000-0000-00000A130000}"/>
    <cellStyle name="20% - Énfasis3 32 2" xfId="4872" xr:uid="{00000000-0005-0000-0000-00000B130000}"/>
    <cellStyle name="20% - Énfasis3 32 2 2" xfId="4873" xr:uid="{00000000-0005-0000-0000-00000C130000}"/>
    <cellStyle name="20% - Énfasis3 32 2 2 2" xfId="4874" xr:uid="{00000000-0005-0000-0000-00000D130000}"/>
    <cellStyle name="20% - Énfasis3 32 2 2 2 2" xfId="4875" xr:uid="{00000000-0005-0000-0000-00000E130000}"/>
    <cellStyle name="20% - Énfasis3 32 2 2 3" xfId="4876" xr:uid="{00000000-0005-0000-0000-00000F130000}"/>
    <cellStyle name="20% - Énfasis3 32 2 3" xfId="4877" xr:uid="{00000000-0005-0000-0000-000010130000}"/>
    <cellStyle name="20% - Énfasis3 32 2 3 2" xfId="4878" xr:uid="{00000000-0005-0000-0000-000011130000}"/>
    <cellStyle name="20% - Énfasis3 32 2 4" xfId="4879" xr:uid="{00000000-0005-0000-0000-000012130000}"/>
    <cellStyle name="20% - Énfasis3 32 3" xfId="4880" xr:uid="{00000000-0005-0000-0000-000013130000}"/>
    <cellStyle name="20% - Énfasis3 32 3 2" xfId="4881" xr:uid="{00000000-0005-0000-0000-000014130000}"/>
    <cellStyle name="20% - Énfasis3 32 3 2 2" xfId="4882" xr:uid="{00000000-0005-0000-0000-000015130000}"/>
    <cellStyle name="20% - Énfasis3 32 3 3" xfId="4883" xr:uid="{00000000-0005-0000-0000-000016130000}"/>
    <cellStyle name="20% - Énfasis3 32 4" xfId="4884" xr:uid="{00000000-0005-0000-0000-000017130000}"/>
    <cellStyle name="20% - Énfasis3 32 4 2" xfId="4885" xr:uid="{00000000-0005-0000-0000-000018130000}"/>
    <cellStyle name="20% - Énfasis3 32 5" xfId="4886" xr:uid="{00000000-0005-0000-0000-000019130000}"/>
    <cellStyle name="20% - Énfasis3 33" xfId="4887" xr:uid="{00000000-0005-0000-0000-00001A130000}"/>
    <cellStyle name="20% - Énfasis3 33 2" xfId="4888" xr:uid="{00000000-0005-0000-0000-00001B130000}"/>
    <cellStyle name="20% - Énfasis3 33 2 2" xfId="4889" xr:uid="{00000000-0005-0000-0000-00001C130000}"/>
    <cellStyle name="20% - Énfasis3 33 2 2 2" xfId="4890" xr:uid="{00000000-0005-0000-0000-00001D130000}"/>
    <cellStyle name="20% - Énfasis3 33 2 3" xfId="4891" xr:uid="{00000000-0005-0000-0000-00001E130000}"/>
    <cellStyle name="20% - Énfasis3 33 3" xfId="4892" xr:uid="{00000000-0005-0000-0000-00001F130000}"/>
    <cellStyle name="20% - Énfasis3 33 3 2" xfId="4893" xr:uid="{00000000-0005-0000-0000-000020130000}"/>
    <cellStyle name="20% - Énfasis3 33 3 2 2" xfId="4894" xr:uid="{00000000-0005-0000-0000-000021130000}"/>
    <cellStyle name="20% - Énfasis3 33 3 3" xfId="4895" xr:uid="{00000000-0005-0000-0000-000022130000}"/>
    <cellStyle name="20% - Énfasis3 33 4" xfId="4896" xr:uid="{00000000-0005-0000-0000-000023130000}"/>
    <cellStyle name="20% - Énfasis3 33 4 2" xfId="4897" xr:uid="{00000000-0005-0000-0000-000024130000}"/>
    <cellStyle name="20% - Énfasis3 33 5" xfId="4898" xr:uid="{00000000-0005-0000-0000-000025130000}"/>
    <cellStyle name="20% - Énfasis3 34" xfId="4899" xr:uid="{00000000-0005-0000-0000-000026130000}"/>
    <cellStyle name="20% - Énfasis3 34 2" xfId="4900" xr:uid="{00000000-0005-0000-0000-000027130000}"/>
    <cellStyle name="20% - Énfasis3 34 2 2" xfId="4901" xr:uid="{00000000-0005-0000-0000-000028130000}"/>
    <cellStyle name="20% - Énfasis3 34 2 2 2" xfId="4902" xr:uid="{00000000-0005-0000-0000-000029130000}"/>
    <cellStyle name="20% - Énfasis3 34 2 3" xfId="4903" xr:uid="{00000000-0005-0000-0000-00002A130000}"/>
    <cellStyle name="20% - Énfasis3 34 3" xfId="4904" xr:uid="{00000000-0005-0000-0000-00002B130000}"/>
    <cellStyle name="20% - Énfasis3 34 3 2" xfId="4905" xr:uid="{00000000-0005-0000-0000-00002C130000}"/>
    <cellStyle name="20% - Énfasis3 34 3 2 2" xfId="4906" xr:uid="{00000000-0005-0000-0000-00002D130000}"/>
    <cellStyle name="20% - Énfasis3 34 3 3" xfId="4907" xr:uid="{00000000-0005-0000-0000-00002E130000}"/>
    <cellStyle name="20% - Énfasis3 34 4" xfId="4908" xr:uid="{00000000-0005-0000-0000-00002F130000}"/>
    <cellStyle name="20% - Énfasis3 34 4 2" xfId="4909" xr:uid="{00000000-0005-0000-0000-000030130000}"/>
    <cellStyle name="20% - Énfasis3 34 5" xfId="4910" xr:uid="{00000000-0005-0000-0000-000031130000}"/>
    <cellStyle name="20% - Énfasis3 35" xfId="4911" xr:uid="{00000000-0005-0000-0000-000032130000}"/>
    <cellStyle name="20% - Énfasis3 35 2" xfId="4912" xr:uid="{00000000-0005-0000-0000-000033130000}"/>
    <cellStyle name="20% - Énfasis3 35 2 2" xfId="4913" xr:uid="{00000000-0005-0000-0000-000034130000}"/>
    <cellStyle name="20% - Énfasis3 35 2 2 2" xfId="4914" xr:uid="{00000000-0005-0000-0000-000035130000}"/>
    <cellStyle name="20% - Énfasis3 35 2 3" xfId="4915" xr:uid="{00000000-0005-0000-0000-000036130000}"/>
    <cellStyle name="20% - Énfasis3 35 3" xfId="4916" xr:uid="{00000000-0005-0000-0000-000037130000}"/>
    <cellStyle name="20% - Énfasis3 35 3 2" xfId="4917" xr:uid="{00000000-0005-0000-0000-000038130000}"/>
    <cellStyle name="20% - Énfasis3 35 3 2 2" xfId="4918" xr:uid="{00000000-0005-0000-0000-000039130000}"/>
    <cellStyle name="20% - Énfasis3 35 3 3" xfId="4919" xr:uid="{00000000-0005-0000-0000-00003A130000}"/>
    <cellStyle name="20% - Énfasis3 35 4" xfId="4920" xr:uid="{00000000-0005-0000-0000-00003B130000}"/>
    <cellStyle name="20% - Énfasis3 35 4 2" xfId="4921" xr:uid="{00000000-0005-0000-0000-00003C130000}"/>
    <cellStyle name="20% - Énfasis3 35 5" xfId="4922" xr:uid="{00000000-0005-0000-0000-00003D130000}"/>
    <cellStyle name="20% - Énfasis3 36" xfId="4923" xr:uid="{00000000-0005-0000-0000-00003E130000}"/>
    <cellStyle name="20% - Énfasis3 36 2" xfId="4924" xr:uid="{00000000-0005-0000-0000-00003F130000}"/>
    <cellStyle name="20% - Énfasis3 36 2 2" xfId="4925" xr:uid="{00000000-0005-0000-0000-000040130000}"/>
    <cellStyle name="20% - Énfasis3 36 2 2 2" xfId="4926" xr:uid="{00000000-0005-0000-0000-000041130000}"/>
    <cellStyle name="20% - Énfasis3 36 2 3" xfId="4927" xr:uid="{00000000-0005-0000-0000-000042130000}"/>
    <cellStyle name="20% - Énfasis3 36 3" xfId="4928" xr:uid="{00000000-0005-0000-0000-000043130000}"/>
    <cellStyle name="20% - Énfasis3 36 3 2" xfId="4929" xr:uid="{00000000-0005-0000-0000-000044130000}"/>
    <cellStyle name="20% - Énfasis3 36 4" xfId="4930" xr:uid="{00000000-0005-0000-0000-000045130000}"/>
    <cellStyle name="20% - Énfasis3 37" xfId="4931" xr:uid="{00000000-0005-0000-0000-000046130000}"/>
    <cellStyle name="20% - Énfasis3 37 2" xfId="4932" xr:uid="{00000000-0005-0000-0000-000047130000}"/>
    <cellStyle name="20% - Énfasis3 37 2 2" xfId="4933" xr:uid="{00000000-0005-0000-0000-000048130000}"/>
    <cellStyle name="20% - Énfasis3 37 2 2 2" xfId="4934" xr:uid="{00000000-0005-0000-0000-000049130000}"/>
    <cellStyle name="20% - Énfasis3 37 2 3" xfId="4935" xr:uid="{00000000-0005-0000-0000-00004A130000}"/>
    <cellStyle name="20% - Énfasis3 37 3" xfId="4936" xr:uid="{00000000-0005-0000-0000-00004B130000}"/>
    <cellStyle name="20% - Énfasis3 37 3 2" xfId="4937" xr:uid="{00000000-0005-0000-0000-00004C130000}"/>
    <cellStyle name="20% - Énfasis3 37 4" xfId="4938" xr:uid="{00000000-0005-0000-0000-00004D130000}"/>
    <cellStyle name="20% - Énfasis3 38" xfId="4939" xr:uid="{00000000-0005-0000-0000-00004E130000}"/>
    <cellStyle name="20% - Énfasis3 38 2" xfId="4940" xr:uid="{00000000-0005-0000-0000-00004F130000}"/>
    <cellStyle name="20% - Énfasis3 38 2 2" xfId="4941" xr:uid="{00000000-0005-0000-0000-000050130000}"/>
    <cellStyle name="20% - Énfasis3 38 2 2 2" xfId="4942" xr:uid="{00000000-0005-0000-0000-000051130000}"/>
    <cellStyle name="20% - Énfasis3 38 2 3" xfId="4943" xr:uid="{00000000-0005-0000-0000-000052130000}"/>
    <cellStyle name="20% - Énfasis3 38 3" xfId="4944" xr:uid="{00000000-0005-0000-0000-000053130000}"/>
    <cellStyle name="20% - Énfasis3 38 3 2" xfId="4945" xr:uid="{00000000-0005-0000-0000-000054130000}"/>
    <cellStyle name="20% - Énfasis3 38 4" xfId="4946" xr:uid="{00000000-0005-0000-0000-000055130000}"/>
    <cellStyle name="20% - Énfasis3 39" xfId="4947" xr:uid="{00000000-0005-0000-0000-000056130000}"/>
    <cellStyle name="20% - Énfasis3 39 2" xfId="4948" xr:uid="{00000000-0005-0000-0000-000057130000}"/>
    <cellStyle name="20% - Énfasis3 39 2 2" xfId="4949" xr:uid="{00000000-0005-0000-0000-000058130000}"/>
    <cellStyle name="20% - Énfasis3 39 2 2 2" xfId="4950" xr:uid="{00000000-0005-0000-0000-000059130000}"/>
    <cellStyle name="20% - Énfasis3 39 2 3" xfId="4951" xr:uid="{00000000-0005-0000-0000-00005A130000}"/>
    <cellStyle name="20% - Énfasis3 39 3" xfId="4952" xr:uid="{00000000-0005-0000-0000-00005B130000}"/>
    <cellStyle name="20% - Énfasis3 39 3 2" xfId="4953" xr:uid="{00000000-0005-0000-0000-00005C130000}"/>
    <cellStyle name="20% - Énfasis3 39 4" xfId="4954" xr:uid="{00000000-0005-0000-0000-00005D130000}"/>
    <cellStyle name="20% - Énfasis3 4" xfId="4955" xr:uid="{00000000-0005-0000-0000-00005E130000}"/>
    <cellStyle name="20% - Énfasis3 4 10" xfId="4956" xr:uid="{00000000-0005-0000-0000-00005F130000}"/>
    <cellStyle name="20% - Énfasis3 4 10 2" xfId="4957" xr:uid="{00000000-0005-0000-0000-000060130000}"/>
    <cellStyle name="20% - Énfasis3 4 11" xfId="4958" xr:uid="{00000000-0005-0000-0000-000061130000}"/>
    <cellStyle name="20% - Énfasis3 4 2" xfId="4959" xr:uid="{00000000-0005-0000-0000-000062130000}"/>
    <cellStyle name="20% - Énfasis3 4 2 2" xfId="4960" xr:uid="{00000000-0005-0000-0000-000063130000}"/>
    <cellStyle name="20% - Énfasis3 4 2 2 2" xfId="4961" xr:uid="{00000000-0005-0000-0000-000064130000}"/>
    <cellStyle name="20% - Énfasis3 4 2 2 2 2" xfId="4962" xr:uid="{00000000-0005-0000-0000-000065130000}"/>
    <cellStyle name="20% - Énfasis3 4 2 2 2 2 2" xfId="4963" xr:uid="{00000000-0005-0000-0000-000066130000}"/>
    <cellStyle name="20% - Énfasis3 4 2 2 2 2 2 2" xfId="4964" xr:uid="{00000000-0005-0000-0000-000067130000}"/>
    <cellStyle name="20% - Énfasis3 4 2 2 2 2 3" xfId="4965" xr:uid="{00000000-0005-0000-0000-000068130000}"/>
    <cellStyle name="20% - Énfasis3 4 2 2 2 3" xfId="4966" xr:uid="{00000000-0005-0000-0000-000069130000}"/>
    <cellStyle name="20% - Énfasis3 4 2 2 2 3 2" xfId="4967" xr:uid="{00000000-0005-0000-0000-00006A130000}"/>
    <cellStyle name="20% - Énfasis3 4 2 2 2 4" xfId="4968" xr:uid="{00000000-0005-0000-0000-00006B130000}"/>
    <cellStyle name="20% - Énfasis3 4 2 2 3" xfId="4969" xr:uid="{00000000-0005-0000-0000-00006C130000}"/>
    <cellStyle name="20% - Énfasis3 4 2 2 3 2" xfId="4970" xr:uid="{00000000-0005-0000-0000-00006D130000}"/>
    <cellStyle name="20% - Énfasis3 4 2 2 3 2 2" xfId="4971" xr:uid="{00000000-0005-0000-0000-00006E130000}"/>
    <cellStyle name="20% - Énfasis3 4 2 2 3 3" xfId="4972" xr:uid="{00000000-0005-0000-0000-00006F130000}"/>
    <cellStyle name="20% - Énfasis3 4 2 2 4" xfId="4973" xr:uid="{00000000-0005-0000-0000-000070130000}"/>
    <cellStyle name="20% - Énfasis3 4 2 2 4 2" xfId="4974" xr:uid="{00000000-0005-0000-0000-000071130000}"/>
    <cellStyle name="20% - Énfasis3 4 2 2 4 2 2" xfId="4975" xr:uid="{00000000-0005-0000-0000-000072130000}"/>
    <cellStyle name="20% - Énfasis3 4 2 2 4 3" xfId="4976" xr:uid="{00000000-0005-0000-0000-000073130000}"/>
    <cellStyle name="20% - Énfasis3 4 2 2 5" xfId="4977" xr:uid="{00000000-0005-0000-0000-000074130000}"/>
    <cellStyle name="20% - Énfasis3 4 2 2 5 2" xfId="4978" xr:uid="{00000000-0005-0000-0000-000075130000}"/>
    <cellStyle name="20% - Énfasis3 4 2 2 6" xfId="4979" xr:uid="{00000000-0005-0000-0000-000076130000}"/>
    <cellStyle name="20% - Énfasis3 4 2 3" xfId="4980" xr:uid="{00000000-0005-0000-0000-000077130000}"/>
    <cellStyle name="20% - Énfasis3 4 2 3 2" xfId="4981" xr:uid="{00000000-0005-0000-0000-000078130000}"/>
    <cellStyle name="20% - Énfasis3 4 2 3 2 2" xfId="4982" xr:uid="{00000000-0005-0000-0000-000079130000}"/>
    <cellStyle name="20% - Énfasis3 4 2 3 2 2 2" xfId="4983" xr:uid="{00000000-0005-0000-0000-00007A130000}"/>
    <cellStyle name="20% - Énfasis3 4 2 3 2 3" xfId="4984" xr:uid="{00000000-0005-0000-0000-00007B130000}"/>
    <cellStyle name="20% - Énfasis3 4 2 3 3" xfId="4985" xr:uid="{00000000-0005-0000-0000-00007C130000}"/>
    <cellStyle name="20% - Énfasis3 4 2 3 3 2" xfId="4986" xr:uid="{00000000-0005-0000-0000-00007D130000}"/>
    <cellStyle name="20% - Énfasis3 4 2 3 3 2 2" xfId="4987" xr:uid="{00000000-0005-0000-0000-00007E130000}"/>
    <cellStyle name="20% - Énfasis3 4 2 3 3 3" xfId="4988" xr:uid="{00000000-0005-0000-0000-00007F130000}"/>
    <cellStyle name="20% - Énfasis3 4 2 3 4" xfId="4989" xr:uid="{00000000-0005-0000-0000-000080130000}"/>
    <cellStyle name="20% - Énfasis3 4 2 3 4 2" xfId="4990" xr:uid="{00000000-0005-0000-0000-000081130000}"/>
    <cellStyle name="20% - Énfasis3 4 2 3 5" xfId="4991" xr:uid="{00000000-0005-0000-0000-000082130000}"/>
    <cellStyle name="20% - Énfasis3 4 2 4" xfId="4992" xr:uid="{00000000-0005-0000-0000-000083130000}"/>
    <cellStyle name="20% - Énfasis3 4 2 4 2" xfId="4993" xr:uid="{00000000-0005-0000-0000-000084130000}"/>
    <cellStyle name="20% - Énfasis3 4 2 4 2 2" xfId="4994" xr:uid="{00000000-0005-0000-0000-000085130000}"/>
    <cellStyle name="20% - Énfasis3 4 2 4 2 2 2" xfId="4995" xr:uid="{00000000-0005-0000-0000-000086130000}"/>
    <cellStyle name="20% - Énfasis3 4 2 4 2 3" xfId="4996" xr:uid="{00000000-0005-0000-0000-000087130000}"/>
    <cellStyle name="20% - Énfasis3 4 2 4 3" xfId="4997" xr:uid="{00000000-0005-0000-0000-000088130000}"/>
    <cellStyle name="20% - Énfasis3 4 2 4 3 2" xfId="4998" xr:uid="{00000000-0005-0000-0000-000089130000}"/>
    <cellStyle name="20% - Énfasis3 4 2 4 3 2 2" xfId="4999" xr:uid="{00000000-0005-0000-0000-00008A130000}"/>
    <cellStyle name="20% - Énfasis3 4 2 4 3 3" xfId="5000" xr:uid="{00000000-0005-0000-0000-00008B130000}"/>
    <cellStyle name="20% - Énfasis3 4 2 4 4" xfId="5001" xr:uid="{00000000-0005-0000-0000-00008C130000}"/>
    <cellStyle name="20% - Énfasis3 4 2 4 4 2" xfId="5002" xr:uid="{00000000-0005-0000-0000-00008D130000}"/>
    <cellStyle name="20% - Énfasis3 4 2 4 5" xfId="5003" xr:uid="{00000000-0005-0000-0000-00008E130000}"/>
    <cellStyle name="20% - Énfasis3 4 2 5" xfId="5004" xr:uid="{00000000-0005-0000-0000-00008F130000}"/>
    <cellStyle name="20% - Énfasis3 4 2 5 2" xfId="5005" xr:uid="{00000000-0005-0000-0000-000090130000}"/>
    <cellStyle name="20% - Énfasis3 4 2 5 2 2" xfId="5006" xr:uid="{00000000-0005-0000-0000-000091130000}"/>
    <cellStyle name="20% - Énfasis3 4 2 5 2 2 2" xfId="5007" xr:uid="{00000000-0005-0000-0000-000092130000}"/>
    <cellStyle name="20% - Énfasis3 4 2 5 2 3" xfId="5008" xr:uid="{00000000-0005-0000-0000-000093130000}"/>
    <cellStyle name="20% - Énfasis3 4 2 5 3" xfId="5009" xr:uid="{00000000-0005-0000-0000-000094130000}"/>
    <cellStyle name="20% - Énfasis3 4 2 5 3 2" xfId="5010" xr:uid="{00000000-0005-0000-0000-000095130000}"/>
    <cellStyle name="20% - Énfasis3 4 2 5 4" xfId="5011" xr:uid="{00000000-0005-0000-0000-000096130000}"/>
    <cellStyle name="20% - Énfasis3 4 2 6" xfId="5012" xr:uid="{00000000-0005-0000-0000-000097130000}"/>
    <cellStyle name="20% - Énfasis3 4 2 6 2" xfId="5013" xr:uid="{00000000-0005-0000-0000-000098130000}"/>
    <cellStyle name="20% - Énfasis3 4 2 6 2 2" xfId="5014" xr:uid="{00000000-0005-0000-0000-000099130000}"/>
    <cellStyle name="20% - Énfasis3 4 2 6 3" xfId="5015" xr:uid="{00000000-0005-0000-0000-00009A130000}"/>
    <cellStyle name="20% - Énfasis3 4 2 7" xfId="5016" xr:uid="{00000000-0005-0000-0000-00009B130000}"/>
    <cellStyle name="20% - Énfasis3 4 2 7 2" xfId="5017" xr:uid="{00000000-0005-0000-0000-00009C130000}"/>
    <cellStyle name="20% - Énfasis3 4 2 7 2 2" xfId="5018" xr:uid="{00000000-0005-0000-0000-00009D130000}"/>
    <cellStyle name="20% - Énfasis3 4 2 7 3" xfId="5019" xr:uid="{00000000-0005-0000-0000-00009E130000}"/>
    <cellStyle name="20% - Énfasis3 4 2 8" xfId="5020" xr:uid="{00000000-0005-0000-0000-00009F130000}"/>
    <cellStyle name="20% - Énfasis3 4 2 8 2" xfId="5021" xr:uid="{00000000-0005-0000-0000-0000A0130000}"/>
    <cellStyle name="20% - Énfasis3 4 2 9" xfId="5022" xr:uid="{00000000-0005-0000-0000-0000A1130000}"/>
    <cellStyle name="20% - Énfasis3 4 3" xfId="5023" xr:uid="{00000000-0005-0000-0000-0000A2130000}"/>
    <cellStyle name="20% - Énfasis3 4 3 2" xfId="5024" xr:uid="{00000000-0005-0000-0000-0000A3130000}"/>
    <cellStyle name="20% - Énfasis3 4 3 2 2" xfId="5025" xr:uid="{00000000-0005-0000-0000-0000A4130000}"/>
    <cellStyle name="20% - Énfasis3 4 3 2 2 2" xfId="5026" xr:uid="{00000000-0005-0000-0000-0000A5130000}"/>
    <cellStyle name="20% - Énfasis3 4 3 2 2 2 2" xfId="5027" xr:uid="{00000000-0005-0000-0000-0000A6130000}"/>
    <cellStyle name="20% - Énfasis3 4 3 2 2 3" xfId="5028" xr:uid="{00000000-0005-0000-0000-0000A7130000}"/>
    <cellStyle name="20% - Énfasis3 4 3 2 3" xfId="5029" xr:uid="{00000000-0005-0000-0000-0000A8130000}"/>
    <cellStyle name="20% - Énfasis3 4 3 2 3 2" xfId="5030" xr:uid="{00000000-0005-0000-0000-0000A9130000}"/>
    <cellStyle name="20% - Énfasis3 4 3 2 4" xfId="5031" xr:uid="{00000000-0005-0000-0000-0000AA130000}"/>
    <cellStyle name="20% - Énfasis3 4 3 3" xfId="5032" xr:uid="{00000000-0005-0000-0000-0000AB130000}"/>
    <cellStyle name="20% - Énfasis3 4 3 3 2" xfId="5033" xr:uid="{00000000-0005-0000-0000-0000AC130000}"/>
    <cellStyle name="20% - Énfasis3 4 3 3 2 2" xfId="5034" xr:uid="{00000000-0005-0000-0000-0000AD130000}"/>
    <cellStyle name="20% - Énfasis3 4 3 3 3" xfId="5035" xr:uid="{00000000-0005-0000-0000-0000AE130000}"/>
    <cellStyle name="20% - Énfasis3 4 3 4" xfId="5036" xr:uid="{00000000-0005-0000-0000-0000AF130000}"/>
    <cellStyle name="20% - Énfasis3 4 3 4 2" xfId="5037" xr:uid="{00000000-0005-0000-0000-0000B0130000}"/>
    <cellStyle name="20% - Énfasis3 4 3 4 2 2" xfId="5038" xr:uid="{00000000-0005-0000-0000-0000B1130000}"/>
    <cellStyle name="20% - Énfasis3 4 3 4 3" xfId="5039" xr:uid="{00000000-0005-0000-0000-0000B2130000}"/>
    <cellStyle name="20% - Énfasis3 4 3 5" xfId="5040" xr:uid="{00000000-0005-0000-0000-0000B3130000}"/>
    <cellStyle name="20% - Énfasis3 4 3 5 2" xfId="5041" xr:uid="{00000000-0005-0000-0000-0000B4130000}"/>
    <cellStyle name="20% - Énfasis3 4 3 6" xfId="5042" xr:uid="{00000000-0005-0000-0000-0000B5130000}"/>
    <cellStyle name="20% - Énfasis3 4 4" xfId="5043" xr:uid="{00000000-0005-0000-0000-0000B6130000}"/>
    <cellStyle name="20% - Énfasis3 4 4 2" xfId="5044" xr:uid="{00000000-0005-0000-0000-0000B7130000}"/>
    <cellStyle name="20% - Énfasis3 4 4 2 2" xfId="5045" xr:uid="{00000000-0005-0000-0000-0000B8130000}"/>
    <cellStyle name="20% - Énfasis3 4 4 2 2 2" xfId="5046" xr:uid="{00000000-0005-0000-0000-0000B9130000}"/>
    <cellStyle name="20% - Énfasis3 4 4 2 3" xfId="5047" xr:uid="{00000000-0005-0000-0000-0000BA130000}"/>
    <cellStyle name="20% - Énfasis3 4 4 3" xfId="5048" xr:uid="{00000000-0005-0000-0000-0000BB130000}"/>
    <cellStyle name="20% - Énfasis3 4 4 3 2" xfId="5049" xr:uid="{00000000-0005-0000-0000-0000BC130000}"/>
    <cellStyle name="20% - Énfasis3 4 4 3 2 2" xfId="5050" xr:uid="{00000000-0005-0000-0000-0000BD130000}"/>
    <cellStyle name="20% - Énfasis3 4 4 3 3" xfId="5051" xr:uid="{00000000-0005-0000-0000-0000BE130000}"/>
    <cellStyle name="20% - Énfasis3 4 4 4" xfId="5052" xr:uid="{00000000-0005-0000-0000-0000BF130000}"/>
    <cellStyle name="20% - Énfasis3 4 4 4 2" xfId="5053" xr:uid="{00000000-0005-0000-0000-0000C0130000}"/>
    <cellStyle name="20% - Énfasis3 4 4 5" xfId="5054" xr:uid="{00000000-0005-0000-0000-0000C1130000}"/>
    <cellStyle name="20% - Énfasis3 4 5" xfId="5055" xr:uid="{00000000-0005-0000-0000-0000C2130000}"/>
    <cellStyle name="20% - Énfasis3 4 5 2" xfId="5056" xr:uid="{00000000-0005-0000-0000-0000C3130000}"/>
    <cellStyle name="20% - Énfasis3 4 5 2 2" xfId="5057" xr:uid="{00000000-0005-0000-0000-0000C4130000}"/>
    <cellStyle name="20% - Énfasis3 4 5 2 2 2" xfId="5058" xr:uid="{00000000-0005-0000-0000-0000C5130000}"/>
    <cellStyle name="20% - Énfasis3 4 5 2 3" xfId="5059" xr:uid="{00000000-0005-0000-0000-0000C6130000}"/>
    <cellStyle name="20% - Énfasis3 4 5 3" xfId="5060" xr:uid="{00000000-0005-0000-0000-0000C7130000}"/>
    <cellStyle name="20% - Énfasis3 4 5 3 2" xfId="5061" xr:uid="{00000000-0005-0000-0000-0000C8130000}"/>
    <cellStyle name="20% - Énfasis3 4 5 3 2 2" xfId="5062" xr:uid="{00000000-0005-0000-0000-0000C9130000}"/>
    <cellStyle name="20% - Énfasis3 4 5 3 3" xfId="5063" xr:uid="{00000000-0005-0000-0000-0000CA130000}"/>
    <cellStyle name="20% - Énfasis3 4 5 4" xfId="5064" xr:uid="{00000000-0005-0000-0000-0000CB130000}"/>
    <cellStyle name="20% - Énfasis3 4 5 4 2" xfId="5065" xr:uid="{00000000-0005-0000-0000-0000CC130000}"/>
    <cellStyle name="20% - Énfasis3 4 5 5" xfId="5066" xr:uid="{00000000-0005-0000-0000-0000CD130000}"/>
    <cellStyle name="20% - Énfasis3 4 6" xfId="5067" xr:uid="{00000000-0005-0000-0000-0000CE130000}"/>
    <cellStyle name="20% - Énfasis3 4 6 2" xfId="5068" xr:uid="{00000000-0005-0000-0000-0000CF130000}"/>
    <cellStyle name="20% - Énfasis3 4 6 2 2" xfId="5069" xr:uid="{00000000-0005-0000-0000-0000D0130000}"/>
    <cellStyle name="20% - Énfasis3 4 6 2 2 2" xfId="5070" xr:uid="{00000000-0005-0000-0000-0000D1130000}"/>
    <cellStyle name="20% - Énfasis3 4 6 2 3" xfId="5071" xr:uid="{00000000-0005-0000-0000-0000D2130000}"/>
    <cellStyle name="20% - Énfasis3 4 6 3" xfId="5072" xr:uid="{00000000-0005-0000-0000-0000D3130000}"/>
    <cellStyle name="20% - Énfasis3 4 6 3 2" xfId="5073" xr:uid="{00000000-0005-0000-0000-0000D4130000}"/>
    <cellStyle name="20% - Énfasis3 4 6 4" xfId="5074" xr:uid="{00000000-0005-0000-0000-0000D5130000}"/>
    <cellStyle name="20% - Énfasis3 4 7" xfId="5075" xr:uid="{00000000-0005-0000-0000-0000D6130000}"/>
    <cellStyle name="20% - Énfasis3 4 7 2" xfId="5076" xr:uid="{00000000-0005-0000-0000-0000D7130000}"/>
    <cellStyle name="20% - Énfasis3 4 7 2 2" xfId="5077" xr:uid="{00000000-0005-0000-0000-0000D8130000}"/>
    <cellStyle name="20% - Énfasis3 4 7 3" xfId="5078" xr:uid="{00000000-0005-0000-0000-0000D9130000}"/>
    <cellStyle name="20% - Énfasis3 4 8" xfId="5079" xr:uid="{00000000-0005-0000-0000-0000DA130000}"/>
    <cellStyle name="20% - Énfasis3 4 8 2" xfId="5080" xr:uid="{00000000-0005-0000-0000-0000DB130000}"/>
    <cellStyle name="20% - Énfasis3 4 8 2 2" xfId="5081" xr:uid="{00000000-0005-0000-0000-0000DC130000}"/>
    <cellStyle name="20% - Énfasis3 4 8 3" xfId="5082" xr:uid="{00000000-0005-0000-0000-0000DD130000}"/>
    <cellStyle name="20% - Énfasis3 4 9" xfId="5083" xr:uid="{00000000-0005-0000-0000-0000DE130000}"/>
    <cellStyle name="20% - Énfasis3 4 9 2" xfId="5084" xr:uid="{00000000-0005-0000-0000-0000DF130000}"/>
    <cellStyle name="20% - Énfasis3 40" xfId="5085" xr:uid="{00000000-0005-0000-0000-0000E0130000}"/>
    <cellStyle name="20% - Énfasis3 40 2" xfId="5086" xr:uid="{00000000-0005-0000-0000-0000E1130000}"/>
    <cellStyle name="20% - Énfasis3 40 2 2" xfId="5087" xr:uid="{00000000-0005-0000-0000-0000E2130000}"/>
    <cellStyle name="20% - Énfasis3 40 2 2 2" xfId="5088" xr:uid="{00000000-0005-0000-0000-0000E3130000}"/>
    <cellStyle name="20% - Énfasis3 40 2 3" xfId="5089" xr:uid="{00000000-0005-0000-0000-0000E4130000}"/>
    <cellStyle name="20% - Énfasis3 40 3" xfId="5090" xr:uid="{00000000-0005-0000-0000-0000E5130000}"/>
    <cellStyle name="20% - Énfasis3 40 3 2" xfId="5091" xr:uid="{00000000-0005-0000-0000-0000E6130000}"/>
    <cellStyle name="20% - Énfasis3 40 4" xfId="5092" xr:uid="{00000000-0005-0000-0000-0000E7130000}"/>
    <cellStyle name="20% - Énfasis3 41" xfId="5093" xr:uid="{00000000-0005-0000-0000-0000E8130000}"/>
    <cellStyle name="20% - Énfasis3 41 2" xfId="5094" xr:uid="{00000000-0005-0000-0000-0000E9130000}"/>
    <cellStyle name="20% - Énfasis3 41 2 2" xfId="5095" xr:uid="{00000000-0005-0000-0000-0000EA130000}"/>
    <cellStyle name="20% - Énfasis3 41 3" xfId="5096" xr:uid="{00000000-0005-0000-0000-0000EB130000}"/>
    <cellStyle name="20% - Énfasis3 42" xfId="5097" xr:uid="{00000000-0005-0000-0000-0000EC130000}"/>
    <cellStyle name="20% - Énfasis3 42 2" xfId="5098" xr:uid="{00000000-0005-0000-0000-0000ED130000}"/>
    <cellStyle name="20% - Énfasis3 42 2 2" xfId="5099" xr:uid="{00000000-0005-0000-0000-0000EE130000}"/>
    <cellStyle name="20% - Énfasis3 42 3" xfId="5100" xr:uid="{00000000-0005-0000-0000-0000EF130000}"/>
    <cellStyle name="20% - Énfasis3 43" xfId="5101" xr:uid="{00000000-0005-0000-0000-0000F0130000}"/>
    <cellStyle name="20% - Énfasis3 43 2" xfId="5102" xr:uid="{00000000-0005-0000-0000-0000F1130000}"/>
    <cellStyle name="20% - Énfasis3 43 2 2" xfId="5103" xr:uid="{00000000-0005-0000-0000-0000F2130000}"/>
    <cellStyle name="20% - Énfasis3 43 3" xfId="5104" xr:uid="{00000000-0005-0000-0000-0000F3130000}"/>
    <cellStyle name="20% - Énfasis3 44" xfId="5105" xr:uid="{00000000-0005-0000-0000-0000F4130000}"/>
    <cellStyle name="20% - Énfasis3 44 2" xfId="5106" xr:uid="{00000000-0005-0000-0000-0000F5130000}"/>
    <cellStyle name="20% - Énfasis3 44 2 2" xfId="5107" xr:uid="{00000000-0005-0000-0000-0000F6130000}"/>
    <cellStyle name="20% - Énfasis3 44 3" xfId="5108" xr:uid="{00000000-0005-0000-0000-0000F7130000}"/>
    <cellStyle name="20% - Énfasis3 45" xfId="5109" xr:uid="{00000000-0005-0000-0000-0000F8130000}"/>
    <cellStyle name="20% - Énfasis3 45 2" xfId="5110" xr:uid="{00000000-0005-0000-0000-0000F9130000}"/>
    <cellStyle name="20% - Énfasis3 45 2 2" xfId="5111" xr:uid="{00000000-0005-0000-0000-0000FA130000}"/>
    <cellStyle name="20% - Énfasis3 45 3" xfId="5112" xr:uid="{00000000-0005-0000-0000-0000FB130000}"/>
    <cellStyle name="20% - Énfasis3 46" xfId="5113" xr:uid="{00000000-0005-0000-0000-0000FC130000}"/>
    <cellStyle name="20% - Énfasis3 46 2" xfId="5114" xr:uid="{00000000-0005-0000-0000-0000FD130000}"/>
    <cellStyle name="20% - Énfasis3 46 2 2" xfId="5115" xr:uid="{00000000-0005-0000-0000-0000FE130000}"/>
    <cellStyle name="20% - Énfasis3 46 3" xfId="5116" xr:uid="{00000000-0005-0000-0000-0000FF130000}"/>
    <cellStyle name="20% - Énfasis3 47" xfId="5117" xr:uid="{00000000-0005-0000-0000-000000140000}"/>
    <cellStyle name="20% - Énfasis3 47 2" xfId="5118" xr:uid="{00000000-0005-0000-0000-000001140000}"/>
    <cellStyle name="20% - Énfasis3 47 2 2" xfId="5119" xr:uid="{00000000-0005-0000-0000-000002140000}"/>
    <cellStyle name="20% - Énfasis3 47 3" xfId="5120" xr:uid="{00000000-0005-0000-0000-000003140000}"/>
    <cellStyle name="20% - Énfasis3 48" xfId="5121" xr:uid="{00000000-0005-0000-0000-000004140000}"/>
    <cellStyle name="20% - Énfasis3 48 2" xfId="5122" xr:uid="{00000000-0005-0000-0000-000005140000}"/>
    <cellStyle name="20% - Énfasis3 48 2 2" xfId="5123" xr:uid="{00000000-0005-0000-0000-000006140000}"/>
    <cellStyle name="20% - Énfasis3 48 3" xfId="5124" xr:uid="{00000000-0005-0000-0000-000007140000}"/>
    <cellStyle name="20% - Énfasis3 49" xfId="5125" xr:uid="{00000000-0005-0000-0000-000008140000}"/>
    <cellStyle name="20% - Énfasis3 49 2" xfId="5126" xr:uid="{00000000-0005-0000-0000-000009140000}"/>
    <cellStyle name="20% - Énfasis3 5" xfId="5127" xr:uid="{00000000-0005-0000-0000-00000A140000}"/>
    <cellStyle name="20% - Énfasis3 5 2" xfId="5128" xr:uid="{00000000-0005-0000-0000-00000B140000}"/>
    <cellStyle name="20% - Énfasis3 5 2 2" xfId="5129" xr:uid="{00000000-0005-0000-0000-00000C140000}"/>
    <cellStyle name="20% - Énfasis3 5 2 2 2" xfId="5130" xr:uid="{00000000-0005-0000-0000-00000D140000}"/>
    <cellStyle name="20% - Énfasis3 5 2 2 2 2" xfId="5131" xr:uid="{00000000-0005-0000-0000-00000E140000}"/>
    <cellStyle name="20% - Énfasis3 5 2 2 2 2 2" xfId="5132" xr:uid="{00000000-0005-0000-0000-00000F140000}"/>
    <cellStyle name="20% - Énfasis3 5 2 2 2 3" xfId="5133" xr:uid="{00000000-0005-0000-0000-000010140000}"/>
    <cellStyle name="20% - Énfasis3 5 2 2 3" xfId="5134" xr:uid="{00000000-0005-0000-0000-000011140000}"/>
    <cellStyle name="20% - Énfasis3 5 2 2 3 2" xfId="5135" xr:uid="{00000000-0005-0000-0000-000012140000}"/>
    <cellStyle name="20% - Énfasis3 5 2 2 3 2 2" xfId="5136" xr:uid="{00000000-0005-0000-0000-000013140000}"/>
    <cellStyle name="20% - Énfasis3 5 2 2 3 3" xfId="5137" xr:uid="{00000000-0005-0000-0000-000014140000}"/>
    <cellStyle name="20% - Énfasis3 5 2 2 4" xfId="5138" xr:uid="{00000000-0005-0000-0000-000015140000}"/>
    <cellStyle name="20% - Énfasis3 5 2 2 4 2" xfId="5139" xr:uid="{00000000-0005-0000-0000-000016140000}"/>
    <cellStyle name="20% - Énfasis3 5 2 2 5" xfId="5140" xr:uid="{00000000-0005-0000-0000-000017140000}"/>
    <cellStyle name="20% - Énfasis3 5 2 3" xfId="5141" xr:uid="{00000000-0005-0000-0000-000018140000}"/>
    <cellStyle name="20% - Énfasis3 5 2 3 2" xfId="5142" xr:uid="{00000000-0005-0000-0000-000019140000}"/>
    <cellStyle name="20% - Énfasis3 5 2 3 2 2" xfId="5143" xr:uid="{00000000-0005-0000-0000-00001A140000}"/>
    <cellStyle name="20% - Énfasis3 5 2 3 2 2 2" xfId="5144" xr:uid="{00000000-0005-0000-0000-00001B140000}"/>
    <cellStyle name="20% - Énfasis3 5 2 3 2 3" xfId="5145" xr:uid="{00000000-0005-0000-0000-00001C140000}"/>
    <cellStyle name="20% - Énfasis3 5 2 3 3" xfId="5146" xr:uid="{00000000-0005-0000-0000-00001D140000}"/>
    <cellStyle name="20% - Énfasis3 5 2 3 3 2" xfId="5147" xr:uid="{00000000-0005-0000-0000-00001E140000}"/>
    <cellStyle name="20% - Énfasis3 5 2 3 3 2 2" xfId="5148" xr:uid="{00000000-0005-0000-0000-00001F140000}"/>
    <cellStyle name="20% - Énfasis3 5 2 3 3 3" xfId="5149" xr:uid="{00000000-0005-0000-0000-000020140000}"/>
    <cellStyle name="20% - Énfasis3 5 2 3 4" xfId="5150" xr:uid="{00000000-0005-0000-0000-000021140000}"/>
    <cellStyle name="20% - Énfasis3 5 2 3 4 2" xfId="5151" xr:uid="{00000000-0005-0000-0000-000022140000}"/>
    <cellStyle name="20% - Énfasis3 5 2 3 5" xfId="5152" xr:uid="{00000000-0005-0000-0000-000023140000}"/>
    <cellStyle name="20% - Énfasis3 5 2 4" xfId="5153" xr:uid="{00000000-0005-0000-0000-000024140000}"/>
    <cellStyle name="20% - Énfasis3 5 2 4 2" xfId="5154" xr:uid="{00000000-0005-0000-0000-000025140000}"/>
    <cellStyle name="20% - Énfasis3 5 2 4 2 2" xfId="5155" xr:uid="{00000000-0005-0000-0000-000026140000}"/>
    <cellStyle name="20% - Énfasis3 5 2 4 2 2 2" xfId="5156" xr:uid="{00000000-0005-0000-0000-000027140000}"/>
    <cellStyle name="20% - Énfasis3 5 2 4 2 3" xfId="5157" xr:uid="{00000000-0005-0000-0000-000028140000}"/>
    <cellStyle name="20% - Énfasis3 5 2 4 3" xfId="5158" xr:uid="{00000000-0005-0000-0000-000029140000}"/>
    <cellStyle name="20% - Énfasis3 5 2 4 3 2" xfId="5159" xr:uid="{00000000-0005-0000-0000-00002A140000}"/>
    <cellStyle name="20% - Énfasis3 5 2 4 4" xfId="5160" xr:uid="{00000000-0005-0000-0000-00002B140000}"/>
    <cellStyle name="20% - Énfasis3 5 2 5" xfId="5161" xr:uid="{00000000-0005-0000-0000-00002C140000}"/>
    <cellStyle name="20% - Énfasis3 5 2 5 2" xfId="5162" xr:uid="{00000000-0005-0000-0000-00002D140000}"/>
    <cellStyle name="20% - Énfasis3 5 2 5 2 2" xfId="5163" xr:uid="{00000000-0005-0000-0000-00002E140000}"/>
    <cellStyle name="20% - Énfasis3 5 2 5 3" xfId="5164" xr:uid="{00000000-0005-0000-0000-00002F140000}"/>
    <cellStyle name="20% - Énfasis3 5 2 6" xfId="5165" xr:uid="{00000000-0005-0000-0000-000030140000}"/>
    <cellStyle name="20% - Énfasis3 5 2 6 2" xfId="5166" xr:uid="{00000000-0005-0000-0000-000031140000}"/>
    <cellStyle name="20% - Énfasis3 5 2 6 2 2" xfId="5167" xr:uid="{00000000-0005-0000-0000-000032140000}"/>
    <cellStyle name="20% - Énfasis3 5 2 6 3" xfId="5168" xr:uid="{00000000-0005-0000-0000-000033140000}"/>
    <cellStyle name="20% - Énfasis3 5 2 7" xfId="5169" xr:uid="{00000000-0005-0000-0000-000034140000}"/>
    <cellStyle name="20% - Énfasis3 5 2 7 2" xfId="5170" xr:uid="{00000000-0005-0000-0000-000035140000}"/>
    <cellStyle name="20% - Énfasis3 5 2 8" xfId="5171" xr:uid="{00000000-0005-0000-0000-000036140000}"/>
    <cellStyle name="20% - Énfasis3 5 3" xfId="5172" xr:uid="{00000000-0005-0000-0000-000037140000}"/>
    <cellStyle name="20% - Énfasis3 5 3 2" xfId="5173" xr:uid="{00000000-0005-0000-0000-000038140000}"/>
    <cellStyle name="20% - Énfasis3 5 3 2 2" xfId="5174" xr:uid="{00000000-0005-0000-0000-000039140000}"/>
    <cellStyle name="20% - Énfasis3 5 3 2 2 2" xfId="5175" xr:uid="{00000000-0005-0000-0000-00003A140000}"/>
    <cellStyle name="20% - Énfasis3 5 3 2 3" xfId="5176" xr:uid="{00000000-0005-0000-0000-00003B140000}"/>
    <cellStyle name="20% - Énfasis3 5 3 3" xfId="5177" xr:uid="{00000000-0005-0000-0000-00003C140000}"/>
    <cellStyle name="20% - Énfasis3 5 3 3 2" xfId="5178" xr:uid="{00000000-0005-0000-0000-00003D140000}"/>
    <cellStyle name="20% - Énfasis3 5 3 3 2 2" xfId="5179" xr:uid="{00000000-0005-0000-0000-00003E140000}"/>
    <cellStyle name="20% - Énfasis3 5 3 3 3" xfId="5180" xr:uid="{00000000-0005-0000-0000-00003F140000}"/>
    <cellStyle name="20% - Énfasis3 5 3 4" xfId="5181" xr:uid="{00000000-0005-0000-0000-000040140000}"/>
    <cellStyle name="20% - Énfasis3 5 3 4 2" xfId="5182" xr:uid="{00000000-0005-0000-0000-000041140000}"/>
    <cellStyle name="20% - Énfasis3 5 3 5" xfId="5183" xr:uid="{00000000-0005-0000-0000-000042140000}"/>
    <cellStyle name="20% - Énfasis3 5 4" xfId="5184" xr:uid="{00000000-0005-0000-0000-000043140000}"/>
    <cellStyle name="20% - Énfasis3 5 4 2" xfId="5185" xr:uid="{00000000-0005-0000-0000-000044140000}"/>
    <cellStyle name="20% - Énfasis3 5 4 2 2" xfId="5186" xr:uid="{00000000-0005-0000-0000-000045140000}"/>
    <cellStyle name="20% - Énfasis3 5 4 2 2 2" xfId="5187" xr:uid="{00000000-0005-0000-0000-000046140000}"/>
    <cellStyle name="20% - Énfasis3 5 4 2 3" xfId="5188" xr:uid="{00000000-0005-0000-0000-000047140000}"/>
    <cellStyle name="20% - Énfasis3 5 4 3" xfId="5189" xr:uid="{00000000-0005-0000-0000-000048140000}"/>
    <cellStyle name="20% - Énfasis3 5 4 3 2" xfId="5190" xr:uid="{00000000-0005-0000-0000-000049140000}"/>
    <cellStyle name="20% - Énfasis3 5 4 3 2 2" xfId="5191" xr:uid="{00000000-0005-0000-0000-00004A140000}"/>
    <cellStyle name="20% - Énfasis3 5 4 3 3" xfId="5192" xr:uid="{00000000-0005-0000-0000-00004B140000}"/>
    <cellStyle name="20% - Énfasis3 5 4 4" xfId="5193" xr:uid="{00000000-0005-0000-0000-00004C140000}"/>
    <cellStyle name="20% - Énfasis3 5 4 4 2" xfId="5194" xr:uid="{00000000-0005-0000-0000-00004D140000}"/>
    <cellStyle name="20% - Énfasis3 5 4 5" xfId="5195" xr:uid="{00000000-0005-0000-0000-00004E140000}"/>
    <cellStyle name="20% - Énfasis3 5 5" xfId="5196" xr:uid="{00000000-0005-0000-0000-00004F140000}"/>
    <cellStyle name="20% - Énfasis3 5 5 2" xfId="5197" xr:uid="{00000000-0005-0000-0000-000050140000}"/>
    <cellStyle name="20% - Énfasis3 5 5 2 2" xfId="5198" xr:uid="{00000000-0005-0000-0000-000051140000}"/>
    <cellStyle name="20% - Énfasis3 5 5 2 2 2" xfId="5199" xr:uid="{00000000-0005-0000-0000-000052140000}"/>
    <cellStyle name="20% - Énfasis3 5 5 2 3" xfId="5200" xr:uid="{00000000-0005-0000-0000-000053140000}"/>
    <cellStyle name="20% - Énfasis3 5 5 3" xfId="5201" xr:uid="{00000000-0005-0000-0000-000054140000}"/>
    <cellStyle name="20% - Énfasis3 5 5 3 2" xfId="5202" xr:uid="{00000000-0005-0000-0000-000055140000}"/>
    <cellStyle name="20% - Énfasis3 5 5 4" xfId="5203" xr:uid="{00000000-0005-0000-0000-000056140000}"/>
    <cellStyle name="20% - Énfasis3 5 6" xfId="5204" xr:uid="{00000000-0005-0000-0000-000057140000}"/>
    <cellStyle name="20% - Énfasis3 5 6 2" xfId="5205" xr:uid="{00000000-0005-0000-0000-000058140000}"/>
    <cellStyle name="20% - Énfasis3 5 6 2 2" xfId="5206" xr:uid="{00000000-0005-0000-0000-000059140000}"/>
    <cellStyle name="20% - Énfasis3 5 6 3" xfId="5207" xr:uid="{00000000-0005-0000-0000-00005A140000}"/>
    <cellStyle name="20% - Énfasis3 5 7" xfId="5208" xr:uid="{00000000-0005-0000-0000-00005B140000}"/>
    <cellStyle name="20% - Énfasis3 5 7 2" xfId="5209" xr:uid="{00000000-0005-0000-0000-00005C140000}"/>
    <cellStyle name="20% - Énfasis3 5 7 2 2" xfId="5210" xr:uid="{00000000-0005-0000-0000-00005D140000}"/>
    <cellStyle name="20% - Énfasis3 5 7 3" xfId="5211" xr:uid="{00000000-0005-0000-0000-00005E140000}"/>
    <cellStyle name="20% - Énfasis3 5 8" xfId="5212" xr:uid="{00000000-0005-0000-0000-00005F140000}"/>
    <cellStyle name="20% - Énfasis3 5 8 2" xfId="5213" xr:uid="{00000000-0005-0000-0000-000060140000}"/>
    <cellStyle name="20% - Énfasis3 5 9" xfId="5214" xr:uid="{00000000-0005-0000-0000-000061140000}"/>
    <cellStyle name="20% - Énfasis3 50" xfId="5215" xr:uid="{00000000-0005-0000-0000-000062140000}"/>
    <cellStyle name="20% - Énfasis3 50 2" xfId="5216" xr:uid="{00000000-0005-0000-0000-000063140000}"/>
    <cellStyle name="20% - Énfasis3 51" xfId="5217" xr:uid="{00000000-0005-0000-0000-000064140000}"/>
    <cellStyle name="20% - Énfasis3 51 2" xfId="5218" xr:uid="{00000000-0005-0000-0000-000065140000}"/>
    <cellStyle name="20% - Énfasis3 52" xfId="5219" xr:uid="{00000000-0005-0000-0000-000066140000}"/>
    <cellStyle name="20% - Énfasis3 52 2" xfId="5220" xr:uid="{00000000-0005-0000-0000-000067140000}"/>
    <cellStyle name="20% - Énfasis3 53" xfId="5221" xr:uid="{00000000-0005-0000-0000-000068140000}"/>
    <cellStyle name="20% - Énfasis3 53 2" xfId="5222" xr:uid="{00000000-0005-0000-0000-000069140000}"/>
    <cellStyle name="20% - Énfasis3 54" xfId="5223" xr:uid="{00000000-0005-0000-0000-00006A140000}"/>
    <cellStyle name="20% - Énfasis3 54 2" xfId="5224" xr:uid="{00000000-0005-0000-0000-00006B140000}"/>
    <cellStyle name="20% - Énfasis3 55" xfId="5225" xr:uid="{00000000-0005-0000-0000-00006C140000}"/>
    <cellStyle name="20% - Énfasis3 55 2" xfId="5226" xr:uid="{00000000-0005-0000-0000-00006D140000}"/>
    <cellStyle name="20% - Énfasis3 56" xfId="5227" xr:uid="{00000000-0005-0000-0000-00006E140000}"/>
    <cellStyle name="20% - Énfasis3 56 2" xfId="5228" xr:uid="{00000000-0005-0000-0000-00006F140000}"/>
    <cellStyle name="20% - Énfasis3 57" xfId="5229" xr:uid="{00000000-0005-0000-0000-000070140000}"/>
    <cellStyle name="20% - Énfasis3 57 2" xfId="5230" xr:uid="{00000000-0005-0000-0000-000071140000}"/>
    <cellStyle name="20% - Énfasis3 58" xfId="5231" xr:uid="{00000000-0005-0000-0000-000072140000}"/>
    <cellStyle name="20% - Énfasis3 58 2" xfId="5232" xr:uid="{00000000-0005-0000-0000-000073140000}"/>
    <cellStyle name="20% - Énfasis3 59" xfId="5233" xr:uid="{00000000-0005-0000-0000-000074140000}"/>
    <cellStyle name="20% - Énfasis3 59 2" xfId="5234" xr:uid="{00000000-0005-0000-0000-000075140000}"/>
    <cellStyle name="20% - Énfasis3 6" xfId="5235" xr:uid="{00000000-0005-0000-0000-000076140000}"/>
    <cellStyle name="20% - Énfasis3 6 2" xfId="5236" xr:uid="{00000000-0005-0000-0000-000077140000}"/>
    <cellStyle name="20% - Énfasis3 6 2 2" xfId="5237" xr:uid="{00000000-0005-0000-0000-000078140000}"/>
    <cellStyle name="20% - Énfasis3 6 2 2 2" xfId="5238" xr:uid="{00000000-0005-0000-0000-000079140000}"/>
    <cellStyle name="20% - Énfasis3 6 2 2 2 2" xfId="5239" xr:uid="{00000000-0005-0000-0000-00007A140000}"/>
    <cellStyle name="20% - Énfasis3 6 2 2 2 2 2" xfId="5240" xr:uid="{00000000-0005-0000-0000-00007B140000}"/>
    <cellStyle name="20% - Énfasis3 6 2 2 2 3" xfId="5241" xr:uid="{00000000-0005-0000-0000-00007C140000}"/>
    <cellStyle name="20% - Énfasis3 6 2 2 3" xfId="5242" xr:uid="{00000000-0005-0000-0000-00007D140000}"/>
    <cellStyle name="20% - Énfasis3 6 2 2 3 2" xfId="5243" xr:uid="{00000000-0005-0000-0000-00007E140000}"/>
    <cellStyle name="20% - Énfasis3 6 2 2 4" xfId="5244" xr:uid="{00000000-0005-0000-0000-00007F140000}"/>
    <cellStyle name="20% - Énfasis3 6 2 3" xfId="5245" xr:uid="{00000000-0005-0000-0000-000080140000}"/>
    <cellStyle name="20% - Énfasis3 6 2 3 2" xfId="5246" xr:uid="{00000000-0005-0000-0000-000081140000}"/>
    <cellStyle name="20% - Énfasis3 6 2 3 2 2" xfId="5247" xr:uid="{00000000-0005-0000-0000-000082140000}"/>
    <cellStyle name="20% - Énfasis3 6 2 3 3" xfId="5248" xr:uid="{00000000-0005-0000-0000-000083140000}"/>
    <cellStyle name="20% - Énfasis3 6 2 4" xfId="5249" xr:uid="{00000000-0005-0000-0000-000084140000}"/>
    <cellStyle name="20% - Énfasis3 6 2 4 2" xfId="5250" xr:uid="{00000000-0005-0000-0000-000085140000}"/>
    <cellStyle name="20% - Énfasis3 6 2 4 2 2" xfId="5251" xr:uid="{00000000-0005-0000-0000-000086140000}"/>
    <cellStyle name="20% - Énfasis3 6 2 4 3" xfId="5252" xr:uid="{00000000-0005-0000-0000-000087140000}"/>
    <cellStyle name="20% - Énfasis3 6 2 5" xfId="5253" xr:uid="{00000000-0005-0000-0000-000088140000}"/>
    <cellStyle name="20% - Énfasis3 6 2 5 2" xfId="5254" xr:uid="{00000000-0005-0000-0000-000089140000}"/>
    <cellStyle name="20% - Énfasis3 6 2 6" xfId="5255" xr:uid="{00000000-0005-0000-0000-00008A140000}"/>
    <cellStyle name="20% - Énfasis3 6 3" xfId="5256" xr:uid="{00000000-0005-0000-0000-00008B140000}"/>
    <cellStyle name="20% - Énfasis3 6 3 2" xfId="5257" xr:uid="{00000000-0005-0000-0000-00008C140000}"/>
    <cellStyle name="20% - Énfasis3 6 3 2 2" xfId="5258" xr:uid="{00000000-0005-0000-0000-00008D140000}"/>
    <cellStyle name="20% - Énfasis3 6 3 2 2 2" xfId="5259" xr:uid="{00000000-0005-0000-0000-00008E140000}"/>
    <cellStyle name="20% - Énfasis3 6 3 2 3" xfId="5260" xr:uid="{00000000-0005-0000-0000-00008F140000}"/>
    <cellStyle name="20% - Énfasis3 6 3 3" xfId="5261" xr:uid="{00000000-0005-0000-0000-000090140000}"/>
    <cellStyle name="20% - Énfasis3 6 3 3 2" xfId="5262" xr:uid="{00000000-0005-0000-0000-000091140000}"/>
    <cellStyle name="20% - Énfasis3 6 3 3 2 2" xfId="5263" xr:uid="{00000000-0005-0000-0000-000092140000}"/>
    <cellStyle name="20% - Énfasis3 6 3 3 3" xfId="5264" xr:uid="{00000000-0005-0000-0000-000093140000}"/>
    <cellStyle name="20% - Énfasis3 6 3 4" xfId="5265" xr:uid="{00000000-0005-0000-0000-000094140000}"/>
    <cellStyle name="20% - Énfasis3 6 3 4 2" xfId="5266" xr:uid="{00000000-0005-0000-0000-000095140000}"/>
    <cellStyle name="20% - Énfasis3 6 3 5" xfId="5267" xr:uid="{00000000-0005-0000-0000-000096140000}"/>
    <cellStyle name="20% - Énfasis3 6 4" xfId="5268" xr:uid="{00000000-0005-0000-0000-000097140000}"/>
    <cellStyle name="20% - Énfasis3 6 4 2" xfId="5269" xr:uid="{00000000-0005-0000-0000-000098140000}"/>
    <cellStyle name="20% - Énfasis3 6 4 2 2" xfId="5270" xr:uid="{00000000-0005-0000-0000-000099140000}"/>
    <cellStyle name="20% - Énfasis3 6 4 2 2 2" xfId="5271" xr:uid="{00000000-0005-0000-0000-00009A140000}"/>
    <cellStyle name="20% - Énfasis3 6 4 2 3" xfId="5272" xr:uid="{00000000-0005-0000-0000-00009B140000}"/>
    <cellStyle name="20% - Énfasis3 6 4 3" xfId="5273" xr:uid="{00000000-0005-0000-0000-00009C140000}"/>
    <cellStyle name="20% - Énfasis3 6 4 3 2" xfId="5274" xr:uid="{00000000-0005-0000-0000-00009D140000}"/>
    <cellStyle name="20% - Énfasis3 6 4 4" xfId="5275" xr:uid="{00000000-0005-0000-0000-00009E140000}"/>
    <cellStyle name="20% - Énfasis3 6 5" xfId="5276" xr:uid="{00000000-0005-0000-0000-00009F140000}"/>
    <cellStyle name="20% - Énfasis3 6 5 2" xfId="5277" xr:uid="{00000000-0005-0000-0000-0000A0140000}"/>
    <cellStyle name="20% - Énfasis3 6 5 2 2" xfId="5278" xr:uid="{00000000-0005-0000-0000-0000A1140000}"/>
    <cellStyle name="20% - Énfasis3 6 5 3" xfId="5279" xr:uid="{00000000-0005-0000-0000-0000A2140000}"/>
    <cellStyle name="20% - Énfasis3 6 6" xfId="5280" xr:uid="{00000000-0005-0000-0000-0000A3140000}"/>
    <cellStyle name="20% - Énfasis3 6 6 2" xfId="5281" xr:uid="{00000000-0005-0000-0000-0000A4140000}"/>
    <cellStyle name="20% - Énfasis3 6 6 2 2" xfId="5282" xr:uid="{00000000-0005-0000-0000-0000A5140000}"/>
    <cellStyle name="20% - Énfasis3 6 6 3" xfId="5283" xr:uid="{00000000-0005-0000-0000-0000A6140000}"/>
    <cellStyle name="20% - Énfasis3 6 7" xfId="5284" xr:uid="{00000000-0005-0000-0000-0000A7140000}"/>
    <cellStyle name="20% - Énfasis3 6 7 2" xfId="5285" xr:uid="{00000000-0005-0000-0000-0000A8140000}"/>
    <cellStyle name="20% - Énfasis3 6 8" xfId="5286" xr:uid="{00000000-0005-0000-0000-0000A9140000}"/>
    <cellStyle name="20% - Énfasis3 60" xfId="5287" xr:uid="{00000000-0005-0000-0000-0000AA140000}"/>
    <cellStyle name="20% - Énfasis3 60 2" xfId="5288" xr:uid="{00000000-0005-0000-0000-0000AB140000}"/>
    <cellStyle name="20% - Énfasis3 61" xfId="5289" xr:uid="{00000000-0005-0000-0000-0000AC140000}"/>
    <cellStyle name="20% - Énfasis3 61 2" xfId="5290" xr:uid="{00000000-0005-0000-0000-0000AD140000}"/>
    <cellStyle name="20% - Énfasis3 62" xfId="5291" xr:uid="{00000000-0005-0000-0000-0000AE140000}"/>
    <cellStyle name="20% - Énfasis3 62 2" xfId="5292" xr:uid="{00000000-0005-0000-0000-0000AF140000}"/>
    <cellStyle name="20% - Énfasis3 63" xfId="5293" xr:uid="{00000000-0005-0000-0000-0000B0140000}"/>
    <cellStyle name="20% - Énfasis3 63 2" xfId="5294" xr:uid="{00000000-0005-0000-0000-0000B1140000}"/>
    <cellStyle name="20% - Énfasis3 64" xfId="5295" xr:uid="{00000000-0005-0000-0000-0000B2140000}"/>
    <cellStyle name="20% - Énfasis3 64 2" xfId="5296" xr:uid="{00000000-0005-0000-0000-0000B3140000}"/>
    <cellStyle name="20% - Énfasis3 65" xfId="5297" xr:uid="{00000000-0005-0000-0000-0000B4140000}"/>
    <cellStyle name="20% - Énfasis3 65 2" xfId="5298" xr:uid="{00000000-0005-0000-0000-0000B5140000}"/>
    <cellStyle name="20% - Énfasis3 66" xfId="5299" xr:uid="{00000000-0005-0000-0000-0000B6140000}"/>
    <cellStyle name="20% - Énfasis3 66 2" xfId="5300" xr:uid="{00000000-0005-0000-0000-0000B7140000}"/>
    <cellStyle name="20% - Énfasis3 7" xfId="5301" xr:uid="{00000000-0005-0000-0000-0000B8140000}"/>
    <cellStyle name="20% - Énfasis3 7 2" xfId="5302" xr:uid="{00000000-0005-0000-0000-0000B9140000}"/>
    <cellStyle name="20% - Énfasis3 7 2 2" xfId="5303" xr:uid="{00000000-0005-0000-0000-0000BA140000}"/>
    <cellStyle name="20% - Énfasis3 7 2 2 2" xfId="5304" xr:uid="{00000000-0005-0000-0000-0000BB140000}"/>
    <cellStyle name="20% - Énfasis3 7 2 2 2 2" xfId="5305" xr:uid="{00000000-0005-0000-0000-0000BC140000}"/>
    <cellStyle name="20% - Énfasis3 7 2 2 2 2 2" xfId="5306" xr:uid="{00000000-0005-0000-0000-0000BD140000}"/>
    <cellStyle name="20% - Énfasis3 7 2 2 2 3" xfId="5307" xr:uid="{00000000-0005-0000-0000-0000BE140000}"/>
    <cellStyle name="20% - Énfasis3 7 2 2 3" xfId="5308" xr:uid="{00000000-0005-0000-0000-0000BF140000}"/>
    <cellStyle name="20% - Énfasis3 7 2 2 3 2" xfId="5309" xr:uid="{00000000-0005-0000-0000-0000C0140000}"/>
    <cellStyle name="20% - Énfasis3 7 2 2 4" xfId="5310" xr:uid="{00000000-0005-0000-0000-0000C1140000}"/>
    <cellStyle name="20% - Énfasis3 7 2 3" xfId="5311" xr:uid="{00000000-0005-0000-0000-0000C2140000}"/>
    <cellStyle name="20% - Énfasis3 7 2 3 2" xfId="5312" xr:uid="{00000000-0005-0000-0000-0000C3140000}"/>
    <cellStyle name="20% - Énfasis3 7 2 3 2 2" xfId="5313" xr:uid="{00000000-0005-0000-0000-0000C4140000}"/>
    <cellStyle name="20% - Énfasis3 7 2 3 3" xfId="5314" xr:uid="{00000000-0005-0000-0000-0000C5140000}"/>
    <cellStyle name="20% - Énfasis3 7 2 4" xfId="5315" xr:uid="{00000000-0005-0000-0000-0000C6140000}"/>
    <cellStyle name="20% - Énfasis3 7 2 4 2" xfId="5316" xr:uid="{00000000-0005-0000-0000-0000C7140000}"/>
    <cellStyle name="20% - Énfasis3 7 2 4 2 2" xfId="5317" xr:uid="{00000000-0005-0000-0000-0000C8140000}"/>
    <cellStyle name="20% - Énfasis3 7 2 4 3" xfId="5318" xr:uid="{00000000-0005-0000-0000-0000C9140000}"/>
    <cellStyle name="20% - Énfasis3 7 2 5" xfId="5319" xr:uid="{00000000-0005-0000-0000-0000CA140000}"/>
    <cellStyle name="20% - Énfasis3 7 2 5 2" xfId="5320" xr:uid="{00000000-0005-0000-0000-0000CB140000}"/>
    <cellStyle name="20% - Énfasis3 7 2 6" xfId="5321" xr:uid="{00000000-0005-0000-0000-0000CC140000}"/>
    <cellStyle name="20% - Énfasis3 7 3" xfId="5322" xr:uid="{00000000-0005-0000-0000-0000CD140000}"/>
    <cellStyle name="20% - Énfasis3 7 3 2" xfId="5323" xr:uid="{00000000-0005-0000-0000-0000CE140000}"/>
    <cellStyle name="20% - Énfasis3 7 3 2 2" xfId="5324" xr:uid="{00000000-0005-0000-0000-0000CF140000}"/>
    <cellStyle name="20% - Énfasis3 7 3 2 2 2" xfId="5325" xr:uid="{00000000-0005-0000-0000-0000D0140000}"/>
    <cellStyle name="20% - Énfasis3 7 3 2 3" xfId="5326" xr:uid="{00000000-0005-0000-0000-0000D1140000}"/>
    <cellStyle name="20% - Énfasis3 7 3 3" xfId="5327" xr:uid="{00000000-0005-0000-0000-0000D2140000}"/>
    <cellStyle name="20% - Énfasis3 7 3 3 2" xfId="5328" xr:uid="{00000000-0005-0000-0000-0000D3140000}"/>
    <cellStyle name="20% - Énfasis3 7 3 3 2 2" xfId="5329" xr:uid="{00000000-0005-0000-0000-0000D4140000}"/>
    <cellStyle name="20% - Énfasis3 7 3 3 3" xfId="5330" xr:uid="{00000000-0005-0000-0000-0000D5140000}"/>
    <cellStyle name="20% - Énfasis3 7 3 4" xfId="5331" xr:uid="{00000000-0005-0000-0000-0000D6140000}"/>
    <cellStyle name="20% - Énfasis3 7 3 4 2" xfId="5332" xr:uid="{00000000-0005-0000-0000-0000D7140000}"/>
    <cellStyle name="20% - Énfasis3 7 3 5" xfId="5333" xr:uid="{00000000-0005-0000-0000-0000D8140000}"/>
    <cellStyle name="20% - Énfasis3 7 4" xfId="5334" xr:uid="{00000000-0005-0000-0000-0000D9140000}"/>
    <cellStyle name="20% - Énfasis3 7 4 2" xfId="5335" xr:uid="{00000000-0005-0000-0000-0000DA140000}"/>
    <cellStyle name="20% - Énfasis3 7 4 2 2" xfId="5336" xr:uid="{00000000-0005-0000-0000-0000DB140000}"/>
    <cellStyle name="20% - Énfasis3 7 4 2 2 2" xfId="5337" xr:uid="{00000000-0005-0000-0000-0000DC140000}"/>
    <cellStyle name="20% - Énfasis3 7 4 2 3" xfId="5338" xr:uid="{00000000-0005-0000-0000-0000DD140000}"/>
    <cellStyle name="20% - Énfasis3 7 4 3" xfId="5339" xr:uid="{00000000-0005-0000-0000-0000DE140000}"/>
    <cellStyle name="20% - Énfasis3 7 4 3 2" xfId="5340" xr:uid="{00000000-0005-0000-0000-0000DF140000}"/>
    <cellStyle name="20% - Énfasis3 7 4 4" xfId="5341" xr:uid="{00000000-0005-0000-0000-0000E0140000}"/>
    <cellStyle name="20% - Énfasis3 7 5" xfId="5342" xr:uid="{00000000-0005-0000-0000-0000E1140000}"/>
    <cellStyle name="20% - Énfasis3 7 5 2" xfId="5343" xr:uid="{00000000-0005-0000-0000-0000E2140000}"/>
    <cellStyle name="20% - Énfasis3 7 5 2 2" xfId="5344" xr:uid="{00000000-0005-0000-0000-0000E3140000}"/>
    <cellStyle name="20% - Énfasis3 7 5 3" xfId="5345" xr:uid="{00000000-0005-0000-0000-0000E4140000}"/>
    <cellStyle name="20% - Énfasis3 7 6" xfId="5346" xr:uid="{00000000-0005-0000-0000-0000E5140000}"/>
    <cellStyle name="20% - Énfasis3 7 6 2" xfId="5347" xr:uid="{00000000-0005-0000-0000-0000E6140000}"/>
    <cellStyle name="20% - Énfasis3 7 6 2 2" xfId="5348" xr:uid="{00000000-0005-0000-0000-0000E7140000}"/>
    <cellStyle name="20% - Énfasis3 7 6 3" xfId="5349" xr:uid="{00000000-0005-0000-0000-0000E8140000}"/>
    <cellStyle name="20% - Énfasis3 7 7" xfId="5350" xr:uid="{00000000-0005-0000-0000-0000E9140000}"/>
    <cellStyle name="20% - Énfasis3 7 7 2" xfId="5351" xr:uid="{00000000-0005-0000-0000-0000EA140000}"/>
    <cellStyle name="20% - Énfasis3 7 8" xfId="5352" xr:uid="{00000000-0005-0000-0000-0000EB140000}"/>
    <cellStyle name="20% - Énfasis3 8" xfId="5353" xr:uid="{00000000-0005-0000-0000-0000EC140000}"/>
    <cellStyle name="20% - Énfasis3 8 2" xfId="5354" xr:uid="{00000000-0005-0000-0000-0000ED140000}"/>
    <cellStyle name="20% - Énfasis3 8 2 2" xfId="5355" xr:uid="{00000000-0005-0000-0000-0000EE140000}"/>
    <cellStyle name="20% - Énfasis3 8 2 2 2" xfId="5356" xr:uid="{00000000-0005-0000-0000-0000EF140000}"/>
    <cellStyle name="20% - Énfasis3 8 2 2 2 2" xfId="5357" xr:uid="{00000000-0005-0000-0000-0000F0140000}"/>
    <cellStyle name="20% - Énfasis3 8 2 2 2 2 2" xfId="5358" xr:uid="{00000000-0005-0000-0000-0000F1140000}"/>
    <cellStyle name="20% - Énfasis3 8 2 2 2 3" xfId="5359" xr:uid="{00000000-0005-0000-0000-0000F2140000}"/>
    <cellStyle name="20% - Énfasis3 8 2 2 3" xfId="5360" xr:uid="{00000000-0005-0000-0000-0000F3140000}"/>
    <cellStyle name="20% - Énfasis3 8 2 2 3 2" xfId="5361" xr:uid="{00000000-0005-0000-0000-0000F4140000}"/>
    <cellStyle name="20% - Énfasis3 8 2 2 4" xfId="5362" xr:uid="{00000000-0005-0000-0000-0000F5140000}"/>
    <cellStyle name="20% - Énfasis3 8 2 3" xfId="5363" xr:uid="{00000000-0005-0000-0000-0000F6140000}"/>
    <cellStyle name="20% - Énfasis3 8 2 3 2" xfId="5364" xr:uid="{00000000-0005-0000-0000-0000F7140000}"/>
    <cellStyle name="20% - Énfasis3 8 2 3 2 2" xfId="5365" xr:uid="{00000000-0005-0000-0000-0000F8140000}"/>
    <cellStyle name="20% - Énfasis3 8 2 3 3" xfId="5366" xr:uid="{00000000-0005-0000-0000-0000F9140000}"/>
    <cellStyle name="20% - Énfasis3 8 2 4" xfId="5367" xr:uid="{00000000-0005-0000-0000-0000FA140000}"/>
    <cellStyle name="20% - Énfasis3 8 2 4 2" xfId="5368" xr:uid="{00000000-0005-0000-0000-0000FB140000}"/>
    <cellStyle name="20% - Énfasis3 8 2 4 2 2" xfId="5369" xr:uid="{00000000-0005-0000-0000-0000FC140000}"/>
    <cellStyle name="20% - Énfasis3 8 2 4 3" xfId="5370" xr:uid="{00000000-0005-0000-0000-0000FD140000}"/>
    <cellStyle name="20% - Énfasis3 8 2 5" xfId="5371" xr:uid="{00000000-0005-0000-0000-0000FE140000}"/>
    <cellStyle name="20% - Énfasis3 8 2 5 2" xfId="5372" xr:uid="{00000000-0005-0000-0000-0000FF140000}"/>
    <cellStyle name="20% - Énfasis3 8 2 6" xfId="5373" xr:uid="{00000000-0005-0000-0000-000000150000}"/>
    <cellStyle name="20% - Énfasis3 8 3" xfId="5374" xr:uid="{00000000-0005-0000-0000-000001150000}"/>
    <cellStyle name="20% - Énfasis3 8 3 2" xfId="5375" xr:uid="{00000000-0005-0000-0000-000002150000}"/>
    <cellStyle name="20% - Énfasis3 8 3 2 2" xfId="5376" xr:uid="{00000000-0005-0000-0000-000003150000}"/>
    <cellStyle name="20% - Énfasis3 8 3 2 2 2" xfId="5377" xr:uid="{00000000-0005-0000-0000-000004150000}"/>
    <cellStyle name="20% - Énfasis3 8 3 2 3" xfId="5378" xr:uid="{00000000-0005-0000-0000-000005150000}"/>
    <cellStyle name="20% - Énfasis3 8 3 3" xfId="5379" xr:uid="{00000000-0005-0000-0000-000006150000}"/>
    <cellStyle name="20% - Énfasis3 8 3 3 2" xfId="5380" xr:uid="{00000000-0005-0000-0000-000007150000}"/>
    <cellStyle name="20% - Énfasis3 8 3 3 2 2" xfId="5381" xr:uid="{00000000-0005-0000-0000-000008150000}"/>
    <cellStyle name="20% - Énfasis3 8 3 3 3" xfId="5382" xr:uid="{00000000-0005-0000-0000-000009150000}"/>
    <cellStyle name="20% - Énfasis3 8 3 4" xfId="5383" xr:uid="{00000000-0005-0000-0000-00000A150000}"/>
    <cellStyle name="20% - Énfasis3 8 3 4 2" xfId="5384" xr:uid="{00000000-0005-0000-0000-00000B150000}"/>
    <cellStyle name="20% - Énfasis3 8 3 5" xfId="5385" xr:uid="{00000000-0005-0000-0000-00000C150000}"/>
    <cellStyle name="20% - Énfasis3 8 4" xfId="5386" xr:uid="{00000000-0005-0000-0000-00000D150000}"/>
    <cellStyle name="20% - Énfasis3 8 4 2" xfId="5387" xr:uid="{00000000-0005-0000-0000-00000E150000}"/>
    <cellStyle name="20% - Énfasis3 8 4 2 2" xfId="5388" xr:uid="{00000000-0005-0000-0000-00000F150000}"/>
    <cellStyle name="20% - Énfasis3 8 4 2 2 2" xfId="5389" xr:uid="{00000000-0005-0000-0000-000010150000}"/>
    <cellStyle name="20% - Énfasis3 8 4 2 3" xfId="5390" xr:uid="{00000000-0005-0000-0000-000011150000}"/>
    <cellStyle name="20% - Énfasis3 8 4 3" xfId="5391" xr:uid="{00000000-0005-0000-0000-000012150000}"/>
    <cellStyle name="20% - Énfasis3 8 4 3 2" xfId="5392" xr:uid="{00000000-0005-0000-0000-000013150000}"/>
    <cellStyle name="20% - Énfasis3 8 4 4" xfId="5393" xr:uid="{00000000-0005-0000-0000-000014150000}"/>
    <cellStyle name="20% - Énfasis3 8 5" xfId="5394" xr:uid="{00000000-0005-0000-0000-000015150000}"/>
    <cellStyle name="20% - Énfasis3 8 5 2" xfId="5395" xr:uid="{00000000-0005-0000-0000-000016150000}"/>
    <cellStyle name="20% - Énfasis3 8 5 2 2" xfId="5396" xr:uid="{00000000-0005-0000-0000-000017150000}"/>
    <cellStyle name="20% - Énfasis3 8 5 3" xfId="5397" xr:uid="{00000000-0005-0000-0000-000018150000}"/>
    <cellStyle name="20% - Énfasis3 8 6" xfId="5398" xr:uid="{00000000-0005-0000-0000-000019150000}"/>
    <cellStyle name="20% - Énfasis3 8 6 2" xfId="5399" xr:uid="{00000000-0005-0000-0000-00001A150000}"/>
    <cellStyle name="20% - Énfasis3 8 6 2 2" xfId="5400" xr:uid="{00000000-0005-0000-0000-00001B150000}"/>
    <cellStyle name="20% - Énfasis3 8 6 3" xfId="5401" xr:uid="{00000000-0005-0000-0000-00001C150000}"/>
    <cellStyle name="20% - Énfasis3 8 7" xfId="5402" xr:uid="{00000000-0005-0000-0000-00001D150000}"/>
    <cellStyle name="20% - Énfasis3 8 7 2" xfId="5403" xr:uid="{00000000-0005-0000-0000-00001E150000}"/>
    <cellStyle name="20% - Énfasis3 8 8" xfId="5404" xr:uid="{00000000-0005-0000-0000-00001F150000}"/>
    <cellStyle name="20% - Énfasis3 9" xfId="5405" xr:uid="{00000000-0005-0000-0000-000020150000}"/>
    <cellStyle name="20% - Énfasis3 9 2" xfId="5406" xr:uid="{00000000-0005-0000-0000-000021150000}"/>
    <cellStyle name="20% - Énfasis3 9 2 2" xfId="5407" xr:uid="{00000000-0005-0000-0000-000022150000}"/>
    <cellStyle name="20% - Énfasis3 9 2 2 2" xfId="5408" xr:uid="{00000000-0005-0000-0000-000023150000}"/>
    <cellStyle name="20% - Énfasis3 9 2 2 2 2" xfId="5409" xr:uid="{00000000-0005-0000-0000-000024150000}"/>
    <cellStyle name="20% - Énfasis3 9 2 2 2 2 2" xfId="5410" xr:uid="{00000000-0005-0000-0000-000025150000}"/>
    <cellStyle name="20% - Énfasis3 9 2 2 2 3" xfId="5411" xr:uid="{00000000-0005-0000-0000-000026150000}"/>
    <cellStyle name="20% - Énfasis3 9 2 2 3" xfId="5412" xr:uid="{00000000-0005-0000-0000-000027150000}"/>
    <cellStyle name="20% - Énfasis3 9 2 2 3 2" xfId="5413" xr:uid="{00000000-0005-0000-0000-000028150000}"/>
    <cellStyle name="20% - Énfasis3 9 2 2 4" xfId="5414" xr:uid="{00000000-0005-0000-0000-000029150000}"/>
    <cellStyle name="20% - Énfasis3 9 2 3" xfId="5415" xr:uid="{00000000-0005-0000-0000-00002A150000}"/>
    <cellStyle name="20% - Énfasis3 9 2 3 2" xfId="5416" xr:uid="{00000000-0005-0000-0000-00002B150000}"/>
    <cellStyle name="20% - Énfasis3 9 2 3 2 2" xfId="5417" xr:uid="{00000000-0005-0000-0000-00002C150000}"/>
    <cellStyle name="20% - Énfasis3 9 2 3 3" xfId="5418" xr:uid="{00000000-0005-0000-0000-00002D150000}"/>
    <cellStyle name="20% - Énfasis3 9 2 4" xfId="5419" xr:uid="{00000000-0005-0000-0000-00002E150000}"/>
    <cellStyle name="20% - Énfasis3 9 2 4 2" xfId="5420" xr:uid="{00000000-0005-0000-0000-00002F150000}"/>
    <cellStyle name="20% - Énfasis3 9 2 4 2 2" xfId="5421" xr:uid="{00000000-0005-0000-0000-000030150000}"/>
    <cellStyle name="20% - Énfasis3 9 2 4 3" xfId="5422" xr:uid="{00000000-0005-0000-0000-000031150000}"/>
    <cellStyle name="20% - Énfasis3 9 2 5" xfId="5423" xr:uid="{00000000-0005-0000-0000-000032150000}"/>
    <cellStyle name="20% - Énfasis3 9 2 5 2" xfId="5424" xr:uid="{00000000-0005-0000-0000-000033150000}"/>
    <cellStyle name="20% - Énfasis3 9 2 6" xfId="5425" xr:uid="{00000000-0005-0000-0000-000034150000}"/>
    <cellStyle name="20% - Énfasis3 9 3" xfId="5426" xr:uid="{00000000-0005-0000-0000-000035150000}"/>
    <cellStyle name="20% - Énfasis3 9 3 2" xfId="5427" xr:uid="{00000000-0005-0000-0000-000036150000}"/>
    <cellStyle name="20% - Énfasis3 9 3 2 2" xfId="5428" xr:uid="{00000000-0005-0000-0000-000037150000}"/>
    <cellStyle name="20% - Énfasis3 9 3 2 2 2" xfId="5429" xr:uid="{00000000-0005-0000-0000-000038150000}"/>
    <cellStyle name="20% - Énfasis3 9 3 2 3" xfId="5430" xr:uid="{00000000-0005-0000-0000-000039150000}"/>
    <cellStyle name="20% - Énfasis3 9 3 3" xfId="5431" xr:uid="{00000000-0005-0000-0000-00003A150000}"/>
    <cellStyle name="20% - Énfasis3 9 3 3 2" xfId="5432" xr:uid="{00000000-0005-0000-0000-00003B150000}"/>
    <cellStyle name="20% - Énfasis3 9 3 3 2 2" xfId="5433" xr:uid="{00000000-0005-0000-0000-00003C150000}"/>
    <cellStyle name="20% - Énfasis3 9 3 3 3" xfId="5434" xr:uid="{00000000-0005-0000-0000-00003D150000}"/>
    <cellStyle name="20% - Énfasis3 9 3 4" xfId="5435" xr:uid="{00000000-0005-0000-0000-00003E150000}"/>
    <cellStyle name="20% - Énfasis3 9 3 4 2" xfId="5436" xr:uid="{00000000-0005-0000-0000-00003F150000}"/>
    <cellStyle name="20% - Énfasis3 9 3 5" xfId="5437" xr:uid="{00000000-0005-0000-0000-000040150000}"/>
    <cellStyle name="20% - Énfasis3 9 4" xfId="5438" xr:uid="{00000000-0005-0000-0000-000041150000}"/>
    <cellStyle name="20% - Énfasis3 9 4 2" xfId="5439" xr:uid="{00000000-0005-0000-0000-000042150000}"/>
    <cellStyle name="20% - Énfasis3 9 4 2 2" xfId="5440" xr:uid="{00000000-0005-0000-0000-000043150000}"/>
    <cellStyle name="20% - Énfasis3 9 4 2 2 2" xfId="5441" xr:uid="{00000000-0005-0000-0000-000044150000}"/>
    <cellStyle name="20% - Énfasis3 9 4 2 3" xfId="5442" xr:uid="{00000000-0005-0000-0000-000045150000}"/>
    <cellStyle name="20% - Énfasis3 9 4 3" xfId="5443" xr:uid="{00000000-0005-0000-0000-000046150000}"/>
    <cellStyle name="20% - Énfasis3 9 4 3 2" xfId="5444" xr:uid="{00000000-0005-0000-0000-000047150000}"/>
    <cellStyle name="20% - Énfasis3 9 4 4" xfId="5445" xr:uid="{00000000-0005-0000-0000-000048150000}"/>
    <cellStyle name="20% - Énfasis3 9 5" xfId="5446" xr:uid="{00000000-0005-0000-0000-000049150000}"/>
    <cellStyle name="20% - Énfasis3 9 5 2" xfId="5447" xr:uid="{00000000-0005-0000-0000-00004A150000}"/>
    <cellStyle name="20% - Énfasis3 9 5 2 2" xfId="5448" xr:uid="{00000000-0005-0000-0000-00004B150000}"/>
    <cellStyle name="20% - Énfasis3 9 5 3" xfId="5449" xr:uid="{00000000-0005-0000-0000-00004C150000}"/>
    <cellStyle name="20% - Énfasis3 9 6" xfId="5450" xr:uid="{00000000-0005-0000-0000-00004D150000}"/>
    <cellStyle name="20% - Énfasis3 9 6 2" xfId="5451" xr:uid="{00000000-0005-0000-0000-00004E150000}"/>
    <cellStyle name="20% - Énfasis3 9 6 2 2" xfId="5452" xr:uid="{00000000-0005-0000-0000-00004F150000}"/>
    <cellStyle name="20% - Énfasis3 9 6 3" xfId="5453" xr:uid="{00000000-0005-0000-0000-000050150000}"/>
    <cellStyle name="20% - Énfasis3 9 7" xfId="5454" xr:uid="{00000000-0005-0000-0000-000051150000}"/>
    <cellStyle name="20% - Énfasis3 9 7 2" xfId="5455" xr:uid="{00000000-0005-0000-0000-000052150000}"/>
    <cellStyle name="20% - Énfasis3 9 8" xfId="5456" xr:uid="{00000000-0005-0000-0000-000053150000}"/>
    <cellStyle name="20% - Énfasis4 10" xfId="5457" xr:uid="{00000000-0005-0000-0000-000054150000}"/>
    <cellStyle name="20% - Énfasis4 10 2" xfId="5458" xr:uid="{00000000-0005-0000-0000-000055150000}"/>
    <cellStyle name="20% - Énfasis4 10 2 2" xfId="5459" xr:uid="{00000000-0005-0000-0000-000056150000}"/>
    <cellStyle name="20% - Énfasis4 10 2 2 2" xfId="5460" xr:uid="{00000000-0005-0000-0000-000057150000}"/>
    <cellStyle name="20% - Énfasis4 10 2 2 2 2" xfId="5461" xr:uid="{00000000-0005-0000-0000-000058150000}"/>
    <cellStyle name="20% - Énfasis4 10 2 2 2 2 2" xfId="5462" xr:uid="{00000000-0005-0000-0000-000059150000}"/>
    <cellStyle name="20% - Énfasis4 10 2 2 2 3" xfId="5463" xr:uid="{00000000-0005-0000-0000-00005A150000}"/>
    <cellStyle name="20% - Énfasis4 10 2 2 3" xfId="5464" xr:uid="{00000000-0005-0000-0000-00005B150000}"/>
    <cellStyle name="20% - Énfasis4 10 2 2 3 2" xfId="5465" xr:uid="{00000000-0005-0000-0000-00005C150000}"/>
    <cellStyle name="20% - Énfasis4 10 2 2 4" xfId="5466" xr:uid="{00000000-0005-0000-0000-00005D150000}"/>
    <cellStyle name="20% - Énfasis4 10 2 3" xfId="5467" xr:uid="{00000000-0005-0000-0000-00005E150000}"/>
    <cellStyle name="20% - Énfasis4 10 2 3 2" xfId="5468" xr:uid="{00000000-0005-0000-0000-00005F150000}"/>
    <cellStyle name="20% - Énfasis4 10 2 3 2 2" xfId="5469" xr:uid="{00000000-0005-0000-0000-000060150000}"/>
    <cellStyle name="20% - Énfasis4 10 2 3 3" xfId="5470" xr:uid="{00000000-0005-0000-0000-000061150000}"/>
    <cellStyle name="20% - Énfasis4 10 2 4" xfId="5471" xr:uid="{00000000-0005-0000-0000-000062150000}"/>
    <cellStyle name="20% - Énfasis4 10 2 4 2" xfId="5472" xr:uid="{00000000-0005-0000-0000-000063150000}"/>
    <cellStyle name="20% - Énfasis4 10 2 4 2 2" xfId="5473" xr:uid="{00000000-0005-0000-0000-000064150000}"/>
    <cellStyle name="20% - Énfasis4 10 2 4 3" xfId="5474" xr:uid="{00000000-0005-0000-0000-000065150000}"/>
    <cellStyle name="20% - Énfasis4 10 2 5" xfId="5475" xr:uid="{00000000-0005-0000-0000-000066150000}"/>
    <cellStyle name="20% - Énfasis4 10 2 5 2" xfId="5476" xr:uid="{00000000-0005-0000-0000-000067150000}"/>
    <cellStyle name="20% - Énfasis4 10 2 6" xfId="5477" xr:uid="{00000000-0005-0000-0000-000068150000}"/>
    <cellStyle name="20% - Énfasis4 10 3" xfId="5478" xr:uid="{00000000-0005-0000-0000-000069150000}"/>
    <cellStyle name="20% - Énfasis4 10 3 2" xfId="5479" xr:uid="{00000000-0005-0000-0000-00006A150000}"/>
    <cellStyle name="20% - Énfasis4 10 3 2 2" xfId="5480" xr:uid="{00000000-0005-0000-0000-00006B150000}"/>
    <cellStyle name="20% - Énfasis4 10 3 2 2 2" xfId="5481" xr:uid="{00000000-0005-0000-0000-00006C150000}"/>
    <cellStyle name="20% - Énfasis4 10 3 2 3" xfId="5482" xr:uid="{00000000-0005-0000-0000-00006D150000}"/>
    <cellStyle name="20% - Énfasis4 10 3 3" xfId="5483" xr:uid="{00000000-0005-0000-0000-00006E150000}"/>
    <cellStyle name="20% - Énfasis4 10 3 3 2" xfId="5484" xr:uid="{00000000-0005-0000-0000-00006F150000}"/>
    <cellStyle name="20% - Énfasis4 10 3 3 2 2" xfId="5485" xr:uid="{00000000-0005-0000-0000-000070150000}"/>
    <cellStyle name="20% - Énfasis4 10 3 3 3" xfId="5486" xr:uid="{00000000-0005-0000-0000-000071150000}"/>
    <cellStyle name="20% - Énfasis4 10 3 4" xfId="5487" xr:uid="{00000000-0005-0000-0000-000072150000}"/>
    <cellStyle name="20% - Énfasis4 10 3 4 2" xfId="5488" xr:uid="{00000000-0005-0000-0000-000073150000}"/>
    <cellStyle name="20% - Énfasis4 10 3 5" xfId="5489" xr:uid="{00000000-0005-0000-0000-000074150000}"/>
    <cellStyle name="20% - Énfasis4 10 4" xfId="5490" xr:uid="{00000000-0005-0000-0000-000075150000}"/>
    <cellStyle name="20% - Énfasis4 10 4 2" xfId="5491" xr:uid="{00000000-0005-0000-0000-000076150000}"/>
    <cellStyle name="20% - Énfasis4 10 4 2 2" xfId="5492" xr:uid="{00000000-0005-0000-0000-000077150000}"/>
    <cellStyle name="20% - Énfasis4 10 4 2 2 2" xfId="5493" xr:uid="{00000000-0005-0000-0000-000078150000}"/>
    <cellStyle name="20% - Énfasis4 10 4 2 3" xfId="5494" xr:uid="{00000000-0005-0000-0000-000079150000}"/>
    <cellStyle name="20% - Énfasis4 10 4 3" xfId="5495" xr:uid="{00000000-0005-0000-0000-00007A150000}"/>
    <cellStyle name="20% - Énfasis4 10 4 3 2" xfId="5496" xr:uid="{00000000-0005-0000-0000-00007B150000}"/>
    <cellStyle name="20% - Énfasis4 10 4 4" xfId="5497" xr:uid="{00000000-0005-0000-0000-00007C150000}"/>
    <cellStyle name="20% - Énfasis4 10 5" xfId="5498" xr:uid="{00000000-0005-0000-0000-00007D150000}"/>
    <cellStyle name="20% - Énfasis4 10 5 2" xfId="5499" xr:uid="{00000000-0005-0000-0000-00007E150000}"/>
    <cellStyle name="20% - Énfasis4 10 5 2 2" xfId="5500" xr:uid="{00000000-0005-0000-0000-00007F150000}"/>
    <cellStyle name="20% - Énfasis4 10 5 3" xfId="5501" xr:uid="{00000000-0005-0000-0000-000080150000}"/>
    <cellStyle name="20% - Énfasis4 10 6" xfId="5502" xr:uid="{00000000-0005-0000-0000-000081150000}"/>
    <cellStyle name="20% - Énfasis4 10 6 2" xfId="5503" xr:uid="{00000000-0005-0000-0000-000082150000}"/>
    <cellStyle name="20% - Énfasis4 10 6 2 2" xfId="5504" xr:uid="{00000000-0005-0000-0000-000083150000}"/>
    <cellStyle name="20% - Énfasis4 10 6 3" xfId="5505" xr:uid="{00000000-0005-0000-0000-000084150000}"/>
    <cellStyle name="20% - Énfasis4 10 7" xfId="5506" xr:uid="{00000000-0005-0000-0000-000085150000}"/>
    <cellStyle name="20% - Énfasis4 10 7 2" xfId="5507" xr:uid="{00000000-0005-0000-0000-000086150000}"/>
    <cellStyle name="20% - Énfasis4 10 8" xfId="5508" xr:uid="{00000000-0005-0000-0000-000087150000}"/>
    <cellStyle name="20% - Énfasis4 11" xfId="5509" xr:uid="{00000000-0005-0000-0000-000088150000}"/>
    <cellStyle name="20% - Énfasis4 11 2" xfId="5510" xr:uid="{00000000-0005-0000-0000-000089150000}"/>
    <cellStyle name="20% - Énfasis4 11 2 2" xfId="5511" xr:uid="{00000000-0005-0000-0000-00008A150000}"/>
    <cellStyle name="20% - Énfasis4 11 2 2 2" xfId="5512" xr:uid="{00000000-0005-0000-0000-00008B150000}"/>
    <cellStyle name="20% - Énfasis4 11 2 2 2 2" xfId="5513" xr:uid="{00000000-0005-0000-0000-00008C150000}"/>
    <cellStyle name="20% - Énfasis4 11 2 2 2 2 2" xfId="5514" xr:uid="{00000000-0005-0000-0000-00008D150000}"/>
    <cellStyle name="20% - Énfasis4 11 2 2 2 3" xfId="5515" xr:uid="{00000000-0005-0000-0000-00008E150000}"/>
    <cellStyle name="20% - Énfasis4 11 2 2 3" xfId="5516" xr:uid="{00000000-0005-0000-0000-00008F150000}"/>
    <cellStyle name="20% - Énfasis4 11 2 2 3 2" xfId="5517" xr:uid="{00000000-0005-0000-0000-000090150000}"/>
    <cellStyle name="20% - Énfasis4 11 2 2 4" xfId="5518" xr:uid="{00000000-0005-0000-0000-000091150000}"/>
    <cellStyle name="20% - Énfasis4 11 2 3" xfId="5519" xr:uid="{00000000-0005-0000-0000-000092150000}"/>
    <cellStyle name="20% - Énfasis4 11 2 3 2" xfId="5520" xr:uid="{00000000-0005-0000-0000-000093150000}"/>
    <cellStyle name="20% - Énfasis4 11 2 3 2 2" xfId="5521" xr:uid="{00000000-0005-0000-0000-000094150000}"/>
    <cellStyle name="20% - Énfasis4 11 2 3 3" xfId="5522" xr:uid="{00000000-0005-0000-0000-000095150000}"/>
    <cellStyle name="20% - Énfasis4 11 2 4" xfId="5523" xr:uid="{00000000-0005-0000-0000-000096150000}"/>
    <cellStyle name="20% - Énfasis4 11 2 4 2" xfId="5524" xr:uid="{00000000-0005-0000-0000-000097150000}"/>
    <cellStyle name="20% - Énfasis4 11 2 4 2 2" xfId="5525" xr:uid="{00000000-0005-0000-0000-000098150000}"/>
    <cellStyle name="20% - Énfasis4 11 2 4 3" xfId="5526" xr:uid="{00000000-0005-0000-0000-000099150000}"/>
    <cellStyle name="20% - Énfasis4 11 2 5" xfId="5527" xr:uid="{00000000-0005-0000-0000-00009A150000}"/>
    <cellStyle name="20% - Énfasis4 11 2 5 2" xfId="5528" xr:uid="{00000000-0005-0000-0000-00009B150000}"/>
    <cellStyle name="20% - Énfasis4 11 2 6" xfId="5529" xr:uid="{00000000-0005-0000-0000-00009C150000}"/>
    <cellStyle name="20% - Énfasis4 11 3" xfId="5530" xr:uid="{00000000-0005-0000-0000-00009D150000}"/>
    <cellStyle name="20% - Énfasis4 11 3 2" xfId="5531" xr:uid="{00000000-0005-0000-0000-00009E150000}"/>
    <cellStyle name="20% - Énfasis4 11 3 2 2" xfId="5532" xr:uid="{00000000-0005-0000-0000-00009F150000}"/>
    <cellStyle name="20% - Énfasis4 11 3 2 2 2" xfId="5533" xr:uid="{00000000-0005-0000-0000-0000A0150000}"/>
    <cellStyle name="20% - Énfasis4 11 3 2 3" xfId="5534" xr:uid="{00000000-0005-0000-0000-0000A1150000}"/>
    <cellStyle name="20% - Énfasis4 11 3 3" xfId="5535" xr:uid="{00000000-0005-0000-0000-0000A2150000}"/>
    <cellStyle name="20% - Énfasis4 11 3 3 2" xfId="5536" xr:uid="{00000000-0005-0000-0000-0000A3150000}"/>
    <cellStyle name="20% - Énfasis4 11 3 3 2 2" xfId="5537" xr:uid="{00000000-0005-0000-0000-0000A4150000}"/>
    <cellStyle name="20% - Énfasis4 11 3 3 3" xfId="5538" xr:uid="{00000000-0005-0000-0000-0000A5150000}"/>
    <cellStyle name="20% - Énfasis4 11 3 4" xfId="5539" xr:uid="{00000000-0005-0000-0000-0000A6150000}"/>
    <cellStyle name="20% - Énfasis4 11 3 4 2" xfId="5540" xr:uid="{00000000-0005-0000-0000-0000A7150000}"/>
    <cellStyle name="20% - Énfasis4 11 3 5" xfId="5541" xr:uid="{00000000-0005-0000-0000-0000A8150000}"/>
    <cellStyle name="20% - Énfasis4 11 4" xfId="5542" xr:uid="{00000000-0005-0000-0000-0000A9150000}"/>
    <cellStyle name="20% - Énfasis4 11 4 2" xfId="5543" xr:uid="{00000000-0005-0000-0000-0000AA150000}"/>
    <cellStyle name="20% - Énfasis4 11 4 2 2" xfId="5544" xr:uid="{00000000-0005-0000-0000-0000AB150000}"/>
    <cellStyle name="20% - Énfasis4 11 4 2 2 2" xfId="5545" xr:uid="{00000000-0005-0000-0000-0000AC150000}"/>
    <cellStyle name="20% - Énfasis4 11 4 2 3" xfId="5546" xr:uid="{00000000-0005-0000-0000-0000AD150000}"/>
    <cellStyle name="20% - Énfasis4 11 4 3" xfId="5547" xr:uid="{00000000-0005-0000-0000-0000AE150000}"/>
    <cellStyle name="20% - Énfasis4 11 4 3 2" xfId="5548" xr:uid="{00000000-0005-0000-0000-0000AF150000}"/>
    <cellStyle name="20% - Énfasis4 11 4 4" xfId="5549" xr:uid="{00000000-0005-0000-0000-0000B0150000}"/>
    <cellStyle name="20% - Énfasis4 11 5" xfId="5550" xr:uid="{00000000-0005-0000-0000-0000B1150000}"/>
    <cellStyle name="20% - Énfasis4 11 5 2" xfId="5551" xr:uid="{00000000-0005-0000-0000-0000B2150000}"/>
    <cellStyle name="20% - Énfasis4 11 5 2 2" xfId="5552" xr:uid="{00000000-0005-0000-0000-0000B3150000}"/>
    <cellStyle name="20% - Énfasis4 11 5 3" xfId="5553" xr:uid="{00000000-0005-0000-0000-0000B4150000}"/>
    <cellStyle name="20% - Énfasis4 11 6" xfId="5554" xr:uid="{00000000-0005-0000-0000-0000B5150000}"/>
    <cellStyle name="20% - Énfasis4 11 6 2" xfId="5555" xr:uid="{00000000-0005-0000-0000-0000B6150000}"/>
    <cellStyle name="20% - Énfasis4 11 6 2 2" xfId="5556" xr:uid="{00000000-0005-0000-0000-0000B7150000}"/>
    <cellStyle name="20% - Énfasis4 11 6 3" xfId="5557" xr:uid="{00000000-0005-0000-0000-0000B8150000}"/>
    <cellStyle name="20% - Énfasis4 11 7" xfId="5558" xr:uid="{00000000-0005-0000-0000-0000B9150000}"/>
    <cellStyle name="20% - Énfasis4 11 7 2" xfId="5559" xr:uid="{00000000-0005-0000-0000-0000BA150000}"/>
    <cellStyle name="20% - Énfasis4 11 8" xfId="5560" xr:uid="{00000000-0005-0000-0000-0000BB150000}"/>
    <cellStyle name="20% - Énfasis4 12" xfId="5561" xr:uid="{00000000-0005-0000-0000-0000BC150000}"/>
    <cellStyle name="20% - Énfasis4 12 2" xfId="5562" xr:uid="{00000000-0005-0000-0000-0000BD150000}"/>
    <cellStyle name="20% - Énfasis4 12 2 2" xfId="5563" xr:uid="{00000000-0005-0000-0000-0000BE150000}"/>
    <cellStyle name="20% - Énfasis4 12 2 2 2" xfId="5564" xr:uid="{00000000-0005-0000-0000-0000BF150000}"/>
    <cellStyle name="20% - Énfasis4 12 2 2 2 2" xfId="5565" xr:uid="{00000000-0005-0000-0000-0000C0150000}"/>
    <cellStyle name="20% - Énfasis4 12 2 2 2 2 2" xfId="5566" xr:uid="{00000000-0005-0000-0000-0000C1150000}"/>
    <cellStyle name="20% - Énfasis4 12 2 2 2 3" xfId="5567" xr:uid="{00000000-0005-0000-0000-0000C2150000}"/>
    <cellStyle name="20% - Énfasis4 12 2 2 3" xfId="5568" xr:uid="{00000000-0005-0000-0000-0000C3150000}"/>
    <cellStyle name="20% - Énfasis4 12 2 2 3 2" xfId="5569" xr:uid="{00000000-0005-0000-0000-0000C4150000}"/>
    <cellStyle name="20% - Énfasis4 12 2 2 4" xfId="5570" xr:uid="{00000000-0005-0000-0000-0000C5150000}"/>
    <cellStyle name="20% - Énfasis4 12 2 3" xfId="5571" xr:uid="{00000000-0005-0000-0000-0000C6150000}"/>
    <cellStyle name="20% - Énfasis4 12 2 3 2" xfId="5572" xr:uid="{00000000-0005-0000-0000-0000C7150000}"/>
    <cellStyle name="20% - Énfasis4 12 2 3 2 2" xfId="5573" xr:uid="{00000000-0005-0000-0000-0000C8150000}"/>
    <cellStyle name="20% - Énfasis4 12 2 3 3" xfId="5574" xr:uid="{00000000-0005-0000-0000-0000C9150000}"/>
    <cellStyle name="20% - Énfasis4 12 2 4" xfId="5575" xr:uid="{00000000-0005-0000-0000-0000CA150000}"/>
    <cellStyle name="20% - Énfasis4 12 2 4 2" xfId="5576" xr:uid="{00000000-0005-0000-0000-0000CB150000}"/>
    <cellStyle name="20% - Énfasis4 12 2 4 2 2" xfId="5577" xr:uid="{00000000-0005-0000-0000-0000CC150000}"/>
    <cellStyle name="20% - Énfasis4 12 2 4 3" xfId="5578" xr:uid="{00000000-0005-0000-0000-0000CD150000}"/>
    <cellStyle name="20% - Énfasis4 12 2 5" xfId="5579" xr:uid="{00000000-0005-0000-0000-0000CE150000}"/>
    <cellStyle name="20% - Énfasis4 12 2 5 2" xfId="5580" xr:uid="{00000000-0005-0000-0000-0000CF150000}"/>
    <cellStyle name="20% - Énfasis4 12 2 6" xfId="5581" xr:uid="{00000000-0005-0000-0000-0000D0150000}"/>
    <cellStyle name="20% - Énfasis4 12 3" xfId="5582" xr:uid="{00000000-0005-0000-0000-0000D1150000}"/>
    <cellStyle name="20% - Énfasis4 12 3 2" xfId="5583" xr:uid="{00000000-0005-0000-0000-0000D2150000}"/>
    <cellStyle name="20% - Énfasis4 12 3 2 2" xfId="5584" xr:uid="{00000000-0005-0000-0000-0000D3150000}"/>
    <cellStyle name="20% - Énfasis4 12 3 2 2 2" xfId="5585" xr:uid="{00000000-0005-0000-0000-0000D4150000}"/>
    <cellStyle name="20% - Énfasis4 12 3 2 3" xfId="5586" xr:uid="{00000000-0005-0000-0000-0000D5150000}"/>
    <cellStyle name="20% - Énfasis4 12 3 3" xfId="5587" xr:uid="{00000000-0005-0000-0000-0000D6150000}"/>
    <cellStyle name="20% - Énfasis4 12 3 3 2" xfId="5588" xr:uid="{00000000-0005-0000-0000-0000D7150000}"/>
    <cellStyle name="20% - Énfasis4 12 3 3 2 2" xfId="5589" xr:uid="{00000000-0005-0000-0000-0000D8150000}"/>
    <cellStyle name="20% - Énfasis4 12 3 3 3" xfId="5590" xr:uid="{00000000-0005-0000-0000-0000D9150000}"/>
    <cellStyle name="20% - Énfasis4 12 3 4" xfId="5591" xr:uid="{00000000-0005-0000-0000-0000DA150000}"/>
    <cellStyle name="20% - Énfasis4 12 3 4 2" xfId="5592" xr:uid="{00000000-0005-0000-0000-0000DB150000}"/>
    <cellStyle name="20% - Énfasis4 12 3 5" xfId="5593" xr:uid="{00000000-0005-0000-0000-0000DC150000}"/>
    <cellStyle name="20% - Énfasis4 12 4" xfId="5594" xr:uid="{00000000-0005-0000-0000-0000DD150000}"/>
    <cellStyle name="20% - Énfasis4 12 4 2" xfId="5595" xr:uid="{00000000-0005-0000-0000-0000DE150000}"/>
    <cellStyle name="20% - Énfasis4 12 4 2 2" xfId="5596" xr:uid="{00000000-0005-0000-0000-0000DF150000}"/>
    <cellStyle name="20% - Énfasis4 12 4 2 2 2" xfId="5597" xr:uid="{00000000-0005-0000-0000-0000E0150000}"/>
    <cellStyle name="20% - Énfasis4 12 4 2 3" xfId="5598" xr:uid="{00000000-0005-0000-0000-0000E1150000}"/>
    <cellStyle name="20% - Énfasis4 12 4 3" xfId="5599" xr:uid="{00000000-0005-0000-0000-0000E2150000}"/>
    <cellStyle name="20% - Énfasis4 12 4 3 2" xfId="5600" xr:uid="{00000000-0005-0000-0000-0000E3150000}"/>
    <cellStyle name="20% - Énfasis4 12 4 4" xfId="5601" xr:uid="{00000000-0005-0000-0000-0000E4150000}"/>
    <cellStyle name="20% - Énfasis4 12 5" xfId="5602" xr:uid="{00000000-0005-0000-0000-0000E5150000}"/>
    <cellStyle name="20% - Énfasis4 12 5 2" xfId="5603" xr:uid="{00000000-0005-0000-0000-0000E6150000}"/>
    <cellStyle name="20% - Énfasis4 12 5 2 2" xfId="5604" xr:uid="{00000000-0005-0000-0000-0000E7150000}"/>
    <cellStyle name="20% - Énfasis4 12 5 3" xfId="5605" xr:uid="{00000000-0005-0000-0000-0000E8150000}"/>
    <cellStyle name="20% - Énfasis4 12 6" xfId="5606" xr:uid="{00000000-0005-0000-0000-0000E9150000}"/>
    <cellStyle name="20% - Énfasis4 12 6 2" xfId="5607" xr:uid="{00000000-0005-0000-0000-0000EA150000}"/>
    <cellStyle name="20% - Énfasis4 12 6 2 2" xfId="5608" xr:uid="{00000000-0005-0000-0000-0000EB150000}"/>
    <cellStyle name="20% - Énfasis4 12 6 3" xfId="5609" xr:uid="{00000000-0005-0000-0000-0000EC150000}"/>
    <cellStyle name="20% - Énfasis4 12 7" xfId="5610" xr:uid="{00000000-0005-0000-0000-0000ED150000}"/>
    <cellStyle name="20% - Énfasis4 12 7 2" xfId="5611" xr:uid="{00000000-0005-0000-0000-0000EE150000}"/>
    <cellStyle name="20% - Énfasis4 12 8" xfId="5612" xr:uid="{00000000-0005-0000-0000-0000EF150000}"/>
    <cellStyle name="20% - Énfasis4 13" xfId="5613" xr:uid="{00000000-0005-0000-0000-0000F0150000}"/>
    <cellStyle name="20% - Énfasis4 13 2" xfId="5614" xr:uid="{00000000-0005-0000-0000-0000F1150000}"/>
    <cellStyle name="20% - Énfasis4 13 2 2" xfId="5615" xr:uid="{00000000-0005-0000-0000-0000F2150000}"/>
    <cellStyle name="20% - Énfasis4 13 2 2 2" xfId="5616" xr:uid="{00000000-0005-0000-0000-0000F3150000}"/>
    <cellStyle name="20% - Énfasis4 13 2 2 2 2" xfId="5617" xr:uid="{00000000-0005-0000-0000-0000F4150000}"/>
    <cellStyle name="20% - Énfasis4 13 2 2 2 2 2" xfId="5618" xr:uid="{00000000-0005-0000-0000-0000F5150000}"/>
    <cellStyle name="20% - Énfasis4 13 2 2 2 3" xfId="5619" xr:uid="{00000000-0005-0000-0000-0000F6150000}"/>
    <cellStyle name="20% - Énfasis4 13 2 2 3" xfId="5620" xr:uid="{00000000-0005-0000-0000-0000F7150000}"/>
    <cellStyle name="20% - Énfasis4 13 2 2 3 2" xfId="5621" xr:uid="{00000000-0005-0000-0000-0000F8150000}"/>
    <cellStyle name="20% - Énfasis4 13 2 2 4" xfId="5622" xr:uid="{00000000-0005-0000-0000-0000F9150000}"/>
    <cellStyle name="20% - Énfasis4 13 2 3" xfId="5623" xr:uid="{00000000-0005-0000-0000-0000FA150000}"/>
    <cellStyle name="20% - Énfasis4 13 2 3 2" xfId="5624" xr:uid="{00000000-0005-0000-0000-0000FB150000}"/>
    <cellStyle name="20% - Énfasis4 13 2 3 2 2" xfId="5625" xr:uid="{00000000-0005-0000-0000-0000FC150000}"/>
    <cellStyle name="20% - Énfasis4 13 2 3 3" xfId="5626" xr:uid="{00000000-0005-0000-0000-0000FD150000}"/>
    <cellStyle name="20% - Énfasis4 13 2 4" xfId="5627" xr:uid="{00000000-0005-0000-0000-0000FE150000}"/>
    <cellStyle name="20% - Énfasis4 13 2 4 2" xfId="5628" xr:uid="{00000000-0005-0000-0000-0000FF150000}"/>
    <cellStyle name="20% - Énfasis4 13 2 4 2 2" xfId="5629" xr:uid="{00000000-0005-0000-0000-000000160000}"/>
    <cellStyle name="20% - Énfasis4 13 2 4 3" xfId="5630" xr:uid="{00000000-0005-0000-0000-000001160000}"/>
    <cellStyle name="20% - Énfasis4 13 2 5" xfId="5631" xr:uid="{00000000-0005-0000-0000-000002160000}"/>
    <cellStyle name="20% - Énfasis4 13 2 5 2" xfId="5632" xr:uid="{00000000-0005-0000-0000-000003160000}"/>
    <cellStyle name="20% - Énfasis4 13 2 6" xfId="5633" xr:uid="{00000000-0005-0000-0000-000004160000}"/>
    <cellStyle name="20% - Énfasis4 13 3" xfId="5634" xr:uid="{00000000-0005-0000-0000-000005160000}"/>
    <cellStyle name="20% - Énfasis4 13 3 2" xfId="5635" xr:uid="{00000000-0005-0000-0000-000006160000}"/>
    <cellStyle name="20% - Énfasis4 13 3 2 2" xfId="5636" xr:uid="{00000000-0005-0000-0000-000007160000}"/>
    <cellStyle name="20% - Énfasis4 13 3 2 2 2" xfId="5637" xr:uid="{00000000-0005-0000-0000-000008160000}"/>
    <cellStyle name="20% - Énfasis4 13 3 2 3" xfId="5638" xr:uid="{00000000-0005-0000-0000-000009160000}"/>
    <cellStyle name="20% - Énfasis4 13 3 3" xfId="5639" xr:uid="{00000000-0005-0000-0000-00000A160000}"/>
    <cellStyle name="20% - Énfasis4 13 3 3 2" xfId="5640" xr:uid="{00000000-0005-0000-0000-00000B160000}"/>
    <cellStyle name="20% - Énfasis4 13 3 3 2 2" xfId="5641" xr:uid="{00000000-0005-0000-0000-00000C160000}"/>
    <cellStyle name="20% - Énfasis4 13 3 3 3" xfId="5642" xr:uid="{00000000-0005-0000-0000-00000D160000}"/>
    <cellStyle name="20% - Énfasis4 13 3 4" xfId="5643" xr:uid="{00000000-0005-0000-0000-00000E160000}"/>
    <cellStyle name="20% - Énfasis4 13 3 4 2" xfId="5644" xr:uid="{00000000-0005-0000-0000-00000F160000}"/>
    <cellStyle name="20% - Énfasis4 13 3 5" xfId="5645" xr:uid="{00000000-0005-0000-0000-000010160000}"/>
    <cellStyle name="20% - Énfasis4 13 4" xfId="5646" xr:uid="{00000000-0005-0000-0000-000011160000}"/>
    <cellStyle name="20% - Énfasis4 13 4 2" xfId="5647" xr:uid="{00000000-0005-0000-0000-000012160000}"/>
    <cellStyle name="20% - Énfasis4 13 4 2 2" xfId="5648" xr:uid="{00000000-0005-0000-0000-000013160000}"/>
    <cellStyle name="20% - Énfasis4 13 4 2 2 2" xfId="5649" xr:uid="{00000000-0005-0000-0000-000014160000}"/>
    <cellStyle name="20% - Énfasis4 13 4 2 3" xfId="5650" xr:uid="{00000000-0005-0000-0000-000015160000}"/>
    <cellStyle name="20% - Énfasis4 13 4 3" xfId="5651" xr:uid="{00000000-0005-0000-0000-000016160000}"/>
    <cellStyle name="20% - Énfasis4 13 4 3 2" xfId="5652" xr:uid="{00000000-0005-0000-0000-000017160000}"/>
    <cellStyle name="20% - Énfasis4 13 4 4" xfId="5653" xr:uid="{00000000-0005-0000-0000-000018160000}"/>
    <cellStyle name="20% - Énfasis4 13 5" xfId="5654" xr:uid="{00000000-0005-0000-0000-000019160000}"/>
    <cellStyle name="20% - Énfasis4 13 5 2" xfId="5655" xr:uid="{00000000-0005-0000-0000-00001A160000}"/>
    <cellStyle name="20% - Énfasis4 13 5 2 2" xfId="5656" xr:uid="{00000000-0005-0000-0000-00001B160000}"/>
    <cellStyle name="20% - Énfasis4 13 5 3" xfId="5657" xr:uid="{00000000-0005-0000-0000-00001C160000}"/>
    <cellStyle name="20% - Énfasis4 13 6" xfId="5658" xr:uid="{00000000-0005-0000-0000-00001D160000}"/>
    <cellStyle name="20% - Énfasis4 13 6 2" xfId="5659" xr:uid="{00000000-0005-0000-0000-00001E160000}"/>
    <cellStyle name="20% - Énfasis4 13 6 2 2" xfId="5660" xr:uid="{00000000-0005-0000-0000-00001F160000}"/>
    <cellStyle name="20% - Énfasis4 13 6 3" xfId="5661" xr:uid="{00000000-0005-0000-0000-000020160000}"/>
    <cellStyle name="20% - Énfasis4 13 7" xfId="5662" xr:uid="{00000000-0005-0000-0000-000021160000}"/>
    <cellStyle name="20% - Énfasis4 13 7 2" xfId="5663" xr:uid="{00000000-0005-0000-0000-000022160000}"/>
    <cellStyle name="20% - Énfasis4 13 8" xfId="5664" xr:uid="{00000000-0005-0000-0000-000023160000}"/>
    <cellStyle name="20% - Énfasis4 14" xfId="5665" xr:uid="{00000000-0005-0000-0000-000024160000}"/>
    <cellStyle name="20% - Énfasis4 14 2" xfId="5666" xr:uid="{00000000-0005-0000-0000-000025160000}"/>
    <cellStyle name="20% - Énfasis4 14 2 2" xfId="5667" xr:uid="{00000000-0005-0000-0000-000026160000}"/>
    <cellStyle name="20% - Énfasis4 14 2 2 2" xfId="5668" xr:uid="{00000000-0005-0000-0000-000027160000}"/>
    <cellStyle name="20% - Énfasis4 14 2 2 2 2" xfId="5669" xr:uid="{00000000-0005-0000-0000-000028160000}"/>
    <cellStyle name="20% - Énfasis4 14 2 2 2 2 2" xfId="5670" xr:uid="{00000000-0005-0000-0000-000029160000}"/>
    <cellStyle name="20% - Énfasis4 14 2 2 2 3" xfId="5671" xr:uid="{00000000-0005-0000-0000-00002A160000}"/>
    <cellStyle name="20% - Énfasis4 14 2 2 3" xfId="5672" xr:uid="{00000000-0005-0000-0000-00002B160000}"/>
    <cellStyle name="20% - Énfasis4 14 2 2 3 2" xfId="5673" xr:uid="{00000000-0005-0000-0000-00002C160000}"/>
    <cellStyle name="20% - Énfasis4 14 2 2 4" xfId="5674" xr:uid="{00000000-0005-0000-0000-00002D160000}"/>
    <cellStyle name="20% - Énfasis4 14 2 3" xfId="5675" xr:uid="{00000000-0005-0000-0000-00002E160000}"/>
    <cellStyle name="20% - Énfasis4 14 2 3 2" xfId="5676" xr:uid="{00000000-0005-0000-0000-00002F160000}"/>
    <cellStyle name="20% - Énfasis4 14 2 3 2 2" xfId="5677" xr:uid="{00000000-0005-0000-0000-000030160000}"/>
    <cellStyle name="20% - Énfasis4 14 2 3 3" xfId="5678" xr:uid="{00000000-0005-0000-0000-000031160000}"/>
    <cellStyle name="20% - Énfasis4 14 2 4" xfId="5679" xr:uid="{00000000-0005-0000-0000-000032160000}"/>
    <cellStyle name="20% - Énfasis4 14 2 4 2" xfId="5680" xr:uid="{00000000-0005-0000-0000-000033160000}"/>
    <cellStyle name="20% - Énfasis4 14 2 4 2 2" xfId="5681" xr:uid="{00000000-0005-0000-0000-000034160000}"/>
    <cellStyle name="20% - Énfasis4 14 2 4 3" xfId="5682" xr:uid="{00000000-0005-0000-0000-000035160000}"/>
    <cellStyle name="20% - Énfasis4 14 2 5" xfId="5683" xr:uid="{00000000-0005-0000-0000-000036160000}"/>
    <cellStyle name="20% - Énfasis4 14 2 5 2" xfId="5684" xr:uid="{00000000-0005-0000-0000-000037160000}"/>
    <cellStyle name="20% - Énfasis4 14 2 6" xfId="5685" xr:uid="{00000000-0005-0000-0000-000038160000}"/>
    <cellStyle name="20% - Énfasis4 14 3" xfId="5686" xr:uid="{00000000-0005-0000-0000-000039160000}"/>
    <cellStyle name="20% - Énfasis4 14 3 2" xfId="5687" xr:uid="{00000000-0005-0000-0000-00003A160000}"/>
    <cellStyle name="20% - Énfasis4 14 3 2 2" xfId="5688" xr:uid="{00000000-0005-0000-0000-00003B160000}"/>
    <cellStyle name="20% - Énfasis4 14 3 2 2 2" xfId="5689" xr:uid="{00000000-0005-0000-0000-00003C160000}"/>
    <cellStyle name="20% - Énfasis4 14 3 2 3" xfId="5690" xr:uid="{00000000-0005-0000-0000-00003D160000}"/>
    <cellStyle name="20% - Énfasis4 14 3 3" xfId="5691" xr:uid="{00000000-0005-0000-0000-00003E160000}"/>
    <cellStyle name="20% - Énfasis4 14 3 3 2" xfId="5692" xr:uid="{00000000-0005-0000-0000-00003F160000}"/>
    <cellStyle name="20% - Énfasis4 14 3 3 2 2" xfId="5693" xr:uid="{00000000-0005-0000-0000-000040160000}"/>
    <cellStyle name="20% - Énfasis4 14 3 3 3" xfId="5694" xr:uid="{00000000-0005-0000-0000-000041160000}"/>
    <cellStyle name="20% - Énfasis4 14 3 4" xfId="5695" xr:uid="{00000000-0005-0000-0000-000042160000}"/>
    <cellStyle name="20% - Énfasis4 14 3 4 2" xfId="5696" xr:uid="{00000000-0005-0000-0000-000043160000}"/>
    <cellStyle name="20% - Énfasis4 14 3 5" xfId="5697" xr:uid="{00000000-0005-0000-0000-000044160000}"/>
    <cellStyle name="20% - Énfasis4 14 4" xfId="5698" xr:uid="{00000000-0005-0000-0000-000045160000}"/>
    <cellStyle name="20% - Énfasis4 14 4 2" xfId="5699" xr:uid="{00000000-0005-0000-0000-000046160000}"/>
    <cellStyle name="20% - Énfasis4 14 4 2 2" xfId="5700" xr:uid="{00000000-0005-0000-0000-000047160000}"/>
    <cellStyle name="20% - Énfasis4 14 4 2 2 2" xfId="5701" xr:uid="{00000000-0005-0000-0000-000048160000}"/>
    <cellStyle name="20% - Énfasis4 14 4 2 3" xfId="5702" xr:uid="{00000000-0005-0000-0000-000049160000}"/>
    <cellStyle name="20% - Énfasis4 14 4 3" xfId="5703" xr:uid="{00000000-0005-0000-0000-00004A160000}"/>
    <cellStyle name="20% - Énfasis4 14 4 3 2" xfId="5704" xr:uid="{00000000-0005-0000-0000-00004B160000}"/>
    <cellStyle name="20% - Énfasis4 14 4 4" xfId="5705" xr:uid="{00000000-0005-0000-0000-00004C160000}"/>
    <cellStyle name="20% - Énfasis4 14 5" xfId="5706" xr:uid="{00000000-0005-0000-0000-00004D160000}"/>
    <cellStyle name="20% - Énfasis4 14 5 2" xfId="5707" xr:uid="{00000000-0005-0000-0000-00004E160000}"/>
    <cellStyle name="20% - Énfasis4 14 5 2 2" xfId="5708" xr:uid="{00000000-0005-0000-0000-00004F160000}"/>
    <cellStyle name="20% - Énfasis4 14 5 3" xfId="5709" xr:uid="{00000000-0005-0000-0000-000050160000}"/>
    <cellStyle name="20% - Énfasis4 14 6" xfId="5710" xr:uid="{00000000-0005-0000-0000-000051160000}"/>
    <cellStyle name="20% - Énfasis4 14 6 2" xfId="5711" xr:uid="{00000000-0005-0000-0000-000052160000}"/>
    <cellStyle name="20% - Énfasis4 14 6 2 2" xfId="5712" xr:uid="{00000000-0005-0000-0000-000053160000}"/>
    <cellStyle name="20% - Énfasis4 14 6 3" xfId="5713" xr:uid="{00000000-0005-0000-0000-000054160000}"/>
    <cellStyle name="20% - Énfasis4 14 7" xfId="5714" xr:uid="{00000000-0005-0000-0000-000055160000}"/>
    <cellStyle name="20% - Énfasis4 14 7 2" xfId="5715" xr:uid="{00000000-0005-0000-0000-000056160000}"/>
    <cellStyle name="20% - Énfasis4 14 8" xfId="5716" xr:uid="{00000000-0005-0000-0000-000057160000}"/>
    <cellStyle name="20% - Énfasis4 15" xfId="5717" xr:uid="{00000000-0005-0000-0000-000058160000}"/>
    <cellStyle name="20% - Énfasis4 15 2" xfId="5718" xr:uid="{00000000-0005-0000-0000-000059160000}"/>
    <cellStyle name="20% - Énfasis4 15 2 2" xfId="5719" xr:uid="{00000000-0005-0000-0000-00005A160000}"/>
    <cellStyle name="20% - Énfasis4 15 2 2 2" xfId="5720" xr:uid="{00000000-0005-0000-0000-00005B160000}"/>
    <cellStyle name="20% - Énfasis4 15 2 2 2 2" xfId="5721" xr:uid="{00000000-0005-0000-0000-00005C160000}"/>
    <cellStyle name="20% - Énfasis4 15 2 2 2 2 2" xfId="5722" xr:uid="{00000000-0005-0000-0000-00005D160000}"/>
    <cellStyle name="20% - Énfasis4 15 2 2 2 3" xfId="5723" xr:uid="{00000000-0005-0000-0000-00005E160000}"/>
    <cellStyle name="20% - Énfasis4 15 2 2 3" xfId="5724" xr:uid="{00000000-0005-0000-0000-00005F160000}"/>
    <cellStyle name="20% - Énfasis4 15 2 2 3 2" xfId="5725" xr:uid="{00000000-0005-0000-0000-000060160000}"/>
    <cellStyle name="20% - Énfasis4 15 2 2 4" xfId="5726" xr:uid="{00000000-0005-0000-0000-000061160000}"/>
    <cellStyle name="20% - Énfasis4 15 2 3" xfId="5727" xr:uid="{00000000-0005-0000-0000-000062160000}"/>
    <cellStyle name="20% - Énfasis4 15 2 3 2" xfId="5728" xr:uid="{00000000-0005-0000-0000-000063160000}"/>
    <cellStyle name="20% - Énfasis4 15 2 3 2 2" xfId="5729" xr:uid="{00000000-0005-0000-0000-000064160000}"/>
    <cellStyle name="20% - Énfasis4 15 2 3 3" xfId="5730" xr:uid="{00000000-0005-0000-0000-000065160000}"/>
    <cellStyle name="20% - Énfasis4 15 2 4" xfId="5731" xr:uid="{00000000-0005-0000-0000-000066160000}"/>
    <cellStyle name="20% - Énfasis4 15 2 4 2" xfId="5732" xr:uid="{00000000-0005-0000-0000-000067160000}"/>
    <cellStyle name="20% - Énfasis4 15 2 4 2 2" xfId="5733" xr:uid="{00000000-0005-0000-0000-000068160000}"/>
    <cellStyle name="20% - Énfasis4 15 2 4 3" xfId="5734" xr:uid="{00000000-0005-0000-0000-000069160000}"/>
    <cellStyle name="20% - Énfasis4 15 2 5" xfId="5735" xr:uid="{00000000-0005-0000-0000-00006A160000}"/>
    <cellStyle name="20% - Énfasis4 15 2 5 2" xfId="5736" xr:uid="{00000000-0005-0000-0000-00006B160000}"/>
    <cellStyle name="20% - Énfasis4 15 2 6" xfId="5737" xr:uid="{00000000-0005-0000-0000-00006C160000}"/>
    <cellStyle name="20% - Énfasis4 15 3" xfId="5738" xr:uid="{00000000-0005-0000-0000-00006D160000}"/>
    <cellStyle name="20% - Énfasis4 15 3 2" xfId="5739" xr:uid="{00000000-0005-0000-0000-00006E160000}"/>
    <cellStyle name="20% - Énfasis4 15 3 2 2" xfId="5740" xr:uid="{00000000-0005-0000-0000-00006F160000}"/>
    <cellStyle name="20% - Énfasis4 15 3 2 2 2" xfId="5741" xr:uid="{00000000-0005-0000-0000-000070160000}"/>
    <cellStyle name="20% - Énfasis4 15 3 2 3" xfId="5742" xr:uid="{00000000-0005-0000-0000-000071160000}"/>
    <cellStyle name="20% - Énfasis4 15 3 3" xfId="5743" xr:uid="{00000000-0005-0000-0000-000072160000}"/>
    <cellStyle name="20% - Énfasis4 15 3 3 2" xfId="5744" xr:uid="{00000000-0005-0000-0000-000073160000}"/>
    <cellStyle name="20% - Énfasis4 15 3 3 2 2" xfId="5745" xr:uid="{00000000-0005-0000-0000-000074160000}"/>
    <cellStyle name="20% - Énfasis4 15 3 3 3" xfId="5746" xr:uid="{00000000-0005-0000-0000-000075160000}"/>
    <cellStyle name="20% - Énfasis4 15 3 4" xfId="5747" xr:uid="{00000000-0005-0000-0000-000076160000}"/>
    <cellStyle name="20% - Énfasis4 15 3 4 2" xfId="5748" xr:uid="{00000000-0005-0000-0000-000077160000}"/>
    <cellStyle name="20% - Énfasis4 15 3 5" xfId="5749" xr:uid="{00000000-0005-0000-0000-000078160000}"/>
    <cellStyle name="20% - Énfasis4 15 4" xfId="5750" xr:uid="{00000000-0005-0000-0000-000079160000}"/>
    <cellStyle name="20% - Énfasis4 15 4 2" xfId="5751" xr:uid="{00000000-0005-0000-0000-00007A160000}"/>
    <cellStyle name="20% - Énfasis4 15 4 2 2" xfId="5752" xr:uid="{00000000-0005-0000-0000-00007B160000}"/>
    <cellStyle name="20% - Énfasis4 15 4 2 2 2" xfId="5753" xr:uid="{00000000-0005-0000-0000-00007C160000}"/>
    <cellStyle name="20% - Énfasis4 15 4 2 3" xfId="5754" xr:uid="{00000000-0005-0000-0000-00007D160000}"/>
    <cellStyle name="20% - Énfasis4 15 4 3" xfId="5755" xr:uid="{00000000-0005-0000-0000-00007E160000}"/>
    <cellStyle name="20% - Énfasis4 15 4 3 2" xfId="5756" xr:uid="{00000000-0005-0000-0000-00007F160000}"/>
    <cellStyle name="20% - Énfasis4 15 4 4" xfId="5757" xr:uid="{00000000-0005-0000-0000-000080160000}"/>
    <cellStyle name="20% - Énfasis4 15 5" xfId="5758" xr:uid="{00000000-0005-0000-0000-000081160000}"/>
    <cellStyle name="20% - Énfasis4 15 5 2" xfId="5759" xr:uid="{00000000-0005-0000-0000-000082160000}"/>
    <cellStyle name="20% - Énfasis4 15 5 2 2" xfId="5760" xr:uid="{00000000-0005-0000-0000-000083160000}"/>
    <cellStyle name="20% - Énfasis4 15 5 3" xfId="5761" xr:uid="{00000000-0005-0000-0000-000084160000}"/>
    <cellStyle name="20% - Énfasis4 15 6" xfId="5762" xr:uid="{00000000-0005-0000-0000-000085160000}"/>
    <cellStyle name="20% - Énfasis4 15 6 2" xfId="5763" xr:uid="{00000000-0005-0000-0000-000086160000}"/>
    <cellStyle name="20% - Énfasis4 15 6 2 2" xfId="5764" xr:uid="{00000000-0005-0000-0000-000087160000}"/>
    <cellStyle name="20% - Énfasis4 15 6 3" xfId="5765" xr:uid="{00000000-0005-0000-0000-000088160000}"/>
    <cellStyle name="20% - Énfasis4 15 7" xfId="5766" xr:uid="{00000000-0005-0000-0000-000089160000}"/>
    <cellStyle name="20% - Énfasis4 15 7 2" xfId="5767" xr:uid="{00000000-0005-0000-0000-00008A160000}"/>
    <cellStyle name="20% - Énfasis4 15 8" xfId="5768" xr:uid="{00000000-0005-0000-0000-00008B160000}"/>
    <cellStyle name="20% - Énfasis4 16" xfId="5769" xr:uid="{00000000-0005-0000-0000-00008C160000}"/>
    <cellStyle name="20% - Énfasis4 16 2" xfId="5770" xr:uid="{00000000-0005-0000-0000-00008D160000}"/>
    <cellStyle name="20% - Énfasis4 16 2 2" xfId="5771" xr:uid="{00000000-0005-0000-0000-00008E160000}"/>
    <cellStyle name="20% - Énfasis4 16 2 2 2" xfId="5772" xr:uid="{00000000-0005-0000-0000-00008F160000}"/>
    <cellStyle name="20% - Énfasis4 16 2 2 2 2" xfId="5773" xr:uid="{00000000-0005-0000-0000-000090160000}"/>
    <cellStyle name="20% - Énfasis4 16 2 2 2 2 2" xfId="5774" xr:uid="{00000000-0005-0000-0000-000091160000}"/>
    <cellStyle name="20% - Énfasis4 16 2 2 2 3" xfId="5775" xr:uid="{00000000-0005-0000-0000-000092160000}"/>
    <cellStyle name="20% - Énfasis4 16 2 2 3" xfId="5776" xr:uid="{00000000-0005-0000-0000-000093160000}"/>
    <cellStyle name="20% - Énfasis4 16 2 2 3 2" xfId="5777" xr:uid="{00000000-0005-0000-0000-000094160000}"/>
    <cellStyle name="20% - Énfasis4 16 2 2 4" xfId="5778" xr:uid="{00000000-0005-0000-0000-000095160000}"/>
    <cellStyle name="20% - Énfasis4 16 2 3" xfId="5779" xr:uid="{00000000-0005-0000-0000-000096160000}"/>
    <cellStyle name="20% - Énfasis4 16 2 3 2" xfId="5780" xr:uid="{00000000-0005-0000-0000-000097160000}"/>
    <cellStyle name="20% - Énfasis4 16 2 3 2 2" xfId="5781" xr:uid="{00000000-0005-0000-0000-000098160000}"/>
    <cellStyle name="20% - Énfasis4 16 2 3 3" xfId="5782" xr:uid="{00000000-0005-0000-0000-000099160000}"/>
    <cellStyle name="20% - Énfasis4 16 2 4" xfId="5783" xr:uid="{00000000-0005-0000-0000-00009A160000}"/>
    <cellStyle name="20% - Énfasis4 16 2 4 2" xfId="5784" xr:uid="{00000000-0005-0000-0000-00009B160000}"/>
    <cellStyle name="20% - Énfasis4 16 2 4 2 2" xfId="5785" xr:uid="{00000000-0005-0000-0000-00009C160000}"/>
    <cellStyle name="20% - Énfasis4 16 2 4 3" xfId="5786" xr:uid="{00000000-0005-0000-0000-00009D160000}"/>
    <cellStyle name="20% - Énfasis4 16 2 5" xfId="5787" xr:uid="{00000000-0005-0000-0000-00009E160000}"/>
    <cellStyle name="20% - Énfasis4 16 2 5 2" xfId="5788" xr:uid="{00000000-0005-0000-0000-00009F160000}"/>
    <cellStyle name="20% - Énfasis4 16 2 6" xfId="5789" xr:uid="{00000000-0005-0000-0000-0000A0160000}"/>
    <cellStyle name="20% - Énfasis4 16 3" xfId="5790" xr:uid="{00000000-0005-0000-0000-0000A1160000}"/>
    <cellStyle name="20% - Énfasis4 16 3 2" xfId="5791" xr:uid="{00000000-0005-0000-0000-0000A2160000}"/>
    <cellStyle name="20% - Énfasis4 16 3 2 2" xfId="5792" xr:uid="{00000000-0005-0000-0000-0000A3160000}"/>
    <cellStyle name="20% - Énfasis4 16 3 2 2 2" xfId="5793" xr:uid="{00000000-0005-0000-0000-0000A4160000}"/>
    <cellStyle name="20% - Énfasis4 16 3 2 3" xfId="5794" xr:uid="{00000000-0005-0000-0000-0000A5160000}"/>
    <cellStyle name="20% - Énfasis4 16 3 3" xfId="5795" xr:uid="{00000000-0005-0000-0000-0000A6160000}"/>
    <cellStyle name="20% - Énfasis4 16 3 3 2" xfId="5796" xr:uid="{00000000-0005-0000-0000-0000A7160000}"/>
    <cellStyle name="20% - Énfasis4 16 3 3 2 2" xfId="5797" xr:uid="{00000000-0005-0000-0000-0000A8160000}"/>
    <cellStyle name="20% - Énfasis4 16 3 3 3" xfId="5798" xr:uid="{00000000-0005-0000-0000-0000A9160000}"/>
    <cellStyle name="20% - Énfasis4 16 3 4" xfId="5799" xr:uid="{00000000-0005-0000-0000-0000AA160000}"/>
    <cellStyle name="20% - Énfasis4 16 3 4 2" xfId="5800" xr:uid="{00000000-0005-0000-0000-0000AB160000}"/>
    <cellStyle name="20% - Énfasis4 16 3 5" xfId="5801" xr:uid="{00000000-0005-0000-0000-0000AC160000}"/>
    <cellStyle name="20% - Énfasis4 16 4" xfId="5802" xr:uid="{00000000-0005-0000-0000-0000AD160000}"/>
    <cellStyle name="20% - Énfasis4 16 4 2" xfId="5803" xr:uid="{00000000-0005-0000-0000-0000AE160000}"/>
    <cellStyle name="20% - Énfasis4 16 4 2 2" xfId="5804" xr:uid="{00000000-0005-0000-0000-0000AF160000}"/>
    <cellStyle name="20% - Énfasis4 16 4 2 2 2" xfId="5805" xr:uid="{00000000-0005-0000-0000-0000B0160000}"/>
    <cellStyle name="20% - Énfasis4 16 4 2 3" xfId="5806" xr:uid="{00000000-0005-0000-0000-0000B1160000}"/>
    <cellStyle name="20% - Énfasis4 16 4 3" xfId="5807" xr:uid="{00000000-0005-0000-0000-0000B2160000}"/>
    <cellStyle name="20% - Énfasis4 16 4 3 2" xfId="5808" xr:uid="{00000000-0005-0000-0000-0000B3160000}"/>
    <cellStyle name="20% - Énfasis4 16 4 4" xfId="5809" xr:uid="{00000000-0005-0000-0000-0000B4160000}"/>
    <cellStyle name="20% - Énfasis4 16 5" xfId="5810" xr:uid="{00000000-0005-0000-0000-0000B5160000}"/>
    <cellStyle name="20% - Énfasis4 16 5 2" xfId="5811" xr:uid="{00000000-0005-0000-0000-0000B6160000}"/>
    <cellStyle name="20% - Énfasis4 16 5 2 2" xfId="5812" xr:uid="{00000000-0005-0000-0000-0000B7160000}"/>
    <cellStyle name="20% - Énfasis4 16 5 3" xfId="5813" xr:uid="{00000000-0005-0000-0000-0000B8160000}"/>
    <cellStyle name="20% - Énfasis4 16 6" xfId="5814" xr:uid="{00000000-0005-0000-0000-0000B9160000}"/>
    <cellStyle name="20% - Énfasis4 16 6 2" xfId="5815" xr:uid="{00000000-0005-0000-0000-0000BA160000}"/>
    <cellStyle name="20% - Énfasis4 16 6 2 2" xfId="5816" xr:uid="{00000000-0005-0000-0000-0000BB160000}"/>
    <cellStyle name="20% - Énfasis4 16 6 3" xfId="5817" xr:uid="{00000000-0005-0000-0000-0000BC160000}"/>
    <cellStyle name="20% - Énfasis4 16 7" xfId="5818" xr:uid="{00000000-0005-0000-0000-0000BD160000}"/>
    <cellStyle name="20% - Énfasis4 16 7 2" xfId="5819" xr:uid="{00000000-0005-0000-0000-0000BE160000}"/>
    <cellStyle name="20% - Énfasis4 16 8" xfId="5820" xr:uid="{00000000-0005-0000-0000-0000BF160000}"/>
    <cellStyle name="20% - Énfasis4 17" xfId="5821" xr:uid="{00000000-0005-0000-0000-0000C0160000}"/>
    <cellStyle name="20% - Énfasis4 17 2" xfId="5822" xr:uid="{00000000-0005-0000-0000-0000C1160000}"/>
    <cellStyle name="20% - Énfasis4 17 2 2" xfId="5823" xr:uid="{00000000-0005-0000-0000-0000C2160000}"/>
    <cellStyle name="20% - Énfasis4 17 2 2 2" xfId="5824" xr:uid="{00000000-0005-0000-0000-0000C3160000}"/>
    <cellStyle name="20% - Énfasis4 17 2 2 2 2" xfId="5825" xr:uid="{00000000-0005-0000-0000-0000C4160000}"/>
    <cellStyle name="20% - Énfasis4 17 2 2 3" xfId="5826" xr:uid="{00000000-0005-0000-0000-0000C5160000}"/>
    <cellStyle name="20% - Énfasis4 17 2 3" xfId="5827" xr:uid="{00000000-0005-0000-0000-0000C6160000}"/>
    <cellStyle name="20% - Énfasis4 17 2 3 2" xfId="5828" xr:uid="{00000000-0005-0000-0000-0000C7160000}"/>
    <cellStyle name="20% - Énfasis4 17 2 3 2 2" xfId="5829" xr:uid="{00000000-0005-0000-0000-0000C8160000}"/>
    <cellStyle name="20% - Énfasis4 17 2 3 3" xfId="5830" xr:uid="{00000000-0005-0000-0000-0000C9160000}"/>
    <cellStyle name="20% - Énfasis4 17 2 4" xfId="5831" xr:uid="{00000000-0005-0000-0000-0000CA160000}"/>
    <cellStyle name="20% - Énfasis4 17 2 4 2" xfId="5832" xr:uid="{00000000-0005-0000-0000-0000CB160000}"/>
    <cellStyle name="20% - Énfasis4 17 2 5" xfId="5833" xr:uid="{00000000-0005-0000-0000-0000CC160000}"/>
    <cellStyle name="20% - Énfasis4 17 3" xfId="5834" xr:uid="{00000000-0005-0000-0000-0000CD160000}"/>
    <cellStyle name="20% - Énfasis4 17 3 2" xfId="5835" xr:uid="{00000000-0005-0000-0000-0000CE160000}"/>
    <cellStyle name="20% - Énfasis4 17 3 2 2" xfId="5836" xr:uid="{00000000-0005-0000-0000-0000CF160000}"/>
    <cellStyle name="20% - Énfasis4 17 3 2 2 2" xfId="5837" xr:uid="{00000000-0005-0000-0000-0000D0160000}"/>
    <cellStyle name="20% - Énfasis4 17 3 2 3" xfId="5838" xr:uid="{00000000-0005-0000-0000-0000D1160000}"/>
    <cellStyle name="20% - Énfasis4 17 3 3" xfId="5839" xr:uid="{00000000-0005-0000-0000-0000D2160000}"/>
    <cellStyle name="20% - Énfasis4 17 3 3 2" xfId="5840" xr:uid="{00000000-0005-0000-0000-0000D3160000}"/>
    <cellStyle name="20% - Énfasis4 17 3 4" xfId="5841" xr:uid="{00000000-0005-0000-0000-0000D4160000}"/>
    <cellStyle name="20% - Énfasis4 17 4" xfId="5842" xr:uid="{00000000-0005-0000-0000-0000D5160000}"/>
    <cellStyle name="20% - Énfasis4 17 4 2" xfId="5843" xr:uid="{00000000-0005-0000-0000-0000D6160000}"/>
    <cellStyle name="20% - Énfasis4 17 4 2 2" xfId="5844" xr:uid="{00000000-0005-0000-0000-0000D7160000}"/>
    <cellStyle name="20% - Énfasis4 17 4 3" xfId="5845" xr:uid="{00000000-0005-0000-0000-0000D8160000}"/>
    <cellStyle name="20% - Énfasis4 17 5" xfId="5846" xr:uid="{00000000-0005-0000-0000-0000D9160000}"/>
    <cellStyle name="20% - Énfasis4 17 5 2" xfId="5847" xr:uid="{00000000-0005-0000-0000-0000DA160000}"/>
    <cellStyle name="20% - Énfasis4 17 5 2 2" xfId="5848" xr:uid="{00000000-0005-0000-0000-0000DB160000}"/>
    <cellStyle name="20% - Énfasis4 17 5 3" xfId="5849" xr:uid="{00000000-0005-0000-0000-0000DC160000}"/>
    <cellStyle name="20% - Énfasis4 17 6" xfId="5850" xr:uid="{00000000-0005-0000-0000-0000DD160000}"/>
    <cellStyle name="20% - Énfasis4 17 6 2" xfId="5851" xr:uid="{00000000-0005-0000-0000-0000DE160000}"/>
    <cellStyle name="20% - Énfasis4 17 7" xfId="5852" xr:uid="{00000000-0005-0000-0000-0000DF160000}"/>
    <cellStyle name="20% - Énfasis4 18" xfId="5853" xr:uid="{00000000-0005-0000-0000-0000E0160000}"/>
    <cellStyle name="20% - Énfasis4 18 2" xfId="5854" xr:uid="{00000000-0005-0000-0000-0000E1160000}"/>
    <cellStyle name="20% - Énfasis4 18 2 2" xfId="5855" xr:uid="{00000000-0005-0000-0000-0000E2160000}"/>
    <cellStyle name="20% - Énfasis4 18 2 2 2" xfId="5856" xr:uid="{00000000-0005-0000-0000-0000E3160000}"/>
    <cellStyle name="20% - Énfasis4 18 2 2 2 2" xfId="5857" xr:uid="{00000000-0005-0000-0000-0000E4160000}"/>
    <cellStyle name="20% - Énfasis4 18 2 2 3" xfId="5858" xr:uid="{00000000-0005-0000-0000-0000E5160000}"/>
    <cellStyle name="20% - Énfasis4 18 2 3" xfId="5859" xr:uid="{00000000-0005-0000-0000-0000E6160000}"/>
    <cellStyle name="20% - Énfasis4 18 2 3 2" xfId="5860" xr:uid="{00000000-0005-0000-0000-0000E7160000}"/>
    <cellStyle name="20% - Énfasis4 18 2 3 2 2" xfId="5861" xr:uid="{00000000-0005-0000-0000-0000E8160000}"/>
    <cellStyle name="20% - Énfasis4 18 2 3 3" xfId="5862" xr:uid="{00000000-0005-0000-0000-0000E9160000}"/>
    <cellStyle name="20% - Énfasis4 18 2 4" xfId="5863" xr:uid="{00000000-0005-0000-0000-0000EA160000}"/>
    <cellStyle name="20% - Énfasis4 18 2 4 2" xfId="5864" xr:uid="{00000000-0005-0000-0000-0000EB160000}"/>
    <cellStyle name="20% - Énfasis4 18 2 5" xfId="5865" xr:uid="{00000000-0005-0000-0000-0000EC160000}"/>
    <cellStyle name="20% - Énfasis4 18 3" xfId="5866" xr:uid="{00000000-0005-0000-0000-0000ED160000}"/>
    <cellStyle name="20% - Énfasis4 18 3 2" xfId="5867" xr:uid="{00000000-0005-0000-0000-0000EE160000}"/>
    <cellStyle name="20% - Énfasis4 18 3 2 2" xfId="5868" xr:uid="{00000000-0005-0000-0000-0000EF160000}"/>
    <cellStyle name="20% - Énfasis4 18 3 2 2 2" xfId="5869" xr:uid="{00000000-0005-0000-0000-0000F0160000}"/>
    <cellStyle name="20% - Énfasis4 18 3 2 3" xfId="5870" xr:uid="{00000000-0005-0000-0000-0000F1160000}"/>
    <cellStyle name="20% - Énfasis4 18 3 3" xfId="5871" xr:uid="{00000000-0005-0000-0000-0000F2160000}"/>
    <cellStyle name="20% - Énfasis4 18 3 3 2" xfId="5872" xr:uid="{00000000-0005-0000-0000-0000F3160000}"/>
    <cellStyle name="20% - Énfasis4 18 3 4" xfId="5873" xr:uid="{00000000-0005-0000-0000-0000F4160000}"/>
    <cellStyle name="20% - Énfasis4 18 4" xfId="5874" xr:uid="{00000000-0005-0000-0000-0000F5160000}"/>
    <cellStyle name="20% - Énfasis4 18 4 2" xfId="5875" xr:uid="{00000000-0005-0000-0000-0000F6160000}"/>
    <cellStyle name="20% - Énfasis4 18 4 2 2" xfId="5876" xr:uid="{00000000-0005-0000-0000-0000F7160000}"/>
    <cellStyle name="20% - Énfasis4 18 4 3" xfId="5877" xr:uid="{00000000-0005-0000-0000-0000F8160000}"/>
    <cellStyle name="20% - Énfasis4 18 5" xfId="5878" xr:uid="{00000000-0005-0000-0000-0000F9160000}"/>
    <cellStyle name="20% - Énfasis4 18 5 2" xfId="5879" xr:uid="{00000000-0005-0000-0000-0000FA160000}"/>
    <cellStyle name="20% - Énfasis4 18 5 2 2" xfId="5880" xr:uid="{00000000-0005-0000-0000-0000FB160000}"/>
    <cellStyle name="20% - Énfasis4 18 5 3" xfId="5881" xr:uid="{00000000-0005-0000-0000-0000FC160000}"/>
    <cellStyle name="20% - Énfasis4 18 6" xfId="5882" xr:uid="{00000000-0005-0000-0000-0000FD160000}"/>
    <cellStyle name="20% - Énfasis4 18 6 2" xfId="5883" xr:uid="{00000000-0005-0000-0000-0000FE160000}"/>
    <cellStyle name="20% - Énfasis4 18 7" xfId="5884" xr:uid="{00000000-0005-0000-0000-0000FF160000}"/>
    <cellStyle name="20% - Énfasis4 19" xfId="5885" xr:uid="{00000000-0005-0000-0000-000000170000}"/>
    <cellStyle name="20% - Énfasis4 19 2" xfId="5886" xr:uid="{00000000-0005-0000-0000-000001170000}"/>
    <cellStyle name="20% - Énfasis4 19 2 2" xfId="5887" xr:uid="{00000000-0005-0000-0000-000002170000}"/>
    <cellStyle name="20% - Énfasis4 19 2 2 2" xfId="5888" xr:uid="{00000000-0005-0000-0000-000003170000}"/>
    <cellStyle name="20% - Énfasis4 19 2 2 2 2" xfId="5889" xr:uid="{00000000-0005-0000-0000-000004170000}"/>
    <cellStyle name="20% - Énfasis4 19 2 2 3" xfId="5890" xr:uid="{00000000-0005-0000-0000-000005170000}"/>
    <cellStyle name="20% - Énfasis4 19 2 3" xfId="5891" xr:uid="{00000000-0005-0000-0000-000006170000}"/>
    <cellStyle name="20% - Énfasis4 19 2 3 2" xfId="5892" xr:uid="{00000000-0005-0000-0000-000007170000}"/>
    <cellStyle name="20% - Énfasis4 19 2 3 2 2" xfId="5893" xr:uid="{00000000-0005-0000-0000-000008170000}"/>
    <cellStyle name="20% - Énfasis4 19 2 3 3" xfId="5894" xr:uid="{00000000-0005-0000-0000-000009170000}"/>
    <cellStyle name="20% - Énfasis4 19 2 4" xfId="5895" xr:uid="{00000000-0005-0000-0000-00000A170000}"/>
    <cellStyle name="20% - Énfasis4 19 2 4 2" xfId="5896" xr:uid="{00000000-0005-0000-0000-00000B170000}"/>
    <cellStyle name="20% - Énfasis4 19 2 5" xfId="5897" xr:uid="{00000000-0005-0000-0000-00000C170000}"/>
    <cellStyle name="20% - Énfasis4 19 3" xfId="5898" xr:uid="{00000000-0005-0000-0000-00000D170000}"/>
    <cellStyle name="20% - Énfasis4 19 3 2" xfId="5899" xr:uid="{00000000-0005-0000-0000-00000E170000}"/>
    <cellStyle name="20% - Énfasis4 19 3 2 2" xfId="5900" xr:uid="{00000000-0005-0000-0000-00000F170000}"/>
    <cellStyle name="20% - Énfasis4 19 3 2 2 2" xfId="5901" xr:uid="{00000000-0005-0000-0000-000010170000}"/>
    <cellStyle name="20% - Énfasis4 19 3 2 3" xfId="5902" xr:uid="{00000000-0005-0000-0000-000011170000}"/>
    <cellStyle name="20% - Énfasis4 19 3 3" xfId="5903" xr:uid="{00000000-0005-0000-0000-000012170000}"/>
    <cellStyle name="20% - Énfasis4 19 3 3 2" xfId="5904" xr:uid="{00000000-0005-0000-0000-000013170000}"/>
    <cellStyle name="20% - Énfasis4 19 3 4" xfId="5905" xr:uid="{00000000-0005-0000-0000-000014170000}"/>
    <cellStyle name="20% - Énfasis4 19 4" xfId="5906" xr:uid="{00000000-0005-0000-0000-000015170000}"/>
    <cellStyle name="20% - Énfasis4 19 4 2" xfId="5907" xr:uid="{00000000-0005-0000-0000-000016170000}"/>
    <cellStyle name="20% - Énfasis4 19 4 2 2" xfId="5908" xr:uid="{00000000-0005-0000-0000-000017170000}"/>
    <cellStyle name="20% - Énfasis4 19 4 3" xfId="5909" xr:uid="{00000000-0005-0000-0000-000018170000}"/>
    <cellStyle name="20% - Énfasis4 19 5" xfId="5910" xr:uid="{00000000-0005-0000-0000-000019170000}"/>
    <cellStyle name="20% - Énfasis4 19 5 2" xfId="5911" xr:uid="{00000000-0005-0000-0000-00001A170000}"/>
    <cellStyle name="20% - Énfasis4 19 5 2 2" xfId="5912" xr:uid="{00000000-0005-0000-0000-00001B170000}"/>
    <cellStyle name="20% - Énfasis4 19 5 3" xfId="5913" xr:uid="{00000000-0005-0000-0000-00001C170000}"/>
    <cellStyle name="20% - Énfasis4 19 6" xfId="5914" xr:uid="{00000000-0005-0000-0000-00001D170000}"/>
    <cellStyle name="20% - Énfasis4 19 6 2" xfId="5915" xr:uid="{00000000-0005-0000-0000-00001E170000}"/>
    <cellStyle name="20% - Énfasis4 19 7" xfId="5916" xr:uid="{00000000-0005-0000-0000-00001F170000}"/>
    <cellStyle name="20% - Énfasis4 2" xfId="5917" xr:uid="{00000000-0005-0000-0000-000020170000}"/>
    <cellStyle name="20% - Énfasis4 2 10" xfId="5918" xr:uid="{00000000-0005-0000-0000-000021170000}"/>
    <cellStyle name="20% - Énfasis4 2 10 2" xfId="5919" xr:uid="{00000000-0005-0000-0000-000022170000}"/>
    <cellStyle name="20% - Énfasis4 2 11" xfId="5920" xr:uid="{00000000-0005-0000-0000-000023170000}"/>
    <cellStyle name="20% - Énfasis4 2 11 2" xfId="5921" xr:uid="{00000000-0005-0000-0000-000024170000}"/>
    <cellStyle name="20% - Énfasis4 2 12" xfId="5922" xr:uid="{00000000-0005-0000-0000-000025170000}"/>
    <cellStyle name="20% - Énfasis4 2 2" xfId="5923" xr:uid="{00000000-0005-0000-0000-000026170000}"/>
    <cellStyle name="20% - Énfasis4 2 2 2" xfId="5924" xr:uid="{00000000-0005-0000-0000-000027170000}"/>
    <cellStyle name="20% - Énfasis4 2 2 2 2" xfId="5925" xr:uid="{00000000-0005-0000-0000-000028170000}"/>
    <cellStyle name="20% - Énfasis4 2 2 2 2 2" xfId="5926" xr:uid="{00000000-0005-0000-0000-000029170000}"/>
    <cellStyle name="20% - Énfasis4 2 2 2 2 2 2" xfId="5927" xr:uid="{00000000-0005-0000-0000-00002A170000}"/>
    <cellStyle name="20% - Énfasis4 2 2 2 2 2 2 2" xfId="5928" xr:uid="{00000000-0005-0000-0000-00002B170000}"/>
    <cellStyle name="20% - Énfasis4 2 2 2 2 2 2 2 2" xfId="5929" xr:uid="{00000000-0005-0000-0000-00002C170000}"/>
    <cellStyle name="20% - Énfasis4 2 2 2 2 2 2 3" xfId="5930" xr:uid="{00000000-0005-0000-0000-00002D170000}"/>
    <cellStyle name="20% - Énfasis4 2 2 2 2 2 3" xfId="5931" xr:uid="{00000000-0005-0000-0000-00002E170000}"/>
    <cellStyle name="20% - Énfasis4 2 2 2 2 2 3 2" xfId="5932" xr:uid="{00000000-0005-0000-0000-00002F170000}"/>
    <cellStyle name="20% - Énfasis4 2 2 2 2 2 4" xfId="5933" xr:uid="{00000000-0005-0000-0000-000030170000}"/>
    <cellStyle name="20% - Énfasis4 2 2 2 2 3" xfId="5934" xr:uid="{00000000-0005-0000-0000-000031170000}"/>
    <cellStyle name="20% - Énfasis4 2 2 2 2 3 2" xfId="5935" xr:uid="{00000000-0005-0000-0000-000032170000}"/>
    <cellStyle name="20% - Énfasis4 2 2 2 2 3 2 2" xfId="5936" xr:uid="{00000000-0005-0000-0000-000033170000}"/>
    <cellStyle name="20% - Énfasis4 2 2 2 2 3 3" xfId="5937" xr:uid="{00000000-0005-0000-0000-000034170000}"/>
    <cellStyle name="20% - Énfasis4 2 2 2 2 4" xfId="5938" xr:uid="{00000000-0005-0000-0000-000035170000}"/>
    <cellStyle name="20% - Énfasis4 2 2 2 2 4 2" xfId="5939" xr:uid="{00000000-0005-0000-0000-000036170000}"/>
    <cellStyle name="20% - Énfasis4 2 2 2 2 4 2 2" xfId="5940" xr:uid="{00000000-0005-0000-0000-000037170000}"/>
    <cellStyle name="20% - Énfasis4 2 2 2 2 4 3" xfId="5941" xr:uid="{00000000-0005-0000-0000-000038170000}"/>
    <cellStyle name="20% - Énfasis4 2 2 2 2 5" xfId="5942" xr:uid="{00000000-0005-0000-0000-000039170000}"/>
    <cellStyle name="20% - Énfasis4 2 2 2 2 5 2" xfId="5943" xr:uid="{00000000-0005-0000-0000-00003A170000}"/>
    <cellStyle name="20% - Énfasis4 2 2 2 2 6" xfId="5944" xr:uid="{00000000-0005-0000-0000-00003B170000}"/>
    <cellStyle name="20% - Énfasis4 2 2 2 3" xfId="5945" xr:uid="{00000000-0005-0000-0000-00003C170000}"/>
    <cellStyle name="20% - Énfasis4 2 2 2 3 2" xfId="5946" xr:uid="{00000000-0005-0000-0000-00003D170000}"/>
    <cellStyle name="20% - Énfasis4 2 2 2 3 2 2" xfId="5947" xr:uid="{00000000-0005-0000-0000-00003E170000}"/>
    <cellStyle name="20% - Énfasis4 2 2 2 3 2 2 2" xfId="5948" xr:uid="{00000000-0005-0000-0000-00003F170000}"/>
    <cellStyle name="20% - Énfasis4 2 2 2 3 2 3" xfId="5949" xr:uid="{00000000-0005-0000-0000-000040170000}"/>
    <cellStyle name="20% - Énfasis4 2 2 2 3 3" xfId="5950" xr:uid="{00000000-0005-0000-0000-000041170000}"/>
    <cellStyle name="20% - Énfasis4 2 2 2 3 3 2" xfId="5951" xr:uid="{00000000-0005-0000-0000-000042170000}"/>
    <cellStyle name="20% - Énfasis4 2 2 2 3 4" xfId="5952" xr:uid="{00000000-0005-0000-0000-000043170000}"/>
    <cellStyle name="20% - Énfasis4 2 2 2 4" xfId="5953" xr:uid="{00000000-0005-0000-0000-000044170000}"/>
    <cellStyle name="20% - Énfasis4 2 2 2 4 2" xfId="5954" xr:uid="{00000000-0005-0000-0000-000045170000}"/>
    <cellStyle name="20% - Énfasis4 2 2 2 4 2 2" xfId="5955" xr:uid="{00000000-0005-0000-0000-000046170000}"/>
    <cellStyle name="20% - Énfasis4 2 2 2 4 3" xfId="5956" xr:uid="{00000000-0005-0000-0000-000047170000}"/>
    <cellStyle name="20% - Énfasis4 2 2 2 5" xfId="5957" xr:uid="{00000000-0005-0000-0000-000048170000}"/>
    <cellStyle name="20% - Énfasis4 2 2 2 5 2" xfId="5958" xr:uid="{00000000-0005-0000-0000-000049170000}"/>
    <cellStyle name="20% - Énfasis4 2 2 2 5 2 2" xfId="5959" xr:uid="{00000000-0005-0000-0000-00004A170000}"/>
    <cellStyle name="20% - Énfasis4 2 2 2 5 3" xfId="5960" xr:uid="{00000000-0005-0000-0000-00004B170000}"/>
    <cellStyle name="20% - Énfasis4 2 2 2 6" xfId="5961" xr:uid="{00000000-0005-0000-0000-00004C170000}"/>
    <cellStyle name="20% - Énfasis4 2 2 2 6 2" xfId="5962" xr:uid="{00000000-0005-0000-0000-00004D170000}"/>
    <cellStyle name="20% - Énfasis4 2 2 2 7" xfId="5963" xr:uid="{00000000-0005-0000-0000-00004E170000}"/>
    <cellStyle name="20% - Énfasis4 2 2 3" xfId="5964" xr:uid="{00000000-0005-0000-0000-00004F170000}"/>
    <cellStyle name="20% - Énfasis4 2 2 3 2" xfId="5965" xr:uid="{00000000-0005-0000-0000-000050170000}"/>
    <cellStyle name="20% - Énfasis4 2 2 3 2 2" xfId="5966" xr:uid="{00000000-0005-0000-0000-000051170000}"/>
    <cellStyle name="20% - Énfasis4 2 2 3 2 2 2" xfId="5967" xr:uid="{00000000-0005-0000-0000-000052170000}"/>
    <cellStyle name="20% - Énfasis4 2 2 3 2 2 2 2" xfId="5968" xr:uid="{00000000-0005-0000-0000-000053170000}"/>
    <cellStyle name="20% - Énfasis4 2 2 3 2 2 3" xfId="5969" xr:uid="{00000000-0005-0000-0000-000054170000}"/>
    <cellStyle name="20% - Énfasis4 2 2 3 2 3" xfId="5970" xr:uid="{00000000-0005-0000-0000-000055170000}"/>
    <cellStyle name="20% - Énfasis4 2 2 3 2 3 2" xfId="5971" xr:uid="{00000000-0005-0000-0000-000056170000}"/>
    <cellStyle name="20% - Énfasis4 2 2 3 2 4" xfId="5972" xr:uid="{00000000-0005-0000-0000-000057170000}"/>
    <cellStyle name="20% - Énfasis4 2 2 3 3" xfId="5973" xr:uid="{00000000-0005-0000-0000-000058170000}"/>
    <cellStyle name="20% - Énfasis4 2 2 3 3 2" xfId="5974" xr:uid="{00000000-0005-0000-0000-000059170000}"/>
    <cellStyle name="20% - Énfasis4 2 2 3 3 2 2" xfId="5975" xr:uid="{00000000-0005-0000-0000-00005A170000}"/>
    <cellStyle name="20% - Énfasis4 2 2 3 3 3" xfId="5976" xr:uid="{00000000-0005-0000-0000-00005B170000}"/>
    <cellStyle name="20% - Énfasis4 2 2 3 4" xfId="5977" xr:uid="{00000000-0005-0000-0000-00005C170000}"/>
    <cellStyle name="20% - Énfasis4 2 2 3 4 2" xfId="5978" xr:uid="{00000000-0005-0000-0000-00005D170000}"/>
    <cellStyle name="20% - Énfasis4 2 2 3 4 2 2" xfId="5979" xr:uid="{00000000-0005-0000-0000-00005E170000}"/>
    <cellStyle name="20% - Énfasis4 2 2 3 4 3" xfId="5980" xr:uid="{00000000-0005-0000-0000-00005F170000}"/>
    <cellStyle name="20% - Énfasis4 2 2 3 5" xfId="5981" xr:uid="{00000000-0005-0000-0000-000060170000}"/>
    <cellStyle name="20% - Énfasis4 2 2 3 5 2" xfId="5982" xr:uid="{00000000-0005-0000-0000-000061170000}"/>
    <cellStyle name="20% - Énfasis4 2 2 3 6" xfId="5983" xr:uid="{00000000-0005-0000-0000-000062170000}"/>
    <cellStyle name="20% - Énfasis4 2 2 4" xfId="5984" xr:uid="{00000000-0005-0000-0000-000063170000}"/>
    <cellStyle name="20% - Énfasis4 2 2 4 2" xfId="5985" xr:uid="{00000000-0005-0000-0000-000064170000}"/>
    <cellStyle name="20% - Énfasis4 2 2 4 2 2" xfId="5986" xr:uid="{00000000-0005-0000-0000-000065170000}"/>
    <cellStyle name="20% - Énfasis4 2 2 4 2 2 2" xfId="5987" xr:uid="{00000000-0005-0000-0000-000066170000}"/>
    <cellStyle name="20% - Énfasis4 2 2 4 2 3" xfId="5988" xr:uid="{00000000-0005-0000-0000-000067170000}"/>
    <cellStyle name="20% - Énfasis4 2 2 4 3" xfId="5989" xr:uid="{00000000-0005-0000-0000-000068170000}"/>
    <cellStyle name="20% - Énfasis4 2 2 4 3 2" xfId="5990" xr:uid="{00000000-0005-0000-0000-000069170000}"/>
    <cellStyle name="20% - Énfasis4 2 2 4 3 2 2" xfId="5991" xr:uid="{00000000-0005-0000-0000-00006A170000}"/>
    <cellStyle name="20% - Énfasis4 2 2 4 3 3" xfId="5992" xr:uid="{00000000-0005-0000-0000-00006B170000}"/>
    <cellStyle name="20% - Énfasis4 2 2 4 4" xfId="5993" xr:uid="{00000000-0005-0000-0000-00006C170000}"/>
    <cellStyle name="20% - Énfasis4 2 2 4 4 2" xfId="5994" xr:uid="{00000000-0005-0000-0000-00006D170000}"/>
    <cellStyle name="20% - Énfasis4 2 2 4 5" xfId="5995" xr:uid="{00000000-0005-0000-0000-00006E170000}"/>
    <cellStyle name="20% - Énfasis4 2 2 5" xfId="5996" xr:uid="{00000000-0005-0000-0000-00006F170000}"/>
    <cellStyle name="20% - Énfasis4 2 2 5 2" xfId="5997" xr:uid="{00000000-0005-0000-0000-000070170000}"/>
    <cellStyle name="20% - Énfasis4 2 2 5 2 2" xfId="5998" xr:uid="{00000000-0005-0000-0000-000071170000}"/>
    <cellStyle name="20% - Énfasis4 2 2 5 2 2 2" xfId="5999" xr:uid="{00000000-0005-0000-0000-000072170000}"/>
    <cellStyle name="20% - Énfasis4 2 2 5 2 3" xfId="6000" xr:uid="{00000000-0005-0000-0000-000073170000}"/>
    <cellStyle name="20% - Énfasis4 2 2 5 3" xfId="6001" xr:uid="{00000000-0005-0000-0000-000074170000}"/>
    <cellStyle name="20% - Énfasis4 2 2 5 3 2" xfId="6002" xr:uid="{00000000-0005-0000-0000-000075170000}"/>
    <cellStyle name="20% - Énfasis4 2 2 5 4" xfId="6003" xr:uid="{00000000-0005-0000-0000-000076170000}"/>
    <cellStyle name="20% - Énfasis4 2 2 6" xfId="6004" xr:uid="{00000000-0005-0000-0000-000077170000}"/>
    <cellStyle name="20% - Énfasis4 2 2 6 2" xfId="6005" xr:uid="{00000000-0005-0000-0000-000078170000}"/>
    <cellStyle name="20% - Énfasis4 2 2 6 2 2" xfId="6006" xr:uid="{00000000-0005-0000-0000-000079170000}"/>
    <cellStyle name="20% - Énfasis4 2 2 6 3" xfId="6007" xr:uid="{00000000-0005-0000-0000-00007A170000}"/>
    <cellStyle name="20% - Énfasis4 2 2 7" xfId="6008" xr:uid="{00000000-0005-0000-0000-00007B170000}"/>
    <cellStyle name="20% - Énfasis4 2 2 7 2" xfId="6009" xr:uid="{00000000-0005-0000-0000-00007C170000}"/>
    <cellStyle name="20% - Énfasis4 2 2 7 2 2" xfId="6010" xr:uid="{00000000-0005-0000-0000-00007D170000}"/>
    <cellStyle name="20% - Énfasis4 2 2 7 3" xfId="6011" xr:uid="{00000000-0005-0000-0000-00007E170000}"/>
    <cellStyle name="20% - Énfasis4 2 2 8" xfId="6012" xr:uid="{00000000-0005-0000-0000-00007F170000}"/>
    <cellStyle name="20% - Énfasis4 2 2 8 2" xfId="6013" xr:uid="{00000000-0005-0000-0000-000080170000}"/>
    <cellStyle name="20% - Énfasis4 2 2 9" xfId="6014" xr:uid="{00000000-0005-0000-0000-000081170000}"/>
    <cellStyle name="20% - Énfasis4 2 3" xfId="6015" xr:uid="{00000000-0005-0000-0000-000082170000}"/>
    <cellStyle name="20% - Énfasis4 2 3 2" xfId="6016" xr:uid="{00000000-0005-0000-0000-000083170000}"/>
    <cellStyle name="20% - Énfasis4 2 3 2 2" xfId="6017" xr:uid="{00000000-0005-0000-0000-000084170000}"/>
    <cellStyle name="20% - Énfasis4 2 3 2 2 2" xfId="6018" xr:uid="{00000000-0005-0000-0000-000085170000}"/>
    <cellStyle name="20% - Énfasis4 2 3 2 2 2 2" xfId="6019" xr:uid="{00000000-0005-0000-0000-000086170000}"/>
    <cellStyle name="20% - Énfasis4 2 3 2 2 2 2 2" xfId="6020" xr:uid="{00000000-0005-0000-0000-000087170000}"/>
    <cellStyle name="20% - Énfasis4 2 3 2 2 2 3" xfId="6021" xr:uid="{00000000-0005-0000-0000-000088170000}"/>
    <cellStyle name="20% - Énfasis4 2 3 2 2 3" xfId="6022" xr:uid="{00000000-0005-0000-0000-000089170000}"/>
    <cellStyle name="20% - Énfasis4 2 3 2 2 3 2" xfId="6023" xr:uid="{00000000-0005-0000-0000-00008A170000}"/>
    <cellStyle name="20% - Énfasis4 2 3 2 2 4" xfId="6024" xr:uid="{00000000-0005-0000-0000-00008B170000}"/>
    <cellStyle name="20% - Énfasis4 2 3 2 3" xfId="6025" xr:uid="{00000000-0005-0000-0000-00008C170000}"/>
    <cellStyle name="20% - Énfasis4 2 3 2 3 2" xfId="6026" xr:uid="{00000000-0005-0000-0000-00008D170000}"/>
    <cellStyle name="20% - Énfasis4 2 3 2 3 2 2" xfId="6027" xr:uid="{00000000-0005-0000-0000-00008E170000}"/>
    <cellStyle name="20% - Énfasis4 2 3 2 3 3" xfId="6028" xr:uid="{00000000-0005-0000-0000-00008F170000}"/>
    <cellStyle name="20% - Énfasis4 2 3 2 4" xfId="6029" xr:uid="{00000000-0005-0000-0000-000090170000}"/>
    <cellStyle name="20% - Énfasis4 2 3 2 4 2" xfId="6030" xr:uid="{00000000-0005-0000-0000-000091170000}"/>
    <cellStyle name="20% - Énfasis4 2 3 2 4 2 2" xfId="6031" xr:uid="{00000000-0005-0000-0000-000092170000}"/>
    <cellStyle name="20% - Énfasis4 2 3 2 4 3" xfId="6032" xr:uid="{00000000-0005-0000-0000-000093170000}"/>
    <cellStyle name="20% - Énfasis4 2 3 2 5" xfId="6033" xr:uid="{00000000-0005-0000-0000-000094170000}"/>
    <cellStyle name="20% - Énfasis4 2 3 2 5 2" xfId="6034" xr:uid="{00000000-0005-0000-0000-000095170000}"/>
    <cellStyle name="20% - Énfasis4 2 3 2 6" xfId="6035" xr:uid="{00000000-0005-0000-0000-000096170000}"/>
    <cellStyle name="20% - Énfasis4 2 3 3" xfId="6036" xr:uid="{00000000-0005-0000-0000-000097170000}"/>
    <cellStyle name="20% - Énfasis4 2 3 3 2" xfId="6037" xr:uid="{00000000-0005-0000-0000-000098170000}"/>
    <cellStyle name="20% - Énfasis4 2 3 3 2 2" xfId="6038" xr:uid="{00000000-0005-0000-0000-000099170000}"/>
    <cellStyle name="20% - Énfasis4 2 3 3 2 2 2" xfId="6039" xr:uid="{00000000-0005-0000-0000-00009A170000}"/>
    <cellStyle name="20% - Énfasis4 2 3 3 2 3" xfId="6040" xr:uid="{00000000-0005-0000-0000-00009B170000}"/>
    <cellStyle name="20% - Énfasis4 2 3 3 3" xfId="6041" xr:uid="{00000000-0005-0000-0000-00009C170000}"/>
    <cellStyle name="20% - Énfasis4 2 3 3 3 2" xfId="6042" xr:uid="{00000000-0005-0000-0000-00009D170000}"/>
    <cellStyle name="20% - Énfasis4 2 3 3 3 2 2" xfId="6043" xr:uid="{00000000-0005-0000-0000-00009E170000}"/>
    <cellStyle name="20% - Énfasis4 2 3 3 3 3" xfId="6044" xr:uid="{00000000-0005-0000-0000-00009F170000}"/>
    <cellStyle name="20% - Énfasis4 2 3 3 4" xfId="6045" xr:uid="{00000000-0005-0000-0000-0000A0170000}"/>
    <cellStyle name="20% - Énfasis4 2 3 3 4 2" xfId="6046" xr:uid="{00000000-0005-0000-0000-0000A1170000}"/>
    <cellStyle name="20% - Énfasis4 2 3 3 5" xfId="6047" xr:uid="{00000000-0005-0000-0000-0000A2170000}"/>
    <cellStyle name="20% - Énfasis4 2 3 4" xfId="6048" xr:uid="{00000000-0005-0000-0000-0000A3170000}"/>
    <cellStyle name="20% - Énfasis4 2 3 4 2" xfId="6049" xr:uid="{00000000-0005-0000-0000-0000A4170000}"/>
    <cellStyle name="20% - Énfasis4 2 3 4 2 2" xfId="6050" xr:uid="{00000000-0005-0000-0000-0000A5170000}"/>
    <cellStyle name="20% - Énfasis4 2 3 4 2 2 2" xfId="6051" xr:uid="{00000000-0005-0000-0000-0000A6170000}"/>
    <cellStyle name="20% - Énfasis4 2 3 4 2 3" xfId="6052" xr:uid="{00000000-0005-0000-0000-0000A7170000}"/>
    <cellStyle name="20% - Énfasis4 2 3 4 3" xfId="6053" xr:uid="{00000000-0005-0000-0000-0000A8170000}"/>
    <cellStyle name="20% - Énfasis4 2 3 4 3 2" xfId="6054" xr:uid="{00000000-0005-0000-0000-0000A9170000}"/>
    <cellStyle name="20% - Énfasis4 2 3 4 3 2 2" xfId="6055" xr:uid="{00000000-0005-0000-0000-0000AA170000}"/>
    <cellStyle name="20% - Énfasis4 2 3 4 3 3" xfId="6056" xr:uid="{00000000-0005-0000-0000-0000AB170000}"/>
    <cellStyle name="20% - Énfasis4 2 3 4 4" xfId="6057" xr:uid="{00000000-0005-0000-0000-0000AC170000}"/>
    <cellStyle name="20% - Énfasis4 2 3 4 4 2" xfId="6058" xr:uid="{00000000-0005-0000-0000-0000AD170000}"/>
    <cellStyle name="20% - Énfasis4 2 3 4 5" xfId="6059" xr:uid="{00000000-0005-0000-0000-0000AE170000}"/>
    <cellStyle name="20% - Énfasis4 2 3 5" xfId="6060" xr:uid="{00000000-0005-0000-0000-0000AF170000}"/>
    <cellStyle name="20% - Énfasis4 2 3 5 2" xfId="6061" xr:uid="{00000000-0005-0000-0000-0000B0170000}"/>
    <cellStyle name="20% - Énfasis4 2 3 5 2 2" xfId="6062" xr:uid="{00000000-0005-0000-0000-0000B1170000}"/>
    <cellStyle name="20% - Énfasis4 2 3 5 2 2 2" xfId="6063" xr:uid="{00000000-0005-0000-0000-0000B2170000}"/>
    <cellStyle name="20% - Énfasis4 2 3 5 2 3" xfId="6064" xr:uid="{00000000-0005-0000-0000-0000B3170000}"/>
    <cellStyle name="20% - Énfasis4 2 3 5 3" xfId="6065" xr:uid="{00000000-0005-0000-0000-0000B4170000}"/>
    <cellStyle name="20% - Énfasis4 2 3 5 3 2" xfId="6066" xr:uid="{00000000-0005-0000-0000-0000B5170000}"/>
    <cellStyle name="20% - Énfasis4 2 3 5 4" xfId="6067" xr:uid="{00000000-0005-0000-0000-0000B6170000}"/>
    <cellStyle name="20% - Énfasis4 2 3 6" xfId="6068" xr:uid="{00000000-0005-0000-0000-0000B7170000}"/>
    <cellStyle name="20% - Énfasis4 2 3 6 2" xfId="6069" xr:uid="{00000000-0005-0000-0000-0000B8170000}"/>
    <cellStyle name="20% - Énfasis4 2 3 6 2 2" xfId="6070" xr:uid="{00000000-0005-0000-0000-0000B9170000}"/>
    <cellStyle name="20% - Énfasis4 2 3 6 3" xfId="6071" xr:uid="{00000000-0005-0000-0000-0000BA170000}"/>
    <cellStyle name="20% - Énfasis4 2 3 7" xfId="6072" xr:uid="{00000000-0005-0000-0000-0000BB170000}"/>
    <cellStyle name="20% - Énfasis4 2 3 7 2" xfId="6073" xr:uid="{00000000-0005-0000-0000-0000BC170000}"/>
    <cellStyle name="20% - Énfasis4 2 3 7 2 2" xfId="6074" xr:uid="{00000000-0005-0000-0000-0000BD170000}"/>
    <cellStyle name="20% - Énfasis4 2 3 7 3" xfId="6075" xr:uid="{00000000-0005-0000-0000-0000BE170000}"/>
    <cellStyle name="20% - Énfasis4 2 3 8" xfId="6076" xr:uid="{00000000-0005-0000-0000-0000BF170000}"/>
    <cellStyle name="20% - Énfasis4 2 3 8 2" xfId="6077" xr:uid="{00000000-0005-0000-0000-0000C0170000}"/>
    <cellStyle name="20% - Énfasis4 2 3 9" xfId="6078" xr:uid="{00000000-0005-0000-0000-0000C1170000}"/>
    <cellStyle name="20% - Énfasis4 2 4" xfId="6079" xr:uid="{00000000-0005-0000-0000-0000C2170000}"/>
    <cellStyle name="20% - Énfasis4 2 4 2" xfId="6080" xr:uid="{00000000-0005-0000-0000-0000C3170000}"/>
    <cellStyle name="20% - Énfasis4 2 4 2 2" xfId="6081" xr:uid="{00000000-0005-0000-0000-0000C4170000}"/>
    <cellStyle name="20% - Énfasis4 2 4 2 2 2" xfId="6082" xr:uid="{00000000-0005-0000-0000-0000C5170000}"/>
    <cellStyle name="20% - Énfasis4 2 4 2 2 2 2" xfId="6083" xr:uid="{00000000-0005-0000-0000-0000C6170000}"/>
    <cellStyle name="20% - Énfasis4 2 4 2 2 3" xfId="6084" xr:uid="{00000000-0005-0000-0000-0000C7170000}"/>
    <cellStyle name="20% - Énfasis4 2 4 2 3" xfId="6085" xr:uid="{00000000-0005-0000-0000-0000C8170000}"/>
    <cellStyle name="20% - Énfasis4 2 4 2 3 2" xfId="6086" xr:uid="{00000000-0005-0000-0000-0000C9170000}"/>
    <cellStyle name="20% - Énfasis4 2 4 2 4" xfId="6087" xr:uid="{00000000-0005-0000-0000-0000CA170000}"/>
    <cellStyle name="20% - Énfasis4 2 4 3" xfId="6088" xr:uid="{00000000-0005-0000-0000-0000CB170000}"/>
    <cellStyle name="20% - Énfasis4 2 4 3 2" xfId="6089" xr:uid="{00000000-0005-0000-0000-0000CC170000}"/>
    <cellStyle name="20% - Énfasis4 2 4 3 2 2" xfId="6090" xr:uid="{00000000-0005-0000-0000-0000CD170000}"/>
    <cellStyle name="20% - Énfasis4 2 4 3 3" xfId="6091" xr:uid="{00000000-0005-0000-0000-0000CE170000}"/>
    <cellStyle name="20% - Énfasis4 2 4 4" xfId="6092" xr:uid="{00000000-0005-0000-0000-0000CF170000}"/>
    <cellStyle name="20% - Énfasis4 2 4 4 2" xfId="6093" xr:uid="{00000000-0005-0000-0000-0000D0170000}"/>
    <cellStyle name="20% - Énfasis4 2 4 4 2 2" xfId="6094" xr:uid="{00000000-0005-0000-0000-0000D1170000}"/>
    <cellStyle name="20% - Énfasis4 2 4 4 3" xfId="6095" xr:uid="{00000000-0005-0000-0000-0000D2170000}"/>
    <cellStyle name="20% - Énfasis4 2 4 5" xfId="6096" xr:uid="{00000000-0005-0000-0000-0000D3170000}"/>
    <cellStyle name="20% - Énfasis4 2 4 5 2" xfId="6097" xr:uid="{00000000-0005-0000-0000-0000D4170000}"/>
    <cellStyle name="20% - Énfasis4 2 4 6" xfId="6098" xr:uid="{00000000-0005-0000-0000-0000D5170000}"/>
    <cellStyle name="20% - Énfasis4 2 5" xfId="6099" xr:uid="{00000000-0005-0000-0000-0000D6170000}"/>
    <cellStyle name="20% - Énfasis4 2 5 2" xfId="6100" xr:uid="{00000000-0005-0000-0000-0000D7170000}"/>
    <cellStyle name="20% - Énfasis4 2 5 2 2" xfId="6101" xr:uid="{00000000-0005-0000-0000-0000D8170000}"/>
    <cellStyle name="20% - Énfasis4 2 5 2 2 2" xfId="6102" xr:uid="{00000000-0005-0000-0000-0000D9170000}"/>
    <cellStyle name="20% - Énfasis4 2 5 2 3" xfId="6103" xr:uid="{00000000-0005-0000-0000-0000DA170000}"/>
    <cellStyle name="20% - Énfasis4 2 5 3" xfId="6104" xr:uid="{00000000-0005-0000-0000-0000DB170000}"/>
    <cellStyle name="20% - Énfasis4 2 5 3 2" xfId="6105" xr:uid="{00000000-0005-0000-0000-0000DC170000}"/>
    <cellStyle name="20% - Énfasis4 2 5 3 2 2" xfId="6106" xr:uid="{00000000-0005-0000-0000-0000DD170000}"/>
    <cellStyle name="20% - Énfasis4 2 5 3 3" xfId="6107" xr:uid="{00000000-0005-0000-0000-0000DE170000}"/>
    <cellStyle name="20% - Énfasis4 2 5 4" xfId="6108" xr:uid="{00000000-0005-0000-0000-0000DF170000}"/>
    <cellStyle name="20% - Énfasis4 2 5 4 2" xfId="6109" xr:uid="{00000000-0005-0000-0000-0000E0170000}"/>
    <cellStyle name="20% - Énfasis4 2 5 5" xfId="6110" xr:uid="{00000000-0005-0000-0000-0000E1170000}"/>
    <cellStyle name="20% - Énfasis4 2 6" xfId="6111" xr:uid="{00000000-0005-0000-0000-0000E2170000}"/>
    <cellStyle name="20% - Énfasis4 2 6 2" xfId="6112" xr:uid="{00000000-0005-0000-0000-0000E3170000}"/>
    <cellStyle name="20% - Énfasis4 2 6 2 2" xfId="6113" xr:uid="{00000000-0005-0000-0000-0000E4170000}"/>
    <cellStyle name="20% - Énfasis4 2 6 2 2 2" xfId="6114" xr:uid="{00000000-0005-0000-0000-0000E5170000}"/>
    <cellStyle name="20% - Énfasis4 2 6 2 3" xfId="6115" xr:uid="{00000000-0005-0000-0000-0000E6170000}"/>
    <cellStyle name="20% - Énfasis4 2 6 3" xfId="6116" xr:uid="{00000000-0005-0000-0000-0000E7170000}"/>
    <cellStyle name="20% - Énfasis4 2 6 3 2" xfId="6117" xr:uid="{00000000-0005-0000-0000-0000E8170000}"/>
    <cellStyle name="20% - Énfasis4 2 6 3 2 2" xfId="6118" xr:uid="{00000000-0005-0000-0000-0000E9170000}"/>
    <cellStyle name="20% - Énfasis4 2 6 3 3" xfId="6119" xr:uid="{00000000-0005-0000-0000-0000EA170000}"/>
    <cellStyle name="20% - Énfasis4 2 6 4" xfId="6120" xr:uid="{00000000-0005-0000-0000-0000EB170000}"/>
    <cellStyle name="20% - Énfasis4 2 6 4 2" xfId="6121" xr:uid="{00000000-0005-0000-0000-0000EC170000}"/>
    <cellStyle name="20% - Énfasis4 2 6 5" xfId="6122" xr:uid="{00000000-0005-0000-0000-0000ED170000}"/>
    <cellStyle name="20% - Énfasis4 2 7" xfId="6123" xr:uid="{00000000-0005-0000-0000-0000EE170000}"/>
    <cellStyle name="20% - Énfasis4 2 7 2" xfId="6124" xr:uid="{00000000-0005-0000-0000-0000EF170000}"/>
    <cellStyle name="20% - Énfasis4 2 7 2 2" xfId="6125" xr:uid="{00000000-0005-0000-0000-0000F0170000}"/>
    <cellStyle name="20% - Énfasis4 2 7 2 2 2" xfId="6126" xr:uid="{00000000-0005-0000-0000-0000F1170000}"/>
    <cellStyle name="20% - Énfasis4 2 7 2 3" xfId="6127" xr:uid="{00000000-0005-0000-0000-0000F2170000}"/>
    <cellStyle name="20% - Énfasis4 2 7 3" xfId="6128" xr:uid="{00000000-0005-0000-0000-0000F3170000}"/>
    <cellStyle name="20% - Énfasis4 2 7 3 2" xfId="6129" xr:uid="{00000000-0005-0000-0000-0000F4170000}"/>
    <cellStyle name="20% - Énfasis4 2 7 4" xfId="6130" xr:uid="{00000000-0005-0000-0000-0000F5170000}"/>
    <cellStyle name="20% - Énfasis4 2 8" xfId="6131" xr:uid="{00000000-0005-0000-0000-0000F6170000}"/>
    <cellStyle name="20% - Énfasis4 2 8 2" xfId="6132" xr:uid="{00000000-0005-0000-0000-0000F7170000}"/>
    <cellStyle name="20% - Énfasis4 2 8 2 2" xfId="6133" xr:uid="{00000000-0005-0000-0000-0000F8170000}"/>
    <cellStyle name="20% - Énfasis4 2 8 3" xfId="6134" xr:uid="{00000000-0005-0000-0000-0000F9170000}"/>
    <cellStyle name="20% - Énfasis4 2 9" xfId="6135" xr:uid="{00000000-0005-0000-0000-0000FA170000}"/>
    <cellStyle name="20% - Énfasis4 2 9 2" xfId="6136" xr:uid="{00000000-0005-0000-0000-0000FB170000}"/>
    <cellStyle name="20% - Énfasis4 2 9 2 2" xfId="6137" xr:uid="{00000000-0005-0000-0000-0000FC170000}"/>
    <cellStyle name="20% - Énfasis4 2 9 3" xfId="6138" xr:uid="{00000000-0005-0000-0000-0000FD170000}"/>
    <cellStyle name="20% - Énfasis4 20" xfId="6139" xr:uid="{00000000-0005-0000-0000-0000FE170000}"/>
    <cellStyle name="20% - Énfasis4 20 2" xfId="6140" xr:uid="{00000000-0005-0000-0000-0000FF170000}"/>
    <cellStyle name="20% - Énfasis4 20 2 2" xfId="6141" xr:uid="{00000000-0005-0000-0000-000000180000}"/>
    <cellStyle name="20% - Énfasis4 20 2 2 2" xfId="6142" xr:uid="{00000000-0005-0000-0000-000001180000}"/>
    <cellStyle name="20% - Énfasis4 20 2 2 2 2" xfId="6143" xr:uid="{00000000-0005-0000-0000-000002180000}"/>
    <cellStyle name="20% - Énfasis4 20 2 2 3" xfId="6144" xr:uid="{00000000-0005-0000-0000-000003180000}"/>
    <cellStyle name="20% - Énfasis4 20 2 3" xfId="6145" xr:uid="{00000000-0005-0000-0000-000004180000}"/>
    <cellStyle name="20% - Énfasis4 20 2 3 2" xfId="6146" xr:uid="{00000000-0005-0000-0000-000005180000}"/>
    <cellStyle name="20% - Énfasis4 20 2 3 2 2" xfId="6147" xr:uid="{00000000-0005-0000-0000-000006180000}"/>
    <cellStyle name="20% - Énfasis4 20 2 3 3" xfId="6148" xr:uid="{00000000-0005-0000-0000-000007180000}"/>
    <cellStyle name="20% - Énfasis4 20 2 4" xfId="6149" xr:uid="{00000000-0005-0000-0000-000008180000}"/>
    <cellStyle name="20% - Énfasis4 20 2 4 2" xfId="6150" xr:uid="{00000000-0005-0000-0000-000009180000}"/>
    <cellStyle name="20% - Énfasis4 20 2 5" xfId="6151" xr:uid="{00000000-0005-0000-0000-00000A180000}"/>
    <cellStyle name="20% - Énfasis4 20 3" xfId="6152" xr:uid="{00000000-0005-0000-0000-00000B180000}"/>
    <cellStyle name="20% - Énfasis4 20 3 2" xfId="6153" xr:uid="{00000000-0005-0000-0000-00000C180000}"/>
    <cellStyle name="20% - Énfasis4 20 3 2 2" xfId="6154" xr:uid="{00000000-0005-0000-0000-00000D180000}"/>
    <cellStyle name="20% - Énfasis4 20 3 2 2 2" xfId="6155" xr:uid="{00000000-0005-0000-0000-00000E180000}"/>
    <cellStyle name="20% - Énfasis4 20 3 2 3" xfId="6156" xr:uid="{00000000-0005-0000-0000-00000F180000}"/>
    <cellStyle name="20% - Énfasis4 20 3 3" xfId="6157" xr:uid="{00000000-0005-0000-0000-000010180000}"/>
    <cellStyle name="20% - Énfasis4 20 3 3 2" xfId="6158" xr:uid="{00000000-0005-0000-0000-000011180000}"/>
    <cellStyle name="20% - Énfasis4 20 3 4" xfId="6159" xr:uid="{00000000-0005-0000-0000-000012180000}"/>
    <cellStyle name="20% - Énfasis4 20 4" xfId="6160" xr:uid="{00000000-0005-0000-0000-000013180000}"/>
    <cellStyle name="20% - Énfasis4 20 4 2" xfId="6161" xr:uid="{00000000-0005-0000-0000-000014180000}"/>
    <cellStyle name="20% - Énfasis4 20 4 2 2" xfId="6162" xr:uid="{00000000-0005-0000-0000-000015180000}"/>
    <cellStyle name="20% - Énfasis4 20 4 3" xfId="6163" xr:uid="{00000000-0005-0000-0000-000016180000}"/>
    <cellStyle name="20% - Énfasis4 20 5" xfId="6164" xr:uid="{00000000-0005-0000-0000-000017180000}"/>
    <cellStyle name="20% - Énfasis4 20 5 2" xfId="6165" xr:uid="{00000000-0005-0000-0000-000018180000}"/>
    <cellStyle name="20% - Énfasis4 20 5 2 2" xfId="6166" xr:uid="{00000000-0005-0000-0000-000019180000}"/>
    <cellStyle name="20% - Énfasis4 20 5 3" xfId="6167" xr:uid="{00000000-0005-0000-0000-00001A180000}"/>
    <cellStyle name="20% - Énfasis4 20 6" xfId="6168" xr:uid="{00000000-0005-0000-0000-00001B180000}"/>
    <cellStyle name="20% - Énfasis4 20 6 2" xfId="6169" xr:uid="{00000000-0005-0000-0000-00001C180000}"/>
    <cellStyle name="20% - Énfasis4 20 7" xfId="6170" xr:uid="{00000000-0005-0000-0000-00001D180000}"/>
    <cellStyle name="20% - Énfasis4 21" xfId="6171" xr:uid="{00000000-0005-0000-0000-00001E180000}"/>
    <cellStyle name="20% - Énfasis4 21 2" xfId="6172" xr:uid="{00000000-0005-0000-0000-00001F180000}"/>
    <cellStyle name="20% - Énfasis4 21 2 2" xfId="6173" xr:uid="{00000000-0005-0000-0000-000020180000}"/>
    <cellStyle name="20% - Énfasis4 21 2 2 2" xfId="6174" xr:uid="{00000000-0005-0000-0000-000021180000}"/>
    <cellStyle name="20% - Énfasis4 21 2 2 2 2" xfId="6175" xr:uid="{00000000-0005-0000-0000-000022180000}"/>
    <cellStyle name="20% - Énfasis4 21 2 2 3" xfId="6176" xr:uid="{00000000-0005-0000-0000-000023180000}"/>
    <cellStyle name="20% - Énfasis4 21 2 3" xfId="6177" xr:uid="{00000000-0005-0000-0000-000024180000}"/>
    <cellStyle name="20% - Énfasis4 21 2 3 2" xfId="6178" xr:uid="{00000000-0005-0000-0000-000025180000}"/>
    <cellStyle name="20% - Énfasis4 21 2 3 2 2" xfId="6179" xr:uid="{00000000-0005-0000-0000-000026180000}"/>
    <cellStyle name="20% - Énfasis4 21 2 3 3" xfId="6180" xr:uid="{00000000-0005-0000-0000-000027180000}"/>
    <cellStyle name="20% - Énfasis4 21 2 4" xfId="6181" xr:uid="{00000000-0005-0000-0000-000028180000}"/>
    <cellStyle name="20% - Énfasis4 21 2 4 2" xfId="6182" xr:uid="{00000000-0005-0000-0000-000029180000}"/>
    <cellStyle name="20% - Énfasis4 21 2 5" xfId="6183" xr:uid="{00000000-0005-0000-0000-00002A180000}"/>
    <cellStyle name="20% - Énfasis4 21 3" xfId="6184" xr:uid="{00000000-0005-0000-0000-00002B180000}"/>
    <cellStyle name="20% - Énfasis4 21 3 2" xfId="6185" xr:uid="{00000000-0005-0000-0000-00002C180000}"/>
    <cellStyle name="20% - Énfasis4 21 3 2 2" xfId="6186" xr:uid="{00000000-0005-0000-0000-00002D180000}"/>
    <cellStyle name="20% - Énfasis4 21 3 2 2 2" xfId="6187" xr:uid="{00000000-0005-0000-0000-00002E180000}"/>
    <cellStyle name="20% - Énfasis4 21 3 2 3" xfId="6188" xr:uid="{00000000-0005-0000-0000-00002F180000}"/>
    <cellStyle name="20% - Énfasis4 21 3 3" xfId="6189" xr:uid="{00000000-0005-0000-0000-000030180000}"/>
    <cellStyle name="20% - Énfasis4 21 3 3 2" xfId="6190" xr:uid="{00000000-0005-0000-0000-000031180000}"/>
    <cellStyle name="20% - Énfasis4 21 3 4" xfId="6191" xr:uid="{00000000-0005-0000-0000-000032180000}"/>
    <cellStyle name="20% - Énfasis4 21 4" xfId="6192" xr:uid="{00000000-0005-0000-0000-000033180000}"/>
    <cellStyle name="20% - Énfasis4 21 4 2" xfId="6193" xr:uid="{00000000-0005-0000-0000-000034180000}"/>
    <cellStyle name="20% - Énfasis4 21 4 2 2" xfId="6194" xr:uid="{00000000-0005-0000-0000-000035180000}"/>
    <cellStyle name="20% - Énfasis4 21 4 3" xfId="6195" xr:uid="{00000000-0005-0000-0000-000036180000}"/>
    <cellStyle name="20% - Énfasis4 21 5" xfId="6196" xr:uid="{00000000-0005-0000-0000-000037180000}"/>
    <cellStyle name="20% - Énfasis4 21 5 2" xfId="6197" xr:uid="{00000000-0005-0000-0000-000038180000}"/>
    <cellStyle name="20% - Énfasis4 21 5 2 2" xfId="6198" xr:uid="{00000000-0005-0000-0000-000039180000}"/>
    <cellStyle name="20% - Énfasis4 21 5 3" xfId="6199" xr:uid="{00000000-0005-0000-0000-00003A180000}"/>
    <cellStyle name="20% - Énfasis4 21 6" xfId="6200" xr:uid="{00000000-0005-0000-0000-00003B180000}"/>
    <cellStyle name="20% - Énfasis4 21 6 2" xfId="6201" xr:uid="{00000000-0005-0000-0000-00003C180000}"/>
    <cellStyle name="20% - Énfasis4 21 7" xfId="6202" xr:uid="{00000000-0005-0000-0000-00003D180000}"/>
    <cellStyle name="20% - Énfasis4 22" xfId="6203" xr:uid="{00000000-0005-0000-0000-00003E180000}"/>
    <cellStyle name="20% - Énfasis4 22 2" xfId="6204" xr:uid="{00000000-0005-0000-0000-00003F180000}"/>
    <cellStyle name="20% - Énfasis4 22 2 2" xfId="6205" xr:uid="{00000000-0005-0000-0000-000040180000}"/>
    <cellStyle name="20% - Énfasis4 22 2 2 2" xfId="6206" xr:uid="{00000000-0005-0000-0000-000041180000}"/>
    <cellStyle name="20% - Énfasis4 22 2 2 2 2" xfId="6207" xr:uid="{00000000-0005-0000-0000-000042180000}"/>
    <cellStyle name="20% - Énfasis4 22 2 2 3" xfId="6208" xr:uid="{00000000-0005-0000-0000-000043180000}"/>
    <cellStyle name="20% - Énfasis4 22 2 3" xfId="6209" xr:uid="{00000000-0005-0000-0000-000044180000}"/>
    <cellStyle name="20% - Énfasis4 22 2 3 2" xfId="6210" xr:uid="{00000000-0005-0000-0000-000045180000}"/>
    <cellStyle name="20% - Énfasis4 22 2 3 2 2" xfId="6211" xr:uid="{00000000-0005-0000-0000-000046180000}"/>
    <cellStyle name="20% - Énfasis4 22 2 3 3" xfId="6212" xr:uid="{00000000-0005-0000-0000-000047180000}"/>
    <cellStyle name="20% - Énfasis4 22 2 4" xfId="6213" xr:uid="{00000000-0005-0000-0000-000048180000}"/>
    <cellStyle name="20% - Énfasis4 22 2 4 2" xfId="6214" xr:uid="{00000000-0005-0000-0000-000049180000}"/>
    <cellStyle name="20% - Énfasis4 22 2 5" xfId="6215" xr:uid="{00000000-0005-0000-0000-00004A180000}"/>
    <cellStyle name="20% - Énfasis4 22 3" xfId="6216" xr:uid="{00000000-0005-0000-0000-00004B180000}"/>
    <cellStyle name="20% - Énfasis4 22 3 2" xfId="6217" xr:uid="{00000000-0005-0000-0000-00004C180000}"/>
    <cellStyle name="20% - Énfasis4 22 3 2 2" xfId="6218" xr:uid="{00000000-0005-0000-0000-00004D180000}"/>
    <cellStyle name="20% - Énfasis4 22 3 2 2 2" xfId="6219" xr:uid="{00000000-0005-0000-0000-00004E180000}"/>
    <cellStyle name="20% - Énfasis4 22 3 2 3" xfId="6220" xr:uid="{00000000-0005-0000-0000-00004F180000}"/>
    <cellStyle name="20% - Énfasis4 22 3 3" xfId="6221" xr:uid="{00000000-0005-0000-0000-000050180000}"/>
    <cellStyle name="20% - Énfasis4 22 3 3 2" xfId="6222" xr:uid="{00000000-0005-0000-0000-000051180000}"/>
    <cellStyle name="20% - Énfasis4 22 3 4" xfId="6223" xr:uid="{00000000-0005-0000-0000-000052180000}"/>
    <cellStyle name="20% - Énfasis4 22 4" xfId="6224" xr:uid="{00000000-0005-0000-0000-000053180000}"/>
    <cellStyle name="20% - Énfasis4 22 4 2" xfId="6225" xr:uid="{00000000-0005-0000-0000-000054180000}"/>
    <cellStyle name="20% - Énfasis4 22 4 2 2" xfId="6226" xr:uid="{00000000-0005-0000-0000-000055180000}"/>
    <cellStyle name="20% - Énfasis4 22 4 3" xfId="6227" xr:uid="{00000000-0005-0000-0000-000056180000}"/>
    <cellStyle name="20% - Énfasis4 22 5" xfId="6228" xr:uid="{00000000-0005-0000-0000-000057180000}"/>
    <cellStyle name="20% - Énfasis4 22 5 2" xfId="6229" xr:uid="{00000000-0005-0000-0000-000058180000}"/>
    <cellStyle name="20% - Énfasis4 22 5 2 2" xfId="6230" xr:uid="{00000000-0005-0000-0000-000059180000}"/>
    <cellStyle name="20% - Énfasis4 22 5 3" xfId="6231" xr:uid="{00000000-0005-0000-0000-00005A180000}"/>
    <cellStyle name="20% - Énfasis4 22 6" xfId="6232" xr:uid="{00000000-0005-0000-0000-00005B180000}"/>
    <cellStyle name="20% - Énfasis4 22 6 2" xfId="6233" xr:uid="{00000000-0005-0000-0000-00005C180000}"/>
    <cellStyle name="20% - Énfasis4 22 7" xfId="6234" xr:uid="{00000000-0005-0000-0000-00005D180000}"/>
    <cellStyle name="20% - Énfasis4 23" xfId="6235" xr:uid="{00000000-0005-0000-0000-00005E180000}"/>
    <cellStyle name="20% - Énfasis4 23 2" xfId="6236" xr:uid="{00000000-0005-0000-0000-00005F180000}"/>
    <cellStyle name="20% - Énfasis4 23 2 2" xfId="6237" xr:uid="{00000000-0005-0000-0000-000060180000}"/>
    <cellStyle name="20% - Énfasis4 23 2 2 2" xfId="6238" xr:uid="{00000000-0005-0000-0000-000061180000}"/>
    <cellStyle name="20% - Énfasis4 23 2 2 2 2" xfId="6239" xr:uid="{00000000-0005-0000-0000-000062180000}"/>
    <cellStyle name="20% - Énfasis4 23 2 2 3" xfId="6240" xr:uid="{00000000-0005-0000-0000-000063180000}"/>
    <cellStyle name="20% - Énfasis4 23 2 3" xfId="6241" xr:uid="{00000000-0005-0000-0000-000064180000}"/>
    <cellStyle name="20% - Énfasis4 23 2 3 2" xfId="6242" xr:uid="{00000000-0005-0000-0000-000065180000}"/>
    <cellStyle name="20% - Énfasis4 23 2 3 2 2" xfId="6243" xr:uid="{00000000-0005-0000-0000-000066180000}"/>
    <cellStyle name="20% - Énfasis4 23 2 3 3" xfId="6244" xr:uid="{00000000-0005-0000-0000-000067180000}"/>
    <cellStyle name="20% - Énfasis4 23 2 4" xfId="6245" xr:uid="{00000000-0005-0000-0000-000068180000}"/>
    <cellStyle name="20% - Énfasis4 23 2 4 2" xfId="6246" xr:uid="{00000000-0005-0000-0000-000069180000}"/>
    <cellStyle name="20% - Énfasis4 23 2 5" xfId="6247" xr:uid="{00000000-0005-0000-0000-00006A180000}"/>
    <cellStyle name="20% - Énfasis4 23 3" xfId="6248" xr:uid="{00000000-0005-0000-0000-00006B180000}"/>
    <cellStyle name="20% - Énfasis4 23 3 2" xfId="6249" xr:uid="{00000000-0005-0000-0000-00006C180000}"/>
    <cellStyle name="20% - Énfasis4 23 3 2 2" xfId="6250" xr:uid="{00000000-0005-0000-0000-00006D180000}"/>
    <cellStyle name="20% - Énfasis4 23 3 2 2 2" xfId="6251" xr:uid="{00000000-0005-0000-0000-00006E180000}"/>
    <cellStyle name="20% - Énfasis4 23 3 2 3" xfId="6252" xr:uid="{00000000-0005-0000-0000-00006F180000}"/>
    <cellStyle name="20% - Énfasis4 23 3 3" xfId="6253" xr:uid="{00000000-0005-0000-0000-000070180000}"/>
    <cellStyle name="20% - Énfasis4 23 3 3 2" xfId="6254" xr:uid="{00000000-0005-0000-0000-000071180000}"/>
    <cellStyle name="20% - Énfasis4 23 3 4" xfId="6255" xr:uid="{00000000-0005-0000-0000-000072180000}"/>
    <cellStyle name="20% - Énfasis4 23 4" xfId="6256" xr:uid="{00000000-0005-0000-0000-000073180000}"/>
    <cellStyle name="20% - Énfasis4 23 4 2" xfId="6257" xr:uid="{00000000-0005-0000-0000-000074180000}"/>
    <cellStyle name="20% - Énfasis4 23 4 2 2" xfId="6258" xr:uid="{00000000-0005-0000-0000-000075180000}"/>
    <cellStyle name="20% - Énfasis4 23 4 3" xfId="6259" xr:uid="{00000000-0005-0000-0000-000076180000}"/>
    <cellStyle name="20% - Énfasis4 23 5" xfId="6260" xr:uid="{00000000-0005-0000-0000-000077180000}"/>
    <cellStyle name="20% - Énfasis4 23 5 2" xfId="6261" xr:uid="{00000000-0005-0000-0000-000078180000}"/>
    <cellStyle name="20% - Énfasis4 23 5 2 2" xfId="6262" xr:uid="{00000000-0005-0000-0000-000079180000}"/>
    <cellStyle name="20% - Énfasis4 23 5 3" xfId="6263" xr:uid="{00000000-0005-0000-0000-00007A180000}"/>
    <cellStyle name="20% - Énfasis4 23 6" xfId="6264" xr:uid="{00000000-0005-0000-0000-00007B180000}"/>
    <cellStyle name="20% - Énfasis4 23 6 2" xfId="6265" xr:uid="{00000000-0005-0000-0000-00007C180000}"/>
    <cellStyle name="20% - Énfasis4 23 7" xfId="6266" xr:uid="{00000000-0005-0000-0000-00007D180000}"/>
    <cellStyle name="20% - Énfasis4 24" xfId="6267" xr:uid="{00000000-0005-0000-0000-00007E180000}"/>
    <cellStyle name="20% - Énfasis4 24 2" xfId="6268" xr:uid="{00000000-0005-0000-0000-00007F180000}"/>
    <cellStyle name="20% - Énfasis4 24 2 2" xfId="6269" xr:uid="{00000000-0005-0000-0000-000080180000}"/>
    <cellStyle name="20% - Énfasis4 24 2 2 2" xfId="6270" xr:uid="{00000000-0005-0000-0000-000081180000}"/>
    <cellStyle name="20% - Énfasis4 24 2 2 2 2" xfId="6271" xr:uid="{00000000-0005-0000-0000-000082180000}"/>
    <cellStyle name="20% - Énfasis4 24 2 2 3" xfId="6272" xr:uid="{00000000-0005-0000-0000-000083180000}"/>
    <cellStyle name="20% - Énfasis4 24 2 3" xfId="6273" xr:uid="{00000000-0005-0000-0000-000084180000}"/>
    <cellStyle name="20% - Énfasis4 24 2 3 2" xfId="6274" xr:uid="{00000000-0005-0000-0000-000085180000}"/>
    <cellStyle name="20% - Énfasis4 24 2 3 2 2" xfId="6275" xr:uid="{00000000-0005-0000-0000-000086180000}"/>
    <cellStyle name="20% - Énfasis4 24 2 3 3" xfId="6276" xr:uid="{00000000-0005-0000-0000-000087180000}"/>
    <cellStyle name="20% - Énfasis4 24 2 4" xfId="6277" xr:uid="{00000000-0005-0000-0000-000088180000}"/>
    <cellStyle name="20% - Énfasis4 24 2 4 2" xfId="6278" xr:uid="{00000000-0005-0000-0000-000089180000}"/>
    <cellStyle name="20% - Énfasis4 24 2 5" xfId="6279" xr:uid="{00000000-0005-0000-0000-00008A180000}"/>
    <cellStyle name="20% - Énfasis4 24 3" xfId="6280" xr:uid="{00000000-0005-0000-0000-00008B180000}"/>
    <cellStyle name="20% - Énfasis4 24 3 2" xfId="6281" xr:uid="{00000000-0005-0000-0000-00008C180000}"/>
    <cellStyle name="20% - Énfasis4 24 3 2 2" xfId="6282" xr:uid="{00000000-0005-0000-0000-00008D180000}"/>
    <cellStyle name="20% - Énfasis4 24 3 2 2 2" xfId="6283" xr:uid="{00000000-0005-0000-0000-00008E180000}"/>
    <cellStyle name="20% - Énfasis4 24 3 2 3" xfId="6284" xr:uid="{00000000-0005-0000-0000-00008F180000}"/>
    <cellStyle name="20% - Énfasis4 24 3 3" xfId="6285" xr:uid="{00000000-0005-0000-0000-000090180000}"/>
    <cellStyle name="20% - Énfasis4 24 3 3 2" xfId="6286" xr:uid="{00000000-0005-0000-0000-000091180000}"/>
    <cellStyle name="20% - Énfasis4 24 3 4" xfId="6287" xr:uid="{00000000-0005-0000-0000-000092180000}"/>
    <cellStyle name="20% - Énfasis4 24 4" xfId="6288" xr:uid="{00000000-0005-0000-0000-000093180000}"/>
    <cellStyle name="20% - Énfasis4 24 4 2" xfId="6289" xr:uid="{00000000-0005-0000-0000-000094180000}"/>
    <cellStyle name="20% - Énfasis4 24 4 2 2" xfId="6290" xr:uid="{00000000-0005-0000-0000-000095180000}"/>
    <cellStyle name="20% - Énfasis4 24 4 3" xfId="6291" xr:uid="{00000000-0005-0000-0000-000096180000}"/>
    <cellStyle name="20% - Énfasis4 24 5" xfId="6292" xr:uid="{00000000-0005-0000-0000-000097180000}"/>
    <cellStyle name="20% - Énfasis4 24 5 2" xfId="6293" xr:uid="{00000000-0005-0000-0000-000098180000}"/>
    <cellStyle name="20% - Énfasis4 24 5 2 2" xfId="6294" xr:uid="{00000000-0005-0000-0000-000099180000}"/>
    <cellStyle name="20% - Énfasis4 24 5 3" xfId="6295" xr:uid="{00000000-0005-0000-0000-00009A180000}"/>
    <cellStyle name="20% - Énfasis4 24 6" xfId="6296" xr:uid="{00000000-0005-0000-0000-00009B180000}"/>
    <cellStyle name="20% - Énfasis4 24 6 2" xfId="6297" xr:uid="{00000000-0005-0000-0000-00009C180000}"/>
    <cellStyle name="20% - Énfasis4 24 7" xfId="6298" xr:uid="{00000000-0005-0000-0000-00009D180000}"/>
    <cellStyle name="20% - Énfasis4 25" xfId="6299" xr:uid="{00000000-0005-0000-0000-00009E180000}"/>
    <cellStyle name="20% - Énfasis4 25 2" xfId="6300" xr:uid="{00000000-0005-0000-0000-00009F180000}"/>
    <cellStyle name="20% - Énfasis4 25 2 2" xfId="6301" xr:uid="{00000000-0005-0000-0000-0000A0180000}"/>
    <cellStyle name="20% - Énfasis4 25 2 2 2" xfId="6302" xr:uid="{00000000-0005-0000-0000-0000A1180000}"/>
    <cellStyle name="20% - Énfasis4 25 2 2 2 2" xfId="6303" xr:uid="{00000000-0005-0000-0000-0000A2180000}"/>
    <cellStyle name="20% - Énfasis4 25 2 2 3" xfId="6304" xr:uid="{00000000-0005-0000-0000-0000A3180000}"/>
    <cellStyle name="20% - Énfasis4 25 2 3" xfId="6305" xr:uid="{00000000-0005-0000-0000-0000A4180000}"/>
    <cellStyle name="20% - Énfasis4 25 2 3 2" xfId="6306" xr:uid="{00000000-0005-0000-0000-0000A5180000}"/>
    <cellStyle name="20% - Énfasis4 25 2 3 2 2" xfId="6307" xr:uid="{00000000-0005-0000-0000-0000A6180000}"/>
    <cellStyle name="20% - Énfasis4 25 2 3 3" xfId="6308" xr:uid="{00000000-0005-0000-0000-0000A7180000}"/>
    <cellStyle name="20% - Énfasis4 25 2 4" xfId="6309" xr:uid="{00000000-0005-0000-0000-0000A8180000}"/>
    <cellStyle name="20% - Énfasis4 25 2 4 2" xfId="6310" xr:uid="{00000000-0005-0000-0000-0000A9180000}"/>
    <cellStyle name="20% - Énfasis4 25 2 5" xfId="6311" xr:uid="{00000000-0005-0000-0000-0000AA180000}"/>
    <cellStyle name="20% - Énfasis4 25 3" xfId="6312" xr:uid="{00000000-0005-0000-0000-0000AB180000}"/>
    <cellStyle name="20% - Énfasis4 25 3 2" xfId="6313" xr:uid="{00000000-0005-0000-0000-0000AC180000}"/>
    <cellStyle name="20% - Énfasis4 25 3 2 2" xfId="6314" xr:uid="{00000000-0005-0000-0000-0000AD180000}"/>
    <cellStyle name="20% - Énfasis4 25 3 2 2 2" xfId="6315" xr:uid="{00000000-0005-0000-0000-0000AE180000}"/>
    <cellStyle name="20% - Énfasis4 25 3 2 3" xfId="6316" xr:uid="{00000000-0005-0000-0000-0000AF180000}"/>
    <cellStyle name="20% - Énfasis4 25 3 3" xfId="6317" xr:uid="{00000000-0005-0000-0000-0000B0180000}"/>
    <cellStyle name="20% - Énfasis4 25 3 3 2" xfId="6318" xr:uid="{00000000-0005-0000-0000-0000B1180000}"/>
    <cellStyle name="20% - Énfasis4 25 3 4" xfId="6319" xr:uid="{00000000-0005-0000-0000-0000B2180000}"/>
    <cellStyle name="20% - Énfasis4 25 4" xfId="6320" xr:uid="{00000000-0005-0000-0000-0000B3180000}"/>
    <cellStyle name="20% - Énfasis4 25 4 2" xfId="6321" xr:uid="{00000000-0005-0000-0000-0000B4180000}"/>
    <cellStyle name="20% - Énfasis4 25 4 2 2" xfId="6322" xr:uid="{00000000-0005-0000-0000-0000B5180000}"/>
    <cellStyle name="20% - Énfasis4 25 4 3" xfId="6323" xr:uid="{00000000-0005-0000-0000-0000B6180000}"/>
    <cellStyle name="20% - Énfasis4 25 5" xfId="6324" xr:uid="{00000000-0005-0000-0000-0000B7180000}"/>
    <cellStyle name="20% - Énfasis4 25 5 2" xfId="6325" xr:uid="{00000000-0005-0000-0000-0000B8180000}"/>
    <cellStyle name="20% - Énfasis4 25 5 2 2" xfId="6326" xr:uid="{00000000-0005-0000-0000-0000B9180000}"/>
    <cellStyle name="20% - Énfasis4 25 5 3" xfId="6327" xr:uid="{00000000-0005-0000-0000-0000BA180000}"/>
    <cellStyle name="20% - Énfasis4 25 6" xfId="6328" xr:uid="{00000000-0005-0000-0000-0000BB180000}"/>
    <cellStyle name="20% - Énfasis4 25 6 2" xfId="6329" xr:uid="{00000000-0005-0000-0000-0000BC180000}"/>
    <cellStyle name="20% - Énfasis4 25 7" xfId="6330" xr:uid="{00000000-0005-0000-0000-0000BD180000}"/>
    <cellStyle name="20% - Énfasis4 26" xfId="6331" xr:uid="{00000000-0005-0000-0000-0000BE180000}"/>
    <cellStyle name="20% - Énfasis4 26 2" xfId="6332" xr:uid="{00000000-0005-0000-0000-0000BF180000}"/>
    <cellStyle name="20% - Énfasis4 26 2 2" xfId="6333" xr:uid="{00000000-0005-0000-0000-0000C0180000}"/>
    <cellStyle name="20% - Énfasis4 26 2 2 2" xfId="6334" xr:uid="{00000000-0005-0000-0000-0000C1180000}"/>
    <cellStyle name="20% - Énfasis4 26 2 2 2 2" xfId="6335" xr:uid="{00000000-0005-0000-0000-0000C2180000}"/>
    <cellStyle name="20% - Énfasis4 26 2 2 3" xfId="6336" xr:uid="{00000000-0005-0000-0000-0000C3180000}"/>
    <cellStyle name="20% - Énfasis4 26 2 3" xfId="6337" xr:uid="{00000000-0005-0000-0000-0000C4180000}"/>
    <cellStyle name="20% - Énfasis4 26 2 3 2" xfId="6338" xr:uid="{00000000-0005-0000-0000-0000C5180000}"/>
    <cellStyle name="20% - Énfasis4 26 2 3 2 2" xfId="6339" xr:uid="{00000000-0005-0000-0000-0000C6180000}"/>
    <cellStyle name="20% - Énfasis4 26 2 3 3" xfId="6340" xr:uid="{00000000-0005-0000-0000-0000C7180000}"/>
    <cellStyle name="20% - Énfasis4 26 2 4" xfId="6341" xr:uid="{00000000-0005-0000-0000-0000C8180000}"/>
    <cellStyle name="20% - Énfasis4 26 2 4 2" xfId="6342" xr:uid="{00000000-0005-0000-0000-0000C9180000}"/>
    <cellStyle name="20% - Énfasis4 26 2 5" xfId="6343" xr:uid="{00000000-0005-0000-0000-0000CA180000}"/>
    <cellStyle name="20% - Énfasis4 26 3" xfId="6344" xr:uid="{00000000-0005-0000-0000-0000CB180000}"/>
    <cellStyle name="20% - Énfasis4 26 3 2" xfId="6345" xr:uid="{00000000-0005-0000-0000-0000CC180000}"/>
    <cellStyle name="20% - Énfasis4 26 3 2 2" xfId="6346" xr:uid="{00000000-0005-0000-0000-0000CD180000}"/>
    <cellStyle name="20% - Énfasis4 26 3 2 2 2" xfId="6347" xr:uid="{00000000-0005-0000-0000-0000CE180000}"/>
    <cellStyle name="20% - Énfasis4 26 3 2 3" xfId="6348" xr:uid="{00000000-0005-0000-0000-0000CF180000}"/>
    <cellStyle name="20% - Énfasis4 26 3 3" xfId="6349" xr:uid="{00000000-0005-0000-0000-0000D0180000}"/>
    <cellStyle name="20% - Énfasis4 26 3 3 2" xfId="6350" xr:uid="{00000000-0005-0000-0000-0000D1180000}"/>
    <cellStyle name="20% - Énfasis4 26 3 4" xfId="6351" xr:uid="{00000000-0005-0000-0000-0000D2180000}"/>
    <cellStyle name="20% - Énfasis4 26 4" xfId="6352" xr:uid="{00000000-0005-0000-0000-0000D3180000}"/>
    <cellStyle name="20% - Énfasis4 26 4 2" xfId="6353" xr:uid="{00000000-0005-0000-0000-0000D4180000}"/>
    <cellStyle name="20% - Énfasis4 26 4 2 2" xfId="6354" xr:uid="{00000000-0005-0000-0000-0000D5180000}"/>
    <cellStyle name="20% - Énfasis4 26 4 3" xfId="6355" xr:uid="{00000000-0005-0000-0000-0000D6180000}"/>
    <cellStyle name="20% - Énfasis4 26 5" xfId="6356" xr:uid="{00000000-0005-0000-0000-0000D7180000}"/>
    <cellStyle name="20% - Énfasis4 26 5 2" xfId="6357" xr:uid="{00000000-0005-0000-0000-0000D8180000}"/>
    <cellStyle name="20% - Énfasis4 26 5 2 2" xfId="6358" xr:uid="{00000000-0005-0000-0000-0000D9180000}"/>
    <cellStyle name="20% - Énfasis4 26 5 3" xfId="6359" xr:uid="{00000000-0005-0000-0000-0000DA180000}"/>
    <cellStyle name="20% - Énfasis4 26 6" xfId="6360" xr:uid="{00000000-0005-0000-0000-0000DB180000}"/>
    <cellStyle name="20% - Énfasis4 26 6 2" xfId="6361" xr:uid="{00000000-0005-0000-0000-0000DC180000}"/>
    <cellStyle name="20% - Énfasis4 26 7" xfId="6362" xr:uid="{00000000-0005-0000-0000-0000DD180000}"/>
    <cellStyle name="20% - Énfasis4 27" xfId="6363" xr:uid="{00000000-0005-0000-0000-0000DE180000}"/>
    <cellStyle name="20% - Énfasis4 27 2" xfId="6364" xr:uid="{00000000-0005-0000-0000-0000DF180000}"/>
    <cellStyle name="20% - Énfasis4 27 2 2" xfId="6365" xr:uid="{00000000-0005-0000-0000-0000E0180000}"/>
    <cellStyle name="20% - Énfasis4 27 2 2 2" xfId="6366" xr:uid="{00000000-0005-0000-0000-0000E1180000}"/>
    <cellStyle name="20% - Énfasis4 27 2 2 2 2" xfId="6367" xr:uid="{00000000-0005-0000-0000-0000E2180000}"/>
    <cellStyle name="20% - Énfasis4 27 2 2 3" xfId="6368" xr:uid="{00000000-0005-0000-0000-0000E3180000}"/>
    <cellStyle name="20% - Énfasis4 27 2 3" xfId="6369" xr:uid="{00000000-0005-0000-0000-0000E4180000}"/>
    <cellStyle name="20% - Énfasis4 27 2 3 2" xfId="6370" xr:uid="{00000000-0005-0000-0000-0000E5180000}"/>
    <cellStyle name="20% - Énfasis4 27 2 3 2 2" xfId="6371" xr:uid="{00000000-0005-0000-0000-0000E6180000}"/>
    <cellStyle name="20% - Énfasis4 27 2 3 3" xfId="6372" xr:uid="{00000000-0005-0000-0000-0000E7180000}"/>
    <cellStyle name="20% - Énfasis4 27 2 4" xfId="6373" xr:uid="{00000000-0005-0000-0000-0000E8180000}"/>
    <cellStyle name="20% - Énfasis4 27 2 4 2" xfId="6374" xr:uid="{00000000-0005-0000-0000-0000E9180000}"/>
    <cellStyle name="20% - Énfasis4 27 2 5" xfId="6375" xr:uid="{00000000-0005-0000-0000-0000EA180000}"/>
    <cellStyle name="20% - Énfasis4 27 3" xfId="6376" xr:uid="{00000000-0005-0000-0000-0000EB180000}"/>
    <cellStyle name="20% - Énfasis4 27 3 2" xfId="6377" xr:uid="{00000000-0005-0000-0000-0000EC180000}"/>
    <cellStyle name="20% - Énfasis4 27 3 2 2" xfId="6378" xr:uid="{00000000-0005-0000-0000-0000ED180000}"/>
    <cellStyle name="20% - Énfasis4 27 3 2 2 2" xfId="6379" xr:uid="{00000000-0005-0000-0000-0000EE180000}"/>
    <cellStyle name="20% - Énfasis4 27 3 2 3" xfId="6380" xr:uid="{00000000-0005-0000-0000-0000EF180000}"/>
    <cellStyle name="20% - Énfasis4 27 3 3" xfId="6381" xr:uid="{00000000-0005-0000-0000-0000F0180000}"/>
    <cellStyle name="20% - Énfasis4 27 3 3 2" xfId="6382" xr:uid="{00000000-0005-0000-0000-0000F1180000}"/>
    <cellStyle name="20% - Énfasis4 27 3 4" xfId="6383" xr:uid="{00000000-0005-0000-0000-0000F2180000}"/>
    <cellStyle name="20% - Énfasis4 27 4" xfId="6384" xr:uid="{00000000-0005-0000-0000-0000F3180000}"/>
    <cellStyle name="20% - Énfasis4 27 4 2" xfId="6385" xr:uid="{00000000-0005-0000-0000-0000F4180000}"/>
    <cellStyle name="20% - Énfasis4 27 4 2 2" xfId="6386" xr:uid="{00000000-0005-0000-0000-0000F5180000}"/>
    <cellStyle name="20% - Énfasis4 27 4 3" xfId="6387" xr:uid="{00000000-0005-0000-0000-0000F6180000}"/>
    <cellStyle name="20% - Énfasis4 27 5" xfId="6388" xr:uid="{00000000-0005-0000-0000-0000F7180000}"/>
    <cellStyle name="20% - Énfasis4 27 5 2" xfId="6389" xr:uid="{00000000-0005-0000-0000-0000F8180000}"/>
    <cellStyle name="20% - Énfasis4 27 5 2 2" xfId="6390" xr:uid="{00000000-0005-0000-0000-0000F9180000}"/>
    <cellStyle name="20% - Énfasis4 27 5 3" xfId="6391" xr:uid="{00000000-0005-0000-0000-0000FA180000}"/>
    <cellStyle name="20% - Énfasis4 27 6" xfId="6392" xr:uid="{00000000-0005-0000-0000-0000FB180000}"/>
    <cellStyle name="20% - Énfasis4 27 6 2" xfId="6393" xr:uid="{00000000-0005-0000-0000-0000FC180000}"/>
    <cellStyle name="20% - Énfasis4 27 7" xfId="6394" xr:uid="{00000000-0005-0000-0000-0000FD180000}"/>
    <cellStyle name="20% - Énfasis4 28" xfId="6395" xr:uid="{00000000-0005-0000-0000-0000FE180000}"/>
    <cellStyle name="20% - Énfasis4 28 2" xfId="6396" xr:uid="{00000000-0005-0000-0000-0000FF180000}"/>
    <cellStyle name="20% - Énfasis4 28 2 2" xfId="6397" xr:uid="{00000000-0005-0000-0000-000000190000}"/>
    <cellStyle name="20% - Énfasis4 28 2 2 2" xfId="6398" xr:uid="{00000000-0005-0000-0000-000001190000}"/>
    <cellStyle name="20% - Énfasis4 28 2 2 2 2" xfId="6399" xr:uid="{00000000-0005-0000-0000-000002190000}"/>
    <cellStyle name="20% - Énfasis4 28 2 2 3" xfId="6400" xr:uid="{00000000-0005-0000-0000-000003190000}"/>
    <cellStyle name="20% - Énfasis4 28 2 3" xfId="6401" xr:uid="{00000000-0005-0000-0000-000004190000}"/>
    <cellStyle name="20% - Énfasis4 28 2 3 2" xfId="6402" xr:uid="{00000000-0005-0000-0000-000005190000}"/>
    <cellStyle name="20% - Énfasis4 28 2 3 2 2" xfId="6403" xr:uid="{00000000-0005-0000-0000-000006190000}"/>
    <cellStyle name="20% - Énfasis4 28 2 3 3" xfId="6404" xr:uid="{00000000-0005-0000-0000-000007190000}"/>
    <cellStyle name="20% - Énfasis4 28 2 4" xfId="6405" xr:uid="{00000000-0005-0000-0000-000008190000}"/>
    <cellStyle name="20% - Énfasis4 28 2 4 2" xfId="6406" xr:uid="{00000000-0005-0000-0000-000009190000}"/>
    <cellStyle name="20% - Énfasis4 28 2 5" xfId="6407" xr:uid="{00000000-0005-0000-0000-00000A190000}"/>
    <cellStyle name="20% - Énfasis4 28 3" xfId="6408" xr:uid="{00000000-0005-0000-0000-00000B190000}"/>
    <cellStyle name="20% - Énfasis4 28 3 2" xfId="6409" xr:uid="{00000000-0005-0000-0000-00000C190000}"/>
    <cellStyle name="20% - Énfasis4 28 3 2 2" xfId="6410" xr:uid="{00000000-0005-0000-0000-00000D190000}"/>
    <cellStyle name="20% - Énfasis4 28 3 3" xfId="6411" xr:uid="{00000000-0005-0000-0000-00000E190000}"/>
    <cellStyle name="20% - Énfasis4 28 4" xfId="6412" xr:uid="{00000000-0005-0000-0000-00000F190000}"/>
    <cellStyle name="20% - Énfasis4 28 4 2" xfId="6413" xr:uid="{00000000-0005-0000-0000-000010190000}"/>
    <cellStyle name="20% - Énfasis4 28 4 2 2" xfId="6414" xr:uid="{00000000-0005-0000-0000-000011190000}"/>
    <cellStyle name="20% - Énfasis4 28 4 3" xfId="6415" xr:uid="{00000000-0005-0000-0000-000012190000}"/>
    <cellStyle name="20% - Énfasis4 28 5" xfId="6416" xr:uid="{00000000-0005-0000-0000-000013190000}"/>
    <cellStyle name="20% - Énfasis4 28 5 2" xfId="6417" xr:uid="{00000000-0005-0000-0000-000014190000}"/>
    <cellStyle name="20% - Énfasis4 28 6" xfId="6418" xr:uid="{00000000-0005-0000-0000-000015190000}"/>
    <cellStyle name="20% - Énfasis4 29" xfId="6419" xr:uid="{00000000-0005-0000-0000-000016190000}"/>
    <cellStyle name="20% - Énfasis4 29 2" xfId="6420" xr:uid="{00000000-0005-0000-0000-000017190000}"/>
    <cellStyle name="20% - Énfasis4 29 2 2" xfId="6421" xr:uid="{00000000-0005-0000-0000-000018190000}"/>
    <cellStyle name="20% - Énfasis4 29 2 2 2" xfId="6422" xr:uid="{00000000-0005-0000-0000-000019190000}"/>
    <cellStyle name="20% - Énfasis4 29 2 2 2 2" xfId="6423" xr:uid="{00000000-0005-0000-0000-00001A190000}"/>
    <cellStyle name="20% - Énfasis4 29 2 2 3" xfId="6424" xr:uid="{00000000-0005-0000-0000-00001B190000}"/>
    <cellStyle name="20% - Énfasis4 29 2 3" xfId="6425" xr:uid="{00000000-0005-0000-0000-00001C190000}"/>
    <cellStyle name="20% - Énfasis4 29 2 3 2" xfId="6426" xr:uid="{00000000-0005-0000-0000-00001D190000}"/>
    <cellStyle name="20% - Énfasis4 29 2 4" xfId="6427" xr:uid="{00000000-0005-0000-0000-00001E190000}"/>
    <cellStyle name="20% - Énfasis4 29 3" xfId="6428" xr:uid="{00000000-0005-0000-0000-00001F190000}"/>
    <cellStyle name="20% - Énfasis4 29 3 2" xfId="6429" xr:uid="{00000000-0005-0000-0000-000020190000}"/>
    <cellStyle name="20% - Énfasis4 29 3 2 2" xfId="6430" xr:uid="{00000000-0005-0000-0000-000021190000}"/>
    <cellStyle name="20% - Énfasis4 29 3 3" xfId="6431" xr:uid="{00000000-0005-0000-0000-000022190000}"/>
    <cellStyle name="20% - Énfasis4 29 4" xfId="6432" xr:uid="{00000000-0005-0000-0000-000023190000}"/>
    <cellStyle name="20% - Énfasis4 29 4 2" xfId="6433" xr:uid="{00000000-0005-0000-0000-000024190000}"/>
    <cellStyle name="20% - Énfasis4 29 5" xfId="6434" xr:uid="{00000000-0005-0000-0000-000025190000}"/>
    <cellStyle name="20% - Énfasis4 3" xfId="6435" xr:uid="{00000000-0005-0000-0000-000026190000}"/>
    <cellStyle name="20% - Énfasis4 3 10" xfId="6436" xr:uid="{00000000-0005-0000-0000-000027190000}"/>
    <cellStyle name="20% - Énfasis4 3 10 2" xfId="6437" xr:uid="{00000000-0005-0000-0000-000028190000}"/>
    <cellStyle name="20% - Énfasis4 3 11" xfId="6438" xr:uid="{00000000-0005-0000-0000-000029190000}"/>
    <cellStyle name="20% - Énfasis4 3 11 2" xfId="6439" xr:uid="{00000000-0005-0000-0000-00002A190000}"/>
    <cellStyle name="20% - Énfasis4 3 12" xfId="6440" xr:uid="{00000000-0005-0000-0000-00002B190000}"/>
    <cellStyle name="20% - Énfasis4 3 2" xfId="6441" xr:uid="{00000000-0005-0000-0000-00002C190000}"/>
    <cellStyle name="20% - Énfasis4 3 2 2" xfId="6442" xr:uid="{00000000-0005-0000-0000-00002D190000}"/>
    <cellStyle name="20% - Énfasis4 3 2 2 2" xfId="6443" xr:uid="{00000000-0005-0000-0000-00002E190000}"/>
    <cellStyle name="20% - Énfasis4 3 2 2 2 2" xfId="6444" xr:uid="{00000000-0005-0000-0000-00002F190000}"/>
    <cellStyle name="20% - Énfasis4 3 2 2 2 2 2" xfId="6445" xr:uid="{00000000-0005-0000-0000-000030190000}"/>
    <cellStyle name="20% - Énfasis4 3 2 2 2 2 2 2" xfId="6446" xr:uid="{00000000-0005-0000-0000-000031190000}"/>
    <cellStyle name="20% - Énfasis4 3 2 2 2 2 2 2 2" xfId="6447" xr:uid="{00000000-0005-0000-0000-000032190000}"/>
    <cellStyle name="20% - Énfasis4 3 2 2 2 2 2 3" xfId="6448" xr:uid="{00000000-0005-0000-0000-000033190000}"/>
    <cellStyle name="20% - Énfasis4 3 2 2 2 2 3" xfId="6449" xr:uid="{00000000-0005-0000-0000-000034190000}"/>
    <cellStyle name="20% - Énfasis4 3 2 2 2 2 3 2" xfId="6450" xr:uid="{00000000-0005-0000-0000-000035190000}"/>
    <cellStyle name="20% - Énfasis4 3 2 2 2 2 4" xfId="6451" xr:uid="{00000000-0005-0000-0000-000036190000}"/>
    <cellStyle name="20% - Énfasis4 3 2 2 2 3" xfId="6452" xr:uid="{00000000-0005-0000-0000-000037190000}"/>
    <cellStyle name="20% - Énfasis4 3 2 2 2 3 2" xfId="6453" xr:uid="{00000000-0005-0000-0000-000038190000}"/>
    <cellStyle name="20% - Énfasis4 3 2 2 2 3 2 2" xfId="6454" xr:uid="{00000000-0005-0000-0000-000039190000}"/>
    <cellStyle name="20% - Énfasis4 3 2 2 2 3 3" xfId="6455" xr:uid="{00000000-0005-0000-0000-00003A190000}"/>
    <cellStyle name="20% - Énfasis4 3 2 2 2 4" xfId="6456" xr:uid="{00000000-0005-0000-0000-00003B190000}"/>
    <cellStyle name="20% - Énfasis4 3 2 2 2 4 2" xfId="6457" xr:uid="{00000000-0005-0000-0000-00003C190000}"/>
    <cellStyle name="20% - Énfasis4 3 2 2 2 4 2 2" xfId="6458" xr:uid="{00000000-0005-0000-0000-00003D190000}"/>
    <cellStyle name="20% - Énfasis4 3 2 2 2 4 3" xfId="6459" xr:uid="{00000000-0005-0000-0000-00003E190000}"/>
    <cellStyle name="20% - Énfasis4 3 2 2 2 5" xfId="6460" xr:uid="{00000000-0005-0000-0000-00003F190000}"/>
    <cellStyle name="20% - Énfasis4 3 2 2 2 5 2" xfId="6461" xr:uid="{00000000-0005-0000-0000-000040190000}"/>
    <cellStyle name="20% - Énfasis4 3 2 2 2 6" xfId="6462" xr:uid="{00000000-0005-0000-0000-000041190000}"/>
    <cellStyle name="20% - Énfasis4 3 2 2 3" xfId="6463" xr:uid="{00000000-0005-0000-0000-000042190000}"/>
    <cellStyle name="20% - Énfasis4 3 2 2 3 2" xfId="6464" xr:uid="{00000000-0005-0000-0000-000043190000}"/>
    <cellStyle name="20% - Énfasis4 3 2 2 3 2 2" xfId="6465" xr:uid="{00000000-0005-0000-0000-000044190000}"/>
    <cellStyle name="20% - Énfasis4 3 2 2 3 2 2 2" xfId="6466" xr:uid="{00000000-0005-0000-0000-000045190000}"/>
    <cellStyle name="20% - Énfasis4 3 2 2 3 2 3" xfId="6467" xr:uid="{00000000-0005-0000-0000-000046190000}"/>
    <cellStyle name="20% - Énfasis4 3 2 2 3 3" xfId="6468" xr:uid="{00000000-0005-0000-0000-000047190000}"/>
    <cellStyle name="20% - Énfasis4 3 2 2 3 3 2" xfId="6469" xr:uid="{00000000-0005-0000-0000-000048190000}"/>
    <cellStyle name="20% - Énfasis4 3 2 2 3 4" xfId="6470" xr:uid="{00000000-0005-0000-0000-000049190000}"/>
    <cellStyle name="20% - Énfasis4 3 2 2 4" xfId="6471" xr:uid="{00000000-0005-0000-0000-00004A190000}"/>
    <cellStyle name="20% - Énfasis4 3 2 2 4 2" xfId="6472" xr:uid="{00000000-0005-0000-0000-00004B190000}"/>
    <cellStyle name="20% - Énfasis4 3 2 2 4 2 2" xfId="6473" xr:uid="{00000000-0005-0000-0000-00004C190000}"/>
    <cellStyle name="20% - Énfasis4 3 2 2 4 3" xfId="6474" xr:uid="{00000000-0005-0000-0000-00004D190000}"/>
    <cellStyle name="20% - Énfasis4 3 2 2 5" xfId="6475" xr:uid="{00000000-0005-0000-0000-00004E190000}"/>
    <cellStyle name="20% - Énfasis4 3 2 2 5 2" xfId="6476" xr:uid="{00000000-0005-0000-0000-00004F190000}"/>
    <cellStyle name="20% - Énfasis4 3 2 2 5 2 2" xfId="6477" xr:uid="{00000000-0005-0000-0000-000050190000}"/>
    <cellStyle name="20% - Énfasis4 3 2 2 5 3" xfId="6478" xr:uid="{00000000-0005-0000-0000-000051190000}"/>
    <cellStyle name="20% - Énfasis4 3 2 2 6" xfId="6479" xr:uid="{00000000-0005-0000-0000-000052190000}"/>
    <cellStyle name="20% - Énfasis4 3 2 2 6 2" xfId="6480" xr:uid="{00000000-0005-0000-0000-000053190000}"/>
    <cellStyle name="20% - Énfasis4 3 2 2 7" xfId="6481" xr:uid="{00000000-0005-0000-0000-000054190000}"/>
    <cellStyle name="20% - Énfasis4 3 2 3" xfId="6482" xr:uid="{00000000-0005-0000-0000-000055190000}"/>
    <cellStyle name="20% - Énfasis4 3 2 3 2" xfId="6483" xr:uid="{00000000-0005-0000-0000-000056190000}"/>
    <cellStyle name="20% - Énfasis4 3 2 3 2 2" xfId="6484" xr:uid="{00000000-0005-0000-0000-000057190000}"/>
    <cellStyle name="20% - Énfasis4 3 2 3 2 2 2" xfId="6485" xr:uid="{00000000-0005-0000-0000-000058190000}"/>
    <cellStyle name="20% - Énfasis4 3 2 3 2 2 2 2" xfId="6486" xr:uid="{00000000-0005-0000-0000-000059190000}"/>
    <cellStyle name="20% - Énfasis4 3 2 3 2 2 3" xfId="6487" xr:uid="{00000000-0005-0000-0000-00005A190000}"/>
    <cellStyle name="20% - Énfasis4 3 2 3 2 3" xfId="6488" xr:uid="{00000000-0005-0000-0000-00005B190000}"/>
    <cellStyle name="20% - Énfasis4 3 2 3 2 3 2" xfId="6489" xr:uid="{00000000-0005-0000-0000-00005C190000}"/>
    <cellStyle name="20% - Énfasis4 3 2 3 2 4" xfId="6490" xr:uid="{00000000-0005-0000-0000-00005D190000}"/>
    <cellStyle name="20% - Énfasis4 3 2 3 3" xfId="6491" xr:uid="{00000000-0005-0000-0000-00005E190000}"/>
    <cellStyle name="20% - Énfasis4 3 2 3 3 2" xfId="6492" xr:uid="{00000000-0005-0000-0000-00005F190000}"/>
    <cellStyle name="20% - Énfasis4 3 2 3 3 2 2" xfId="6493" xr:uid="{00000000-0005-0000-0000-000060190000}"/>
    <cellStyle name="20% - Énfasis4 3 2 3 3 3" xfId="6494" xr:uid="{00000000-0005-0000-0000-000061190000}"/>
    <cellStyle name="20% - Énfasis4 3 2 3 4" xfId="6495" xr:uid="{00000000-0005-0000-0000-000062190000}"/>
    <cellStyle name="20% - Énfasis4 3 2 3 4 2" xfId="6496" xr:uid="{00000000-0005-0000-0000-000063190000}"/>
    <cellStyle name="20% - Énfasis4 3 2 3 4 2 2" xfId="6497" xr:uid="{00000000-0005-0000-0000-000064190000}"/>
    <cellStyle name="20% - Énfasis4 3 2 3 4 3" xfId="6498" xr:uid="{00000000-0005-0000-0000-000065190000}"/>
    <cellStyle name="20% - Énfasis4 3 2 3 5" xfId="6499" xr:uid="{00000000-0005-0000-0000-000066190000}"/>
    <cellStyle name="20% - Énfasis4 3 2 3 5 2" xfId="6500" xr:uid="{00000000-0005-0000-0000-000067190000}"/>
    <cellStyle name="20% - Énfasis4 3 2 3 6" xfId="6501" xr:uid="{00000000-0005-0000-0000-000068190000}"/>
    <cellStyle name="20% - Énfasis4 3 2 4" xfId="6502" xr:uid="{00000000-0005-0000-0000-000069190000}"/>
    <cellStyle name="20% - Énfasis4 3 2 4 2" xfId="6503" xr:uid="{00000000-0005-0000-0000-00006A190000}"/>
    <cellStyle name="20% - Énfasis4 3 2 4 2 2" xfId="6504" xr:uid="{00000000-0005-0000-0000-00006B190000}"/>
    <cellStyle name="20% - Énfasis4 3 2 4 2 2 2" xfId="6505" xr:uid="{00000000-0005-0000-0000-00006C190000}"/>
    <cellStyle name="20% - Énfasis4 3 2 4 2 3" xfId="6506" xr:uid="{00000000-0005-0000-0000-00006D190000}"/>
    <cellStyle name="20% - Énfasis4 3 2 4 3" xfId="6507" xr:uid="{00000000-0005-0000-0000-00006E190000}"/>
    <cellStyle name="20% - Énfasis4 3 2 4 3 2" xfId="6508" xr:uid="{00000000-0005-0000-0000-00006F190000}"/>
    <cellStyle name="20% - Énfasis4 3 2 4 3 2 2" xfId="6509" xr:uid="{00000000-0005-0000-0000-000070190000}"/>
    <cellStyle name="20% - Énfasis4 3 2 4 3 3" xfId="6510" xr:uid="{00000000-0005-0000-0000-000071190000}"/>
    <cellStyle name="20% - Énfasis4 3 2 4 4" xfId="6511" xr:uid="{00000000-0005-0000-0000-000072190000}"/>
    <cellStyle name="20% - Énfasis4 3 2 4 4 2" xfId="6512" xr:uid="{00000000-0005-0000-0000-000073190000}"/>
    <cellStyle name="20% - Énfasis4 3 2 4 5" xfId="6513" xr:uid="{00000000-0005-0000-0000-000074190000}"/>
    <cellStyle name="20% - Énfasis4 3 2 5" xfId="6514" xr:uid="{00000000-0005-0000-0000-000075190000}"/>
    <cellStyle name="20% - Énfasis4 3 2 5 2" xfId="6515" xr:uid="{00000000-0005-0000-0000-000076190000}"/>
    <cellStyle name="20% - Énfasis4 3 2 5 2 2" xfId="6516" xr:uid="{00000000-0005-0000-0000-000077190000}"/>
    <cellStyle name="20% - Énfasis4 3 2 5 2 2 2" xfId="6517" xr:uid="{00000000-0005-0000-0000-000078190000}"/>
    <cellStyle name="20% - Énfasis4 3 2 5 2 3" xfId="6518" xr:uid="{00000000-0005-0000-0000-000079190000}"/>
    <cellStyle name="20% - Énfasis4 3 2 5 3" xfId="6519" xr:uid="{00000000-0005-0000-0000-00007A190000}"/>
    <cellStyle name="20% - Énfasis4 3 2 5 3 2" xfId="6520" xr:uid="{00000000-0005-0000-0000-00007B190000}"/>
    <cellStyle name="20% - Énfasis4 3 2 5 4" xfId="6521" xr:uid="{00000000-0005-0000-0000-00007C190000}"/>
    <cellStyle name="20% - Énfasis4 3 2 6" xfId="6522" xr:uid="{00000000-0005-0000-0000-00007D190000}"/>
    <cellStyle name="20% - Énfasis4 3 2 6 2" xfId="6523" xr:uid="{00000000-0005-0000-0000-00007E190000}"/>
    <cellStyle name="20% - Énfasis4 3 2 6 2 2" xfId="6524" xr:uid="{00000000-0005-0000-0000-00007F190000}"/>
    <cellStyle name="20% - Énfasis4 3 2 6 3" xfId="6525" xr:uid="{00000000-0005-0000-0000-000080190000}"/>
    <cellStyle name="20% - Énfasis4 3 2 7" xfId="6526" xr:uid="{00000000-0005-0000-0000-000081190000}"/>
    <cellStyle name="20% - Énfasis4 3 2 7 2" xfId="6527" xr:uid="{00000000-0005-0000-0000-000082190000}"/>
    <cellStyle name="20% - Énfasis4 3 2 7 2 2" xfId="6528" xr:uid="{00000000-0005-0000-0000-000083190000}"/>
    <cellStyle name="20% - Énfasis4 3 2 7 3" xfId="6529" xr:uid="{00000000-0005-0000-0000-000084190000}"/>
    <cellStyle name="20% - Énfasis4 3 2 8" xfId="6530" xr:uid="{00000000-0005-0000-0000-000085190000}"/>
    <cellStyle name="20% - Énfasis4 3 2 8 2" xfId="6531" xr:uid="{00000000-0005-0000-0000-000086190000}"/>
    <cellStyle name="20% - Énfasis4 3 2 9" xfId="6532" xr:uid="{00000000-0005-0000-0000-000087190000}"/>
    <cellStyle name="20% - Énfasis4 3 3" xfId="6533" xr:uid="{00000000-0005-0000-0000-000088190000}"/>
    <cellStyle name="20% - Énfasis4 3 3 2" xfId="6534" xr:uid="{00000000-0005-0000-0000-000089190000}"/>
    <cellStyle name="20% - Énfasis4 3 3 2 2" xfId="6535" xr:uid="{00000000-0005-0000-0000-00008A190000}"/>
    <cellStyle name="20% - Énfasis4 3 3 2 2 2" xfId="6536" xr:uid="{00000000-0005-0000-0000-00008B190000}"/>
    <cellStyle name="20% - Énfasis4 3 3 2 2 2 2" xfId="6537" xr:uid="{00000000-0005-0000-0000-00008C190000}"/>
    <cellStyle name="20% - Énfasis4 3 3 2 2 2 2 2" xfId="6538" xr:uid="{00000000-0005-0000-0000-00008D190000}"/>
    <cellStyle name="20% - Énfasis4 3 3 2 2 2 3" xfId="6539" xr:uid="{00000000-0005-0000-0000-00008E190000}"/>
    <cellStyle name="20% - Énfasis4 3 3 2 2 3" xfId="6540" xr:uid="{00000000-0005-0000-0000-00008F190000}"/>
    <cellStyle name="20% - Énfasis4 3 3 2 2 3 2" xfId="6541" xr:uid="{00000000-0005-0000-0000-000090190000}"/>
    <cellStyle name="20% - Énfasis4 3 3 2 2 4" xfId="6542" xr:uid="{00000000-0005-0000-0000-000091190000}"/>
    <cellStyle name="20% - Énfasis4 3 3 2 3" xfId="6543" xr:uid="{00000000-0005-0000-0000-000092190000}"/>
    <cellStyle name="20% - Énfasis4 3 3 2 3 2" xfId="6544" xr:uid="{00000000-0005-0000-0000-000093190000}"/>
    <cellStyle name="20% - Énfasis4 3 3 2 3 2 2" xfId="6545" xr:uid="{00000000-0005-0000-0000-000094190000}"/>
    <cellStyle name="20% - Énfasis4 3 3 2 3 3" xfId="6546" xr:uid="{00000000-0005-0000-0000-000095190000}"/>
    <cellStyle name="20% - Énfasis4 3 3 2 4" xfId="6547" xr:uid="{00000000-0005-0000-0000-000096190000}"/>
    <cellStyle name="20% - Énfasis4 3 3 2 4 2" xfId="6548" xr:uid="{00000000-0005-0000-0000-000097190000}"/>
    <cellStyle name="20% - Énfasis4 3 3 2 4 2 2" xfId="6549" xr:uid="{00000000-0005-0000-0000-000098190000}"/>
    <cellStyle name="20% - Énfasis4 3 3 2 4 3" xfId="6550" xr:uid="{00000000-0005-0000-0000-000099190000}"/>
    <cellStyle name="20% - Énfasis4 3 3 2 5" xfId="6551" xr:uid="{00000000-0005-0000-0000-00009A190000}"/>
    <cellStyle name="20% - Énfasis4 3 3 2 5 2" xfId="6552" xr:uid="{00000000-0005-0000-0000-00009B190000}"/>
    <cellStyle name="20% - Énfasis4 3 3 2 6" xfId="6553" xr:uid="{00000000-0005-0000-0000-00009C190000}"/>
    <cellStyle name="20% - Énfasis4 3 3 3" xfId="6554" xr:uid="{00000000-0005-0000-0000-00009D190000}"/>
    <cellStyle name="20% - Énfasis4 3 3 3 2" xfId="6555" xr:uid="{00000000-0005-0000-0000-00009E190000}"/>
    <cellStyle name="20% - Énfasis4 3 3 3 2 2" xfId="6556" xr:uid="{00000000-0005-0000-0000-00009F190000}"/>
    <cellStyle name="20% - Énfasis4 3 3 3 2 2 2" xfId="6557" xr:uid="{00000000-0005-0000-0000-0000A0190000}"/>
    <cellStyle name="20% - Énfasis4 3 3 3 2 3" xfId="6558" xr:uid="{00000000-0005-0000-0000-0000A1190000}"/>
    <cellStyle name="20% - Énfasis4 3 3 3 3" xfId="6559" xr:uid="{00000000-0005-0000-0000-0000A2190000}"/>
    <cellStyle name="20% - Énfasis4 3 3 3 3 2" xfId="6560" xr:uid="{00000000-0005-0000-0000-0000A3190000}"/>
    <cellStyle name="20% - Énfasis4 3 3 3 3 2 2" xfId="6561" xr:uid="{00000000-0005-0000-0000-0000A4190000}"/>
    <cellStyle name="20% - Énfasis4 3 3 3 3 3" xfId="6562" xr:uid="{00000000-0005-0000-0000-0000A5190000}"/>
    <cellStyle name="20% - Énfasis4 3 3 3 4" xfId="6563" xr:uid="{00000000-0005-0000-0000-0000A6190000}"/>
    <cellStyle name="20% - Énfasis4 3 3 3 4 2" xfId="6564" xr:uid="{00000000-0005-0000-0000-0000A7190000}"/>
    <cellStyle name="20% - Énfasis4 3 3 3 5" xfId="6565" xr:uid="{00000000-0005-0000-0000-0000A8190000}"/>
    <cellStyle name="20% - Énfasis4 3 3 4" xfId="6566" xr:uid="{00000000-0005-0000-0000-0000A9190000}"/>
    <cellStyle name="20% - Énfasis4 3 3 4 2" xfId="6567" xr:uid="{00000000-0005-0000-0000-0000AA190000}"/>
    <cellStyle name="20% - Énfasis4 3 3 4 2 2" xfId="6568" xr:uid="{00000000-0005-0000-0000-0000AB190000}"/>
    <cellStyle name="20% - Énfasis4 3 3 4 2 2 2" xfId="6569" xr:uid="{00000000-0005-0000-0000-0000AC190000}"/>
    <cellStyle name="20% - Énfasis4 3 3 4 2 3" xfId="6570" xr:uid="{00000000-0005-0000-0000-0000AD190000}"/>
    <cellStyle name="20% - Énfasis4 3 3 4 3" xfId="6571" xr:uid="{00000000-0005-0000-0000-0000AE190000}"/>
    <cellStyle name="20% - Énfasis4 3 3 4 3 2" xfId="6572" xr:uid="{00000000-0005-0000-0000-0000AF190000}"/>
    <cellStyle name="20% - Énfasis4 3 3 4 3 2 2" xfId="6573" xr:uid="{00000000-0005-0000-0000-0000B0190000}"/>
    <cellStyle name="20% - Énfasis4 3 3 4 3 3" xfId="6574" xr:uid="{00000000-0005-0000-0000-0000B1190000}"/>
    <cellStyle name="20% - Énfasis4 3 3 4 4" xfId="6575" xr:uid="{00000000-0005-0000-0000-0000B2190000}"/>
    <cellStyle name="20% - Énfasis4 3 3 4 4 2" xfId="6576" xr:uid="{00000000-0005-0000-0000-0000B3190000}"/>
    <cellStyle name="20% - Énfasis4 3 3 4 5" xfId="6577" xr:uid="{00000000-0005-0000-0000-0000B4190000}"/>
    <cellStyle name="20% - Énfasis4 3 3 5" xfId="6578" xr:uid="{00000000-0005-0000-0000-0000B5190000}"/>
    <cellStyle name="20% - Énfasis4 3 3 5 2" xfId="6579" xr:uid="{00000000-0005-0000-0000-0000B6190000}"/>
    <cellStyle name="20% - Énfasis4 3 3 5 2 2" xfId="6580" xr:uid="{00000000-0005-0000-0000-0000B7190000}"/>
    <cellStyle name="20% - Énfasis4 3 3 5 2 2 2" xfId="6581" xr:uid="{00000000-0005-0000-0000-0000B8190000}"/>
    <cellStyle name="20% - Énfasis4 3 3 5 2 3" xfId="6582" xr:uid="{00000000-0005-0000-0000-0000B9190000}"/>
    <cellStyle name="20% - Énfasis4 3 3 5 3" xfId="6583" xr:uid="{00000000-0005-0000-0000-0000BA190000}"/>
    <cellStyle name="20% - Énfasis4 3 3 5 3 2" xfId="6584" xr:uid="{00000000-0005-0000-0000-0000BB190000}"/>
    <cellStyle name="20% - Énfasis4 3 3 5 4" xfId="6585" xr:uid="{00000000-0005-0000-0000-0000BC190000}"/>
    <cellStyle name="20% - Énfasis4 3 3 6" xfId="6586" xr:uid="{00000000-0005-0000-0000-0000BD190000}"/>
    <cellStyle name="20% - Énfasis4 3 3 6 2" xfId="6587" xr:uid="{00000000-0005-0000-0000-0000BE190000}"/>
    <cellStyle name="20% - Énfasis4 3 3 6 2 2" xfId="6588" xr:uid="{00000000-0005-0000-0000-0000BF190000}"/>
    <cellStyle name="20% - Énfasis4 3 3 6 3" xfId="6589" xr:uid="{00000000-0005-0000-0000-0000C0190000}"/>
    <cellStyle name="20% - Énfasis4 3 3 7" xfId="6590" xr:uid="{00000000-0005-0000-0000-0000C1190000}"/>
    <cellStyle name="20% - Énfasis4 3 3 7 2" xfId="6591" xr:uid="{00000000-0005-0000-0000-0000C2190000}"/>
    <cellStyle name="20% - Énfasis4 3 3 7 2 2" xfId="6592" xr:uid="{00000000-0005-0000-0000-0000C3190000}"/>
    <cellStyle name="20% - Énfasis4 3 3 7 3" xfId="6593" xr:uid="{00000000-0005-0000-0000-0000C4190000}"/>
    <cellStyle name="20% - Énfasis4 3 3 8" xfId="6594" xr:uid="{00000000-0005-0000-0000-0000C5190000}"/>
    <cellStyle name="20% - Énfasis4 3 3 8 2" xfId="6595" xr:uid="{00000000-0005-0000-0000-0000C6190000}"/>
    <cellStyle name="20% - Énfasis4 3 3 9" xfId="6596" xr:uid="{00000000-0005-0000-0000-0000C7190000}"/>
    <cellStyle name="20% - Énfasis4 3 4" xfId="6597" xr:uid="{00000000-0005-0000-0000-0000C8190000}"/>
    <cellStyle name="20% - Énfasis4 3 4 2" xfId="6598" xr:uid="{00000000-0005-0000-0000-0000C9190000}"/>
    <cellStyle name="20% - Énfasis4 3 4 2 2" xfId="6599" xr:uid="{00000000-0005-0000-0000-0000CA190000}"/>
    <cellStyle name="20% - Énfasis4 3 4 2 2 2" xfId="6600" xr:uid="{00000000-0005-0000-0000-0000CB190000}"/>
    <cellStyle name="20% - Énfasis4 3 4 2 2 2 2" xfId="6601" xr:uid="{00000000-0005-0000-0000-0000CC190000}"/>
    <cellStyle name="20% - Énfasis4 3 4 2 2 3" xfId="6602" xr:uid="{00000000-0005-0000-0000-0000CD190000}"/>
    <cellStyle name="20% - Énfasis4 3 4 2 3" xfId="6603" xr:uid="{00000000-0005-0000-0000-0000CE190000}"/>
    <cellStyle name="20% - Énfasis4 3 4 2 3 2" xfId="6604" xr:uid="{00000000-0005-0000-0000-0000CF190000}"/>
    <cellStyle name="20% - Énfasis4 3 4 2 4" xfId="6605" xr:uid="{00000000-0005-0000-0000-0000D0190000}"/>
    <cellStyle name="20% - Énfasis4 3 4 3" xfId="6606" xr:uid="{00000000-0005-0000-0000-0000D1190000}"/>
    <cellStyle name="20% - Énfasis4 3 4 3 2" xfId="6607" xr:uid="{00000000-0005-0000-0000-0000D2190000}"/>
    <cellStyle name="20% - Énfasis4 3 4 3 2 2" xfId="6608" xr:uid="{00000000-0005-0000-0000-0000D3190000}"/>
    <cellStyle name="20% - Énfasis4 3 4 3 3" xfId="6609" xr:uid="{00000000-0005-0000-0000-0000D4190000}"/>
    <cellStyle name="20% - Énfasis4 3 4 4" xfId="6610" xr:uid="{00000000-0005-0000-0000-0000D5190000}"/>
    <cellStyle name="20% - Énfasis4 3 4 4 2" xfId="6611" xr:uid="{00000000-0005-0000-0000-0000D6190000}"/>
    <cellStyle name="20% - Énfasis4 3 4 4 2 2" xfId="6612" xr:uid="{00000000-0005-0000-0000-0000D7190000}"/>
    <cellStyle name="20% - Énfasis4 3 4 4 3" xfId="6613" xr:uid="{00000000-0005-0000-0000-0000D8190000}"/>
    <cellStyle name="20% - Énfasis4 3 4 5" xfId="6614" xr:uid="{00000000-0005-0000-0000-0000D9190000}"/>
    <cellStyle name="20% - Énfasis4 3 4 5 2" xfId="6615" xr:uid="{00000000-0005-0000-0000-0000DA190000}"/>
    <cellStyle name="20% - Énfasis4 3 4 6" xfId="6616" xr:uid="{00000000-0005-0000-0000-0000DB190000}"/>
    <cellStyle name="20% - Énfasis4 3 5" xfId="6617" xr:uid="{00000000-0005-0000-0000-0000DC190000}"/>
    <cellStyle name="20% - Énfasis4 3 5 2" xfId="6618" xr:uid="{00000000-0005-0000-0000-0000DD190000}"/>
    <cellStyle name="20% - Énfasis4 3 5 2 2" xfId="6619" xr:uid="{00000000-0005-0000-0000-0000DE190000}"/>
    <cellStyle name="20% - Énfasis4 3 5 2 2 2" xfId="6620" xr:uid="{00000000-0005-0000-0000-0000DF190000}"/>
    <cellStyle name="20% - Énfasis4 3 5 2 3" xfId="6621" xr:uid="{00000000-0005-0000-0000-0000E0190000}"/>
    <cellStyle name="20% - Énfasis4 3 5 3" xfId="6622" xr:uid="{00000000-0005-0000-0000-0000E1190000}"/>
    <cellStyle name="20% - Énfasis4 3 5 3 2" xfId="6623" xr:uid="{00000000-0005-0000-0000-0000E2190000}"/>
    <cellStyle name="20% - Énfasis4 3 5 3 2 2" xfId="6624" xr:uid="{00000000-0005-0000-0000-0000E3190000}"/>
    <cellStyle name="20% - Énfasis4 3 5 3 3" xfId="6625" xr:uid="{00000000-0005-0000-0000-0000E4190000}"/>
    <cellStyle name="20% - Énfasis4 3 5 4" xfId="6626" xr:uid="{00000000-0005-0000-0000-0000E5190000}"/>
    <cellStyle name="20% - Énfasis4 3 5 4 2" xfId="6627" xr:uid="{00000000-0005-0000-0000-0000E6190000}"/>
    <cellStyle name="20% - Énfasis4 3 5 5" xfId="6628" xr:uid="{00000000-0005-0000-0000-0000E7190000}"/>
    <cellStyle name="20% - Énfasis4 3 6" xfId="6629" xr:uid="{00000000-0005-0000-0000-0000E8190000}"/>
    <cellStyle name="20% - Énfasis4 3 6 2" xfId="6630" xr:uid="{00000000-0005-0000-0000-0000E9190000}"/>
    <cellStyle name="20% - Énfasis4 3 6 2 2" xfId="6631" xr:uid="{00000000-0005-0000-0000-0000EA190000}"/>
    <cellStyle name="20% - Énfasis4 3 6 2 2 2" xfId="6632" xr:uid="{00000000-0005-0000-0000-0000EB190000}"/>
    <cellStyle name="20% - Énfasis4 3 6 2 3" xfId="6633" xr:uid="{00000000-0005-0000-0000-0000EC190000}"/>
    <cellStyle name="20% - Énfasis4 3 6 3" xfId="6634" xr:uid="{00000000-0005-0000-0000-0000ED190000}"/>
    <cellStyle name="20% - Énfasis4 3 6 3 2" xfId="6635" xr:uid="{00000000-0005-0000-0000-0000EE190000}"/>
    <cellStyle name="20% - Énfasis4 3 6 3 2 2" xfId="6636" xr:uid="{00000000-0005-0000-0000-0000EF190000}"/>
    <cellStyle name="20% - Énfasis4 3 6 3 3" xfId="6637" xr:uid="{00000000-0005-0000-0000-0000F0190000}"/>
    <cellStyle name="20% - Énfasis4 3 6 4" xfId="6638" xr:uid="{00000000-0005-0000-0000-0000F1190000}"/>
    <cellStyle name="20% - Énfasis4 3 6 4 2" xfId="6639" xr:uid="{00000000-0005-0000-0000-0000F2190000}"/>
    <cellStyle name="20% - Énfasis4 3 6 5" xfId="6640" xr:uid="{00000000-0005-0000-0000-0000F3190000}"/>
    <cellStyle name="20% - Énfasis4 3 7" xfId="6641" xr:uid="{00000000-0005-0000-0000-0000F4190000}"/>
    <cellStyle name="20% - Énfasis4 3 7 2" xfId="6642" xr:uid="{00000000-0005-0000-0000-0000F5190000}"/>
    <cellStyle name="20% - Énfasis4 3 7 2 2" xfId="6643" xr:uid="{00000000-0005-0000-0000-0000F6190000}"/>
    <cellStyle name="20% - Énfasis4 3 7 2 2 2" xfId="6644" xr:uid="{00000000-0005-0000-0000-0000F7190000}"/>
    <cellStyle name="20% - Énfasis4 3 7 2 3" xfId="6645" xr:uid="{00000000-0005-0000-0000-0000F8190000}"/>
    <cellStyle name="20% - Énfasis4 3 7 3" xfId="6646" xr:uid="{00000000-0005-0000-0000-0000F9190000}"/>
    <cellStyle name="20% - Énfasis4 3 7 3 2" xfId="6647" xr:uid="{00000000-0005-0000-0000-0000FA190000}"/>
    <cellStyle name="20% - Énfasis4 3 7 4" xfId="6648" xr:uid="{00000000-0005-0000-0000-0000FB190000}"/>
    <cellStyle name="20% - Énfasis4 3 8" xfId="6649" xr:uid="{00000000-0005-0000-0000-0000FC190000}"/>
    <cellStyle name="20% - Énfasis4 3 8 2" xfId="6650" xr:uid="{00000000-0005-0000-0000-0000FD190000}"/>
    <cellStyle name="20% - Énfasis4 3 8 2 2" xfId="6651" xr:uid="{00000000-0005-0000-0000-0000FE190000}"/>
    <cellStyle name="20% - Énfasis4 3 8 3" xfId="6652" xr:uid="{00000000-0005-0000-0000-0000FF190000}"/>
    <cellStyle name="20% - Énfasis4 3 9" xfId="6653" xr:uid="{00000000-0005-0000-0000-0000001A0000}"/>
    <cellStyle name="20% - Énfasis4 3 9 2" xfId="6654" xr:uid="{00000000-0005-0000-0000-0000011A0000}"/>
    <cellStyle name="20% - Énfasis4 3 9 2 2" xfId="6655" xr:uid="{00000000-0005-0000-0000-0000021A0000}"/>
    <cellStyle name="20% - Énfasis4 3 9 3" xfId="6656" xr:uid="{00000000-0005-0000-0000-0000031A0000}"/>
    <cellStyle name="20% - Énfasis4 30" xfId="6657" xr:uid="{00000000-0005-0000-0000-0000041A0000}"/>
    <cellStyle name="20% - Énfasis4 30 2" xfId="6658" xr:uid="{00000000-0005-0000-0000-0000051A0000}"/>
    <cellStyle name="20% - Énfasis4 30 2 2" xfId="6659" xr:uid="{00000000-0005-0000-0000-0000061A0000}"/>
    <cellStyle name="20% - Énfasis4 30 2 2 2" xfId="6660" xr:uid="{00000000-0005-0000-0000-0000071A0000}"/>
    <cellStyle name="20% - Énfasis4 30 2 2 2 2" xfId="6661" xr:uid="{00000000-0005-0000-0000-0000081A0000}"/>
    <cellStyle name="20% - Énfasis4 30 2 2 3" xfId="6662" xr:uid="{00000000-0005-0000-0000-0000091A0000}"/>
    <cellStyle name="20% - Énfasis4 30 2 3" xfId="6663" xr:uid="{00000000-0005-0000-0000-00000A1A0000}"/>
    <cellStyle name="20% - Énfasis4 30 2 3 2" xfId="6664" xr:uid="{00000000-0005-0000-0000-00000B1A0000}"/>
    <cellStyle name="20% - Énfasis4 30 2 4" xfId="6665" xr:uid="{00000000-0005-0000-0000-00000C1A0000}"/>
    <cellStyle name="20% - Énfasis4 30 3" xfId="6666" xr:uid="{00000000-0005-0000-0000-00000D1A0000}"/>
    <cellStyle name="20% - Énfasis4 30 3 2" xfId="6667" xr:uid="{00000000-0005-0000-0000-00000E1A0000}"/>
    <cellStyle name="20% - Énfasis4 30 3 2 2" xfId="6668" xr:uid="{00000000-0005-0000-0000-00000F1A0000}"/>
    <cellStyle name="20% - Énfasis4 30 3 3" xfId="6669" xr:uid="{00000000-0005-0000-0000-0000101A0000}"/>
    <cellStyle name="20% - Énfasis4 30 4" xfId="6670" xr:uid="{00000000-0005-0000-0000-0000111A0000}"/>
    <cellStyle name="20% - Énfasis4 30 4 2" xfId="6671" xr:uid="{00000000-0005-0000-0000-0000121A0000}"/>
    <cellStyle name="20% - Énfasis4 30 5" xfId="6672" xr:uid="{00000000-0005-0000-0000-0000131A0000}"/>
    <cellStyle name="20% - Énfasis4 31" xfId="6673" xr:uid="{00000000-0005-0000-0000-0000141A0000}"/>
    <cellStyle name="20% - Énfasis4 31 2" xfId="6674" xr:uid="{00000000-0005-0000-0000-0000151A0000}"/>
    <cellStyle name="20% - Énfasis4 31 2 2" xfId="6675" xr:uid="{00000000-0005-0000-0000-0000161A0000}"/>
    <cellStyle name="20% - Énfasis4 31 2 2 2" xfId="6676" xr:uid="{00000000-0005-0000-0000-0000171A0000}"/>
    <cellStyle name="20% - Énfasis4 31 2 2 2 2" xfId="6677" xr:uid="{00000000-0005-0000-0000-0000181A0000}"/>
    <cellStyle name="20% - Énfasis4 31 2 2 3" xfId="6678" xr:uid="{00000000-0005-0000-0000-0000191A0000}"/>
    <cellStyle name="20% - Énfasis4 31 2 3" xfId="6679" xr:uid="{00000000-0005-0000-0000-00001A1A0000}"/>
    <cellStyle name="20% - Énfasis4 31 2 3 2" xfId="6680" xr:uid="{00000000-0005-0000-0000-00001B1A0000}"/>
    <cellStyle name="20% - Énfasis4 31 2 4" xfId="6681" xr:uid="{00000000-0005-0000-0000-00001C1A0000}"/>
    <cellStyle name="20% - Énfasis4 31 3" xfId="6682" xr:uid="{00000000-0005-0000-0000-00001D1A0000}"/>
    <cellStyle name="20% - Énfasis4 31 3 2" xfId="6683" xr:uid="{00000000-0005-0000-0000-00001E1A0000}"/>
    <cellStyle name="20% - Énfasis4 31 3 2 2" xfId="6684" xr:uid="{00000000-0005-0000-0000-00001F1A0000}"/>
    <cellStyle name="20% - Énfasis4 31 3 3" xfId="6685" xr:uid="{00000000-0005-0000-0000-0000201A0000}"/>
    <cellStyle name="20% - Énfasis4 31 4" xfId="6686" xr:uid="{00000000-0005-0000-0000-0000211A0000}"/>
    <cellStyle name="20% - Énfasis4 31 4 2" xfId="6687" xr:uid="{00000000-0005-0000-0000-0000221A0000}"/>
    <cellStyle name="20% - Énfasis4 31 5" xfId="6688" xr:uid="{00000000-0005-0000-0000-0000231A0000}"/>
    <cellStyle name="20% - Énfasis4 32" xfId="6689" xr:uid="{00000000-0005-0000-0000-0000241A0000}"/>
    <cellStyle name="20% - Énfasis4 32 2" xfId="6690" xr:uid="{00000000-0005-0000-0000-0000251A0000}"/>
    <cellStyle name="20% - Énfasis4 32 2 2" xfId="6691" xr:uid="{00000000-0005-0000-0000-0000261A0000}"/>
    <cellStyle name="20% - Énfasis4 32 2 2 2" xfId="6692" xr:uid="{00000000-0005-0000-0000-0000271A0000}"/>
    <cellStyle name="20% - Énfasis4 32 2 2 2 2" xfId="6693" xr:uid="{00000000-0005-0000-0000-0000281A0000}"/>
    <cellStyle name="20% - Énfasis4 32 2 2 3" xfId="6694" xr:uid="{00000000-0005-0000-0000-0000291A0000}"/>
    <cellStyle name="20% - Énfasis4 32 2 3" xfId="6695" xr:uid="{00000000-0005-0000-0000-00002A1A0000}"/>
    <cellStyle name="20% - Énfasis4 32 2 3 2" xfId="6696" xr:uid="{00000000-0005-0000-0000-00002B1A0000}"/>
    <cellStyle name="20% - Énfasis4 32 2 4" xfId="6697" xr:uid="{00000000-0005-0000-0000-00002C1A0000}"/>
    <cellStyle name="20% - Énfasis4 32 3" xfId="6698" xr:uid="{00000000-0005-0000-0000-00002D1A0000}"/>
    <cellStyle name="20% - Énfasis4 32 3 2" xfId="6699" xr:uid="{00000000-0005-0000-0000-00002E1A0000}"/>
    <cellStyle name="20% - Énfasis4 32 3 2 2" xfId="6700" xr:uid="{00000000-0005-0000-0000-00002F1A0000}"/>
    <cellStyle name="20% - Énfasis4 32 3 3" xfId="6701" xr:uid="{00000000-0005-0000-0000-0000301A0000}"/>
    <cellStyle name="20% - Énfasis4 32 4" xfId="6702" xr:uid="{00000000-0005-0000-0000-0000311A0000}"/>
    <cellStyle name="20% - Énfasis4 32 4 2" xfId="6703" xr:uid="{00000000-0005-0000-0000-0000321A0000}"/>
    <cellStyle name="20% - Énfasis4 32 5" xfId="6704" xr:uid="{00000000-0005-0000-0000-0000331A0000}"/>
    <cellStyle name="20% - Énfasis4 33" xfId="6705" xr:uid="{00000000-0005-0000-0000-0000341A0000}"/>
    <cellStyle name="20% - Énfasis4 33 2" xfId="6706" xr:uid="{00000000-0005-0000-0000-0000351A0000}"/>
    <cellStyle name="20% - Énfasis4 33 2 2" xfId="6707" xr:uid="{00000000-0005-0000-0000-0000361A0000}"/>
    <cellStyle name="20% - Énfasis4 33 2 2 2" xfId="6708" xr:uid="{00000000-0005-0000-0000-0000371A0000}"/>
    <cellStyle name="20% - Énfasis4 33 2 3" xfId="6709" xr:uid="{00000000-0005-0000-0000-0000381A0000}"/>
    <cellStyle name="20% - Énfasis4 33 3" xfId="6710" xr:uid="{00000000-0005-0000-0000-0000391A0000}"/>
    <cellStyle name="20% - Énfasis4 33 3 2" xfId="6711" xr:uid="{00000000-0005-0000-0000-00003A1A0000}"/>
    <cellStyle name="20% - Énfasis4 33 3 2 2" xfId="6712" xr:uid="{00000000-0005-0000-0000-00003B1A0000}"/>
    <cellStyle name="20% - Énfasis4 33 3 3" xfId="6713" xr:uid="{00000000-0005-0000-0000-00003C1A0000}"/>
    <cellStyle name="20% - Énfasis4 33 4" xfId="6714" xr:uid="{00000000-0005-0000-0000-00003D1A0000}"/>
    <cellStyle name="20% - Énfasis4 33 4 2" xfId="6715" xr:uid="{00000000-0005-0000-0000-00003E1A0000}"/>
    <cellStyle name="20% - Énfasis4 33 5" xfId="6716" xr:uid="{00000000-0005-0000-0000-00003F1A0000}"/>
    <cellStyle name="20% - Énfasis4 34" xfId="6717" xr:uid="{00000000-0005-0000-0000-0000401A0000}"/>
    <cellStyle name="20% - Énfasis4 34 2" xfId="6718" xr:uid="{00000000-0005-0000-0000-0000411A0000}"/>
    <cellStyle name="20% - Énfasis4 34 2 2" xfId="6719" xr:uid="{00000000-0005-0000-0000-0000421A0000}"/>
    <cellStyle name="20% - Énfasis4 34 2 2 2" xfId="6720" xr:uid="{00000000-0005-0000-0000-0000431A0000}"/>
    <cellStyle name="20% - Énfasis4 34 2 3" xfId="6721" xr:uid="{00000000-0005-0000-0000-0000441A0000}"/>
    <cellStyle name="20% - Énfasis4 34 3" xfId="6722" xr:uid="{00000000-0005-0000-0000-0000451A0000}"/>
    <cellStyle name="20% - Énfasis4 34 3 2" xfId="6723" xr:uid="{00000000-0005-0000-0000-0000461A0000}"/>
    <cellStyle name="20% - Énfasis4 34 3 2 2" xfId="6724" xr:uid="{00000000-0005-0000-0000-0000471A0000}"/>
    <cellStyle name="20% - Énfasis4 34 3 3" xfId="6725" xr:uid="{00000000-0005-0000-0000-0000481A0000}"/>
    <cellStyle name="20% - Énfasis4 34 4" xfId="6726" xr:uid="{00000000-0005-0000-0000-0000491A0000}"/>
    <cellStyle name="20% - Énfasis4 34 4 2" xfId="6727" xr:uid="{00000000-0005-0000-0000-00004A1A0000}"/>
    <cellStyle name="20% - Énfasis4 34 5" xfId="6728" xr:uid="{00000000-0005-0000-0000-00004B1A0000}"/>
    <cellStyle name="20% - Énfasis4 35" xfId="6729" xr:uid="{00000000-0005-0000-0000-00004C1A0000}"/>
    <cellStyle name="20% - Énfasis4 35 2" xfId="6730" xr:uid="{00000000-0005-0000-0000-00004D1A0000}"/>
    <cellStyle name="20% - Énfasis4 35 2 2" xfId="6731" xr:uid="{00000000-0005-0000-0000-00004E1A0000}"/>
    <cellStyle name="20% - Énfasis4 35 2 2 2" xfId="6732" xr:uid="{00000000-0005-0000-0000-00004F1A0000}"/>
    <cellStyle name="20% - Énfasis4 35 2 3" xfId="6733" xr:uid="{00000000-0005-0000-0000-0000501A0000}"/>
    <cellStyle name="20% - Énfasis4 35 3" xfId="6734" xr:uid="{00000000-0005-0000-0000-0000511A0000}"/>
    <cellStyle name="20% - Énfasis4 35 3 2" xfId="6735" xr:uid="{00000000-0005-0000-0000-0000521A0000}"/>
    <cellStyle name="20% - Énfasis4 35 3 2 2" xfId="6736" xr:uid="{00000000-0005-0000-0000-0000531A0000}"/>
    <cellStyle name="20% - Énfasis4 35 3 3" xfId="6737" xr:uid="{00000000-0005-0000-0000-0000541A0000}"/>
    <cellStyle name="20% - Énfasis4 35 4" xfId="6738" xr:uid="{00000000-0005-0000-0000-0000551A0000}"/>
    <cellStyle name="20% - Énfasis4 35 4 2" xfId="6739" xr:uid="{00000000-0005-0000-0000-0000561A0000}"/>
    <cellStyle name="20% - Énfasis4 35 5" xfId="6740" xr:uid="{00000000-0005-0000-0000-0000571A0000}"/>
    <cellStyle name="20% - Énfasis4 36" xfId="6741" xr:uid="{00000000-0005-0000-0000-0000581A0000}"/>
    <cellStyle name="20% - Énfasis4 36 2" xfId="6742" xr:uid="{00000000-0005-0000-0000-0000591A0000}"/>
    <cellStyle name="20% - Énfasis4 36 2 2" xfId="6743" xr:uid="{00000000-0005-0000-0000-00005A1A0000}"/>
    <cellStyle name="20% - Énfasis4 36 2 2 2" xfId="6744" xr:uid="{00000000-0005-0000-0000-00005B1A0000}"/>
    <cellStyle name="20% - Énfasis4 36 2 3" xfId="6745" xr:uid="{00000000-0005-0000-0000-00005C1A0000}"/>
    <cellStyle name="20% - Énfasis4 36 3" xfId="6746" xr:uid="{00000000-0005-0000-0000-00005D1A0000}"/>
    <cellStyle name="20% - Énfasis4 36 3 2" xfId="6747" xr:uid="{00000000-0005-0000-0000-00005E1A0000}"/>
    <cellStyle name="20% - Énfasis4 36 4" xfId="6748" xr:uid="{00000000-0005-0000-0000-00005F1A0000}"/>
    <cellStyle name="20% - Énfasis4 37" xfId="6749" xr:uid="{00000000-0005-0000-0000-0000601A0000}"/>
    <cellStyle name="20% - Énfasis4 37 2" xfId="6750" xr:uid="{00000000-0005-0000-0000-0000611A0000}"/>
    <cellStyle name="20% - Énfasis4 37 2 2" xfId="6751" xr:uid="{00000000-0005-0000-0000-0000621A0000}"/>
    <cellStyle name="20% - Énfasis4 37 2 2 2" xfId="6752" xr:uid="{00000000-0005-0000-0000-0000631A0000}"/>
    <cellStyle name="20% - Énfasis4 37 2 3" xfId="6753" xr:uid="{00000000-0005-0000-0000-0000641A0000}"/>
    <cellStyle name="20% - Énfasis4 37 3" xfId="6754" xr:uid="{00000000-0005-0000-0000-0000651A0000}"/>
    <cellStyle name="20% - Énfasis4 37 3 2" xfId="6755" xr:uid="{00000000-0005-0000-0000-0000661A0000}"/>
    <cellStyle name="20% - Énfasis4 37 4" xfId="6756" xr:uid="{00000000-0005-0000-0000-0000671A0000}"/>
    <cellStyle name="20% - Énfasis4 38" xfId="6757" xr:uid="{00000000-0005-0000-0000-0000681A0000}"/>
    <cellStyle name="20% - Énfasis4 38 2" xfId="6758" xr:uid="{00000000-0005-0000-0000-0000691A0000}"/>
    <cellStyle name="20% - Énfasis4 38 2 2" xfId="6759" xr:uid="{00000000-0005-0000-0000-00006A1A0000}"/>
    <cellStyle name="20% - Énfasis4 38 2 2 2" xfId="6760" xr:uid="{00000000-0005-0000-0000-00006B1A0000}"/>
    <cellStyle name="20% - Énfasis4 38 2 3" xfId="6761" xr:uid="{00000000-0005-0000-0000-00006C1A0000}"/>
    <cellStyle name="20% - Énfasis4 38 3" xfId="6762" xr:uid="{00000000-0005-0000-0000-00006D1A0000}"/>
    <cellStyle name="20% - Énfasis4 38 3 2" xfId="6763" xr:uid="{00000000-0005-0000-0000-00006E1A0000}"/>
    <cellStyle name="20% - Énfasis4 38 4" xfId="6764" xr:uid="{00000000-0005-0000-0000-00006F1A0000}"/>
    <cellStyle name="20% - Énfasis4 39" xfId="6765" xr:uid="{00000000-0005-0000-0000-0000701A0000}"/>
    <cellStyle name="20% - Énfasis4 39 2" xfId="6766" xr:uid="{00000000-0005-0000-0000-0000711A0000}"/>
    <cellStyle name="20% - Énfasis4 39 2 2" xfId="6767" xr:uid="{00000000-0005-0000-0000-0000721A0000}"/>
    <cellStyle name="20% - Énfasis4 39 2 2 2" xfId="6768" xr:uid="{00000000-0005-0000-0000-0000731A0000}"/>
    <cellStyle name="20% - Énfasis4 39 2 3" xfId="6769" xr:uid="{00000000-0005-0000-0000-0000741A0000}"/>
    <cellStyle name="20% - Énfasis4 39 3" xfId="6770" xr:uid="{00000000-0005-0000-0000-0000751A0000}"/>
    <cellStyle name="20% - Énfasis4 39 3 2" xfId="6771" xr:uid="{00000000-0005-0000-0000-0000761A0000}"/>
    <cellStyle name="20% - Énfasis4 39 4" xfId="6772" xr:uid="{00000000-0005-0000-0000-0000771A0000}"/>
    <cellStyle name="20% - Énfasis4 4" xfId="6773" xr:uid="{00000000-0005-0000-0000-0000781A0000}"/>
    <cellStyle name="20% - Énfasis4 4 10" xfId="6774" xr:uid="{00000000-0005-0000-0000-0000791A0000}"/>
    <cellStyle name="20% - Énfasis4 4 10 2" xfId="6775" xr:uid="{00000000-0005-0000-0000-00007A1A0000}"/>
    <cellStyle name="20% - Énfasis4 4 11" xfId="6776" xr:uid="{00000000-0005-0000-0000-00007B1A0000}"/>
    <cellStyle name="20% - Énfasis4 4 2" xfId="6777" xr:uid="{00000000-0005-0000-0000-00007C1A0000}"/>
    <cellStyle name="20% - Énfasis4 4 2 2" xfId="6778" xr:uid="{00000000-0005-0000-0000-00007D1A0000}"/>
    <cellStyle name="20% - Énfasis4 4 2 2 2" xfId="6779" xr:uid="{00000000-0005-0000-0000-00007E1A0000}"/>
    <cellStyle name="20% - Énfasis4 4 2 2 2 2" xfId="6780" xr:uid="{00000000-0005-0000-0000-00007F1A0000}"/>
    <cellStyle name="20% - Énfasis4 4 2 2 2 2 2" xfId="6781" xr:uid="{00000000-0005-0000-0000-0000801A0000}"/>
    <cellStyle name="20% - Énfasis4 4 2 2 2 2 2 2" xfId="6782" xr:uid="{00000000-0005-0000-0000-0000811A0000}"/>
    <cellStyle name="20% - Énfasis4 4 2 2 2 2 3" xfId="6783" xr:uid="{00000000-0005-0000-0000-0000821A0000}"/>
    <cellStyle name="20% - Énfasis4 4 2 2 2 3" xfId="6784" xr:uid="{00000000-0005-0000-0000-0000831A0000}"/>
    <cellStyle name="20% - Énfasis4 4 2 2 2 3 2" xfId="6785" xr:uid="{00000000-0005-0000-0000-0000841A0000}"/>
    <cellStyle name="20% - Énfasis4 4 2 2 2 4" xfId="6786" xr:uid="{00000000-0005-0000-0000-0000851A0000}"/>
    <cellStyle name="20% - Énfasis4 4 2 2 3" xfId="6787" xr:uid="{00000000-0005-0000-0000-0000861A0000}"/>
    <cellStyle name="20% - Énfasis4 4 2 2 3 2" xfId="6788" xr:uid="{00000000-0005-0000-0000-0000871A0000}"/>
    <cellStyle name="20% - Énfasis4 4 2 2 3 2 2" xfId="6789" xr:uid="{00000000-0005-0000-0000-0000881A0000}"/>
    <cellStyle name="20% - Énfasis4 4 2 2 3 3" xfId="6790" xr:uid="{00000000-0005-0000-0000-0000891A0000}"/>
    <cellStyle name="20% - Énfasis4 4 2 2 4" xfId="6791" xr:uid="{00000000-0005-0000-0000-00008A1A0000}"/>
    <cellStyle name="20% - Énfasis4 4 2 2 4 2" xfId="6792" xr:uid="{00000000-0005-0000-0000-00008B1A0000}"/>
    <cellStyle name="20% - Énfasis4 4 2 2 4 2 2" xfId="6793" xr:uid="{00000000-0005-0000-0000-00008C1A0000}"/>
    <cellStyle name="20% - Énfasis4 4 2 2 4 3" xfId="6794" xr:uid="{00000000-0005-0000-0000-00008D1A0000}"/>
    <cellStyle name="20% - Énfasis4 4 2 2 5" xfId="6795" xr:uid="{00000000-0005-0000-0000-00008E1A0000}"/>
    <cellStyle name="20% - Énfasis4 4 2 2 5 2" xfId="6796" xr:uid="{00000000-0005-0000-0000-00008F1A0000}"/>
    <cellStyle name="20% - Énfasis4 4 2 2 6" xfId="6797" xr:uid="{00000000-0005-0000-0000-0000901A0000}"/>
    <cellStyle name="20% - Énfasis4 4 2 3" xfId="6798" xr:uid="{00000000-0005-0000-0000-0000911A0000}"/>
    <cellStyle name="20% - Énfasis4 4 2 3 2" xfId="6799" xr:uid="{00000000-0005-0000-0000-0000921A0000}"/>
    <cellStyle name="20% - Énfasis4 4 2 3 2 2" xfId="6800" xr:uid="{00000000-0005-0000-0000-0000931A0000}"/>
    <cellStyle name="20% - Énfasis4 4 2 3 2 2 2" xfId="6801" xr:uid="{00000000-0005-0000-0000-0000941A0000}"/>
    <cellStyle name="20% - Énfasis4 4 2 3 2 3" xfId="6802" xr:uid="{00000000-0005-0000-0000-0000951A0000}"/>
    <cellStyle name="20% - Énfasis4 4 2 3 3" xfId="6803" xr:uid="{00000000-0005-0000-0000-0000961A0000}"/>
    <cellStyle name="20% - Énfasis4 4 2 3 3 2" xfId="6804" xr:uid="{00000000-0005-0000-0000-0000971A0000}"/>
    <cellStyle name="20% - Énfasis4 4 2 3 3 2 2" xfId="6805" xr:uid="{00000000-0005-0000-0000-0000981A0000}"/>
    <cellStyle name="20% - Énfasis4 4 2 3 3 3" xfId="6806" xr:uid="{00000000-0005-0000-0000-0000991A0000}"/>
    <cellStyle name="20% - Énfasis4 4 2 3 4" xfId="6807" xr:uid="{00000000-0005-0000-0000-00009A1A0000}"/>
    <cellStyle name="20% - Énfasis4 4 2 3 4 2" xfId="6808" xr:uid="{00000000-0005-0000-0000-00009B1A0000}"/>
    <cellStyle name="20% - Énfasis4 4 2 3 5" xfId="6809" xr:uid="{00000000-0005-0000-0000-00009C1A0000}"/>
    <cellStyle name="20% - Énfasis4 4 2 4" xfId="6810" xr:uid="{00000000-0005-0000-0000-00009D1A0000}"/>
    <cellStyle name="20% - Énfasis4 4 2 4 2" xfId="6811" xr:uid="{00000000-0005-0000-0000-00009E1A0000}"/>
    <cellStyle name="20% - Énfasis4 4 2 4 2 2" xfId="6812" xr:uid="{00000000-0005-0000-0000-00009F1A0000}"/>
    <cellStyle name="20% - Énfasis4 4 2 4 2 2 2" xfId="6813" xr:uid="{00000000-0005-0000-0000-0000A01A0000}"/>
    <cellStyle name="20% - Énfasis4 4 2 4 2 3" xfId="6814" xr:uid="{00000000-0005-0000-0000-0000A11A0000}"/>
    <cellStyle name="20% - Énfasis4 4 2 4 3" xfId="6815" xr:uid="{00000000-0005-0000-0000-0000A21A0000}"/>
    <cellStyle name="20% - Énfasis4 4 2 4 3 2" xfId="6816" xr:uid="{00000000-0005-0000-0000-0000A31A0000}"/>
    <cellStyle name="20% - Énfasis4 4 2 4 3 2 2" xfId="6817" xr:uid="{00000000-0005-0000-0000-0000A41A0000}"/>
    <cellStyle name="20% - Énfasis4 4 2 4 3 3" xfId="6818" xr:uid="{00000000-0005-0000-0000-0000A51A0000}"/>
    <cellStyle name="20% - Énfasis4 4 2 4 4" xfId="6819" xr:uid="{00000000-0005-0000-0000-0000A61A0000}"/>
    <cellStyle name="20% - Énfasis4 4 2 4 4 2" xfId="6820" xr:uid="{00000000-0005-0000-0000-0000A71A0000}"/>
    <cellStyle name="20% - Énfasis4 4 2 4 5" xfId="6821" xr:uid="{00000000-0005-0000-0000-0000A81A0000}"/>
    <cellStyle name="20% - Énfasis4 4 2 5" xfId="6822" xr:uid="{00000000-0005-0000-0000-0000A91A0000}"/>
    <cellStyle name="20% - Énfasis4 4 2 5 2" xfId="6823" xr:uid="{00000000-0005-0000-0000-0000AA1A0000}"/>
    <cellStyle name="20% - Énfasis4 4 2 5 2 2" xfId="6824" xr:uid="{00000000-0005-0000-0000-0000AB1A0000}"/>
    <cellStyle name="20% - Énfasis4 4 2 5 2 2 2" xfId="6825" xr:uid="{00000000-0005-0000-0000-0000AC1A0000}"/>
    <cellStyle name="20% - Énfasis4 4 2 5 2 3" xfId="6826" xr:uid="{00000000-0005-0000-0000-0000AD1A0000}"/>
    <cellStyle name="20% - Énfasis4 4 2 5 3" xfId="6827" xr:uid="{00000000-0005-0000-0000-0000AE1A0000}"/>
    <cellStyle name="20% - Énfasis4 4 2 5 3 2" xfId="6828" xr:uid="{00000000-0005-0000-0000-0000AF1A0000}"/>
    <cellStyle name="20% - Énfasis4 4 2 5 4" xfId="6829" xr:uid="{00000000-0005-0000-0000-0000B01A0000}"/>
    <cellStyle name="20% - Énfasis4 4 2 6" xfId="6830" xr:uid="{00000000-0005-0000-0000-0000B11A0000}"/>
    <cellStyle name="20% - Énfasis4 4 2 6 2" xfId="6831" xr:uid="{00000000-0005-0000-0000-0000B21A0000}"/>
    <cellStyle name="20% - Énfasis4 4 2 6 2 2" xfId="6832" xr:uid="{00000000-0005-0000-0000-0000B31A0000}"/>
    <cellStyle name="20% - Énfasis4 4 2 6 3" xfId="6833" xr:uid="{00000000-0005-0000-0000-0000B41A0000}"/>
    <cellStyle name="20% - Énfasis4 4 2 7" xfId="6834" xr:uid="{00000000-0005-0000-0000-0000B51A0000}"/>
    <cellStyle name="20% - Énfasis4 4 2 7 2" xfId="6835" xr:uid="{00000000-0005-0000-0000-0000B61A0000}"/>
    <cellStyle name="20% - Énfasis4 4 2 7 2 2" xfId="6836" xr:uid="{00000000-0005-0000-0000-0000B71A0000}"/>
    <cellStyle name="20% - Énfasis4 4 2 7 3" xfId="6837" xr:uid="{00000000-0005-0000-0000-0000B81A0000}"/>
    <cellStyle name="20% - Énfasis4 4 2 8" xfId="6838" xr:uid="{00000000-0005-0000-0000-0000B91A0000}"/>
    <cellStyle name="20% - Énfasis4 4 2 8 2" xfId="6839" xr:uid="{00000000-0005-0000-0000-0000BA1A0000}"/>
    <cellStyle name="20% - Énfasis4 4 2 9" xfId="6840" xr:uid="{00000000-0005-0000-0000-0000BB1A0000}"/>
    <cellStyle name="20% - Énfasis4 4 3" xfId="6841" xr:uid="{00000000-0005-0000-0000-0000BC1A0000}"/>
    <cellStyle name="20% - Énfasis4 4 3 2" xfId="6842" xr:uid="{00000000-0005-0000-0000-0000BD1A0000}"/>
    <cellStyle name="20% - Énfasis4 4 3 2 2" xfId="6843" xr:uid="{00000000-0005-0000-0000-0000BE1A0000}"/>
    <cellStyle name="20% - Énfasis4 4 3 2 2 2" xfId="6844" xr:uid="{00000000-0005-0000-0000-0000BF1A0000}"/>
    <cellStyle name="20% - Énfasis4 4 3 2 2 2 2" xfId="6845" xr:uid="{00000000-0005-0000-0000-0000C01A0000}"/>
    <cellStyle name="20% - Énfasis4 4 3 2 2 3" xfId="6846" xr:uid="{00000000-0005-0000-0000-0000C11A0000}"/>
    <cellStyle name="20% - Énfasis4 4 3 2 3" xfId="6847" xr:uid="{00000000-0005-0000-0000-0000C21A0000}"/>
    <cellStyle name="20% - Énfasis4 4 3 2 3 2" xfId="6848" xr:uid="{00000000-0005-0000-0000-0000C31A0000}"/>
    <cellStyle name="20% - Énfasis4 4 3 2 4" xfId="6849" xr:uid="{00000000-0005-0000-0000-0000C41A0000}"/>
    <cellStyle name="20% - Énfasis4 4 3 3" xfId="6850" xr:uid="{00000000-0005-0000-0000-0000C51A0000}"/>
    <cellStyle name="20% - Énfasis4 4 3 3 2" xfId="6851" xr:uid="{00000000-0005-0000-0000-0000C61A0000}"/>
    <cellStyle name="20% - Énfasis4 4 3 3 2 2" xfId="6852" xr:uid="{00000000-0005-0000-0000-0000C71A0000}"/>
    <cellStyle name="20% - Énfasis4 4 3 3 3" xfId="6853" xr:uid="{00000000-0005-0000-0000-0000C81A0000}"/>
    <cellStyle name="20% - Énfasis4 4 3 4" xfId="6854" xr:uid="{00000000-0005-0000-0000-0000C91A0000}"/>
    <cellStyle name="20% - Énfasis4 4 3 4 2" xfId="6855" xr:uid="{00000000-0005-0000-0000-0000CA1A0000}"/>
    <cellStyle name="20% - Énfasis4 4 3 4 2 2" xfId="6856" xr:uid="{00000000-0005-0000-0000-0000CB1A0000}"/>
    <cellStyle name="20% - Énfasis4 4 3 4 3" xfId="6857" xr:uid="{00000000-0005-0000-0000-0000CC1A0000}"/>
    <cellStyle name="20% - Énfasis4 4 3 5" xfId="6858" xr:uid="{00000000-0005-0000-0000-0000CD1A0000}"/>
    <cellStyle name="20% - Énfasis4 4 3 5 2" xfId="6859" xr:uid="{00000000-0005-0000-0000-0000CE1A0000}"/>
    <cellStyle name="20% - Énfasis4 4 3 6" xfId="6860" xr:uid="{00000000-0005-0000-0000-0000CF1A0000}"/>
    <cellStyle name="20% - Énfasis4 4 4" xfId="6861" xr:uid="{00000000-0005-0000-0000-0000D01A0000}"/>
    <cellStyle name="20% - Énfasis4 4 4 2" xfId="6862" xr:uid="{00000000-0005-0000-0000-0000D11A0000}"/>
    <cellStyle name="20% - Énfasis4 4 4 2 2" xfId="6863" xr:uid="{00000000-0005-0000-0000-0000D21A0000}"/>
    <cellStyle name="20% - Énfasis4 4 4 2 2 2" xfId="6864" xr:uid="{00000000-0005-0000-0000-0000D31A0000}"/>
    <cellStyle name="20% - Énfasis4 4 4 2 3" xfId="6865" xr:uid="{00000000-0005-0000-0000-0000D41A0000}"/>
    <cellStyle name="20% - Énfasis4 4 4 3" xfId="6866" xr:uid="{00000000-0005-0000-0000-0000D51A0000}"/>
    <cellStyle name="20% - Énfasis4 4 4 3 2" xfId="6867" xr:uid="{00000000-0005-0000-0000-0000D61A0000}"/>
    <cellStyle name="20% - Énfasis4 4 4 3 2 2" xfId="6868" xr:uid="{00000000-0005-0000-0000-0000D71A0000}"/>
    <cellStyle name="20% - Énfasis4 4 4 3 3" xfId="6869" xr:uid="{00000000-0005-0000-0000-0000D81A0000}"/>
    <cellStyle name="20% - Énfasis4 4 4 4" xfId="6870" xr:uid="{00000000-0005-0000-0000-0000D91A0000}"/>
    <cellStyle name="20% - Énfasis4 4 4 4 2" xfId="6871" xr:uid="{00000000-0005-0000-0000-0000DA1A0000}"/>
    <cellStyle name="20% - Énfasis4 4 4 5" xfId="6872" xr:uid="{00000000-0005-0000-0000-0000DB1A0000}"/>
    <cellStyle name="20% - Énfasis4 4 5" xfId="6873" xr:uid="{00000000-0005-0000-0000-0000DC1A0000}"/>
    <cellStyle name="20% - Énfasis4 4 5 2" xfId="6874" xr:uid="{00000000-0005-0000-0000-0000DD1A0000}"/>
    <cellStyle name="20% - Énfasis4 4 5 2 2" xfId="6875" xr:uid="{00000000-0005-0000-0000-0000DE1A0000}"/>
    <cellStyle name="20% - Énfasis4 4 5 2 2 2" xfId="6876" xr:uid="{00000000-0005-0000-0000-0000DF1A0000}"/>
    <cellStyle name="20% - Énfasis4 4 5 2 3" xfId="6877" xr:uid="{00000000-0005-0000-0000-0000E01A0000}"/>
    <cellStyle name="20% - Énfasis4 4 5 3" xfId="6878" xr:uid="{00000000-0005-0000-0000-0000E11A0000}"/>
    <cellStyle name="20% - Énfasis4 4 5 3 2" xfId="6879" xr:uid="{00000000-0005-0000-0000-0000E21A0000}"/>
    <cellStyle name="20% - Énfasis4 4 5 3 2 2" xfId="6880" xr:uid="{00000000-0005-0000-0000-0000E31A0000}"/>
    <cellStyle name="20% - Énfasis4 4 5 3 3" xfId="6881" xr:uid="{00000000-0005-0000-0000-0000E41A0000}"/>
    <cellStyle name="20% - Énfasis4 4 5 4" xfId="6882" xr:uid="{00000000-0005-0000-0000-0000E51A0000}"/>
    <cellStyle name="20% - Énfasis4 4 5 4 2" xfId="6883" xr:uid="{00000000-0005-0000-0000-0000E61A0000}"/>
    <cellStyle name="20% - Énfasis4 4 5 5" xfId="6884" xr:uid="{00000000-0005-0000-0000-0000E71A0000}"/>
    <cellStyle name="20% - Énfasis4 4 6" xfId="6885" xr:uid="{00000000-0005-0000-0000-0000E81A0000}"/>
    <cellStyle name="20% - Énfasis4 4 6 2" xfId="6886" xr:uid="{00000000-0005-0000-0000-0000E91A0000}"/>
    <cellStyle name="20% - Énfasis4 4 6 2 2" xfId="6887" xr:uid="{00000000-0005-0000-0000-0000EA1A0000}"/>
    <cellStyle name="20% - Énfasis4 4 6 2 2 2" xfId="6888" xr:uid="{00000000-0005-0000-0000-0000EB1A0000}"/>
    <cellStyle name="20% - Énfasis4 4 6 2 3" xfId="6889" xr:uid="{00000000-0005-0000-0000-0000EC1A0000}"/>
    <cellStyle name="20% - Énfasis4 4 6 3" xfId="6890" xr:uid="{00000000-0005-0000-0000-0000ED1A0000}"/>
    <cellStyle name="20% - Énfasis4 4 6 3 2" xfId="6891" xr:uid="{00000000-0005-0000-0000-0000EE1A0000}"/>
    <cellStyle name="20% - Énfasis4 4 6 4" xfId="6892" xr:uid="{00000000-0005-0000-0000-0000EF1A0000}"/>
    <cellStyle name="20% - Énfasis4 4 7" xfId="6893" xr:uid="{00000000-0005-0000-0000-0000F01A0000}"/>
    <cellStyle name="20% - Énfasis4 4 7 2" xfId="6894" xr:uid="{00000000-0005-0000-0000-0000F11A0000}"/>
    <cellStyle name="20% - Énfasis4 4 7 2 2" xfId="6895" xr:uid="{00000000-0005-0000-0000-0000F21A0000}"/>
    <cellStyle name="20% - Énfasis4 4 7 3" xfId="6896" xr:uid="{00000000-0005-0000-0000-0000F31A0000}"/>
    <cellStyle name="20% - Énfasis4 4 8" xfId="6897" xr:uid="{00000000-0005-0000-0000-0000F41A0000}"/>
    <cellStyle name="20% - Énfasis4 4 8 2" xfId="6898" xr:uid="{00000000-0005-0000-0000-0000F51A0000}"/>
    <cellStyle name="20% - Énfasis4 4 8 2 2" xfId="6899" xr:uid="{00000000-0005-0000-0000-0000F61A0000}"/>
    <cellStyle name="20% - Énfasis4 4 8 3" xfId="6900" xr:uid="{00000000-0005-0000-0000-0000F71A0000}"/>
    <cellStyle name="20% - Énfasis4 4 9" xfId="6901" xr:uid="{00000000-0005-0000-0000-0000F81A0000}"/>
    <cellStyle name="20% - Énfasis4 4 9 2" xfId="6902" xr:uid="{00000000-0005-0000-0000-0000F91A0000}"/>
    <cellStyle name="20% - Énfasis4 40" xfId="6903" xr:uid="{00000000-0005-0000-0000-0000FA1A0000}"/>
    <cellStyle name="20% - Énfasis4 40 2" xfId="6904" xr:uid="{00000000-0005-0000-0000-0000FB1A0000}"/>
    <cellStyle name="20% - Énfasis4 40 2 2" xfId="6905" xr:uid="{00000000-0005-0000-0000-0000FC1A0000}"/>
    <cellStyle name="20% - Énfasis4 40 2 2 2" xfId="6906" xr:uid="{00000000-0005-0000-0000-0000FD1A0000}"/>
    <cellStyle name="20% - Énfasis4 40 2 3" xfId="6907" xr:uid="{00000000-0005-0000-0000-0000FE1A0000}"/>
    <cellStyle name="20% - Énfasis4 40 3" xfId="6908" xr:uid="{00000000-0005-0000-0000-0000FF1A0000}"/>
    <cellStyle name="20% - Énfasis4 40 3 2" xfId="6909" xr:uid="{00000000-0005-0000-0000-0000001B0000}"/>
    <cellStyle name="20% - Énfasis4 40 4" xfId="6910" xr:uid="{00000000-0005-0000-0000-0000011B0000}"/>
    <cellStyle name="20% - Énfasis4 41" xfId="6911" xr:uid="{00000000-0005-0000-0000-0000021B0000}"/>
    <cellStyle name="20% - Énfasis4 41 2" xfId="6912" xr:uid="{00000000-0005-0000-0000-0000031B0000}"/>
    <cellStyle name="20% - Énfasis4 41 2 2" xfId="6913" xr:uid="{00000000-0005-0000-0000-0000041B0000}"/>
    <cellStyle name="20% - Énfasis4 41 3" xfId="6914" xr:uid="{00000000-0005-0000-0000-0000051B0000}"/>
    <cellStyle name="20% - Énfasis4 42" xfId="6915" xr:uid="{00000000-0005-0000-0000-0000061B0000}"/>
    <cellStyle name="20% - Énfasis4 42 2" xfId="6916" xr:uid="{00000000-0005-0000-0000-0000071B0000}"/>
    <cellStyle name="20% - Énfasis4 42 2 2" xfId="6917" xr:uid="{00000000-0005-0000-0000-0000081B0000}"/>
    <cellStyle name="20% - Énfasis4 42 3" xfId="6918" xr:uid="{00000000-0005-0000-0000-0000091B0000}"/>
    <cellStyle name="20% - Énfasis4 43" xfId="6919" xr:uid="{00000000-0005-0000-0000-00000A1B0000}"/>
    <cellStyle name="20% - Énfasis4 43 2" xfId="6920" xr:uid="{00000000-0005-0000-0000-00000B1B0000}"/>
    <cellStyle name="20% - Énfasis4 43 2 2" xfId="6921" xr:uid="{00000000-0005-0000-0000-00000C1B0000}"/>
    <cellStyle name="20% - Énfasis4 43 3" xfId="6922" xr:uid="{00000000-0005-0000-0000-00000D1B0000}"/>
    <cellStyle name="20% - Énfasis4 44" xfId="6923" xr:uid="{00000000-0005-0000-0000-00000E1B0000}"/>
    <cellStyle name="20% - Énfasis4 44 2" xfId="6924" xr:uid="{00000000-0005-0000-0000-00000F1B0000}"/>
    <cellStyle name="20% - Énfasis4 44 2 2" xfId="6925" xr:uid="{00000000-0005-0000-0000-0000101B0000}"/>
    <cellStyle name="20% - Énfasis4 44 3" xfId="6926" xr:uid="{00000000-0005-0000-0000-0000111B0000}"/>
    <cellStyle name="20% - Énfasis4 45" xfId="6927" xr:uid="{00000000-0005-0000-0000-0000121B0000}"/>
    <cellStyle name="20% - Énfasis4 45 2" xfId="6928" xr:uid="{00000000-0005-0000-0000-0000131B0000}"/>
    <cellStyle name="20% - Énfasis4 45 2 2" xfId="6929" xr:uid="{00000000-0005-0000-0000-0000141B0000}"/>
    <cellStyle name="20% - Énfasis4 45 3" xfId="6930" xr:uid="{00000000-0005-0000-0000-0000151B0000}"/>
    <cellStyle name="20% - Énfasis4 46" xfId="6931" xr:uid="{00000000-0005-0000-0000-0000161B0000}"/>
    <cellStyle name="20% - Énfasis4 46 2" xfId="6932" xr:uid="{00000000-0005-0000-0000-0000171B0000}"/>
    <cellStyle name="20% - Énfasis4 46 2 2" xfId="6933" xr:uid="{00000000-0005-0000-0000-0000181B0000}"/>
    <cellStyle name="20% - Énfasis4 46 3" xfId="6934" xr:uid="{00000000-0005-0000-0000-0000191B0000}"/>
    <cellStyle name="20% - Énfasis4 47" xfId="6935" xr:uid="{00000000-0005-0000-0000-00001A1B0000}"/>
    <cellStyle name="20% - Énfasis4 47 2" xfId="6936" xr:uid="{00000000-0005-0000-0000-00001B1B0000}"/>
    <cellStyle name="20% - Énfasis4 47 2 2" xfId="6937" xr:uid="{00000000-0005-0000-0000-00001C1B0000}"/>
    <cellStyle name="20% - Énfasis4 47 3" xfId="6938" xr:uid="{00000000-0005-0000-0000-00001D1B0000}"/>
    <cellStyle name="20% - Énfasis4 48" xfId="6939" xr:uid="{00000000-0005-0000-0000-00001E1B0000}"/>
    <cellStyle name="20% - Énfasis4 48 2" xfId="6940" xr:uid="{00000000-0005-0000-0000-00001F1B0000}"/>
    <cellStyle name="20% - Énfasis4 48 2 2" xfId="6941" xr:uid="{00000000-0005-0000-0000-0000201B0000}"/>
    <cellStyle name="20% - Énfasis4 48 3" xfId="6942" xr:uid="{00000000-0005-0000-0000-0000211B0000}"/>
    <cellStyle name="20% - Énfasis4 49" xfId="6943" xr:uid="{00000000-0005-0000-0000-0000221B0000}"/>
    <cellStyle name="20% - Énfasis4 49 2" xfId="6944" xr:uid="{00000000-0005-0000-0000-0000231B0000}"/>
    <cellStyle name="20% - Énfasis4 5" xfId="6945" xr:uid="{00000000-0005-0000-0000-0000241B0000}"/>
    <cellStyle name="20% - Énfasis4 5 2" xfId="6946" xr:uid="{00000000-0005-0000-0000-0000251B0000}"/>
    <cellStyle name="20% - Énfasis4 5 2 2" xfId="6947" xr:uid="{00000000-0005-0000-0000-0000261B0000}"/>
    <cellStyle name="20% - Énfasis4 5 2 2 2" xfId="6948" xr:uid="{00000000-0005-0000-0000-0000271B0000}"/>
    <cellStyle name="20% - Énfasis4 5 2 2 2 2" xfId="6949" xr:uid="{00000000-0005-0000-0000-0000281B0000}"/>
    <cellStyle name="20% - Énfasis4 5 2 2 2 2 2" xfId="6950" xr:uid="{00000000-0005-0000-0000-0000291B0000}"/>
    <cellStyle name="20% - Énfasis4 5 2 2 2 3" xfId="6951" xr:uid="{00000000-0005-0000-0000-00002A1B0000}"/>
    <cellStyle name="20% - Énfasis4 5 2 2 3" xfId="6952" xr:uid="{00000000-0005-0000-0000-00002B1B0000}"/>
    <cellStyle name="20% - Énfasis4 5 2 2 3 2" xfId="6953" xr:uid="{00000000-0005-0000-0000-00002C1B0000}"/>
    <cellStyle name="20% - Énfasis4 5 2 2 3 2 2" xfId="6954" xr:uid="{00000000-0005-0000-0000-00002D1B0000}"/>
    <cellStyle name="20% - Énfasis4 5 2 2 3 3" xfId="6955" xr:uid="{00000000-0005-0000-0000-00002E1B0000}"/>
    <cellStyle name="20% - Énfasis4 5 2 2 4" xfId="6956" xr:uid="{00000000-0005-0000-0000-00002F1B0000}"/>
    <cellStyle name="20% - Énfasis4 5 2 2 4 2" xfId="6957" xr:uid="{00000000-0005-0000-0000-0000301B0000}"/>
    <cellStyle name="20% - Énfasis4 5 2 2 5" xfId="6958" xr:uid="{00000000-0005-0000-0000-0000311B0000}"/>
    <cellStyle name="20% - Énfasis4 5 2 3" xfId="6959" xr:uid="{00000000-0005-0000-0000-0000321B0000}"/>
    <cellStyle name="20% - Énfasis4 5 2 3 2" xfId="6960" xr:uid="{00000000-0005-0000-0000-0000331B0000}"/>
    <cellStyle name="20% - Énfasis4 5 2 3 2 2" xfId="6961" xr:uid="{00000000-0005-0000-0000-0000341B0000}"/>
    <cellStyle name="20% - Énfasis4 5 2 3 2 2 2" xfId="6962" xr:uid="{00000000-0005-0000-0000-0000351B0000}"/>
    <cellStyle name="20% - Énfasis4 5 2 3 2 3" xfId="6963" xr:uid="{00000000-0005-0000-0000-0000361B0000}"/>
    <cellStyle name="20% - Énfasis4 5 2 3 3" xfId="6964" xr:uid="{00000000-0005-0000-0000-0000371B0000}"/>
    <cellStyle name="20% - Énfasis4 5 2 3 3 2" xfId="6965" xr:uid="{00000000-0005-0000-0000-0000381B0000}"/>
    <cellStyle name="20% - Énfasis4 5 2 3 3 2 2" xfId="6966" xr:uid="{00000000-0005-0000-0000-0000391B0000}"/>
    <cellStyle name="20% - Énfasis4 5 2 3 3 3" xfId="6967" xr:uid="{00000000-0005-0000-0000-00003A1B0000}"/>
    <cellStyle name="20% - Énfasis4 5 2 3 4" xfId="6968" xr:uid="{00000000-0005-0000-0000-00003B1B0000}"/>
    <cellStyle name="20% - Énfasis4 5 2 3 4 2" xfId="6969" xr:uid="{00000000-0005-0000-0000-00003C1B0000}"/>
    <cellStyle name="20% - Énfasis4 5 2 3 5" xfId="6970" xr:uid="{00000000-0005-0000-0000-00003D1B0000}"/>
    <cellStyle name="20% - Énfasis4 5 2 4" xfId="6971" xr:uid="{00000000-0005-0000-0000-00003E1B0000}"/>
    <cellStyle name="20% - Énfasis4 5 2 4 2" xfId="6972" xr:uid="{00000000-0005-0000-0000-00003F1B0000}"/>
    <cellStyle name="20% - Énfasis4 5 2 4 2 2" xfId="6973" xr:uid="{00000000-0005-0000-0000-0000401B0000}"/>
    <cellStyle name="20% - Énfasis4 5 2 4 2 2 2" xfId="6974" xr:uid="{00000000-0005-0000-0000-0000411B0000}"/>
    <cellStyle name="20% - Énfasis4 5 2 4 2 3" xfId="6975" xr:uid="{00000000-0005-0000-0000-0000421B0000}"/>
    <cellStyle name="20% - Énfasis4 5 2 4 3" xfId="6976" xr:uid="{00000000-0005-0000-0000-0000431B0000}"/>
    <cellStyle name="20% - Énfasis4 5 2 4 3 2" xfId="6977" xr:uid="{00000000-0005-0000-0000-0000441B0000}"/>
    <cellStyle name="20% - Énfasis4 5 2 4 4" xfId="6978" xr:uid="{00000000-0005-0000-0000-0000451B0000}"/>
    <cellStyle name="20% - Énfasis4 5 2 5" xfId="6979" xr:uid="{00000000-0005-0000-0000-0000461B0000}"/>
    <cellStyle name="20% - Énfasis4 5 2 5 2" xfId="6980" xr:uid="{00000000-0005-0000-0000-0000471B0000}"/>
    <cellStyle name="20% - Énfasis4 5 2 5 2 2" xfId="6981" xr:uid="{00000000-0005-0000-0000-0000481B0000}"/>
    <cellStyle name="20% - Énfasis4 5 2 5 3" xfId="6982" xr:uid="{00000000-0005-0000-0000-0000491B0000}"/>
    <cellStyle name="20% - Énfasis4 5 2 6" xfId="6983" xr:uid="{00000000-0005-0000-0000-00004A1B0000}"/>
    <cellStyle name="20% - Énfasis4 5 2 6 2" xfId="6984" xr:uid="{00000000-0005-0000-0000-00004B1B0000}"/>
    <cellStyle name="20% - Énfasis4 5 2 6 2 2" xfId="6985" xr:uid="{00000000-0005-0000-0000-00004C1B0000}"/>
    <cellStyle name="20% - Énfasis4 5 2 6 3" xfId="6986" xr:uid="{00000000-0005-0000-0000-00004D1B0000}"/>
    <cellStyle name="20% - Énfasis4 5 2 7" xfId="6987" xr:uid="{00000000-0005-0000-0000-00004E1B0000}"/>
    <cellStyle name="20% - Énfasis4 5 2 7 2" xfId="6988" xr:uid="{00000000-0005-0000-0000-00004F1B0000}"/>
    <cellStyle name="20% - Énfasis4 5 2 8" xfId="6989" xr:uid="{00000000-0005-0000-0000-0000501B0000}"/>
    <cellStyle name="20% - Énfasis4 5 3" xfId="6990" xr:uid="{00000000-0005-0000-0000-0000511B0000}"/>
    <cellStyle name="20% - Énfasis4 5 3 2" xfId="6991" xr:uid="{00000000-0005-0000-0000-0000521B0000}"/>
    <cellStyle name="20% - Énfasis4 5 3 2 2" xfId="6992" xr:uid="{00000000-0005-0000-0000-0000531B0000}"/>
    <cellStyle name="20% - Énfasis4 5 3 2 2 2" xfId="6993" xr:uid="{00000000-0005-0000-0000-0000541B0000}"/>
    <cellStyle name="20% - Énfasis4 5 3 2 3" xfId="6994" xr:uid="{00000000-0005-0000-0000-0000551B0000}"/>
    <cellStyle name="20% - Énfasis4 5 3 3" xfId="6995" xr:uid="{00000000-0005-0000-0000-0000561B0000}"/>
    <cellStyle name="20% - Énfasis4 5 3 3 2" xfId="6996" xr:uid="{00000000-0005-0000-0000-0000571B0000}"/>
    <cellStyle name="20% - Énfasis4 5 3 3 2 2" xfId="6997" xr:uid="{00000000-0005-0000-0000-0000581B0000}"/>
    <cellStyle name="20% - Énfasis4 5 3 3 3" xfId="6998" xr:uid="{00000000-0005-0000-0000-0000591B0000}"/>
    <cellStyle name="20% - Énfasis4 5 3 4" xfId="6999" xr:uid="{00000000-0005-0000-0000-00005A1B0000}"/>
    <cellStyle name="20% - Énfasis4 5 3 4 2" xfId="7000" xr:uid="{00000000-0005-0000-0000-00005B1B0000}"/>
    <cellStyle name="20% - Énfasis4 5 3 5" xfId="7001" xr:uid="{00000000-0005-0000-0000-00005C1B0000}"/>
    <cellStyle name="20% - Énfasis4 5 4" xfId="7002" xr:uid="{00000000-0005-0000-0000-00005D1B0000}"/>
    <cellStyle name="20% - Énfasis4 5 4 2" xfId="7003" xr:uid="{00000000-0005-0000-0000-00005E1B0000}"/>
    <cellStyle name="20% - Énfasis4 5 4 2 2" xfId="7004" xr:uid="{00000000-0005-0000-0000-00005F1B0000}"/>
    <cellStyle name="20% - Énfasis4 5 4 2 2 2" xfId="7005" xr:uid="{00000000-0005-0000-0000-0000601B0000}"/>
    <cellStyle name="20% - Énfasis4 5 4 2 3" xfId="7006" xr:uid="{00000000-0005-0000-0000-0000611B0000}"/>
    <cellStyle name="20% - Énfasis4 5 4 3" xfId="7007" xr:uid="{00000000-0005-0000-0000-0000621B0000}"/>
    <cellStyle name="20% - Énfasis4 5 4 3 2" xfId="7008" xr:uid="{00000000-0005-0000-0000-0000631B0000}"/>
    <cellStyle name="20% - Énfasis4 5 4 3 2 2" xfId="7009" xr:uid="{00000000-0005-0000-0000-0000641B0000}"/>
    <cellStyle name="20% - Énfasis4 5 4 3 3" xfId="7010" xr:uid="{00000000-0005-0000-0000-0000651B0000}"/>
    <cellStyle name="20% - Énfasis4 5 4 4" xfId="7011" xr:uid="{00000000-0005-0000-0000-0000661B0000}"/>
    <cellStyle name="20% - Énfasis4 5 4 4 2" xfId="7012" xr:uid="{00000000-0005-0000-0000-0000671B0000}"/>
    <cellStyle name="20% - Énfasis4 5 4 5" xfId="7013" xr:uid="{00000000-0005-0000-0000-0000681B0000}"/>
    <cellStyle name="20% - Énfasis4 5 5" xfId="7014" xr:uid="{00000000-0005-0000-0000-0000691B0000}"/>
    <cellStyle name="20% - Énfasis4 5 5 2" xfId="7015" xr:uid="{00000000-0005-0000-0000-00006A1B0000}"/>
    <cellStyle name="20% - Énfasis4 5 5 2 2" xfId="7016" xr:uid="{00000000-0005-0000-0000-00006B1B0000}"/>
    <cellStyle name="20% - Énfasis4 5 5 2 2 2" xfId="7017" xr:uid="{00000000-0005-0000-0000-00006C1B0000}"/>
    <cellStyle name="20% - Énfasis4 5 5 2 3" xfId="7018" xr:uid="{00000000-0005-0000-0000-00006D1B0000}"/>
    <cellStyle name="20% - Énfasis4 5 5 3" xfId="7019" xr:uid="{00000000-0005-0000-0000-00006E1B0000}"/>
    <cellStyle name="20% - Énfasis4 5 5 3 2" xfId="7020" xr:uid="{00000000-0005-0000-0000-00006F1B0000}"/>
    <cellStyle name="20% - Énfasis4 5 5 4" xfId="7021" xr:uid="{00000000-0005-0000-0000-0000701B0000}"/>
    <cellStyle name="20% - Énfasis4 5 6" xfId="7022" xr:uid="{00000000-0005-0000-0000-0000711B0000}"/>
    <cellStyle name="20% - Énfasis4 5 6 2" xfId="7023" xr:uid="{00000000-0005-0000-0000-0000721B0000}"/>
    <cellStyle name="20% - Énfasis4 5 6 2 2" xfId="7024" xr:uid="{00000000-0005-0000-0000-0000731B0000}"/>
    <cellStyle name="20% - Énfasis4 5 6 3" xfId="7025" xr:uid="{00000000-0005-0000-0000-0000741B0000}"/>
    <cellStyle name="20% - Énfasis4 5 7" xfId="7026" xr:uid="{00000000-0005-0000-0000-0000751B0000}"/>
    <cellStyle name="20% - Énfasis4 5 7 2" xfId="7027" xr:uid="{00000000-0005-0000-0000-0000761B0000}"/>
    <cellStyle name="20% - Énfasis4 5 7 2 2" xfId="7028" xr:uid="{00000000-0005-0000-0000-0000771B0000}"/>
    <cellStyle name="20% - Énfasis4 5 7 3" xfId="7029" xr:uid="{00000000-0005-0000-0000-0000781B0000}"/>
    <cellStyle name="20% - Énfasis4 5 8" xfId="7030" xr:uid="{00000000-0005-0000-0000-0000791B0000}"/>
    <cellStyle name="20% - Énfasis4 5 8 2" xfId="7031" xr:uid="{00000000-0005-0000-0000-00007A1B0000}"/>
    <cellStyle name="20% - Énfasis4 5 9" xfId="7032" xr:uid="{00000000-0005-0000-0000-00007B1B0000}"/>
    <cellStyle name="20% - Énfasis4 50" xfId="7033" xr:uid="{00000000-0005-0000-0000-00007C1B0000}"/>
    <cellStyle name="20% - Énfasis4 50 2" xfId="7034" xr:uid="{00000000-0005-0000-0000-00007D1B0000}"/>
    <cellStyle name="20% - Énfasis4 51" xfId="7035" xr:uid="{00000000-0005-0000-0000-00007E1B0000}"/>
    <cellStyle name="20% - Énfasis4 51 2" xfId="7036" xr:uid="{00000000-0005-0000-0000-00007F1B0000}"/>
    <cellStyle name="20% - Énfasis4 52" xfId="7037" xr:uid="{00000000-0005-0000-0000-0000801B0000}"/>
    <cellStyle name="20% - Énfasis4 52 2" xfId="7038" xr:uid="{00000000-0005-0000-0000-0000811B0000}"/>
    <cellStyle name="20% - Énfasis4 53" xfId="7039" xr:uid="{00000000-0005-0000-0000-0000821B0000}"/>
    <cellStyle name="20% - Énfasis4 53 2" xfId="7040" xr:uid="{00000000-0005-0000-0000-0000831B0000}"/>
    <cellStyle name="20% - Énfasis4 54" xfId="7041" xr:uid="{00000000-0005-0000-0000-0000841B0000}"/>
    <cellStyle name="20% - Énfasis4 54 2" xfId="7042" xr:uid="{00000000-0005-0000-0000-0000851B0000}"/>
    <cellStyle name="20% - Énfasis4 55" xfId="7043" xr:uid="{00000000-0005-0000-0000-0000861B0000}"/>
    <cellStyle name="20% - Énfasis4 55 2" xfId="7044" xr:uid="{00000000-0005-0000-0000-0000871B0000}"/>
    <cellStyle name="20% - Énfasis4 56" xfId="7045" xr:uid="{00000000-0005-0000-0000-0000881B0000}"/>
    <cellStyle name="20% - Énfasis4 56 2" xfId="7046" xr:uid="{00000000-0005-0000-0000-0000891B0000}"/>
    <cellStyle name="20% - Énfasis4 57" xfId="7047" xr:uid="{00000000-0005-0000-0000-00008A1B0000}"/>
    <cellStyle name="20% - Énfasis4 57 2" xfId="7048" xr:uid="{00000000-0005-0000-0000-00008B1B0000}"/>
    <cellStyle name="20% - Énfasis4 58" xfId="7049" xr:uid="{00000000-0005-0000-0000-00008C1B0000}"/>
    <cellStyle name="20% - Énfasis4 58 2" xfId="7050" xr:uid="{00000000-0005-0000-0000-00008D1B0000}"/>
    <cellStyle name="20% - Énfasis4 59" xfId="7051" xr:uid="{00000000-0005-0000-0000-00008E1B0000}"/>
    <cellStyle name="20% - Énfasis4 59 2" xfId="7052" xr:uid="{00000000-0005-0000-0000-00008F1B0000}"/>
    <cellStyle name="20% - Énfasis4 6" xfId="7053" xr:uid="{00000000-0005-0000-0000-0000901B0000}"/>
    <cellStyle name="20% - Énfasis4 6 2" xfId="7054" xr:uid="{00000000-0005-0000-0000-0000911B0000}"/>
    <cellStyle name="20% - Énfasis4 6 2 2" xfId="7055" xr:uid="{00000000-0005-0000-0000-0000921B0000}"/>
    <cellStyle name="20% - Énfasis4 6 2 2 2" xfId="7056" xr:uid="{00000000-0005-0000-0000-0000931B0000}"/>
    <cellStyle name="20% - Énfasis4 6 2 2 2 2" xfId="7057" xr:uid="{00000000-0005-0000-0000-0000941B0000}"/>
    <cellStyle name="20% - Énfasis4 6 2 2 2 2 2" xfId="7058" xr:uid="{00000000-0005-0000-0000-0000951B0000}"/>
    <cellStyle name="20% - Énfasis4 6 2 2 2 3" xfId="7059" xr:uid="{00000000-0005-0000-0000-0000961B0000}"/>
    <cellStyle name="20% - Énfasis4 6 2 2 3" xfId="7060" xr:uid="{00000000-0005-0000-0000-0000971B0000}"/>
    <cellStyle name="20% - Énfasis4 6 2 2 3 2" xfId="7061" xr:uid="{00000000-0005-0000-0000-0000981B0000}"/>
    <cellStyle name="20% - Énfasis4 6 2 2 4" xfId="7062" xr:uid="{00000000-0005-0000-0000-0000991B0000}"/>
    <cellStyle name="20% - Énfasis4 6 2 3" xfId="7063" xr:uid="{00000000-0005-0000-0000-00009A1B0000}"/>
    <cellStyle name="20% - Énfasis4 6 2 3 2" xfId="7064" xr:uid="{00000000-0005-0000-0000-00009B1B0000}"/>
    <cellStyle name="20% - Énfasis4 6 2 3 2 2" xfId="7065" xr:uid="{00000000-0005-0000-0000-00009C1B0000}"/>
    <cellStyle name="20% - Énfasis4 6 2 3 3" xfId="7066" xr:uid="{00000000-0005-0000-0000-00009D1B0000}"/>
    <cellStyle name="20% - Énfasis4 6 2 4" xfId="7067" xr:uid="{00000000-0005-0000-0000-00009E1B0000}"/>
    <cellStyle name="20% - Énfasis4 6 2 4 2" xfId="7068" xr:uid="{00000000-0005-0000-0000-00009F1B0000}"/>
    <cellStyle name="20% - Énfasis4 6 2 4 2 2" xfId="7069" xr:uid="{00000000-0005-0000-0000-0000A01B0000}"/>
    <cellStyle name="20% - Énfasis4 6 2 4 3" xfId="7070" xr:uid="{00000000-0005-0000-0000-0000A11B0000}"/>
    <cellStyle name="20% - Énfasis4 6 2 5" xfId="7071" xr:uid="{00000000-0005-0000-0000-0000A21B0000}"/>
    <cellStyle name="20% - Énfasis4 6 2 5 2" xfId="7072" xr:uid="{00000000-0005-0000-0000-0000A31B0000}"/>
    <cellStyle name="20% - Énfasis4 6 2 6" xfId="7073" xr:uid="{00000000-0005-0000-0000-0000A41B0000}"/>
    <cellStyle name="20% - Énfasis4 6 3" xfId="7074" xr:uid="{00000000-0005-0000-0000-0000A51B0000}"/>
    <cellStyle name="20% - Énfasis4 6 3 2" xfId="7075" xr:uid="{00000000-0005-0000-0000-0000A61B0000}"/>
    <cellStyle name="20% - Énfasis4 6 3 2 2" xfId="7076" xr:uid="{00000000-0005-0000-0000-0000A71B0000}"/>
    <cellStyle name="20% - Énfasis4 6 3 2 2 2" xfId="7077" xr:uid="{00000000-0005-0000-0000-0000A81B0000}"/>
    <cellStyle name="20% - Énfasis4 6 3 2 3" xfId="7078" xr:uid="{00000000-0005-0000-0000-0000A91B0000}"/>
    <cellStyle name="20% - Énfasis4 6 3 3" xfId="7079" xr:uid="{00000000-0005-0000-0000-0000AA1B0000}"/>
    <cellStyle name="20% - Énfasis4 6 3 3 2" xfId="7080" xr:uid="{00000000-0005-0000-0000-0000AB1B0000}"/>
    <cellStyle name="20% - Énfasis4 6 3 3 2 2" xfId="7081" xr:uid="{00000000-0005-0000-0000-0000AC1B0000}"/>
    <cellStyle name="20% - Énfasis4 6 3 3 3" xfId="7082" xr:uid="{00000000-0005-0000-0000-0000AD1B0000}"/>
    <cellStyle name="20% - Énfasis4 6 3 4" xfId="7083" xr:uid="{00000000-0005-0000-0000-0000AE1B0000}"/>
    <cellStyle name="20% - Énfasis4 6 3 4 2" xfId="7084" xr:uid="{00000000-0005-0000-0000-0000AF1B0000}"/>
    <cellStyle name="20% - Énfasis4 6 3 5" xfId="7085" xr:uid="{00000000-0005-0000-0000-0000B01B0000}"/>
    <cellStyle name="20% - Énfasis4 6 4" xfId="7086" xr:uid="{00000000-0005-0000-0000-0000B11B0000}"/>
    <cellStyle name="20% - Énfasis4 6 4 2" xfId="7087" xr:uid="{00000000-0005-0000-0000-0000B21B0000}"/>
    <cellStyle name="20% - Énfasis4 6 4 2 2" xfId="7088" xr:uid="{00000000-0005-0000-0000-0000B31B0000}"/>
    <cellStyle name="20% - Énfasis4 6 4 2 2 2" xfId="7089" xr:uid="{00000000-0005-0000-0000-0000B41B0000}"/>
    <cellStyle name="20% - Énfasis4 6 4 2 3" xfId="7090" xr:uid="{00000000-0005-0000-0000-0000B51B0000}"/>
    <cellStyle name="20% - Énfasis4 6 4 3" xfId="7091" xr:uid="{00000000-0005-0000-0000-0000B61B0000}"/>
    <cellStyle name="20% - Énfasis4 6 4 3 2" xfId="7092" xr:uid="{00000000-0005-0000-0000-0000B71B0000}"/>
    <cellStyle name="20% - Énfasis4 6 4 4" xfId="7093" xr:uid="{00000000-0005-0000-0000-0000B81B0000}"/>
    <cellStyle name="20% - Énfasis4 6 5" xfId="7094" xr:uid="{00000000-0005-0000-0000-0000B91B0000}"/>
    <cellStyle name="20% - Énfasis4 6 5 2" xfId="7095" xr:uid="{00000000-0005-0000-0000-0000BA1B0000}"/>
    <cellStyle name="20% - Énfasis4 6 5 2 2" xfId="7096" xr:uid="{00000000-0005-0000-0000-0000BB1B0000}"/>
    <cellStyle name="20% - Énfasis4 6 5 3" xfId="7097" xr:uid="{00000000-0005-0000-0000-0000BC1B0000}"/>
    <cellStyle name="20% - Énfasis4 6 6" xfId="7098" xr:uid="{00000000-0005-0000-0000-0000BD1B0000}"/>
    <cellStyle name="20% - Énfasis4 6 6 2" xfId="7099" xr:uid="{00000000-0005-0000-0000-0000BE1B0000}"/>
    <cellStyle name="20% - Énfasis4 6 6 2 2" xfId="7100" xr:uid="{00000000-0005-0000-0000-0000BF1B0000}"/>
    <cellStyle name="20% - Énfasis4 6 6 3" xfId="7101" xr:uid="{00000000-0005-0000-0000-0000C01B0000}"/>
    <cellStyle name="20% - Énfasis4 6 7" xfId="7102" xr:uid="{00000000-0005-0000-0000-0000C11B0000}"/>
    <cellStyle name="20% - Énfasis4 6 7 2" xfId="7103" xr:uid="{00000000-0005-0000-0000-0000C21B0000}"/>
    <cellStyle name="20% - Énfasis4 6 8" xfId="7104" xr:uid="{00000000-0005-0000-0000-0000C31B0000}"/>
    <cellStyle name="20% - Énfasis4 60" xfId="7105" xr:uid="{00000000-0005-0000-0000-0000C41B0000}"/>
    <cellStyle name="20% - Énfasis4 60 2" xfId="7106" xr:uid="{00000000-0005-0000-0000-0000C51B0000}"/>
    <cellStyle name="20% - Énfasis4 61" xfId="7107" xr:uid="{00000000-0005-0000-0000-0000C61B0000}"/>
    <cellStyle name="20% - Énfasis4 61 2" xfId="7108" xr:uid="{00000000-0005-0000-0000-0000C71B0000}"/>
    <cellStyle name="20% - Énfasis4 62" xfId="7109" xr:uid="{00000000-0005-0000-0000-0000C81B0000}"/>
    <cellStyle name="20% - Énfasis4 62 2" xfId="7110" xr:uid="{00000000-0005-0000-0000-0000C91B0000}"/>
    <cellStyle name="20% - Énfasis4 63" xfId="7111" xr:uid="{00000000-0005-0000-0000-0000CA1B0000}"/>
    <cellStyle name="20% - Énfasis4 63 2" xfId="7112" xr:uid="{00000000-0005-0000-0000-0000CB1B0000}"/>
    <cellStyle name="20% - Énfasis4 64" xfId="7113" xr:uid="{00000000-0005-0000-0000-0000CC1B0000}"/>
    <cellStyle name="20% - Énfasis4 64 2" xfId="7114" xr:uid="{00000000-0005-0000-0000-0000CD1B0000}"/>
    <cellStyle name="20% - Énfasis4 65" xfId="7115" xr:uid="{00000000-0005-0000-0000-0000CE1B0000}"/>
    <cellStyle name="20% - Énfasis4 65 2" xfId="7116" xr:uid="{00000000-0005-0000-0000-0000CF1B0000}"/>
    <cellStyle name="20% - Énfasis4 66" xfId="7117" xr:uid="{00000000-0005-0000-0000-0000D01B0000}"/>
    <cellStyle name="20% - Énfasis4 66 2" xfId="7118" xr:uid="{00000000-0005-0000-0000-0000D11B0000}"/>
    <cellStyle name="20% - Énfasis4 7" xfId="7119" xr:uid="{00000000-0005-0000-0000-0000D21B0000}"/>
    <cellStyle name="20% - Énfasis4 7 2" xfId="7120" xr:uid="{00000000-0005-0000-0000-0000D31B0000}"/>
    <cellStyle name="20% - Énfasis4 7 2 2" xfId="7121" xr:uid="{00000000-0005-0000-0000-0000D41B0000}"/>
    <cellStyle name="20% - Énfasis4 7 2 2 2" xfId="7122" xr:uid="{00000000-0005-0000-0000-0000D51B0000}"/>
    <cellStyle name="20% - Énfasis4 7 2 2 2 2" xfId="7123" xr:uid="{00000000-0005-0000-0000-0000D61B0000}"/>
    <cellStyle name="20% - Énfasis4 7 2 2 2 2 2" xfId="7124" xr:uid="{00000000-0005-0000-0000-0000D71B0000}"/>
    <cellStyle name="20% - Énfasis4 7 2 2 2 3" xfId="7125" xr:uid="{00000000-0005-0000-0000-0000D81B0000}"/>
    <cellStyle name="20% - Énfasis4 7 2 2 3" xfId="7126" xr:uid="{00000000-0005-0000-0000-0000D91B0000}"/>
    <cellStyle name="20% - Énfasis4 7 2 2 3 2" xfId="7127" xr:uid="{00000000-0005-0000-0000-0000DA1B0000}"/>
    <cellStyle name="20% - Énfasis4 7 2 2 4" xfId="7128" xr:uid="{00000000-0005-0000-0000-0000DB1B0000}"/>
    <cellStyle name="20% - Énfasis4 7 2 3" xfId="7129" xr:uid="{00000000-0005-0000-0000-0000DC1B0000}"/>
    <cellStyle name="20% - Énfasis4 7 2 3 2" xfId="7130" xr:uid="{00000000-0005-0000-0000-0000DD1B0000}"/>
    <cellStyle name="20% - Énfasis4 7 2 3 2 2" xfId="7131" xr:uid="{00000000-0005-0000-0000-0000DE1B0000}"/>
    <cellStyle name="20% - Énfasis4 7 2 3 3" xfId="7132" xr:uid="{00000000-0005-0000-0000-0000DF1B0000}"/>
    <cellStyle name="20% - Énfasis4 7 2 4" xfId="7133" xr:uid="{00000000-0005-0000-0000-0000E01B0000}"/>
    <cellStyle name="20% - Énfasis4 7 2 4 2" xfId="7134" xr:uid="{00000000-0005-0000-0000-0000E11B0000}"/>
    <cellStyle name="20% - Énfasis4 7 2 4 2 2" xfId="7135" xr:uid="{00000000-0005-0000-0000-0000E21B0000}"/>
    <cellStyle name="20% - Énfasis4 7 2 4 3" xfId="7136" xr:uid="{00000000-0005-0000-0000-0000E31B0000}"/>
    <cellStyle name="20% - Énfasis4 7 2 5" xfId="7137" xr:uid="{00000000-0005-0000-0000-0000E41B0000}"/>
    <cellStyle name="20% - Énfasis4 7 2 5 2" xfId="7138" xr:uid="{00000000-0005-0000-0000-0000E51B0000}"/>
    <cellStyle name="20% - Énfasis4 7 2 6" xfId="7139" xr:uid="{00000000-0005-0000-0000-0000E61B0000}"/>
    <cellStyle name="20% - Énfasis4 7 3" xfId="7140" xr:uid="{00000000-0005-0000-0000-0000E71B0000}"/>
    <cellStyle name="20% - Énfasis4 7 3 2" xfId="7141" xr:uid="{00000000-0005-0000-0000-0000E81B0000}"/>
    <cellStyle name="20% - Énfasis4 7 3 2 2" xfId="7142" xr:uid="{00000000-0005-0000-0000-0000E91B0000}"/>
    <cellStyle name="20% - Énfasis4 7 3 2 2 2" xfId="7143" xr:uid="{00000000-0005-0000-0000-0000EA1B0000}"/>
    <cellStyle name="20% - Énfasis4 7 3 2 3" xfId="7144" xr:uid="{00000000-0005-0000-0000-0000EB1B0000}"/>
    <cellStyle name="20% - Énfasis4 7 3 3" xfId="7145" xr:uid="{00000000-0005-0000-0000-0000EC1B0000}"/>
    <cellStyle name="20% - Énfasis4 7 3 3 2" xfId="7146" xr:uid="{00000000-0005-0000-0000-0000ED1B0000}"/>
    <cellStyle name="20% - Énfasis4 7 3 3 2 2" xfId="7147" xr:uid="{00000000-0005-0000-0000-0000EE1B0000}"/>
    <cellStyle name="20% - Énfasis4 7 3 3 3" xfId="7148" xr:uid="{00000000-0005-0000-0000-0000EF1B0000}"/>
    <cellStyle name="20% - Énfasis4 7 3 4" xfId="7149" xr:uid="{00000000-0005-0000-0000-0000F01B0000}"/>
    <cellStyle name="20% - Énfasis4 7 3 4 2" xfId="7150" xr:uid="{00000000-0005-0000-0000-0000F11B0000}"/>
    <cellStyle name="20% - Énfasis4 7 3 5" xfId="7151" xr:uid="{00000000-0005-0000-0000-0000F21B0000}"/>
    <cellStyle name="20% - Énfasis4 7 4" xfId="7152" xr:uid="{00000000-0005-0000-0000-0000F31B0000}"/>
    <cellStyle name="20% - Énfasis4 7 4 2" xfId="7153" xr:uid="{00000000-0005-0000-0000-0000F41B0000}"/>
    <cellStyle name="20% - Énfasis4 7 4 2 2" xfId="7154" xr:uid="{00000000-0005-0000-0000-0000F51B0000}"/>
    <cellStyle name="20% - Énfasis4 7 4 2 2 2" xfId="7155" xr:uid="{00000000-0005-0000-0000-0000F61B0000}"/>
    <cellStyle name="20% - Énfasis4 7 4 2 3" xfId="7156" xr:uid="{00000000-0005-0000-0000-0000F71B0000}"/>
    <cellStyle name="20% - Énfasis4 7 4 3" xfId="7157" xr:uid="{00000000-0005-0000-0000-0000F81B0000}"/>
    <cellStyle name="20% - Énfasis4 7 4 3 2" xfId="7158" xr:uid="{00000000-0005-0000-0000-0000F91B0000}"/>
    <cellStyle name="20% - Énfasis4 7 4 4" xfId="7159" xr:uid="{00000000-0005-0000-0000-0000FA1B0000}"/>
    <cellStyle name="20% - Énfasis4 7 5" xfId="7160" xr:uid="{00000000-0005-0000-0000-0000FB1B0000}"/>
    <cellStyle name="20% - Énfasis4 7 5 2" xfId="7161" xr:uid="{00000000-0005-0000-0000-0000FC1B0000}"/>
    <cellStyle name="20% - Énfasis4 7 5 2 2" xfId="7162" xr:uid="{00000000-0005-0000-0000-0000FD1B0000}"/>
    <cellStyle name="20% - Énfasis4 7 5 3" xfId="7163" xr:uid="{00000000-0005-0000-0000-0000FE1B0000}"/>
    <cellStyle name="20% - Énfasis4 7 6" xfId="7164" xr:uid="{00000000-0005-0000-0000-0000FF1B0000}"/>
    <cellStyle name="20% - Énfasis4 7 6 2" xfId="7165" xr:uid="{00000000-0005-0000-0000-0000001C0000}"/>
    <cellStyle name="20% - Énfasis4 7 6 2 2" xfId="7166" xr:uid="{00000000-0005-0000-0000-0000011C0000}"/>
    <cellStyle name="20% - Énfasis4 7 6 3" xfId="7167" xr:uid="{00000000-0005-0000-0000-0000021C0000}"/>
    <cellStyle name="20% - Énfasis4 7 7" xfId="7168" xr:uid="{00000000-0005-0000-0000-0000031C0000}"/>
    <cellStyle name="20% - Énfasis4 7 7 2" xfId="7169" xr:uid="{00000000-0005-0000-0000-0000041C0000}"/>
    <cellStyle name="20% - Énfasis4 7 8" xfId="7170" xr:uid="{00000000-0005-0000-0000-0000051C0000}"/>
    <cellStyle name="20% - Énfasis4 8" xfId="7171" xr:uid="{00000000-0005-0000-0000-0000061C0000}"/>
    <cellStyle name="20% - Énfasis4 8 2" xfId="7172" xr:uid="{00000000-0005-0000-0000-0000071C0000}"/>
    <cellStyle name="20% - Énfasis4 8 2 2" xfId="7173" xr:uid="{00000000-0005-0000-0000-0000081C0000}"/>
    <cellStyle name="20% - Énfasis4 8 2 2 2" xfId="7174" xr:uid="{00000000-0005-0000-0000-0000091C0000}"/>
    <cellStyle name="20% - Énfasis4 8 2 2 2 2" xfId="7175" xr:uid="{00000000-0005-0000-0000-00000A1C0000}"/>
    <cellStyle name="20% - Énfasis4 8 2 2 2 2 2" xfId="7176" xr:uid="{00000000-0005-0000-0000-00000B1C0000}"/>
    <cellStyle name="20% - Énfasis4 8 2 2 2 3" xfId="7177" xr:uid="{00000000-0005-0000-0000-00000C1C0000}"/>
    <cellStyle name="20% - Énfasis4 8 2 2 3" xfId="7178" xr:uid="{00000000-0005-0000-0000-00000D1C0000}"/>
    <cellStyle name="20% - Énfasis4 8 2 2 3 2" xfId="7179" xr:uid="{00000000-0005-0000-0000-00000E1C0000}"/>
    <cellStyle name="20% - Énfasis4 8 2 2 4" xfId="7180" xr:uid="{00000000-0005-0000-0000-00000F1C0000}"/>
    <cellStyle name="20% - Énfasis4 8 2 3" xfId="7181" xr:uid="{00000000-0005-0000-0000-0000101C0000}"/>
    <cellStyle name="20% - Énfasis4 8 2 3 2" xfId="7182" xr:uid="{00000000-0005-0000-0000-0000111C0000}"/>
    <cellStyle name="20% - Énfasis4 8 2 3 2 2" xfId="7183" xr:uid="{00000000-0005-0000-0000-0000121C0000}"/>
    <cellStyle name="20% - Énfasis4 8 2 3 3" xfId="7184" xr:uid="{00000000-0005-0000-0000-0000131C0000}"/>
    <cellStyle name="20% - Énfasis4 8 2 4" xfId="7185" xr:uid="{00000000-0005-0000-0000-0000141C0000}"/>
    <cellStyle name="20% - Énfasis4 8 2 4 2" xfId="7186" xr:uid="{00000000-0005-0000-0000-0000151C0000}"/>
    <cellStyle name="20% - Énfasis4 8 2 4 2 2" xfId="7187" xr:uid="{00000000-0005-0000-0000-0000161C0000}"/>
    <cellStyle name="20% - Énfasis4 8 2 4 3" xfId="7188" xr:uid="{00000000-0005-0000-0000-0000171C0000}"/>
    <cellStyle name="20% - Énfasis4 8 2 5" xfId="7189" xr:uid="{00000000-0005-0000-0000-0000181C0000}"/>
    <cellStyle name="20% - Énfasis4 8 2 5 2" xfId="7190" xr:uid="{00000000-0005-0000-0000-0000191C0000}"/>
    <cellStyle name="20% - Énfasis4 8 2 6" xfId="7191" xr:uid="{00000000-0005-0000-0000-00001A1C0000}"/>
    <cellStyle name="20% - Énfasis4 8 3" xfId="7192" xr:uid="{00000000-0005-0000-0000-00001B1C0000}"/>
    <cellStyle name="20% - Énfasis4 8 3 2" xfId="7193" xr:uid="{00000000-0005-0000-0000-00001C1C0000}"/>
    <cellStyle name="20% - Énfasis4 8 3 2 2" xfId="7194" xr:uid="{00000000-0005-0000-0000-00001D1C0000}"/>
    <cellStyle name="20% - Énfasis4 8 3 2 2 2" xfId="7195" xr:uid="{00000000-0005-0000-0000-00001E1C0000}"/>
    <cellStyle name="20% - Énfasis4 8 3 2 3" xfId="7196" xr:uid="{00000000-0005-0000-0000-00001F1C0000}"/>
    <cellStyle name="20% - Énfasis4 8 3 3" xfId="7197" xr:uid="{00000000-0005-0000-0000-0000201C0000}"/>
    <cellStyle name="20% - Énfasis4 8 3 3 2" xfId="7198" xr:uid="{00000000-0005-0000-0000-0000211C0000}"/>
    <cellStyle name="20% - Énfasis4 8 3 3 2 2" xfId="7199" xr:uid="{00000000-0005-0000-0000-0000221C0000}"/>
    <cellStyle name="20% - Énfasis4 8 3 3 3" xfId="7200" xr:uid="{00000000-0005-0000-0000-0000231C0000}"/>
    <cellStyle name="20% - Énfasis4 8 3 4" xfId="7201" xr:uid="{00000000-0005-0000-0000-0000241C0000}"/>
    <cellStyle name="20% - Énfasis4 8 3 4 2" xfId="7202" xr:uid="{00000000-0005-0000-0000-0000251C0000}"/>
    <cellStyle name="20% - Énfasis4 8 3 5" xfId="7203" xr:uid="{00000000-0005-0000-0000-0000261C0000}"/>
    <cellStyle name="20% - Énfasis4 8 4" xfId="7204" xr:uid="{00000000-0005-0000-0000-0000271C0000}"/>
    <cellStyle name="20% - Énfasis4 8 4 2" xfId="7205" xr:uid="{00000000-0005-0000-0000-0000281C0000}"/>
    <cellStyle name="20% - Énfasis4 8 4 2 2" xfId="7206" xr:uid="{00000000-0005-0000-0000-0000291C0000}"/>
    <cellStyle name="20% - Énfasis4 8 4 2 2 2" xfId="7207" xr:uid="{00000000-0005-0000-0000-00002A1C0000}"/>
    <cellStyle name="20% - Énfasis4 8 4 2 3" xfId="7208" xr:uid="{00000000-0005-0000-0000-00002B1C0000}"/>
    <cellStyle name="20% - Énfasis4 8 4 3" xfId="7209" xr:uid="{00000000-0005-0000-0000-00002C1C0000}"/>
    <cellStyle name="20% - Énfasis4 8 4 3 2" xfId="7210" xr:uid="{00000000-0005-0000-0000-00002D1C0000}"/>
    <cellStyle name="20% - Énfasis4 8 4 4" xfId="7211" xr:uid="{00000000-0005-0000-0000-00002E1C0000}"/>
    <cellStyle name="20% - Énfasis4 8 5" xfId="7212" xr:uid="{00000000-0005-0000-0000-00002F1C0000}"/>
    <cellStyle name="20% - Énfasis4 8 5 2" xfId="7213" xr:uid="{00000000-0005-0000-0000-0000301C0000}"/>
    <cellStyle name="20% - Énfasis4 8 5 2 2" xfId="7214" xr:uid="{00000000-0005-0000-0000-0000311C0000}"/>
    <cellStyle name="20% - Énfasis4 8 5 3" xfId="7215" xr:uid="{00000000-0005-0000-0000-0000321C0000}"/>
    <cellStyle name="20% - Énfasis4 8 6" xfId="7216" xr:uid="{00000000-0005-0000-0000-0000331C0000}"/>
    <cellStyle name="20% - Énfasis4 8 6 2" xfId="7217" xr:uid="{00000000-0005-0000-0000-0000341C0000}"/>
    <cellStyle name="20% - Énfasis4 8 6 2 2" xfId="7218" xr:uid="{00000000-0005-0000-0000-0000351C0000}"/>
    <cellStyle name="20% - Énfasis4 8 6 3" xfId="7219" xr:uid="{00000000-0005-0000-0000-0000361C0000}"/>
    <cellStyle name="20% - Énfasis4 8 7" xfId="7220" xr:uid="{00000000-0005-0000-0000-0000371C0000}"/>
    <cellStyle name="20% - Énfasis4 8 7 2" xfId="7221" xr:uid="{00000000-0005-0000-0000-0000381C0000}"/>
    <cellStyle name="20% - Énfasis4 8 8" xfId="7222" xr:uid="{00000000-0005-0000-0000-0000391C0000}"/>
    <cellStyle name="20% - Énfasis4 9" xfId="7223" xr:uid="{00000000-0005-0000-0000-00003A1C0000}"/>
    <cellStyle name="20% - Énfasis4 9 2" xfId="7224" xr:uid="{00000000-0005-0000-0000-00003B1C0000}"/>
    <cellStyle name="20% - Énfasis4 9 2 2" xfId="7225" xr:uid="{00000000-0005-0000-0000-00003C1C0000}"/>
    <cellStyle name="20% - Énfasis4 9 2 2 2" xfId="7226" xr:uid="{00000000-0005-0000-0000-00003D1C0000}"/>
    <cellStyle name="20% - Énfasis4 9 2 2 2 2" xfId="7227" xr:uid="{00000000-0005-0000-0000-00003E1C0000}"/>
    <cellStyle name="20% - Énfasis4 9 2 2 2 2 2" xfId="7228" xr:uid="{00000000-0005-0000-0000-00003F1C0000}"/>
    <cellStyle name="20% - Énfasis4 9 2 2 2 3" xfId="7229" xr:uid="{00000000-0005-0000-0000-0000401C0000}"/>
    <cellStyle name="20% - Énfasis4 9 2 2 3" xfId="7230" xr:uid="{00000000-0005-0000-0000-0000411C0000}"/>
    <cellStyle name="20% - Énfasis4 9 2 2 3 2" xfId="7231" xr:uid="{00000000-0005-0000-0000-0000421C0000}"/>
    <cellStyle name="20% - Énfasis4 9 2 2 4" xfId="7232" xr:uid="{00000000-0005-0000-0000-0000431C0000}"/>
    <cellStyle name="20% - Énfasis4 9 2 3" xfId="7233" xr:uid="{00000000-0005-0000-0000-0000441C0000}"/>
    <cellStyle name="20% - Énfasis4 9 2 3 2" xfId="7234" xr:uid="{00000000-0005-0000-0000-0000451C0000}"/>
    <cellStyle name="20% - Énfasis4 9 2 3 2 2" xfId="7235" xr:uid="{00000000-0005-0000-0000-0000461C0000}"/>
    <cellStyle name="20% - Énfasis4 9 2 3 3" xfId="7236" xr:uid="{00000000-0005-0000-0000-0000471C0000}"/>
    <cellStyle name="20% - Énfasis4 9 2 4" xfId="7237" xr:uid="{00000000-0005-0000-0000-0000481C0000}"/>
    <cellStyle name="20% - Énfasis4 9 2 4 2" xfId="7238" xr:uid="{00000000-0005-0000-0000-0000491C0000}"/>
    <cellStyle name="20% - Énfasis4 9 2 4 2 2" xfId="7239" xr:uid="{00000000-0005-0000-0000-00004A1C0000}"/>
    <cellStyle name="20% - Énfasis4 9 2 4 3" xfId="7240" xr:uid="{00000000-0005-0000-0000-00004B1C0000}"/>
    <cellStyle name="20% - Énfasis4 9 2 5" xfId="7241" xr:uid="{00000000-0005-0000-0000-00004C1C0000}"/>
    <cellStyle name="20% - Énfasis4 9 2 5 2" xfId="7242" xr:uid="{00000000-0005-0000-0000-00004D1C0000}"/>
    <cellStyle name="20% - Énfasis4 9 2 6" xfId="7243" xr:uid="{00000000-0005-0000-0000-00004E1C0000}"/>
    <cellStyle name="20% - Énfasis4 9 3" xfId="7244" xr:uid="{00000000-0005-0000-0000-00004F1C0000}"/>
    <cellStyle name="20% - Énfasis4 9 3 2" xfId="7245" xr:uid="{00000000-0005-0000-0000-0000501C0000}"/>
    <cellStyle name="20% - Énfasis4 9 3 2 2" xfId="7246" xr:uid="{00000000-0005-0000-0000-0000511C0000}"/>
    <cellStyle name="20% - Énfasis4 9 3 2 2 2" xfId="7247" xr:uid="{00000000-0005-0000-0000-0000521C0000}"/>
    <cellStyle name="20% - Énfasis4 9 3 2 3" xfId="7248" xr:uid="{00000000-0005-0000-0000-0000531C0000}"/>
    <cellStyle name="20% - Énfasis4 9 3 3" xfId="7249" xr:uid="{00000000-0005-0000-0000-0000541C0000}"/>
    <cellStyle name="20% - Énfasis4 9 3 3 2" xfId="7250" xr:uid="{00000000-0005-0000-0000-0000551C0000}"/>
    <cellStyle name="20% - Énfasis4 9 3 3 2 2" xfId="7251" xr:uid="{00000000-0005-0000-0000-0000561C0000}"/>
    <cellStyle name="20% - Énfasis4 9 3 3 3" xfId="7252" xr:uid="{00000000-0005-0000-0000-0000571C0000}"/>
    <cellStyle name="20% - Énfasis4 9 3 4" xfId="7253" xr:uid="{00000000-0005-0000-0000-0000581C0000}"/>
    <cellStyle name="20% - Énfasis4 9 3 4 2" xfId="7254" xr:uid="{00000000-0005-0000-0000-0000591C0000}"/>
    <cellStyle name="20% - Énfasis4 9 3 5" xfId="7255" xr:uid="{00000000-0005-0000-0000-00005A1C0000}"/>
    <cellStyle name="20% - Énfasis4 9 4" xfId="7256" xr:uid="{00000000-0005-0000-0000-00005B1C0000}"/>
    <cellStyle name="20% - Énfasis4 9 4 2" xfId="7257" xr:uid="{00000000-0005-0000-0000-00005C1C0000}"/>
    <cellStyle name="20% - Énfasis4 9 4 2 2" xfId="7258" xr:uid="{00000000-0005-0000-0000-00005D1C0000}"/>
    <cellStyle name="20% - Énfasis4 9 4 2 2 2" xfId="7259" xr:uid="{00000000-0005-0000-0000-00005E1C0000}"/>
    <cellStyle name="20% - Énfasis4 9 4 2 3" xfId="7260" xr:uid="{00000000-0005-0000-0000-00005F1C0000}"/>
    <cellStyle name="20% - Énfasis4 9 4 3" xfId="7261" xr:uid="{00000000-0005-0000-0000-0000601C0000}"/>
    <cellStyle name="20% - Énfasis4 9 4 3 2" xfId="7262" xr:uid="{00000000-0005-0000-0000-0000611C0000}"/>
    <cellStyle name="20% - Énfasis4 9 4 4" xfId="7263" xr:uid="{00000000-0005-0000-0000-0000621C0000}"/>
    <cellStyle name="20% - Énfasis4 9 5" xfId="7264" xr:uid="{00000000-0005-0000-0000-0000631C0000}"/>
    <cellStyle name="20% - Énfasis4 9 5 2" xfId="7265" xr:uid="{00000000-0005-0000-0000-0000641C0000}"/>
    <cellStyle name="20% - Énfasis4 9 5 2 2" xfId="7266" xr:uid="{00000000-0005-0000-0000-0000651C0000}"/>
    <cellStyle name="20% - Énfasis4 9 5 3" xfId="7267" xr:uid="{00000000-0005-0000-0000-0000661C0000}"/>
    <cellStyle name="20% - Énfasis4 9 6" xfId="7268" xr:uid="{00000000-0005-0000-0000-0000671C0000}"/>
    <cellStyle name="20% - Énfasis4 9 6 2" xfId="7269" xr:uid="{00000000-0005-0000-0000-0000681C0000}"/>
    <cellStyle name="20% - Énfasis4 9 6 2 2" xfId="7270" xr:uid="{00000000-0005-0000-0000-0000691C0000}"/>
    <cellStyle name="20% - Énfasis4 9 6 3" xfId="7271" xr:uid="{00000000-0005-0000-0000-00006A1C0000}"/>
    <cellStyle name="20% - Énfasis4 9 7" xfId="7272" xr:uid="{00000000-0005-0000-0000-00006B1C0000}"/>
    <cellStyle name="20% - Énfasis4 9 7 2" xfId="7273" xr:uid="{00000000-0005-0000-0000-00006C1C0000}"/>
    <cellStyle name="20% - Énfasis4 9 8" xfId="7274" xr:uid="{00000000-0005-0000-0000-00006D1C0000}"/>
    <cellStyle name="20% - Énfasis5 10" xfId="7275" xr:uid="{00000000-0005-0000-0000-00006E1C0000}"/>
    <cellStyle name="20% - Énfasis5 10 2" xfId="7276" xr:uid="{00000000-0005-0000-0000-00006F1C0000}"/>
    <cellStyle name="20% - Énfasis5 10 2 2" xfId="7277" xr:uid="{00000000-0005-0000-0000-0000701C0000}"/>
    <cellStyle name="20% - Énfasis5 10 2 2 2" xfId="7278" xr:uid="{00000000-0005-0000-0000-0000711C0000}"/>
    <cellStyle name="20% - Énfasis5 10 2 2 2 2" xfId="7279" xr:uid="{00000000-0005-0000-0000-0000721C0000}"/>
    <cellStyle name="20% - Énfasis5 10 2 2 2 2 2" xfId="7280" xr:uid="{00000000-0005-0000-0000-0000731C0000}"/>
    <cellStyle name="20% - Énfasis5 10 2 2 2 3" xfId="7281" xr:uid="{00000000-0005-0000-0000-0000741C0000}"/>
    <cellStyle name="20% - Énfasis5 10 2 2 3" xfId="7282" xr:uid="{00000000-0005-0000-0000-0000751C0000}"/>
    <cellStyle name="20% - Énfasis5 10 2 2 3 2" xfId="7283" xr:uid="{00000000-0005-0000-0000-0000761C0000}"/>
    <cellStyle name="20% - Énfasis5 10 2 2 4" xfId="7284" xr:uid="{00000000-0005-0000-0000-0000771C0000}"/>
    <cellStyle name="20% - Énfasis5 10 2 3" xfId="7285" xr:uid="{00000000-0005-0000-0000-0000781C0000}"/>
    <cellStyle name="20% - Énfasis5 10 2 3 2" xfId="7286" xr:uid="{00000000-0005-0000-0000-0000791C0000}"/>
    <cellStyle name="20% - Énfasis5 10 2 3 2 2" xfId="7287" xr:uid="{00000000-0005-0000-0000-00007A1C0000}"/>
    <cellStyle name="20% - Énfasis5 10 2 3 3" xfId="7288" xr:uid="{00000000-0005-0000-0000-00007B1C0000}"/>
    <cellStyle name="20% - Énfasis5 10 2 4" xfId="7289" xr:uid="{00000000-0005-0000-0000-00007C1C0000}"/>
    <cellStyle name="20% - Énfasis5 10 2 4 2" xfId="7290" xr:uid="{00000000-0005-0000-0000-00007D1C0000}"/>
    <cellStyle name="20% - Énfasis5 10 2 4 2 2" xfId="7291" xr:uid="{00000000-0005-0000-0000-00007E1C0000}"/>
    <cellStyle name="20% - Énfasis5 10 2 4 3" xfId="7292" xr:uid="{00000000-0005-0000-0000-00007F1C0000}"/>
    <cellStyle name="20% - Énfasis5 10 2 5" xfId="7293" xr:uid="{00000000-0005-0000-0000-0000801C0000}"/>
    <cellStyle name="20% - Énfasis5 10 2 5 2" xfId="7294" xr:uid="{00000000-0005-0000-0000-0000811C0000}"/>
    <cellStyle name="20% - Énfasis5 10 2 6" xfId="7295" xr:uid="{00000000-0005-0000-0000-0000821C0000}"/>
    <cellStyle name="20% - Énfasis5 10 3" xfId="7296" xr:uid="{00000000-0005-0000-0000-0000831C0000}"/>
    <cellStyle name="20% - Énfasis5 10 3 2" xfId="7297" xr:uid="{00000000-0005-0000-0000-0000841C0000}"/>
    <cellStyle name="20% - Énfasis5 10 3 2 2" xfId="7298" xr:uid="{00000000-0005-0000-0000-0000851C0000}"/>
    <cellStyle name="20% - Énfasis5 10 3 2 2 2" xfId="7299" xr:uid="{00000000-0005-0000-0000-0000861C0000}"/>
    <cellStyle name="20% - Énfasis5 10 3 2 3" xfId="7300" xr:uid="{00000000-0005-0000-0000-0000871C0000}"/>
    <cellStyle name="20% - Énfasis5 10 3 3" xfId="7301" xr:uid="{00000000-0005-0000-0000-0000881C0000}"/>
    <cellStyle name="20% - Énfasis5 10 3 3 2" xfId="7302" xr:uid="{00000000-0005-0000-0000-0000891C0000}"/>
    <cellStyle name="20% - Énfasis5 10 3 3 2 2" xfId="7303" xr:uid="{00000000-0005-0000-0000-00008A1C0000}"/>
    <cellStyle name="20% - Énfasis5 10 3 3 3" xfId="7304" xr:uid="{00000000-0005-0000-0000-00008B1C0000}"/>
    <cellStyle name="20% - Énfasis5 10 3 4" xfId="7305" xr:uid="{00000000-0005-0000-0000-00008C1C0000}"/>
    <cellStyle name="20% - Énfasis5 10 3 4 2" xfId="7306" xr:uid="{00000000-0005-0000-0000-00008D1C0000}"/>
    <cellStyle name="20% - Énfasis5 10 3 5" xfId="7307" xr:uid="{00000000-0005-0000-0000-00008E1C0000}"/>
    <cellStyle name="20% - Énfasis5 10 4" xfId="7308" xr:uid="{00000000-0005-0000-0000-00008F1C0000}"/>
    <cellStyle name="20% - Énfasis5 10 4 2" xfId="7309" xr:uid="{00000000-0005-0000-0000-0000901C0000}"/>
    <cellStyle name="20% - Énfasis5 10 4 2 2" xfId="7310" xr:uid="{00000000-0005-0000-0000-0000911C0000}"/>
    <cellStyle name="20% - Énfasis5 10 4 2 2 2" xfId="7311" xr:uid="{00000000-0005-0000-0000-0000921C0000}"/>
    <cellStyle name="20% - Énfasis5 10 4 2 3" xfId="7312" xr:uid="{00000000-0005-0000-0000-0000931C0000}"/>
    <cellStyle name="20% - Énfasis5 10 4 3" xfId="7313" xr:uid="{00000000-0005-0000-0000-0000941C0000}"/>
    <cellStyle name="20% - Énfasis5 10 4 3 2" xfId="7314" xr:uid="{00000000-0005-0000-0000-0000951C0000}"/>
    <cellStyle name="20% - Énfasis5 10 4 4" xfId="7315" xr:uid="{00000000-0005-0000-0000-0000961C0000}"/>
    <cellStyle name="20% - Énfasis5 10 5" xfId="7316" xr:uid="{00000000-0005-0000-0000-0000971C0000}"/>
    <cellStyle name="20% - Énfasis5 10 5 2" xfId="7317" xr:uid="{00000000-0005-0000-0000-0000981C0000}"/>
    <cellStyle name="20% - Énfasis5 10 5 2 2" xfId="7318" xr:uid="{00000000-0005-0000-0000-0000991C0000}"/>
    <cellStyle name="20% - Énfasis5 10 5 3" xfId="7319" xr:uid="{00000000-0005-0000-0000-00009A1C0000}"/>
    <cellStyle name="20% - Énfasis5 10 6" xfId="7320" xr:uid="{00000000-0005-0000-0000-00009B1C0000}"/>
    <cellStyle name="20% - Énfasis5 10 6 2" xfId="7321" xr:uid="{00000000-0005-0000-0000-00009C1C0000}"/>
    <cellStyle name="20% - Énfasis5 10 6 2 2" xfId="7322" xr:uid="{00000000-0005-0000-0000-00009D1C0000}"/>
    <cellStyle name="20% - Énfasis5 10 6 3" xfId="7323" xr:uid="{00000000-0005-0000-0000-00009E1C0000}"/>
    <cellStyle name="20% - Énfasis5 10 7" xfId="7324" xr:uid="{00000000-0005-0000-0000-00009F1C0000}"/>
    <cellStyle name="20% - Énfasis5 10 7 2" xfId="7325" xr:uid="{00000000-0005-0000-0000-0000A01C0000}"/>
    <cellStyle name="20% - Énfasis5 10 8" xfId="7326" xr:uid="{00000000-0005-0000-0000-0000A11C0000}"/>
    <cellStyle name="20% - Énfasis5 11" xfId="7327" xr:uid="{00000000-0005-0000-0000-0000A21C0000}"/>
    <cellStyle name="20% - Énfasis5 11 2" xfId="7328" xr:uid="{00000000-0005-0000-0000-0000A31C0000}"/>
    <cellStyle name="20% - Énfasis5 11 2 2" xfId="7329" xr:uid="{00000000-0005-0000-0000-0000A41C0000}"/>
    <cellStyle name="20% - Énfasis5 11 2 2 2" xfId="7330" xr:uid="{00000000-0005-0000-0000-0000A51C0000}"/>
    <cellStyle name="20% - Énfasis5 11 2 2 2 2" xfId="7331" xr:uid="{00000000-0005-0000-0000-0000A61C0000}"/>
    <cellStyle name="20% - Énfasis5 11 2 2 2 2 2" xfId="7332" xr:uid="{00000000-0005-0000-0000-0000A71C0000}"/>
    <cellStyle name="20% - Énfasis5 11 2 2 2 3" xfId="7333" xr:uid="{00000000-0005-0000-0000-0000A81C0000}"/>
    <cellStyle name="20% - Énfasis5 11 2 2 3" xfId="7334" xr:uid="{00000000-0005-0000-0000-0000A91C0000}"/>
    <cellStyle name="20% - Énfasis5 11 2 2 3 2" xfId="7335" xr:uid="{00000000-0005-0000-0000-0000AA1C0000}"/>
    <cellStyle name="20% - Énfasis5 11 2 2 4" xfId="7336" xr:uid="{00000000-0005-0000-0000-0000AB1C0000}"/>
    <cellStyle name="20% - Énfasis5 11 2 3" xfId="7337" xr:uid="{00000000-0005-0000-0000-0000AC1C0000}"/>
    <cellStyle name="20% - Énfasis5 11 2 3 2" xfId="7338" xr:uid="{00000000-0005-0000-0000-0000AD1C0000}"/>
    <cellStyle name="20% - Énfasis5 11 2 3 2 2" xfId="7339" xr:uid="{00000000-0005-0000-0000-0000AE1C0000}"/>
    <cellStyle name="20% - Énfasis5 11 2 3 3" xfId="7340" xr:uid="{00000000-0005-0000-0000-0000AF1C0000}"/>
    <cellStyle name="20% - Énfasis5 11 2 4" xfId="7341" xr:uid="{00000000-0005-0000-0000-0000B01C0000}"/>
    <cellStyle name="20% - Énfasis5 11 2 4 2" xfId="7342" xr:uid="{00000000-0005-0000-0000-0000B11C0000}"/>
    <cellStyle name="20% - Énfasis5 11 2 4 2 2" xfId="7343" xr:uid="{00000000-0005-0000-0000-0000B21C0000}"/>
    <cellStyle name="20% - Énfasis5 11 2 4 3" xfId="7344" xr:uid="{00000000-0005-0000-0000-0000B31C0000}"/>
    <cellStyle name="20% - Énfasis5 11 2 5" xfId="7345" xr:uid="{00000000-0005-0000-0000-0000B41C0000}"/>
    <cellStyle name="20% - Énfasis5 11 2 5 2" xfId="7346" xr:uid="{00000000-0005-0000-0000-0000B51C0000}"/>
    <cellStyle name="20% - Énfasis5 11 2 6" xfId="7347" xr:uid="{00000000-0005-0000-0000-0000B61C0000}"/>
    <cellStyle name="20% - Énfasis5 11 3" xfId="7348" xr:uid="{00000000-0005-0000-0000-0000B71C0000}"/>
    <cellStyle name="20% - Énfasis5 11 3 2" xfId="7349" xr:uid="{00000000-0005-0000-0000-0000B81C0000}"/>
    <cellStyle name="20% - Énfasis5 11 3 2 2" xfId="7350" xr:uid="{00000000-0005-0000-0000-0000B91C0000}"/>
    <cellStyle name="20% - Énfasis5 11 3 2 2 2" xfId="7351" xr:uid="{00000000-0005-0000-0000-0000BA1C0000}"/>
    <cellStyle name="20% - Énfasis5 11 3 2 3" xfId="7352" xr:uid="{00000000-0005-0000-0000-0000BB1C0000}"/>
    <cellStyle name="20% - Énfasis5 11 3 3" xfId="7353" xr:uid="{00000000-0005-0000-0000-0000BC1C0000}"/>
    <cellStyle name="20% - Énfasis5 11 3 3 2" xfId="7354" xr:uid="{00000000-0005-0000-0000-0000BD1C0000}"/>
    <cellStyle name="20% - Énfasis5 11 3 3 2 2" xfId="7355" xr:uid="{00000000-0005-0000-0000-0000BE1C0000}"/>
    <cellStyle name="20% - Énfasis5 11 3 3 3" xfId="7356" xr:uid="{00000000-0005-0000-0000-0000BF1C0000}"/>
    <cellStyle name="20% - Énfasis5 11 3 4" xfId="7357" xr:uid="{00000000-0005-0000-0000-0000C01C0000}"/>
    <cellStyle name="20% - Énfasis5 11 3 4 2" xfId="7358" xr:uid="{00000000-0005-0000-0000-0000C11C0000}"/>
    <cellStyle name="20% - Énfasis5 11 3 5" xfId="7359" xr:uid="{00000000-0005-0000-0000-0000C21C0000}"/>
    <cellStyle name="20% - Énfasis5 11 4" xfId="7360" xr:uid="{00000000-0005-0000-0000-0000C31C0000}"/>
    <cellStyle name="20% - Énfasis5 11 4 2" xfId="7361" xr:uid="{00000000-0005-0000-0000-0000C41C0000}"/>
    <cellStyle name="20% - Énfasis5 11 4 2 2" xfId="7362" xr:uid="{00000000-0005-0000-0000-0000C51C0000}"/>
    <cellStyle name="20% - Énfasis5 11 4 2 2 2" xfId="7363" xr:uid="{00000000-0005-0000-0000-0000C61C0000}"/>
    <cellStyle name="20% - Énfasis5 11 4 2 3" xfId="7364" xr:uid="{00000000-0005-0000-0000-0000C71C0000}"/>
    <cellStyle name="20% - Énfasis5 11 4 3" xfId="7365" xr:uid="{00000000-0005-0000-0000-0000C81C0000}"/>
    <cellStyle name="20% - Énfasis5 11 4 3 2" xfId="7366" xr:uid="{00000000-0005-0000-0000-0000C91C0000}"/>
    <cellStyle name="20% - Énfasis5 11 4 4" xfId="7367" xr:uid="{00000000-0005-0000-0000-0000CA1C0000}"/>
    <cellStyle name="20% - Énfasis5 11 5" xfId="7368" xr:uid="{00000000-0005-0000-0000-0000CB1C0000}"/>
    <cellStyle name="20% - Énfasis5 11 5 2" xfId="7369" xr:uid="{00000000-0005-0000-0000-0000CC1C0000}"/>
    <cellStyle name="20% - Énfasis5 11 5 2 2" xfId="7370" xr:uid="{00000000-0005-0000-0000-0000CD1C0000}"/>
    <cellStyle name="20% - Énfasis5 11 5 3" xfId="7371" xr:uid="{00000000-0005-0000-0000-0000CE1C0000}"/>
    <cellStyle name="20% - Énfasis5 11 6" xfId="7372" xr:uid="{00000000-0005-0000-0000-0000CF1C0000}"/>
    <cellStyle name="20% - Énfasis5 11 6 2" xfId="7373" xr:uid="{00000000-0005-0000-0000-0000D01C0000}"/>
    <cellStyle name="20% - Énfasis5 11 6 2 2" xfId="7374" xr:uid="{00000000-0005-0000-0000-0000D11C0000}"/>
    <cellStyle name="20% - Énfasis5 11 6 3" xfId="7375" xr:uid="{00000000-0005-0000-0000-0000D21C0000}"/>
    <cellStyle name="20% - Énfasis5 11 7" xfId="7376" xr:uid="{00000000-0005-0000-0000-0000D31C0000}"/>
    <cellStyle name="20% - Énfasis5 11 7 2" xfId="7377" xr:uid="{00000000-0005-0000-0000-0000D41C0000}"/>
    <cellStyle name="20% - Énfasis5 11 8" xfId="7378" xr:uid="{00000000-0005-0000-0000-0000D51C0000}"/>
    <cellStyle name="20% - Énfasis5 12" xfId="7379" xr:uid="{00000000-0005-0000-0000-0000D61C0000}"/>
    <cellStyle name="20% - Énfasis5 12 2" xfId="7380" xr:uid="{00000000-0005-0000-0000-0000D71C0000}"/>
    <cellStyle name="20% - Énfasis5 12 2 2" xfId="7381" xr:uid="{00000000-0005-0000-0000-0000D81C0000}"/>
    <cellStyle name="20% - Énfasis5 12 2 2 2" xfId="7382" xr:uid="{00000000-0005-0000-0000-0000D91C0000}"/>
    <cellStyle name="20% - Énfasis5 12 2 2 2 2" xfId="7383" xr:uid="{00000000-0005-0000-0000-0000DA1C0000}"/>
    <cellStyle name="20% - Énfasis5 12 2 2 2 2 2" xfId="7384" xr:uid="{00000000-0005-0000-0000-0000DB1C0000}"/>
    <cellStyle name="20% - Énfasis5 12 2 2 2 3" xfId="7385" xr:uid="{00000000-0005-0000-0000-0000DC1C0000}"/>
    <cellStyle name="20% - Énfasis5 12 2 2 3" xfId="7386" xr:uid="{00000000-0005-0000-0000-0000DD1C0000}"/>
    <cellStyle name="20% - Énfasis5 12 2 2 3 2" xfId="7387" xr:uid="{00000000-0005-0000-0000-0000DE1C0000}"/>
    <cellStyle name="20% - Énfasis5 12 2 2 4" xfId="7388" xr:uid="{00000000-0005-0000-0000-0000DF1C0000}"/>
    <cellStyle name="20% - Énfasis5 12 2 3" xfId="7389" xr:uid="{00000000-0005-0000-0000-0000E01C0000}"/>
    <cellStyle name="20% - Énfasis5 12 2 3 2" xfId="7390" xr:uid="{00000000-0005-0000-0000-0000E11C0000}"/>
    <cellStyle name="20% - Énfasis5 12 2 3 2 2" xfId="7391" xr:uid="{00000000-0005-0000-0000-0000E21C0000}"/>
    <cellStyle name="20% - Énfasis5 12 2 3 3" xfId="7392" xr:uid="{00000000-0005-0000-0000-0000E31C0000}"/>
    <cellStyle name="20% - Énfasis5 12 2 4" xfId="7393" xr:uid="{00000000-0005-0000-0000-0000E41C0000}"/>
    <cellStyle name="20% - Énfasis5 12 2 4 2" xfId="7394" xr:uid="{00000000-0005-0000-0000-0000E51C0000}"/>
    <cellStyle name="20% - Énfasis5 12 2 4 2 2" xfId="7395" xr:uid="{00000000-0005-0000-0000-0000E61C0000}"/>
    <cellStyle name="20% - Énfasis5 12 2 4 3" xfId="7396" xr:uid="{00000000-0005-0000-0000-0000E71C0000}"/>
    <cellStyle name="20% - Énfasis5 12 2 5" xfId="7397" xr:uid="{00000000-0005-0000-0000-0000E81C0000}"/>
    <cellStyle name="20% - Énfasis5 12 2 5 2" xfId="7398" xr:uid="{00000000-0005-0000-0000-0000E91C0000}"/>
    <cellStyle name="20% - Énfasis5 12 2 6" xfId="7399" xr:uid="{00000000-0005-0000-0000-0000EA1C0000}"/>
    <cellStyle name="20% - Énfasis5 12 3" xfId="7400" xr:uid="{00000000-0005-0000-0000-0000EB1C0000}"/>
    <cellStyle name="20% - Énfasis5 12 3 2" xfId="7401" xr:uid="{00000000-0005-0000-0000-0000EC1C0000}"/>
    <cellStyle name="20% - Énfasis5 12 3 2 2" xfId="7402" xr:uid="{00000000-0005-0000-0000-0000ED1C0000}"/>
    <cellStyle name="20% - Énfasis5 12 3 2 2 2" xfId="7403" xr:uid="{00000000-0005-0000-0000-0000EE1C0000}"/>
    <cellStyle name="20% - Énfasis5 12 3 2 3" xfId="7404" xr:uid="{00000000-0005-0000-0000-0000EF1C0000}"/>
    <cellStyle name="20% - Énfasis5 12 3 3" xfId="7405" xr:uid="{00000000-0005-0000-0000-0000F01C0000}"/>
    <cellStyle name="20% - Énfasis5 12 3 3 2" xfId="7406" xr:uid="{00000000-0005-0000-0000-0000F11C0000}"/>
    <cellStyle name="20% - Énfasis5 12 3 3 2 2" xfId="7407" xr:uid="{00000000-0005-0000-0000-0000F21C0000}"/>
    <cellStyle name="20% - Énfasis5 12 3 3 3" xfId="7408" xr:uid="{00000000-0005-0000-0000-0000F31C0000}"/>
    <cellStyle name="20% - Énfasis5 12 3 4" xfId="7409" xr:uid="{00000000-0005-0000-0000-0000F41C0000}"/>
    <cellStyle name="20% - Énfasis5 12 3 4 2" xfId="7410" xr:uid="{00000000-0005-0000-0000-0000F51C0000}"/>
    <cellStyle name="20% - Énfasis5 12 3 5" xfId="7411" xr:uid="{00000000-0005-0000-0000-0000F61C0000}"/>
    <cellStyle name="20% - Énfasis5 12 4" xfId="7412" xr:uid="{00000000-0005-0000-0000-0000F71C0000}"/>
    <cellStyle name="20% - Énfasis5 12 4 2" xfId="7413" xr:uid="{00000000-0005-0000-0000-0000F81C0000}"/>
    <cellStyle name="20% - Énfasis5 12 4 2 2" xfId="7414" xr:uid="{00000000-0005-0000-0000-0000F91C0000}"/>
    <cellStyle name="20% - Énfasis5 12 4 2 2 2" xfId="7415" xr:uid="{00000000-0005-0000-0000-0000FA1C0000}"/>
    <cellStyle name="20% - Énfasis5 12 4 2 3" xfId="7416" xr:uid="{00000000-0005-0000-0000-0000FB1C0000}"/>
    <cellStyle name="20% - Énfasis5 12 4 3" xfId="7417" xr:uid="{00000000-0005-0000-0000-0000FC1C0000}"/>
    <cellStyle name="20% - Énfasis5 12 4 3 2" xfId="7418" xr:uid="{00000000-0005-0000-0000-0000FD1C0000}"/>
    <cellStyle name="20% - Énfasis5 12 4 4" xfId="7419" xr:uid="{00000000-0005-0000-0000-0000FE1C0000}"/>
    <cellStyle name="20% - Énfasis5 12 5" xfId="7420" xr:uid="{00000000-0005-0000-0000-0000FF1C0000}"/>
    <cellStyle name="20% - Énfasis5 12 5 2" xfId="7421" xr:uid="{00000000-0005-0000-0000-0000001D0000}"/>
    <cellStyle name="20% - Énfasis5 12 5 2 2" xfId="7422" xr:uid="{00000000-0005-0000-0000-0000011D0000}"/>
    <cellStyle name="20% - Énfasis5 12 5 3" xfId="7423" xr:uid="{00000000-0005-0000-0000-0000021D0000}"/>
    <cellStyle name="20% - Énfasis5 12 6" xfId="7424" xr:uid="{00000000-0005-0000-0000-0000031D0000}"/>
    <cellStyle name="20% - Énfasis5 12 6 2" xfId="7425" xr:uid="{00000000-0005-0000-0000-0000041D0000}"/>
    <cellStyle name="20% - Énfasis5 12 6 2 2" xfId="7426" xr:uid="{00000000-0005-0000-0000-0000051D0000}"/>
    <cellStyle name="20% - Énfasis5 12 6 3" xfId="7427" xr:uid="{00000000-0005-0000-0000-0000061D0000}"/>
    <cellStyle name="20% - Énfasis5 12 7" xfId="7428" xr:uid="{00000000-0005-0000-0000-0000071D0000}"/>
    <cellStyle name="20% - Énfasis5 12 7 2" xfId="7429" xr:uid="{00000000-0005-0000-0000-0000081D0000}"/>
    <cellStyle name="20% - Énfasis5 12 8" xfId="7430" xr:uid="{00000000-0005-0000-0000-0000091D0000}"/>
    <cellStyle name="20% - Énfasis5 13" xfId="7431" xr:uid="{00000000-0005-0000-0000-00000A1D0000}"/>
    <cellStyle name="20% - Énfasis5 13 2" xfId="7432" xr:uid="{00000000-0005-0000-0000-00000B1D0000}"/>
    <cellStyle name="20% - Énfasis5 13 2 2" xfId="7433" xr:uid="{00000000-0005-0000-0000-00000C1D0000}"/>
    <cellStyle name="20% - Énfasis5 13 2 2 2" xfId="7434" xr:uid="{00000000-0005-0000-0000-00000D1D0000}"/>
    <cellStyle name="20% - Énfasis5 13 2 2 2 2" xfId="7435" xr:uid="{00000000-0005-0000-0000-00000E1D0000}"/>
    <cellStyle name="20% - Énfasis5 13 2 2 2 2 2" xfId="7436" xr:uid="{00000000-0005-0000-0000-00000F1D0000}"/>
    <cellStyle name="20% - Énfasis5 13 2 2 2 3" xfId="7437" xr:uid="{00000000-0005-0000-0000-0000101D0000}"/>
    <cellStyle name="20% - Énfasis5 13 2 2 3" xfId="7438" xr:uid="{00000000-0005-0000-0000-0000111D0000}"/>
    <cellStyle name="20% - Énfasis5 13 2 2 3 2" xfId="7439" xr:uid="{00000000-0005-0000-0000-0000121D0000}"/>
    <cellStyle name="20% - Énfasis5 13 2 2 4" xfId="7440" xr:uid="{00000000-0005-0000-0000-0000131D0000}"/>
    <cellStyle name="20% - Énfasis5 13 2 3" xfId="7441" xr:uid="{00000000-0005-0000-0000-0000141D0000}"/>
    <cellStyle name="20% - Énfasis5 13 2 3 2" xfId="7442" xr:uid="{00000000-0005-0000-0000-0000151D0000}"/>
    <cellStyle name="20% - Énfasis5 13 2 3 2 2" xfId="7443" xr:uid="{00000000-0005-0000-0000-0000161D0000}"/>
    <cellStyle name="20% - Énfasis5 13 2 3 3" xfId="7444" xr:uid="{00000000-0005-0000-0000-0000171D0000}"/>
    <cellStyle name="20% - Énfasis5 13 2 4" xfId="7445" xr:uid="{00000000-0005-0000-0000-0000181D0000}"/>
    <cellStyle name="20% - Énfasis5 13 2 4 2" xfId="7446" xr:uid="{00000000-0005-0000-0000-0000191D0000}"/>
    <cellStyle name="20% - Énfasis5 13 2 4 2 2" xfId="7447" xr:uid="{00000000-0005-0000-0000-00001A1D0000}"/>
    <cellStyle name="20% - Énfasis5 13 2 4 3" xfId="7448" xr:uid="{00000000-0005-0000-0000-00001B1D0000}"/>
    <cellStyle name="20% - Énfasis5 13 2 5" xfId="7449" xr:uid="{00000000-0005-0000-0000-00001C1D0000}"/>
    <cellStyle name="20% - Énfasis5 13 2 5 2" xfId="7450" xr:uid="{00000000-0005-0000-0000-00001D1D0000}"/>
    <cellStyle name="20% - Énfasis5 13 2 6" xfId="7451" xr:uid="{00000000-0005-0000-0000-00001E1D0000}"/>
    <cellStyle name="20% - Énfasis5 13 3" xfId="7452" xr:uid="{00000000-0005-0000-0000-00001F1D0000}"/>
    <cellStyle name="20% - Énfasis5 13 3 2" xfId="7453" xr:uid="{00000000-0005-0000-0000-0000201D0000}"/>
    <cellStyle name="20% - Énfasis5 13 3 2 2" xfId="7454" xr:uid="{00000000-0005-0000-0000-0000211D0000}"/>
    <cellStyle name="20% - Énfasis5 13 3 2 2 2" xfId="7455" xr:uid="{00000000-0005-0000-0000-0000221D0000}"/>
    <cellStyle name="20% - Énfasis5 13 3 2 3" xfId="7456" xr:uid="{00000000-0005-0000-0000-0000231D0000}"/>
    <cellStyle name="20% - Énfasis5 13 3 3" xfId="7457" xr:uid="{00000000-0005-0000-0000-0000241D0000}"/>
    <cellStyle name="20% - Énfasis5 13 3 3 2" xfId="7458" xr:uid="{00000000-0005-0000-0000-0000251D0000}"/>
    <cellStyle name="20% - Énfasis5 13 3 3 2 2" xfId="7459" xr:uid="{00000000-0005-0000-0000-0000261D0000}"/>
    <cellStyle name="20% - Énfasis5 13 3 3 3" xfId="7460" xr:uid="{00000000-0005-0000-0000-0000271D0000}"/>
    <cellStyle name="20% - Énfasis5 13 3 4" xfId="7461" xr:uid="{00000000-0005-0000-0000-0000281D0000}"/>
    <cellStyle name="20% - Énfasis5 13 3 4 2" xfId="7462" xr:uid="{00000000-0005-0000-0000-0000291D0000}"/>
    <cellStyle name="20% - Énfasis5 13 3 5" xfId="7463" xr:uid="{00000000-0005-0000-0000-00002A1D0000}"/>
    <cellStyle name="20% - Énfasis5 13 4" xfId="7464" xr:uid="{00000000-0005-0000-0000-00002B1D0000}"/>
    <cellStyle name="20% - Énfasis5 13 4 2" xfId="7465" xr:uid="{00000000-0005-0000-0000-00002C1D0000}"/>
    <cellStyle name="20% - Énfasis5 13 4 2 2" xfId="7466" xr:uid="{00000000-0005-0000-0000-00002D1D0000}"/>
    <cellStyle name="20% - Énfasis5 13 4 2 2 2" xfId="7467" xr:uid="{00000000-0005-0000-0000-00002E1D0000}"/>
    <cellStyle name="20% - Énfasis5 13 4 2 3" xfId="7468" xr:uid="{00000000-0005-0000-0000-00002F1D0000}"/>
    <cellStyle name="20% - Énfasis5 13 4 3" xfId="7469" xr:uid="{00000000-0005-0000-0000-0000301D0000}"/>
    <cellStyle name="20% - Énfasis5 13 4 3 2" xfId="7470" xr:uid="{00000000-0005-0000-0000-0000311D0000}"/>
    <cellStyle name="20% - Énfasis5 13 4 4" xfId="7471" xr:uid="{00000000-0005-0000-0000-0000321D0000}"/>
    <cellStyle name="20% - Énfasis5 13 5" xfId="7472" xr:uid="{00000000-0005-0000-0000-0000331D0000}"/>
    <cellStyle name="20% - Énfasis5 13 5 2" xfId="7473" xr:uid="{00000000-0005-0000-0000-0000341D0000}"/>
    <cellStyle name="20% - Énfasis5 13 5 2 2" xfId="7474" xr:uid="{00000000-0005-0000-0000-0000351D0000}"/>
    <cellStyle name="20% - Énfasis5 13 5 3" xfId="7475" xr:uid="{00000000-0005-0000-0000-0000361D0000}"/>
    <cellStyle name="20% - Énfasis5 13 6" xfId="7476" xr:uid="{00000000-0005-0000-0000-0000371D0000}"/>
    <cellStyle name="20% - Énfasis5 13 6 2" xfId="7477" xr:uid="{00000000-0005-0000-0000-0000381D0000}"/>
    <cellStyle name="20% - Énfasis5 13 6 2 2" xfId="7478" xr:uid="{00000000-0005-0000-0000-0000391D0000}"/>
    <cellStyle name="20% - Énfasis5 13 6 3" xfId="7479" xr:uid="{00000000-0005-0000-0000-00003A1D0000}"/>
    <cellStyle name="20% - Énfasis5 13 7" xfId="7480" xr:uid="{00000000-0005-0000-0000-00003B1D0000}"/>
    <cellStyle name="20% - Énfasis5 13 7 2" xfId="7481" xr:uid="{00000000-0005-0000-0000-00003C1D0000}"/>
    <cellStyle name="20% - Énfasis5 13 8" xfId="7482" xr:uid="{00000000-0005-0000-0000-00003D1D0000}"/>
    <cellStyle name="20% - Énfasis5 14" xfId="7483" xr:uid="{00000000-0005-0000-0000-00003E1D0000}"/>
    <cellStyle name="20% - Énfasis5 14 2" xfId="7484" xr:uid="{00000000-0005-0000-0000-00003F1D0000}"/>
    <cellStyle name="20% - Énfasis5 14 2 2" xfId="7485" xr:uid="{00000000-0005-0000-0000-0000401D0000}"/>
    <cellStyle name="20% - Énfasis5 14 2 2 2" xfId="7486" xr:uid="{00000000-0005-0000-0000-0000411D0000}"/>
    <cellStyle name="20% - Énfasis5 14 2 2 2 2" xfId="7487" xr:uid="{00000000-0005-0000-0000-0000421D0000}"/>
    <cellStyle name="20% - Énfasis5 14 2 2 2 2 2" xfId="7488" xr:uid="{00000000-0005-0000-0000-0000431D0000}"/>
    <cellStyle name="20% - Énfasis5 14 2 2 2 3" xfId="7489" xr:uid="{00000000-0005-0000-0000-0000441D0000}"/>
    <cellStyle name="20% - Énfasis5 14 2 2 3" xfId="7490" xr:uid="{00000000-0005-0000-0000-0000451D0000}"/>
    <cellStyle name="20% - Énfasis5 14 2 2 3 2" xfId="7491" xr:uid="{00000000-0005-0000-0000-0000461D0000}"/>
    <cellStyle name="20% - Énfasis5 14 2 2 4" xfId="7492" xr:uid="{00000000-0005-0000-0000-0000471D0000}"/>
    <cellStyle name="20% - Énfasis5 14 2 3" xfId="7493" xr:uid="{00000000-0005-0000-0000-0000481D0000}"/>
    <cellStyle name="20% - Énfasis5 14 2 3 2" xfId="7494" xr:uid="{00000000-0005-0000-0000-0000491D0000}"/>
    <cellStyle name="20% - Énfasis5 14 2 3 2 2" xfId="7495" xr:uid="{00000000-0005-0000-0000-00004A1D0000}"/>
    <cellStyle name="20% - Énfasis5 14 2 3 3" xfId="7496" xr:uid="{00000000-0005-0000-0000-00004B1D0000}"/>
    <cellStyle name="20% - Énfasis5 14 2 4" xfId="7497" xr:uid="{00000000-0005-0000-0000-00004C1D0000}"/>
    <cellStyle name="20% - Énfasis5 14 2 4 2" xfId="7498" xr:uid="{00000000-0005-0000-0000-00004D1D0000}"/>
    <cellStyle name="20% - Énfasis5 14 2 4 2 2" xfId="7499" xr:uid="{00000000-0005-0000-0000-00004E1D0000}"/>
    <cellStyle name="20% - Énfasis5 14 2 4 3" xfId="7500" xr:uid="{00000000-0005-0000-0000-00004F1D0000}"/>
    <cellStyle name="20% - Énfasis5 14 2 5" xfId="7501" xr:uid="{00000000-0005-0000-0000-0000501D0000}"/>
    <cellStyle name="20% - Énfasis5 14 2 5 2" xfId="7502" xr:uid="{00000000-0005-0000-0000-0000511D0000}"/>
    <cellStyle name="20% - Énfasis5 14 2 6" xfId="7503" xr:uid="{00000000-0005-0000-0000-0000521D0000}"/>
    <cellStyle name="20% - Énfasis5 14 3" xfId="7504" xr:uid="{00000000-0005-0000-0000-0000531D0000}"/>
    <cellStyle name="20% - Énfasis5 14 3 2" xfId="7505" xr:uid="{00000000-0005-0000-0000-0000541D0000}"/>
    <cellStyle name="20% - Énfasis5 14 3 2 2" xfId="7506" xr:uid="{00000000-0005-0000-0000-0000551D0000}"/>
    <cellStyle name="20% - Énfasis5 14 3 2 2 2" xfId="7507" xr:uid="{00000000-0005-0000-0000-0000561D0000}"/>
    <cellStyle name="20% - Énfasis5 14 3 2 3" xfId="7508" xr:uid="{00000000-0005-0000-0000-0000571D0000}"/>
    <cellStyle name="20% - Énfasis5 14 3 3" xfId="7509" xr:uid="{00000000-0005-0000-0000-0000581D0000}"/>
    <cellStyle name="20% - Énfasis5 14 3 3 2" xfId="7510" xr:uid="{00000000-0005-0000-0000-0000591D0000}"/>
    <cellStyle name="20% - Énfasis5 14 3 3 2 2" xfId="7511" xr:uid="{00000000-0005-0000-0000-00005A1D0000}"/>
    <cellStyle name="20% - Énfasis5 14 3 3 3" xfId="7512" xr:uid="{00000000-0005-0000-0000-00005B1D0000}"/>
    <cellStyle name="20% - Énfasis5 14 3 4" xfId="7513" xr:uid="{00000000-0005-0000-0000-00005C1D0000}"/>
    <cellStyle name="20% - Énfasis5 14 3 4 2" xfId="7514" xr:uid="{00000000-0005-0000-0000-00005D1D0000}"/>
    <cellStyle name="20% - Énfasis5 14 3 5" xfId="7515" xr:uid="{00000000-0005-0000-0000-00005E1D0000}"/>
    <cellStyle name="20% - Énfasis5 14 4" xfId="7516" xr:uid="{00000000-0005-0000-0000-00005F1D0000}"/>
    <cellStyle name="20% - Énfasis5 14 4 2" xfId="7517" xr:uid="{00000000-0005-0000-0000-0000601D0000}"/>
    <cellStyle name="20% - Énfasis5 14 4 2 2" xfId="7518" xr:uid="{00000000-0005-0000-0000-0000611D0000}"/>
    <cellStyle name="20% - Énfasis5 14 4 2 2 2" xfId="7519" xr:uid="{00000000-0005-0000-0000-0000621D0000}"/>
    <cellStyle name="20% - Énfasis5 14 4 2 3" xfId="7520" xr:uid="{00000000-0005-0000-0000-0000631D0000}"/>
    <cellStyle name="20% - Énfasis5 14 4 3" xfId="7521" xr:uid="{00000000-0005-0000-0000-0000641D0000}"/>
    <cellStyle name="20% - Énfasis5 14 4 3 2" xfId="7522" xr:uid="{00000000-0005-0000-0000-0000651D0000}"/>
    <cellStyle name="20% - Énfasis5 14 4 4" xfId="7523" xr:uid="{00000000-0005-0000-0000-0000661D0000}"/>
    <cellStyle name="20% - Énfasis5 14 5" xfId="7524" xr:uid="{00000000-0005-0000-0000-0000671D0000}"/>
    <cellStyle name="20% - Énfasis5 14 5 2" xfId="7525" xr:uid="{00000000-0005-0000-0000-0000681D0000}"/>
    <cellStyle name="20% - Énfasis5 14 5 2 2" xfId="7526" xr:uid="{00000000-0005-0000-0000-0000691D0000}"/>
    <cellStyle name="20% - Énfasis5 14 5 3" xfId="7527" xr:uid="{00000000-0005-0000-0000-00006A1D0000}"/>
    <cellStyle name="20% - Énfasis5 14 6" xfId="7528" xr:uid="{00000000-0005-0000-0000-00006B1D0000}"/>
    <cellStyle name="20% - Énfasis5 14 6 2" xfId="7529" xr:uid="{00000000-0005-0000-0000-00006C1D0000}"/>
    <cellStyle name="20% - Énfasis5 14 6 2 2" xfId="7530" xr:uid="{00000000-0005-0000-0000-00006D1D0000}"/>
    <cellStyle name="20% - Énfasis5 14 6 3" xfId="7531" xr:uid="{00000000-0005-0000-0000-00006E1D0000}"/>
    <cellStyle name="20% - Énfasis5 14 7" xfId="7532" xr:uid="{00000000-0005-0000-0000-00006F1D0000}"/>
    <cellStyle name="20% - Énfasis5 14 7 2" xfId="7533" xr:uid="{00000000-0005-0000-0000-0000701D0000}"/>
    <cellStyle name="20% - Énfasis5 14 8" xfId="7534" xr:uid="{00000000-0005-0000-0000-0000711D0000}"/>
    <cellStyle name="20% - Énfasis5 15" xfId="7535" xr:uid="{00000000-0005-0000-0000-0000721D0000}"/>
    <cellStyle name="20% - Énfasis5 15 2" xfId="7536" xr:uid="{00000000-0005-0000-0000-0000731D0000}"/>
    <cellStyle name="20% - Énfasis5 15 2 2" xfId="7537" xr:uid="{00000000-0005-0000-0000-0000741D0000}"/>
    <cellStyle name="20% - Énfasis5 15 2 2 2" xfId="7538" xr:uid="{00000000-0005-0000-0000-0000751D0000}"/>
    <cellStyle name="20% - Énfasis5 15 2 2 2 2" xfId="7539" xr:uid="{00000000-0005-0000-0000-0000761D0000}"/>
    <cellStyle name="20% - Énfasis5 15 2 2 2 2 2" xfId="7540" xr:uid="{00000000-0005-0000-0000-0000771D0000}"/>
    <cellStyle name="20% - Énfasis5 15 2 2 2 3" xfId="7541" xr:uid="{00000000-0005-0000-0000-0000781D0000}"/>
    <cellStyle name="20% - Énfasis5 15 2 2 3" xfId="7542" xr:uid="{00000000-0005-0000-0000-0000791D0000}"/>
    <cellStyle name="20% - Énfasis5 15 2 2 3 2" xfId="7543" xr:uid="{00000000-0005-0000-0000-00007A1D0000}"/>
    <cellStyle name="20% - Énfasis5 15 2 2 4" xfId="7544" xr:uid="{00000000-0005-0000-0000-00007B1D0000}"/>
    <cellStyle name="20% - Énfasis5 15 2 3" xfId="7545" xr:uid="{00000000-0005-0000-0000-00007C1D0000}"/>
    <cellStyle name="20% - Énfasis5 15 2 3 2" xfId="7546" xr:uid="{00000000-0005-0000-0000-00007D1D0000}"/>
    <cellStyle name="20% - Énfasis5 15 2 3 2 2" xfId="7547" xr:uid="{00000000-0005-0000-0000-00007E1D0000}"/>
    <cellStyle name="20% - Énfasis5 15 2 3 3" xfId="7548" xr:uid="{00000000-0005-0000-0000-00007F1D0000}"/>
    <cellStyle name="20% - Énfasis5 15 2 4" xfId="7549" xr:uid="{00000000-0005-0000-0000-0000801D0000}"/>
    <cellStyle name="20% - Énfasis5 15 2 4 2" xfId="7550" xr:uid="{00000000-0005-0000-0000-0000811D0000}"/>
    <cellStyle name="20% - Énfasis5 15 2 4 2 2" xfId="7551" xr:uid="{00000000-0005-0000-0000-0000821D0000}"/>
    <cellStyle name="20% - Énfasis5 15 2 4 3" xfId="7552" xr:uid="{00000000-0005-0000-0000-0000831D0000}"/>
    <cellStyle name="20% - Énfasis5 15 2 5" xfId="7553" xr:uid="{00000000-0005-0000-0000-0000841D0000}"/>
    <cellStyle name="20% - Énfasis5 15 2 5 2" xfId="7554" xr:uid="{00000000-0005-0000-0000-0000851D0000}"/>
    <cellStyle name="20% - Énfasis5 15 2 6" xfId="7555" xr:uid="{00000000-0005-0000-0000-0000861D0000}"/>
    <cellStyle name="20% - Énfasis5 15 3" xfId="7556" xr:uid="{00000000-0005-0000-0000-0000871D0000}"/>
    <cellStyle name="20% - Énfasis5 15 3 2" xfId="7557" xr:uid="{00000000-0005-0000-0000-0000881D0000}"/>
    <cellStyle name="20% - Énfasis5 15 3 2 2" xfId="7558" xr:uid="{00000000-0005-0000-0000-0000891D0000}"/>
    <cellStyle name="20% - Énfasis5 15 3 2 2 2" xfId="7559" xr:uid="{00000000-0005-0000-0000-00008A1D0000}"/>
    <cellStyle name="20% - Énfasis5 15 3 2 3" xfId="7560" xr:uid="{00000000-0005-0000-0000-00008B1D0000}"/>
    <cellStyle name="20% - Énfasis5 15 3 3" xfId="7561" xr:uid="{00000000-0005-0000-0000-00008C1D0000}"/>
    <cellStyle name="20% - Énfasis5 15 3 3 2" xfId="7562" xr:uid="{00000000-0005-0000-0000-00008D1D0000}"/>
    <cellStyle name="20% - Énfasis5 15 3 3 2 2" xfId="7563" xr:uid="{00000000-0005-0000-0000-00008E1D0000}"/>
    <cellStyle name="20% - Énfasis5 15 3 3 3" xfId="7564" xr:uid="{00000000-0005-0000-0000-00008F1D0000}"/>
    <cellStyle name="20% - Énfasis5 15 3 4" xfId="7565" xr:uid="{00000000-0005-0000-0000-0000901D0000}"/>
    <cellStyle name="20% - Énfasis5 15 3 4 2" xfId="7566" xr:uid="{00000000-0005-0000-0000-0000911D0000}"/>
    <cellStyle name="20% - Énfasis5 15 3 5" xfId="7567" xr:uid="{00000000-0005-0000-0000-0000921D0000}"/>
    <cellStyle name="20% - Énfasis5 15 4" xfId="7568" xr:uid="{00000000-0005-0000-0000-0000931D0000}"/>
    <cellStyle name="20% - Énfasis5 15 4 2" xfId="7569" xr:uid="{00000000-0005-0000-0000-0000941D0000}"/>
    <cellStyle name="20% - Énfasis5 15 4 2 2" xfId="7570" xr:uid="{00000000-0005-0000-0000-0000951D0000}"/>
    <cellStyle name="20% - Énfasis5 15 4 2 2 2" xfId="7571" xr:uid="{00000000-0005-0000-0000-0000961D0000}"/>
    <cellStyle name="20% - Énfasis5 15 4 2 3" xfId="7572" xr:uid="{00000000-0005-0000-0000-0000971D0000}"/>
    <cellStyle name="20% - Énfasis5 15 4 3" xfId="7573" xr:uid="{00000000-0005-0000-0000-0000981D0000}"/>
    <cellStyle name="20% - Énfasis5 15 4 3 2" xfId="7574" xr:uid="{00000000-0005-0000-0000-0000991D0000}"/>
    <cellStyle name="20% - Énfasis5 15 4 4" xfId="7575" xr:uid="{00000000-0005-0000-0000-00009A1D0000}"/>
    <cellStyle name="20% - Énfasis5 15 5" xfId="7576" xr:uid="{00000000-0005-0000-0000-00009B1D0000}"/>
    <cellStyle name="20% - Énfasis5 15 5 2" xfId="7577" xr:uid="{00000000-0005-0000-0000-00009C1D0000}"/>
    <cellStyle name="20% - Énfasis5 15 5 2 2" xfId="7578" xr:uid="{00000000-0005-0000-0000-00009D1D0000}"/>
    <cellStyle name="20% - Énfasis5 15 5 3" xfId="7579" xr:uid="{00000000-0005-0000-0000-00009E1D0000}"/>
    <cellStyle name="20% - Énfasis5 15 6" xfId="7580" xr:uid="{00000000-0005-0000-0000-00009F1D0000}"/>
    <cellStyle name="20% - Énfasis5 15 6 2" xfId="7581" xr:uid="{00000000-0005-0000-0000-0000A01D0000}"/>
    <cellStyle name="20% - Énfasis5 15 6 2 2" xfId="7582" xr:uid="{00000000-0005-0000-0000-0000A11D0000}"/>
    <cellStyle name="20% - Énfasis5 15 6 3" xfId="7583" xr:uid="{00000000-0005-0000-0000-0000A21D0000}"/>
    <cellStyle name="20% - Énfasis5 15 7" xfId="7584" xr:uid="{00000000-0005-0000-0000-0000A31D0000}"/>
    <cellStyle name="20% - Énfasis5 15 7 2" xfId="7585" xr:uid="{00000000-0005-0000-0000-0000A41D0000}"/>
    <cellStyle name="20% - Énfasis5 15 8" xfId="7586" xr:uid="{00000000-0005-0000-0000-0000A51D0000}"/>
    <cellStyle name="20% - Énfasis5 16" xfId="7587" xr:uid="{00000000-0005-0000-0000-0000A61D0000}"/>
    <cellStyle name="20% - Énfasis5 16 2" xfId="7588" xr:uid="{00000000-0005-0000-0000-0000A71D0000}"/>
    <cellStyle name="20% - Énfasis5 16 2 2" xfId="7589" xr:uid="{00000000-0005-0000-0000-0000A81D0000}"/>
    <cellStyle name="20% - Énfasis5 16 2 2 2" xfId="7590" xr:uid="{00000000-0005-0000-0000-0000A91D0000}"/>
    <cellStyle name="20% - Énfasis5 16 2 2 2 2" xfId="7591" xr:uid="{00000000-0005-0000-0000-0000AA1D0000}"/>
    <cellStyle name="20% - Énfasis5 16 2 2 3" xfId="7592" xr:uid="{00000000-0005-0000-0000-0000AB1D0000}"/>
    <cellStyle name="20% - Énfasis5 16 2 3" xfId="7593" xr:uid="{00000000-0005-0000-0000-0000AC1D0000}"/>
    <cellStyle name="20% - Énfasis5 16 2 3 2" xfId="7594" xr:uid="{00000000-0005-0000-0000-0000AD1D0000}"/>
    <cellStyle name="20% - Énfasis5 16 2 3 2 2" xfId="7595" xr:uid="{00000000-0005-0000-0000-0000AE1D0000}"/>
    <cellStyle name="20% - Énfasis5 16 2 3 3" xfId="7596" xr:uid="{00000000-0005-0000-0000-0000AF1D0000}"/>
    <cellStyle name="20% - Énfasis5 16 2 4" xfId="7597" xr:uid="{00000000-0005-0000-0000-0000B01D0000}"/>
    <cellStyle name="20% - Énfasis5 16 2 4 2" xfId="7598" xr:uid="{00000000-0005-0000-0000-0000B11D0000}"/>
    <cellStyle name="20% - Énfasis5 16 2 5" xfId="7599" xr:uid="{00000000-0005-0000-0000-0000B21D0000}"/>
    <cellStyle name="20% - Énfasis5 16 3" xfId="7600" xr:uid="{00000000-0005-0000-0000-0000B31D0000}"/>
    <cellStyle name="20% - Énfasis5 16 3 2" xfId="7601" xr:uid="{00000000-0005-0000-0000-0000B41D0000}"/>
    <cellStyle name="20% - Énfasis5 16 3 2 2" xfId="7602" xr:uid="{00000000-0005-0000-0000-0000B51D0000}"/>
    <cellStyle name="20% - Énfasis5 16 3 2 2 2" xfId="7603" xr:uid="{00000000-0005-0000-0000-0000B61D0000}"/>
    <cellStyle name="20% - Énfasis5 16 3 2 3" xfId="7604" xr:uid="{00000000-0005-0000-0000-0000B71D0000}"/>
    <cellStyle name="20% - Énfasis5 16 3 3" xfId="7605" xr:uid="{00000000-0005-0000-0000-0000B81D0000}"/>
    <cellStyle name="20% - Énfasis5 16 3 3 2" xfId="7606" xr:uid="{00000000-0005-0000-0000-0000B91D0000}"/>
    <cellStyle name="20% - Énfasis5 16 3 4" xfId="7607" xr:uid="{00000000-0005-0000-0000-0000BA1D0000}"/>
    <cellStyle name="20% - Énfasis5 16 4" xfId="7608" xr:uid="{00000000-0005-0000-0000-0000BB1D0000}"/>
    <cellStyle name="20% - Énfasis5 16 4 2" xfId="7609" xr:uid="{00000000-0005-0000-0000-0000BC1D0000}"/>
    <cellStyle name="20% - Énfasis5 16 4 2 2" xfId="7610" xr:uid="{00000000-0005-0000-0000-0000BD1D0000}"/>
    <cellStyle name="20% - Énfasis5 16 4 3" xfId="7611" xr:uid="{00000000-0005-0000-0000-0000BE1D0000}"/>
    <cellStyle name="20% - Énfasis5 16 5" xfId="7612" xr:uid="{00000000-0005-0000-0000-0000BF1D0000}"/>
    <cellStyle name="20% - Énfasis5 16 5 2" xfId="7613" xr:uid="{00000000-0005-0000-0000-0000C01D0000}"/>
    <cellStyle name="20% - Énfasis5 16 5 2 2" xfId="7614" xr:uid="{00000000-0005-0000-0000-0000C11D0000}"/>
    <cellStyle name="20% - Énfasis5 16 5 3" xfId="7615" xr:uid="{00000000-0005-0000-0000-0000C21D0000}"/>
    <cellStyle name="20% - Énfasis5 16 6" xfId="7616" xr:uid="{00000000-0005-0000-0000-0000C31D0000}"/>
    <cellStyle name="20% - Énfasis5 16 6 2" xfId="7617" xr:uid="{00000000-0005-0000-0000-0000C41D0000}"/>
    <cellStyle name="20% - Énfasis5 16 7" xfId="7618" xr:uid="{00000000-0005-0000-0000-0000C51D0000}"/>
    <cellStyle name="20% - Énfasis5 17" xfId="7619" xr:uid="{00000000-0005-0000-0000-0000C61D0000}"/>
    <cellStyle name="20% - Énfasis5 17 2" xfId="7620" xr:uid="{00000000-0005-0000-0000-0000C71D0000}"/>
    <cellStyle name="20% - Énfasis5 17 2 2" xfId="7621" xr:uid="{00000000-0005-0000-0000-0000C81D0000}"/>
    <cellStyle name="20% - Énfasis5 17 2 2 2" xfId="7622" xr:uid="{00000000-0005-0000-0000-0000C91D0000}"/>
    <cellStyle name="20% - Énfasis5 17 2 2 2 2" xfId="7623" xr:uid="{00000000-0005-0000-0000-0000CA1D0000}"/>
    <cellStyle name="20% - Énfasis5 17 2 2 3" xfId="7624" xr:uid="{00000000-0005-0000-0000-0000CB1D0000}"/>
    <cellStyle name="20% - Énfasis5 17 2 3" xfId="7625" xr:uid="{00000000-0005-0000-0000-0000CC1D0000}"/>
    <cellStyle name="20% - Énfasis5 17 2 3 2" xfId="7626" xr:uid="{00000000-0005-0000-0000-0000CD1D0000}"/>
    <cellStyle name="20% - Énfasis5 17 2 3 2 2" xfId="7627" xr:uid="{00000000-0005-0000-0000-0000CE1D0000}"/>
    <cellStyle name="20% - Énfasis5 17 2 3 3" xfId="7628" xr:uid="{00000000-0005-0000-0000-0000CF1D0000}"/>
    <cellStyle name="20% - Énfasis5 17 2 4" xfId="7629" xr:uid="{00000000-0005-0000-0000-0000D01D0000}"/>
    <cellStyle name="20% - Énfasis5 17 2 4 2" xfId="7630" xr:uid="{00000000-0005-0000-0000-0000D11D0000}"/>
    <cellStyle name="20% - Énfasis5 17 2 5" xfId="7631" xr:uid="{00000000-0005-0000-0000-0000D21D0000}"/>
    <cellStyle name="20% - Énfasis5 17 3" xfId="7632" xr:uid="{00000000-0005-0000-0000-0000D31D0000}"/>
    <cellStyle name="20% - Énfasis5 17 3 2" xfId="7633" xr:uid="{00000000-0005-0000-0000-0000D41D0000}"/>
    <cellStyle name="20% - Énfasis5 17 3 2 2" xfId="7634" xr:uid="{00000000-0005-0000-0000-0000D51D0000}"/>
    <cellStyle name="20% - Énfasis5 17 3 2 2 2" xfId="7635" xr:uid="{00000000-0005-0000-0000-0000D61D0000}"/>
    <cellStyle name="20% - Énfasis5 17 3 2 3" xfId="7636" xr:uid="{00000000-0005-0000-0000-0000D71D0000}"/>
    <cellStyle name="20% - Énfasis5 17 3 3" xfId="7637" xr:uid="{00000000-0005-0000-0000-0000D81D0000}"/>
    <cellStyle name="20% - Énfasis5 17 3 3 2" xfId="7638" xr:uid="{00000000-0005-0000-0000-0000D91D0000}"/>
    <cellStyle name="20% - Énfasis5 17 3 4" xfId="7639" xr:uid="{00000000-0005-0000-0000-0000DA1D0000}"/>
    <cellStyle name="20% - Énfasis5 17 4" xfId="7640" xr:uid="{00000000-0005-0000-0000-0000DB1D0000}"/>
    <cellStyle name="20% - Énfasis5 17 4 2" xfId="7641" xr:uid="{00000000-0005-0000-0000-0000DC1D0000}"/>
    <cellStyle name="20% - Énfasis5 17 4 2 2" xfId="7642" xr:uid="{00000000-0005-0000-0000-0000DD1D0000}"/>
    <cellStyle name="20% - Énfasis5 17 4 3" xfId="7643" xr:uid="{00000000-0005-0000-0000-0000DE1D0000}"/>
    <cellStyle name="20% - Énfasis5 17 5" xfId="7644" xr:uid="{00000000-0005-0000-0000-0000DF1D0000}"/>
    <cellStyle name="20% - Énfasis5 17 5 2" xfId="7645" xr:uid="{00000000-0005-0000-0000-0000E01D0000}"/>
    <cellStyle name="20% - Énfasis5 17 5 2 2" xfId="7646" xr:uid="{00000000-0005-0000-0000-0000E11D0000}"/>
    <cellStyle name="20% - Énfasis5 17 5 3" xfId="7647" xr:uid="{00000000-0005-0000-0000-0000E21D0000}"/>
    <cellStyle name="20% - Énfasis5 17 6" xfId="7648" xr:uid="{00000000-0005-0000-0000-0000E31D0000}"/>
    <cellStyle name="20% - Énfasis5 17 6 2" xfId="7649" xr:uid="{00000000-0005-0000-0000-0000E41D0000}"/>
    <cellStyle name="20% - Énfasis5 17 7" xfId="7650" xr:uid="{00000000-0005-0000-0000-0000E51D0000}"/>
    <cellStyle name="20% - Énfasis5 18" xfId="7651" xr:uid="{00000000-0005-0000-0000-0000E61D0000}"/>
    <cellStyle name="20% - Énfasis5 18 2" xfId="7652" xr:uid="{00000000-0005-0000-0000-0000E71D0000}"/>
    <cellStyle name="20% - Énfasis5 18 2 2" xfId="7653" xr:uid="{00000000-0005-0000-0000-0000E81D0000}"/>
    <cellStyle name="20% - Énfasis5 18 2 2 2" xfId="7654" xr:uid="{00000000-0005-0000-0000-0000E91D0000}"/>
    <cellStyle name="20% - Énfasis5 18 2 2 2 2" xfId="7655" xr:uid="{00000000-0005-0000-0000-0000EA1D0000}"/>
    <cellStyle name="20% - Énfasis5 18 2 2 3" xfId="7656" xr:uid="{00000000-0005-0000-0000-0000EB1D0000}"/>
    <cellStyle name="20% - Énfasis5 18 2 3" xfId="7657" xr:uid="{00000000-0005-0000-0000-0000EC1D0000}"/>
    <cellStyle name="20% - Énfasis5 18 2 3 2" xfId="7658" xr:uid="{00000000-0005-0000-0000-0000ED1D0000}"/>
    <cellStyle name="20% - Énfasis5 18 2 3 2 2" xfId="7659" xr:uid="{00000000-0005-0000-0000-0000EE1D0000}"/>
    <cellStyle name="20% - Énfasis5 18 2 3 3" xfId="7660" xr:uid="{00000000-0005-0000-0000-0000EF1D0000}"/>
    <cellStyle name="20% - Énfasis5 18 2 4" xfId="7661" xr:uid="{00000000-0005-0000-0000-0000F01D0000}"/>
    <cellStyle name="20% - Énfasis5 18 2 4 2" xfId="7662" xr:uid="{00000000-0005-0000-0000-0000F11D0000}"/>
    <cellStyle name="20% - Énfasis5 18 2 5" xfId="7663" xr:uid="{00000000-0005-0000-0000-0000F21D0000}"/>
    <cellStyle name="20% - Énfasis5 18 3" xfId="7664" xr:uid="{00000000-0005-0000-0000-0000F31D0000}"/>
    <cellStyle name="20% - Énfasis5 18 3 2" xfId="7665" xr:uid="{00000000-0005-0000-0000-0000F41D0000}"/>
    <cellStyle name="20% - Énfasis5 18 3 2 2" xfId="7666" xr:uid="{00000000-0005-0000-0000-0000F51D0000}"/>
    <cellStyle name="20% - Énfasis5 18 3 2 2 2" xfId="7667" xr:uid="{00000000-0005-0000-0000-0000F61D0000}"/>
    <cellStyle name="20% - Énfasis5 18 3 2 3" xfId="7668" xr:uid="{00000000-0005-0000-0000-0000F71D0000}"/>
    <cellStyle name="20% - Énfasis5 18 3 3" xfId="7669" xr:uid="{00000000-0005-0000-0000-0000F81D0000}"/>
    <cellStyle name="20% - Énfasis5 18 3 3 2" xfId="7670" xr:uid="{00000000-0005-0000-0000-0000F91D0000}"/>
    <cellStyle name="20% - Énfasis5 18 3 4" xfId="7671" xr:uid="{00000000-0005-0000-0000-0000FA1D0000}"/>
    <cellStyle name="20% - Énfasis5 18 4" xfId="7672" xr:uid="{00000000-0005-0000-0000-0000FB1D0000}"/>
    <cellStyle name="20% - Énfasis5 18 4 2" xfId="7673" xr:uid="{00000000-0005-0000-0000-0000FC1D0000}"/>
    <cellStyle name="20% - Énfasis5 18 4 2 2" xfId="7674" xr:uid="{00000000-0005-0000-0000-0000FD1D0000}"/>
    <cellStyle name="20% - Énfasis5 18 4 3" xfId="7675" xr:uid="{00000000-0005-0000-0000-0000FE1D0000}"/>
    <cellStyle name="20% - Énfasis5 18 5" xfId="7676" xr:uid="{00000000-0005-0000-0000-0000FF1D0000}"/>
    <cellStyle name="20% - Énfasis5 18 5 2" xfId="7677" xr:uid="{00000000-0005-0000-0000-0000001E0000}"/>
    <cellStyle name="20% - Énfasis5 18 5 2 2" xfId="7678" xr:uid="{00000000-0005-0000-0000-0000011E0000}"/>
    <cellStyle name="20% - Énfasis5 18 5 3" xfId="7679" xr:uid="{00000000-0005-0000-0000-0000021E0000}"/>
    <cellStyle name="20% - Énfasis5 18 6" xfId="7680" xr:uid="{00000000-0005-0000-0000-0000031E0000}"/>
    <cellStyle name="20% - Énfasis5 18 6 2" xfId="7681" xr:uid="{00000000-0005-0000-0000-0000041E0000}"/>
    <cellStyle name="20% - Énfasis5 18 7" xfId="7682" xr:uid="{00000000-0005-0000-0000-0000051E0000}"/>
    <cellStyle name="20% - Énfasis5 19" xfId="7683" xr:uid="{00000000-0005-0000-0000-0000061E0000}"/>
    <cellStyle name="20% - Énfasis5 19 2" xfId="7684" xr:uid="{00000000-0005-0000-0000-0000071E0000}"/>
    <cellStyle name="20% - Énfasis5 19 2 2" xfId="7685" xr:uid="{00000000-0005-0000-0000-0000081E0000}"/>
    <cellStyle name="20% - Énfasis5 19 2 2 2" xfId="7686" xr:uid="{00000000-0005-0000-0000-0000091E0000}"/>
    <cellStyle name="20% - Énfasis5 19 2 2 2 2" xfId="7687" xr:uid="{00000000-0005-0000-0000-00000A1E0000}"/>
    <cellStyle name="20% - Énfasis5 19 2 2 3" xfId="7688" xr:uid="{00000000-0005-0000-0000-00000B1E0000}"/>
    <cellStyle name="20% - Énfasis5 19 2 3" xfId="7689" xr:uid="{00000000-0005-0000-0000-00000C1E0000}"/>
    <cellStyle name="20% - Énfasis5 19 2 3 2" xfId="7690" xr:uid="{00000000-0005-0000-0000-00000D1E0000}"/>
    <cellStyle name="20% - Énfasis5 19 2 3 2 2" xfId="7691" xr:uid="{00000000-0005-0000-0000-00000E1E0000}"/>
    <cellStyle name="20% - Énfasis5 19 2 3 3" xfId="7692" xr:uid="{00000000-0005-0000-0000-00000F1E0000}"/>
    <cellStyle name="20% - Énfasis5 19 2 4" xfId="7693" xr:uid="{00000000-0005-0000-0000-0000101E0000}"/>
    <cellStyle name="20% - Énfasis5 19 2 4 2" xfId="7694" xr:uid="{00000000-0005-0000-0000-0000111E0000}"/>
    <cellStyle name="20% - Énfasis5 19 2 5" xfId="7695" xr:uid="{00000000-0005-0000-0000-0000121E0000}"/>
    <cellStyle name="20% - Énfasis5 19 3" xfId="7696" xr:uid="{00000000-0005-0000-0000-0000131E0000}"/>
    <cellStyle name="20% - Énfasis5 19 3 2" xfId="7697" xr:uid="{00000000-0005-0000-0000-0000141E0000}"/>
    <cellStyle name="20% - Énfasis5 19 3 2 2" xfId="7698" xr:uid="{00000000-0005-0000-0000-0000151E0000}"/>
    <cellStyle name="20% - Énfasis5 19 3 2 2 2" xfId="7699" xr:uid="{00000000-0005-0000-0000-0000161E0000}"/>
    <cellStyle name="20% - Énfasis5 19 3 2 3" xfId="7700" xr:uid="{00000000-0005-0000-0000-0000171E0000}"/>
    <cellStyle name="20% - Énfasis5 19 3 3" xfId="7701" xr:uid="{00000000-0005-0000-0000-0000181E0000}"/>
    <cellStyle name="20% - Énfasis5 19 3 3 2" xfId="7702" xr:uid="{00000000-0005-0000-0000-0000191E0000}"/>
    <cellStyle name="20% - Énfasis5 19 3 4" xfId="7703" xr:uid="{00000000-0005-0000-0000-00001A1E0000}"/>
    <cellStyle name="20% - Énfasis5 19 4" xfId="7704" xr:uid="{00000000-0005-0000-0000-00001B1E0000}"/>
    <cellStyle name="20% - Énfasis5 19 4 2" xfId="7705" xr:uid="{00000000-0005-0000-0000-00001C1E0000}"/>
    <cellStyle name="20% - Énfasis5 19 4 2 2" xfId="7706" xr:uid="{00000000-0005-0000-0000-00001D1E0000}"/>
    <cellStyle name="20% - Énfasis5 19 4 3" xfId="7707" xr:uid="{00000000-0005-0000-0000-00001E1E0000}"/>
    <cellStyle name="20% - Énfasis5 19 5" xfId="7708" xr:uid="{00000000-0005-0000-0000-00001F1E0000}"/>
    <cellStyle name="20% - Énfasis5 19 5 2" xfId="7709" xr:uid="{00000000-0005-0000-0000-0000201E0000}"/>
    <cellStyle name="20% - Énfasis5 19 5 2 2" xfId="7710" xr:uid="{00000000-0005-0000-0000-0000211E0000}"/>
    <cellStyle name="20% - Énfasis5 19 5 3" xfId="7711" xr:uid="{00000000-0005-0000-0000-0000221E0000}"/>
    <cellStyle name="20% - Énfasis5 19 6" xfId="7712" xr:uid="{00000000-0005-0000-0000-0000231E0000}"/>
    <cellStyle name="20% - Énfasis5 19 6 2" xfId="7713" xr:uid="{00000000-0005-0000-0000-0000241E0000}"/>
    <cellStyle name="20% - Énfasis5 19 7" xfId="7714" xr:uid="{00000000-0005-0000-0000-0000251E0000}"/>
    <cellStyle name="20% - Énfasis5 2" xfId="7715" xr:uid="{00000000-0005-0000-0000-0000261E0000}"/>
    <cellStyle name="20% - Énfasis5 2 2" xfId="7716" xr:uid="{00000000-0005-0000-0000-0000271E0000}"/>
    <cellStyle name="20% - Énfasis5 2 2 2" xfId="7717" xr:uid="{00000000-0005-0000-0000-0000281E0000}"/>
    <cellStyle name="20% - Énfasis5 2 2 2 2" xfId="7718" xr:uid="{00000000-0005-0000-0000-0000291E0000}"/>
    <cellStyle name="20% - Énfasis5 2 2 2 2 2" xfId="7719" xr:uid="{00000000-0005-0000-0000-00002A1E0000}"/>
    <cellStyle name="20% - Énfasis5 2 2 2 2 2 2" xfId="7720" xr:uid="{00000000-0005-0000-0000-00002B1E0000}"/>
    <cellStyle name="20% - Énfasis5 2 2 2 2 3" xfId="7721" xr:uid="{00000000-0005-0000-0000-00002C1E0000}"/>
    <cellStyle name="20% - Énfasis5 2 2 2 3" xfId="7722" xr:uid="{00000000-0005-0000-0000-00002D1E0000}"/>
    <cellStyle name="20% - Énfasis5 2 2 2 3 2" xfId="7723" xr:uid="{00000000-0005-0000-0000-00002E1E0000}"/>
    <cellStyle name="20% - Énfasis5 2 2 2 4" xfId="7724" xr:uid="{00000000-0005-0000-0000-00002F1E0000}"/>
    <cellStyle name="20% - Énfasis5 2 2 3" xfId="7725" xr:uid="{00000000-0005-0000-0000-0000301E0000}"/>
    <cellStyle name="20% - Énfasis5 2 2 3 2" xfId="7726" xr:uid="{00000000-0005-0000-0000-0000311E0000}"/>
    <cellStyle name="20% - Énfasis5 2 2 3 2 2" xfId="7727" xr:uid="{00000000-0005-0000-0000-0000321E0000}"/>
    <cellStyle name="20% - Énfasis5 2 2 3 3" xfId="7728" xr:uid="{00000000-0005-0000-0000-0000331E0000}"/>
    <cellStyle name="20% - Énfasis5 2 2 4" xfId="7729" xr:uid="{00000000-0005-0000-0000-0000341E0000}"/>
    <cellStyle name="20% - Énfasis5 2 2 4 2" xfId="7730" xr:uid="{00000000-0005-0000-0000-0000351E0000}"/>
    <cellStyle name="20% - Énfasis5 2 2 4 2 2" xfId="7731" xr:uid="{00000000-0005-0000-0000-0000361E0000}"/>
    <cellStyle name="20% - Énfasis5 2 2 4 3" xfId="7732" xr:uid="{00000000-0005-0000-0000-0000371E0000}"/>
    <cellStyle name="20% - Énfasis5 2 2 5" xfId="7733" xr:uid="{00000000-0005-0000-0000-0000381E0000}"/>
    <cellStyle name="20% - Énfasis5 2 2 5 2" xfId="7734" xr:uid="{00000000-0005-0000-0000-0000391E0000}"/>
    <cellStyle name="20% - Énfasis5 2 2 6" xfId="7735" xr:uid="{00000000-0005-0000-0000-00003A1E0000}"/>
    <cellStyle name="20% - Énfasis5 2 3" xfId="7736" xr:uid="{00000000-0005-0000-0000-00003B1E0000}"/>
    <cellStyle name="20% - Énfasis5 2 3 2" xfId="7737" xr:uid="{00000000-0005-0000-0000-00003C1E0000}"/>
    <cellStyle name="20% - Énfasis5 2 3 2 2" xfId="7738" xr:uid="{00000000-0005-0000-0000-00003D1E0000}"/>
    <cellStyle name="20% - Énfasis5 2 3 2 2 2" xfId="7739" xr:uid="{00000000-0005-0000-0000-00003E1E0000}"/>
    <cellStyle name="20% - Énfasis5 2 3 2 3" xfId="7740" xr:uid="{00000000-0005-0000-0000-00003F1E0000}"/>
    <cellStyle name="20% - Énfasis5 2 3 3" xfId="7741" xr:uid="{00000000-0005-0000-0000-0000401E0000}"/>
    <cellStyle name="20% - Énfasis5 2 3 3 2" xfId="7742" xr:uid="{00000000-0005-0000-0000-0000411E0000}"/>
    <cellStyle name="20% - Énfasis5 2 3 3 2 2" xfId="7743" xr:uid="{00000000-0005-0000-0000-0000421E0000}"/>
    <cellStyle name="20% - Énfasis5 2 3 3 3" xfId="7744" xr:uid="{00000000-0005-0000-0000-0000431E0000}"/>
    <cellStyle name="20% - Énfasis5 2 3 4" xfId="7745" xr:uid="{00000000-0005-0000-0000-0000441E0000}"/>
    <cellStyle name="20% - Énfasis5 2 3 4 2" xfId="7746" xr:uid="{00000000-0005-0000-0000-0000451E0000}"/>
    <cellStyle name="20% - Énfasis5 2 3 5" xfId="7747" xr:uid="{00000000-0005-0000-0000-0000461E0000}"/>
    <cellStyle name="20% - Énfasis5 2 4" xfId="7748" xr:uid="{00000000-0005-0000-0000-0000471E0000}"/>
    <cellStyle name="20% - Énfasis5 2 4 2" xfId="7749" xr:uid="{00000000-0005-0000-0000-0000481E0000}"/>
    <cellStyle name="20% - Énfasis5 2 4 2 2" xfId="7750" xr:uid="{00000000-0005-0000-0000-0000491E0000}"/>
    <cellStyle name="20% - Énfasis5 2 4 2 2 2" xfId="7751" xr:uid="{00000000-0005-0000-0000-00004A1E0000}"/>
    <cellStyle name="20% - Énfasis5 2 4 2 3" xfId="7752" xr:uid="{00000000-0005-0000-0000-00004B1E0000}"/>
    <cellStyle name="20% - Énfasis5 2 4 3" xfId="7753" xr:uid="{00000000-0005-0000-0000-00004C1E0000}"/>
    <cellStyle name="20% - Énfasis5 2 4 3 2" xfId="7754" xr:uid="{00000000-0005-0000-0000-00004D1E0000}"/>
    <cellStyle name="20% - Énfasis5 2 4 4" xfId="7755" xr:uid="{00000000-0005-0000-0000-00004E1E0000}"/>
    <cellStyle name="20% - Énfasis5 2 5" xfId="7756" xr:uid="{00000000-0005-0000-0000-00004F1E0000}"/>
    <cellStyle name="20% - Énfasis5 2 5 2" xfId="7757" xr:uid="{00000000-0005-0000-0000-0000501E0000}"/>
    <cellStyle name="20% - Énfasis5 2 5 2 2" xfId="7758" xr:uid="{00000000-0005-0000-0000-0000511E0000}"/>
    <cellStyle name="20% - Énfasis5 2 5 3" xfId="7759" xr:uid="{00000000-0005-0000-0000-0000521E0000}"/>
    <cellStyle name="20% - Énfasis5 2 6" xfId="7760" xr:uid="{00000000-0005-0000-0000-0000531E0000}"/>
    <cellStyle name="20% - Énfasis5 2 6 2" xfId="7761" xr:uid="{00000000-0005-0000-0000-0000541E0000}"/>
    <cellStyle name="20% - Énfasis5 2 6 2 2" xfId="7762" xr:uid="{00000000-0005-0000-0000-0000551E0000}"/>
    <cellStyle name="20% - Énfasis5 2 6 3" xfId="7763" xr:uid="{00000000-0005-0000-0000-0000561E0000}"/>
    <cellStyle name="20% - Énfasis5 2 7" xfId="7764" xr:uid="{00000000-0005-0000-0000-0000571E0000}"/>
    <cellStyle name="20% - Énfasis5 2 7 2" xfId="7765" xr:uid="{00000000-0005-0000-0000-0000581E0000}"/>
    <cellStyle name="20% - Énfasis5 2 8" xfId="7766" xr:uid="{00000000-0005-0000-0000-0000591E0000}"/>
    <cellStyle name="20% - Énfasis5 20" xfId="7767" xr:uid="{00000000-0005-0000-0000-00005A1E0000}"/>
    <cellStyle name="20% - Énfasis5 20 2" xfId="7768" xr:uid="{00000000-0005-0000-0000-00005B1E0000}"/>
    <cellStyle name="20% - Énfasis5 20 2 2" xfId="7769" xr:uid="{00000000-0005-0000-0000-00005C1E0000}"/>
    <cellStyle name="20% - Énfasis5 20 2 2 2" xfId="7770" xr:uid="{00000000-0005-0000-0000-00005D1E0000}"/>
    <cellStyle name="20% - Énfasis5 20 2 2 2 2" xfId="7771" xr:uid="{00000000-0005-0000-0000-00005E1E0000}"/>
    <cellStyle name="20% - Énfasis5 20 2 2 3" xfId="7772" xr:uid="{00000000-0005-0000-0000-00005F1E0000}"/>
    <cellStyle name="20% - Énfasis5 20 2 3" xfId="7773" xr:uid="{00000000-0005-0000-0000-0000601E0000}"/>
    <cellStyle name="20% - Énfasis5 20 2 3 2" xfId="7774" xr:uid="{00000000-0005-0000-0000-0000611E0000}"/>
    <cellStyle name="20% - Énfasis5 20 2 3 2 2" xfId="7775" xr:uid="{00000000-0005-0000-0000-0000621E0000}"/>
    <cellStyle name="20% - Énfasis5 20 2 3 3" xfId="7776" xr:uid="{00000000-0005-0000-0000-0000631E0000}"/>
    <cellStyle name="20% - Énfasis5 20 2 4" xfId="7777" xr:uid="{00000000-0005-0000-0000-0000641E0000}"/>
    <cellStyle name="20% - Énfasis5 20 2 4 2" xfId="7778" xr:uid="{00000000-0005-0000-0000-0000651E0000}"/>
    <cellStyle name="20% - Énfasis5 20 2 5" xfId="7779" xr:uid="{00000000-0005-0000-0000-0000661E0000}"/>
    <cellStyle name="20% - Énfasis5 20 3" xfId="7780" xr:uid="{00000000-0005-0000-0000-0000671E0000}"/>
    <cellStyle name="20% - Énfasis5 20 3 2" xfId="7781" xr:uid="{00000000-0005-0000-0000-0000681E0000}"/>
    <cellStyle name="20% - Énfasis5 20 3 2 2" xfId="7782" xr:uid="{00000000-0005-0000-0000-0000691E0000}"/>
    <cellStyle name="20% - Énfasis5 20 3 2 2 2" xfId="7783" xr:uid="{00000000-0005-0000-0000-00006A1E0000}"/>
    <cellStyle name="20% - Énfasis5 20 3 2 3" xfId="7784" xr:uid="{00000000-0005-0000-0000-00006B1E0000}"/>
    <cellStyle name="20% - Énfasis5 20 3 3" xfId="7785" xr:uid="{00000000-0005-0000-0000-00006C1E0000}"/>
    <cellStyle name="20% - Énfasis5 20 3 3 2" xfId="7786" xr:uid="{00000000-0005-0000-0000-00006D1E0000}"/>
    <cellStyle name="20% - Énfasis5 20 3 4" xfId="7787" xr:uid="{00000000-0005-0000-0000-00006E1E0000}"/>
    <cellStyle name="20% - Énfasis5 20 4" xfId="7788" xr:uid="{00000000-0005-0000-0000-00006F1E0000}"/>
    <cellStyle name="20% - Énfasis5 20 4 2" xfId="7789" xr:uid="{00000000-0005-0000-0000-0000701E0000}"/>
    <cellStyle name="20% - Énfasis5 20 4 2 2" xfId="7790" xr:uid="{00000000-0005-0000-0000-0000711E0000}"/>
    <cellStyle name="20% - Énfasis5 20 4 3" xfId="7791" xr:uid="{00000000-0005-0000-0000-0000721E0000}"/>
    <cellStyle name="20% - Énfasis5 20 5" xfId="7792" xr:uid="{00000000-0005-0000-0000-0000731E0000}"/>
    <cellStyle name="20% - Énfasis5 20 5 2" xfId="7793" xr:uid="{00000000-0005-0000-0000-0000741E0000}"/>
    <cellStyle name="20% - Énfasis5 20 5 2 2" xfId="7794" xr:uid="{00000000-0005-0000-0000-0000751E0000}"/>
    <cellStyle name="20% - Énfasis5 20 5 3" xfId="7795" xr:uid="{00000000-0005-0000-0000-0000761E0000}"/>
    <cellStyle name="20% - Énfasis5 20 6" xfId="7796" xr:uid="{00000000-0005-0000-0000-0000771E0000}"/>
    <cellStyle name="20% - Énfasis5 20 6 2" xfId="7797" xr:uid="{00000000-0005-0000-0000-0000781E0000}"/>
    <cellStyle name="20% - Énfasis5 20 7" xfId="7798" xr:uid="{00000000-0005-0000-0000-0000791E0000}"/>
    <cellStyle name="20% - Énfasis5 21" xfId="7799" xr:uid="{00000000-0005-0000-0000-00007A1E0000}"/>
    <cellStyle name="20% - Énfasis5 21 2" xfId="7800" xr:uid="{00000000-0005-0000-0000-00007B1E0000}"/>
    <cellStyle name="20% - Énfasis5 21 2 2" xfId="7801" xr:uid="{00000000-0005-0000-0000-00007C1E0000}"/>
    <cellStyle name="20% - Énfasis5 21 2 2 2" xfId="7802" xr:uid="{00000000-0005-0000-0000-00007D1E0000}"/>
    <cellStyle name="20% - Énfasis5 21 2 2 2 2" xfId="7803" xr:uid="{00000000-0005-0000-0000-00007E1E0000}"/>
    <cellStyle name="20% - Énfasis5 21 2 2 3" xfId="7804" xr:uid="{00000000-0005-0000-0000-00007F1E0000}"/>
    <cellStyle name="20% - Énfasis5 21 2 3" xfId="7805" xr:uid="{00000000-0005-0000-0000-0000801E0000}"/>
    <cellStyle name="20% - Énfasis5 21 2 3 2" xfId="7806" xr:uid="{00000000-0005-0000-0000-0000811E0000}"/>
    <cellStyle name="20% - Énfasis5 21 2 3 2 2" xfId="7807" xr:uid="{00000000-0005-0000-0000-0000821E0000}"/>
    <cellStyle name="20% - Énfasis5 21 2 3 3" xfId="7808" xr:uid="{00000000-0005-0000-0000-0000831E0000}"/>
    <cellStyle name="20% - Énfasis5 21 2 4" xfId="7809" xr:uid="{00000000-0005-0000-0000-0000841E0000}"/>
    <cellStyle name="20% - Énfasis5 21 2 4 2" xfId="7810" xr:uid="{00000000-0005-0000-0000-0000851E0000}"/>
    <cellStyle name="20% - Énfasis5 21 2 5" xfId="7811" xr:uid="{00000000-0005-0000-0000-0000861E0000}"/>
    <cellStyle name="20% - Énfasis5 21 3" xfId="7812" xr:uid="{00000000-0005-0000-0000-0000871E0000}"/>
    <cellStyle name="20% - Énfasis5 21 3 2" xfId="7813" xr:uid="{00000000-0005-0000-0000-0000881E0000}"/>
    <cellStyle name="20% - Énfasis5 21 3 2 2" xfId="7814" xr:uid="{00000000-0005-0000-0000-0000891E0000}"/>
    <cellStyle name="20% - Énfasis5 21 3 2 2 2" xfId="7815" xr:uid="{00000000-0005-0000-0000-00008A1E0000}"/>
    <cellStyle name="20% - Énfasis5 21 3 2 3" xfId="7816" xr:uid="{00000000-0005-0000-0000-00008B1E0000}"/>
    <cellStyle name="20% - Énfasis5 21 3 3" xfId="7817" xr:uid="{00000000-0005-0000-0000-00008C1E0000}"/>
    <cellStyle name="20% - Énfasis5 21 3 3 2" xfId="7818" xr:uid="{00000000-0005-0000-0000-00008D1E0000}"/>
    <cellStyle name="20% - Énfasis5 21 3 4" xfId="7819" xr:uid="{00000000-0005-0000-0000-00008E1E0000}"/>
    <cellStyle name="20% - Énfasis5 21 4" xfId="7820" xr:uid="{00000000-0005-0000-0000-00008F1E0000}"/>
    <cellStyle name="20% - Énfasis5 21 4 2" xfId="7821" xr:uid="{00000000-0005-0000-0000-0000901E0000}"/>
    <cellStyle name="20% - Énfasis5 21 4 2 2" xfId="7822" xr:uid="{00000000-0005-0000-0000-0000911E0000}"/>
    <cellStyle name="20% - Énfasis5 21 4 3" xfId="7823" xr:uid="{00000000-0005-0000-0000-0000921E0000}"/>
    <cellStyle name="20% - Énfasis5 21 5" xfId="7824" xr:uid="{00000000-0005-0000-0000-0000931E0000}"/>
    <cellStyle name="20% - Énfasis5 21 5 2" xfId="7825" xr:uid="{00000000-0005-0000-0000-0000941E0000}"/>
    <cellStyle name="20% - Énfasis5 21 5 2 2" xfId="7826" xr:uid="{00000000-0005-0000-0000-0000951E0000}"/>
    <cellStyle name="20% - Énfasis5 21 5 3" xfId="7827" xr:uid="{00000000-0005-0000-0000-0000961E0000}"/>
    <cellStyle name="20% - Énfasis5 21 6" xfId="7828" xr:uid="{00000000-0005-0000-0000-0000971E0000}"/>
    <cellStyle name="20% - Énfasis5 21 6 2" xfId="7829" xr:uid="{00000000-0005-0000-0000-0000981E0000}"/>
    <cellStyle name="20% - Énfasis5 21 7" xfId="7830" xr:uid="{00000000-0005-0000-0000-0000991E0000}"/>
    <cellStyle name="20% - Énfasis5 22" xfId="7831" xr:uid="{00000000-0005-0000-0000-00009A1E0000}"/>
    <cellStyle name="20% - Énfasis5 22 2" xfId="7832" xr:uid="{00000000-0005-0000-0000-00009B1E0000}"/>
    <cellStyle name="20% - Énfasis5 22 2 2" xfId="7833" xr:uid="{00000000-0005-0000-0000-00009C1E0000}"/>
    <cellStyle name="20% - Énfasis5 22 2 2 2" xfId="7834" xr:uid="{00000000-0005-0000-0000-00009D1E0000}"/>
    <cellStyle name="20% - Énfasis5 22 2 2 2 2" xfId="7835" xr:uid="{00000000-0005-0000-0000-00009E1E0000}"/>
    <cellStyle name="20% - Énfasis5 22 2 2 3" xfId="7836" xr:uid="{00000000-0005-0000-0000-00009F1E0000}"/>
    <cellStyle name="20% - Énfasis5 22 2 3" xfId="7837" xr:uid="{00000000-0005-0000-0000-0000A01E0000}"/>
    <cellStyle name="20% - Énfasis5 22 2 3 2" xfId="7838" xr:uid="{00000000-0005-0000-0000-0000A11E0000}"/>
    <cellStyle name="20% - Énfasis5 22 2 3 2 2" xfId="7839" xr:uid="{00000000-0005-0000-0000-0000A21E0000}"/>
    <cellStyle name="20% - Énfasis5 22 2 3 3" xfId="7840" xr:uid="{00000000-0005-0000-0000-0000A31E0000}"/>
    <cellStyle name="20% - Énfasis5 22 2 4" xfId="7841" xr:uid="{00000000-0005-0000-0000-0000A41E0000}"/>
    <cellStyle name="20% - Énfasis5 22 2 4 2" xfId="7842" xr:uid="{00000000-0005-0000-0000-0000A51E0000}"/>
    <cellStyle name="20% - Énfasis5 22 2 5" xfId="7843" xr:uid="{00000000-0005-0000-0000-0000A61E0000}"/>
    <cellStyle name="20% - Énfasis5 22 3" xfId="7844" xr:uid="{00000000-0005-0000-0000-0000A71E0000}"/>
    <cellStyle name="20% - Énfasis5 22 3 2" xfId="7845" xr:uid="{00000000-0005-0000-0000-0000A81E0000}"/>
    <cellStyle name="20% - Énfasis5 22 3 2 2" xfId="7846" xr:uid="{00000000-0005-0000-0000-0000A91E0000}"/>
    <cellStyle name="20% - Énfasis5 22 3 2 2 2" xfId="7847" xr:uid="{00000000-0005-0000-0000-0000AA1E0000}"/>
    <cellStyle name="20% - Énfasis5 22 3 2 3" xfId="7848" xr:uid="{00000000-0005-0000-0000-0000AB1E0000}"/>
    <cellStyle name="20% - Énfasis5 22 3 3" xfId="7849" xr:uid="{00000000-0005-0000-0000-0000AC1E0000}"/>
    <cellStyle name="20% - Énfasis5 22 3 3 2" xfId="7850" xr:uid="{00000000-0005-0000-0000-0000AD1E0000}"/>
    <cellStyle name="20% - Énfasis5 22 3 4" xfId="7851" xr:uid="{00000000-0005-0000-0000-0000AE1E0000}"/>
    <cellStyle name="20% - Énfasis5 22 4" xfId="7852" xr:uid="{00000000-0005-0000-0000-0000AF1E0000}"/>
    <cellStyle name="20% - Énfasis5 22 4 2" xfId="7853" xr:uid="{00000000-0005-0000-0000-0000B01E0000}"/>
    <cellStyle name="20% - Énfasis5 22 4 2 2" xfId="7854" xr:uid="{00000000-0005-0000-0000-0000B11E0000}"/>
    <cellStyle name="20% - Énfasis5 22 4 3" xfId="7855" xr:uid="{00000000-0005-0000-0000-0000B21E0000}"/>
    <cellStyle name="20% - Énfasis5 22 5" xfId="7856" xr:uid="{00000000-0005-0000-0000-0000B31E0000}"/>
    <cellStyle name="20% - Énfasis5 22 5 2" xfId="7857" xr:uid="{00000000-0005-0000-0000-0000B41E0000}"/>
    <cellStyle name="20% - Énfasis5 22 5 2 2" xfId="7858" xr:uid="{00000000-0005-0000-0000-0000B51E0000}"/>
    <cellStyle name="20% - Énfasis5 22 5 3" xfId="7859" xr:uid="{00000000-0005-0000-0000-0000B61E0000}"/>
    <cellStyle name="20% - Énfasis5 22 6" xfId="7860" xr:uid="{00000000-0005-0000-0000-0000B71E0000}"/>
    <cellStyle name="20% - Énfasis5 22 6 2" xfId="7861" xr:uid="{00000000-0005-0000-0000-0000B81E0000}"/>
    <cellStyle name="20% - Énfasis5 22 7" xfId="7862" xr:uid="{00000000-0005-0000-0000-0000B91E0000}"/>
    <cellStyle name="20% - Énfasis5 23" xfId="7863" xr:uid="{00000000-0005-0000-0000-0000BA1E0000}"/>
    <cellStyle name="20% - Énfasis5 23 2" xfId="7864" xr:uid="{00000000-0005-0000-0000-0000BB1E0000}"/>
    <cellStyle name="20% - Énfasis5 23 2 2" xfId="7865" xr:uid="{00000000-0005-0000-0000-0000BC1E0000}"/>
    <cellStyle name="20% - Énfasis5 23 2 2 2" xfId="7866" xr:uid="{00000000-0005-0000-0000-0000BD1E0000}"/>
    <cellStyle name="20% - Énfasis5 23 2 2 2 2" xfId="7867" xr:uid="{00000000-0005-0000-0000-0000BE1E0000}"/>
    <cellStyle name="20% - Énfasis5 23 2 2 3" xfId="7868" xr:uid="{00000000-0005-0000-0000-0000BF1E0000}"/>
    <cellStyle name="20% - Énfasis5 23 2 3" xfId="7869" xr:uid="{00000000-0005-0000-0000-0000C01E0000}"/>
    <cellStyle name="20% - Énfasis5 23 2 3 2" xfId="7870" xr:uid="{00000000-0005-0000-0000-0000C11E0000}"/>
    <cellStyle name="20% - Énfasis5 23 2 3 2 2" xfId="7871" xr:uid="{00000000-0005-0000-0000-0000C21E0000}"/>
    <cellStyle name="20% - Énfasis5 23 2 3 3" xfId="7872" xr:uid="{00000000-0005-0000-0000-0000C31E0000}"/>
    <cellStyle name="20% - Énfasis5 23 2 4" xfId="7873" xr:uid="{00000000-0005-0000-0000-0000C41E0000}"/>
    <cellStyle name="20% - Énfasis5 23 2 4 2" xfId="7874" xr:uid="{00000000-0005-0000-0000-0000C51E0000}"/>
    <cellStyle name="20% - Énfasis5 23 2 5" xfId="7875" xr:uid="{00000000-0005-0000-0000-0000C61E0000}"/>
    <cellStyle name="20% - Énfasis5 23 3" xfId="7876" xr:uid="{00000000-0005-0000-0000-0000C71E0000}"/>
    <cellStyle name="20% - Énfasis5 23 3 2" xfId="7877" xr:uid="{00000000-0005-0000-0000-0000C81E0000}"/>
    <cellStyle name="20% - Énfasis5 23 3 2 2" xfId="7878" xr:uid="{00000000-0005-0000-0000-0000C91E0000}"/>
    <cellStyle name="20% - Énfasis5 23 3 2 2 2" xfId="7879" xr:uid="{00000000-0005-0000-0000-0000CA1E0000}"/>
    <cellStyle name="20% - Énfasis5 23 3 2 3" xfId="7880" xr:uid="{00000000-0005-0000-0000-0000CB1E0000}"/>
    <cellStyle name="20% - Énfasis5 23 3 3" xfId="7881" xr:uid="{00000000-0005-0000-0000-0000CC1E0000}"/>
    <cellStyle name="20% - Énfasis5 23 3 3 2" xfId="7882" xr:uid="{00000000-0005-0000-0000-0000CD1E0000}"/>
    <cellStyle name="20% - Énfasis5 23 3 4" xfId="7883" xr:uid="{00000000-0005-0000-0000-0000CE1E0000}"/>
    <cellStyle name="20% - Énfasis5 23 4" xfId="7884" xr:uid="{00000000-0005-0000-0000-0000CF1E0000}"/>
    <cellStyle name="20% - Énfasis5 23 4 2" xfId="7885" xr:uid="{00000000-0005-0000-0000-0000D01E0000}"/>
    <cellStyle name="20% - Énfasis5 23 4 2 2" xfId="7886" xr:uid="{00000000-0005-0000-0000-0000D11E0000}"/>
    <cellStyle name="20% - Énfasis5 23 4 3" xfId="7887" xr:uid="{00000000-0005-0000-0000-0000D21E0000}"/>
    <cellStyle name="20% - Énfasis5 23 5" xfId="7888" xr:uid="{00000000-0005-0000-0000-0000D31E0000}"/>
    <cellStyle name="20% - Énfasis5 23 5 2" xfId="7889" xr:uid="{00000000-0005-0000-0000-0000D41E0000}"/>
    <cellStyle name="20% - Énfasis5 23 5 2 2" xfId="7890" xr:uid="{00000000-0005-0000-0000-0000D51E0000}"/>
    <cellStyle name="20% - Énfasis5 23 5 3" xfId="7891" xr:uid="{00000000-0005-0000-0000-0000D61E0000}"/>
    <cellStyle name="20% - Énfasis5 23 6" xfId="7892" xr:uid="{00000000-0005-0000-0000-0000D71E0000}"/>
    <cellStyle name="20% - Énfasis5 23 6 2" xfId="7893" xr:uid="{00000000-0005-0000-0000-0000D81E0000}"/>
    <cellStyle name="20% - Énfasis5 23 7" xfId="7894" xr:uid="{00000000-0005-0000-0000-0000D91E0000}"/>
    <cellStyle name="20% - Énfasis5 24" xfId="7895" xr:uid="{00000000-0005-0000-0000-0000DA1E0000}"/>
    <cellStyle name="20% - Énfasis5 24 2" xfId="7896" xr:uid="{00000000-0005-0000-0000-0000DB1E0000}"/>
    <cellStyle name="20% - Énfasis5 24 2 2" xfId="7897" xr:uid="{00000000-0005-0000-0000-0000DC1E0000}"/>
    <cellStyle name="20% - Énfasis5 24 2 2 2" xfId="7898" xr:uid="{00000000-0005-0000-0000-0000DD1E0000}"/>
    <cellStyle name="20% - Énfasis5 24 2 2 2 2" xfId="7899" xr:uid="{00000000-0005-0000-0000-0000DE1E0000}"/>
    <cellStyle name="20% - Énfasis5 24 2 2 3" xfId="7900" xr:uid="{00000000-0005-0000-0000-0000DF1E0000}"/>
    <cellStyle name="20% - Énfasis5 24 2 3" xfId="7901" xr:uid="{00000000-0005-0000-0000-0000E01E0000}"/>
    <cellStyle name="20% - Énfasis5 24 2 3 2" xfId="7902" xr:uid="{00000000-0005-0000-0000-0000E11E0000}"/>
    <cellStyle name="20% - Énfasis5 24 2 3 2 2" xfId="7903" xr:uid="{00000000-0005-0000-0000-0000E21E0000}"/>
    <cellStyle name="20% - Énfasis5 24 2 3 3" xfId="7904" xr:uid="{00000000-0005-0000-0000-0000E31E0000}"/>
    <cellStyle name="20% - Énfasis5 24 2 4" xfId="7905" xr:uid="{00000000-0005-0000-0000-0000E41E0000}"/>
    <cellStyle name="20% - Énfasis5 24 2 4 2" xfId="7906" xr:uid="{00000000-0005-0000-0000-0000E51E0000}"/>
    <cellStyle name="20% - Énfasis5 24 2 5" xfId="7907" xr:uid="{00000000-0005-0000-0000-0000E61E0000}"/>
    <cellStyle name="20% - Énfasis5 24 3" xfId="7908" xr:uid="{00000000-0005-0000-0000-0000E71E0000}"/>
    <cellStyle name="20% - Énfasis5 24 3 2" xfId="7909" xr:uid="{00000000-0005-0000-0000-0000E81E0000}"/>
    <cellStyle name="20% - Énfasis5 24 3 2 2" xfId="7910" xr:uid="{00000000-0005-0000-0000-0000E91E0000}"/>
    <cellStyle name="20% - Énfasis5 24 3 2 2 2" xfId="7911" xr:uid="{00000000-0005-0000-0000-0000EA1E0000}"/>
    <cellStyle name="20% - Énfasis5 24 3 2 3" xfId="7912" xr:uid="{00000000-0005-0000-0000-0000EB1E0000}"/>
    <cellStyle name="20% - Énfasis5 24 3 3" xfId="7913" xr:uid="{00000000-0005-0000-0000-0000EC1E0000}"/>
    <cellStyle name="20% - Énfasis5 24 3 3 2" xfId="7914" xr:uid="{00000000-0005-0000-0000-0000ED1E0000}"/>
    <cellStyle name="20% - Énfasis5 24 3 4" xfId="7915" xr:uid="{00000000-0005-0000-0000-0000EE1E0000}"/>
    <cellStyle name="20% - Énfasis5 24 4" xfId="7916" xr:uid="{00000000-0005-0000-0000-0000EF1E0000}"/>
    <cellStyle name="20% - Énfasis5 24 4 2" xfId="7917" xr:uid="{00000000-0005-0000-0000-0000F01E0000}"/>
    <cellStyle name="20% - Énfasis5 24 4 2 2" xfId="7918" xr:uid="{00000000-0005-0000-0000-0000F11E0000}"/>
    <cellStyle name="20% - Énfasis5 24 4 3" xfId="7919" xr:uid="{00000000-0005-0000-0000-0000F21E0000}"/>
    <cellStyle name="20% - Énfasis5 24 5" xfId="7920" xr:uid="{00000000-0005-0000-0000-0000F31E0000}"/>
    <cellStyle name="20% - Énfasis5 24 5 2" xfId="7921" xr:uid="{00000000-0005-0000-0000-0000F41E0000}"/>
    <cellStyle name="20% - Énfasis5 24 5 2 2" xfId="7922" xr:uid="{00000000-0005-0000-0000-0000F51E0000}"/>
    <cellStyle name="20% - Énfasis5 24 5 3" xfId="7923" xr:uid="{00000000-0005-0000-0000-0000F61E0000}"/>
    <cellStyle name="20% - Énfasis5 24 6" xfId="7924" xr:uid="{00000000-0005-0000-0000-0000F71E0000}"/>
    <cellStyle name="20% - Énfasis5 24 6 2" xfId="7925" xr:uid="{00000000-0005-0000-0000-0000F81E0000}"/>
    <cellStyle name="20% - Énfasis5 24 7" xfId="7926" xr:uid="{00000000-0005-0000-0000-0000F91E0000}"/>
    <cellStyle name="20% - Énfasis5 25" xfId="7927" xr:uid="{00000000-0005-0000-0000-0000FA1E0000}"/>
    <cellStyle name="20% - Énfasis5 25 2" xfId="7928" xr:uid="{00000000-0005-0000-0000-0000FB1E0000}"/>
    <cellStyle name="20% - Énfasis5 25 2 2" xfId="7929" xr:uid="{00000000-0005-0000-0000-0000FC1E0000}"/>
    <cellStyle name="20% - Énfasis5 25 2 2 2" xfId="7930" xr:uid="{00000000-0005-0000-0000-0000FD1E0000}"/>
    <cellStyle name="20% - Énfasis5 25 2 2 2 2" xfId="7931" xr:uid="{00000000-0005-0000-0000-0000FE1E0000}"/>
    <cellStyle name="20% - Énfasis5 25 2 2 3" xfId="7932" xr:uid="{00000000-0005-0000-0000-0000FF1E0000}"/>
    <cellStyle name="20% - Énfasis5 25 2 3" xfId="7933" xr:uid="{00000000-0005-0000-0000-0000001F0000}"/>
    <cellStyle name="20% - Énfasis5 25 2 3 2" xfId="7934" xr:uid="{00000000-0005-0000-0000-0000011F0000}"/>
    <cellStyle name="20% - Énfasis5 25 2 3 2 2" xfId="7935" xr:uid="{00000000-0005-0000-0000-0000021F0000}"/>
    <cellStyle name="20% - Énfasis5 25 2 3 3" xfId="7936" xr:uid="{00000000-0005-0000-0000-0000031F0000}"/>
    <cellStyle name="20% - Énfasis5 25 2 4" xfId="7937" xr:uid="{00000000-0005-0000-0000-0000041F0000}"/>
    <cellStyle name="20% - Énfasis5 25 2 4 2" xfId="7938" xr:uid="{00000000-0005-0000-0000-0000051F0000}"/>
    <cellStyle name="20% - Énfasis5 25 2 5" xfId="7939" xr:uid="{00000000-0005-0000-0000-0000061F0000}"/>
    <cellStyle name="20% - Énfasis5 25 3" xfId="7940" xr:uid="{00000000-0005-0000-0000-0000071F0000}"/>
    <cellStyle name="20% - Énfasis5 25 3 2" xfId="7941" xr:uid="{00000000-0005-0000-0000-0000081F0000}"/>
    <cellStyle name="20% - Énfasis5 25 3 2 2" xfId="7942" xr:uid="{00000000-0005-0000-0000-0000091F0000}"/>
    <cellStyle name="20% - Énfasis5 25 3 2 2 2" xfId="7943" xr:uid="{00000000-0005-0000-0000-00000A1F0000}"/>
    <cellStyle name="20% - Énfasis5 25 3 2 3" xfId="7944" xr:uid="{00000000-0005-0000-0000-00000B1F0000}"/>
    <cellStyle name="20% - Énfasis5 25 3 3" xfId="7945" xr:uid="{00000000-0005-0000-0000-00000C1F0000}"/>
    <cellStyle name="20% - Énfasis5 25 3 3 2" xfId="7946" xr:uid="{00000000-0005-0000-0000-00000D1F0000}"/>
    <cellStyle name="20% - Énfasis5 25 3 4" xfId="7947" xr:uid="{00000000-0005-0000-0000-00000E1F0000}"/>
    <cellStyle name="20% - Énfasis5 25 4" xfId="7948" xr:uid="{00000000-0005-0000-0000-00000F1F0000}"/>
    <cellStyle name="20% - Énfasis5 25 4 2" xfId="7949" xr:uid="{00000000-0005-0000-0000-0000101F0000}"/>
    <cellStyle name="20% - Énfasis5 25 4 2 2" xfId="7950" xr:uid="{00000000-0005-0000-0000-0000111F0000}"/>
    <cellStyle name="20% - Énfasis5 25 4 3" xfId="7951" xr:uid="{00000000-0005-0000-0000-0000121F0000}"/>
    <cellStyle name="20% - Énfasis5 25 5" xfId="7952" xr:uid="{00000000-0005-0000-0000-0000131F0000}"/>
    <cellStyle name="20% - Énfasis5 25 5 2" xfId="7953" xr:uid="{00000000-0005-0000-0000-0000141F0000}"/>
    <cellStyle name="20% - Énfasis5 25 5 2 2" xfId="7954" xr:uid="{00000000-0005-0000-0000-0000151F0000}"/>
    <cellStyle name="20% - Énfasis5 25 5 3" xfId="7955" xr:uid="{00000000-0005-0000-0000-0000161F0000}"/>
    <cellStyle name="20% - Énfasis5 25 6" xfId="7956" xr:uid="{00000000-0005-0000-0000-0000171F0000}"/>
    <cellStyle name="20% - Énfasis5 25 6 2" xfId="7957" xr:uid="{00000000-0005-0000-0000-0000181F0000}"/>
    <cellStyle name="20% - Énfasis5 25 7" xfId="7958" xr:uid="{00000000-0005-0000-0000-0000191F0000}"/>
    <cellStyle name="20% - Énfasis5 26" xfId="7959" xr:uid="{00000000-0005-0000-0000-00001A1F0000}"/>
    <cellStyle name="20% - Énfasis5 26 2" xfId="7960" xr:uid="{00000000-0005-0000-0000-00001B1F0000}"/>
    <cellStyle name="20% - Énfasis5 26 2 2" xfId="7961" xr:uid="{00000000-0005-0000-0000-00001C1F0000}"/>
    <cellStyle name="20% - Énfasis5 26 2 2 2" xfId="7962" xr:uid="{00000000-0005-0000-0000-00001D1F0000}"/>
    <cellStyle name="20% - Énfasis5 26 2 2 2 2" xfId="7963" xr:uid="{00000000-0005-0000-0000-00001E1F0000}"/>
    <cellStyle name="20% - Énfasis5 26 2 2 3" xfId="7964" xr:uid="{00000000-0005-0000-0000-00001F1F0000}"/>
    <cellStyle name="20% - Énfasis5 26 2 3" xfId="7965" xr:uid="{00000000-0005-0000-0000-0000201F0000}"/>
    <cellStyle name="20% - Énfasis5 26 2 3 2" xfId="7966" xr:uid="{00000000-0005-0000-0000-0000211F0000}"/>
    <cellStyle name="20% - Énfasis5 26 2 3 2 2" xfId="7967" xr:uid="{00000000-0005-0000-0000-0000221F0000}"/>
    <cellStyle name="20% - Énfasis5 26 2 3 3" xfId="7968" xr:uid="{00000000-0005-0000-0000-0000231F0000}"/>
    <cellStyle name="20% - Énfasis5 26 2 4" xfId="7969" xr:uid="{00000000-0005-0000-0000-0000241F0000}"/>
    <cellStyle name="20% - Énfasis5 26 2 4 2" xfId="7970" xr:uid="{00000000-0005-0000-0000-0000251F0000}"/>
    <cellStyle name="20% - Énfasis5 26 2 5" xfId="7971" xr:uid="{00000000-0005-0000-0000-0000261F0000}"/>
    <cellStyle name="20% - Énfasis5 26 3" xfId="7972" xr:uid="{00000000-0005-0000-0000-0000271F0000}"/>
    <cellStyle name="20% - Énfasis5 26 3 2" xfId="7973" xr:uid="{00000000-0005-0000-0000-0000281F0000}"/>
    <cellStyle name="20% - Énfasis5 26 3 2 2" xfId="7974" xr:uid="{00000000-0005-0000-0000-0000291F0000}"/>
    <cellStyle name="20% - Énfasis5 26 3 2 2 2" xfId="7975" xr:uid="{00000000-0005-0000-0000-00002A1F0000}"/>
    <cellStyle name="20% - Énfasis5 26 3 2 3" xfId="7976" xr:uid="{00000000-0005-0000-0000-00002B1F0000}"/>
    <cellStyle name="20% - Énfasis5 26 3 3" xfId="7977" xr:uid="{00000000-0005-0000-0000-00002C1F0000}"/>
    <cellStyle name="20% - Énfasis5 26 3 3 2" xfId="7978" xr:uid="{00000000-0005-0000-0000-00002D1F0000}"/>
    <cellStyle name="20% - Énfasis5 26 3 4" xfId="7979" xr:uid="{00000000-0005-0000-0000-00002E1F0000}"/>
    <cellStyle name="20% - Énfasis5 26 4" xfId="7980" xr:uid="{00000000-0005-0000-0000-00002F1F0000}"/>
    <cellStyle name="20% - Énfasis5 26 4 2" xfId="7981" xr:uid="{00000000-0005-0000-0000-0000301F0000}"/>
    <cellStyle name="20% - Énfasis5 26 4 2 2" xfId="7982" xr:uid="{00000000-0005-0000-0000-0000311F0000}"/>
    <cellStyle name="20% - Énfasis5 26 4 3" xfId="7983" xr:uid="{00000000-0005-0000-0000-0000321F0000}"/>
    <cellStyle name="20% - Énfasis5 26 5" xfId="7984" xr:uid="{00000000-0005-0000-0000-0000331F0000}"/>
    <cellStyle name="20% - Énfasis5 26 5 2" xfId="7985" xr:uid="{00000000-0005-0000-0000-0000341F0000}"/>
    <cellStyle name="20% - Énfasis5 26 5 2 2" xfId="7986" xr:uid="{00000000-0005-0000-0000-0000351F0000}"/>
    <cellStyle name="20% - Énfasis5 26 5 3" xfId="7987" xr:uid="{00000000-0005-0000-0000-0000361F0000}"/>
    <cellStyle name="20% - Énfasis5 26 6" xfId="7988" xr:uid="{00000000-0005-0000-0000-0000371F0000}"/>
    <cellStyle name="20% - Énfasis5 26 6 2" xfId="7989" xr:uid="{00000000-0005-0000-0000-0000381F0000}"/>
    <cellStyle name="20% - Énfasis5 26 7" xfId="7990" xr:uid="{00000000-0005-0000-0000-0000391F0000}"/>
    <cellStyle name="20% - Énfasis5 27" xfId="7991" xr:uid="{00000000-0005-0000-0000-00003A1F0000}"/>
    <cellStyle name="20% - Énfasis5 27 2" xfId="7992" xr:uid="{00000000-0005-0000-0000-00003B1F0000}"/>
    <cellStyle name="20% - Énfasis5 27 2 2" xfId="7993" xr:uid="{00000000-0005-0000-0000-00003C1F0000}"/>
    <cellStyle name="20% - Énfasis5 27 2 2 2" xfId="7994" xr:uid="{00000000-0005-0000-0000-00003D1F0000}"/>
    <cellStyle name="20% - Énfasis5 27 2 2 2 2" xfId="7995" xr:uid="{00000000-0005-0000-0000-00003E1F0000}"/>
    <cellStyle name="20% - Énfasis5 27 2 2 3" xfId="7996" xr:uid="{00000000-0005-0000-0000-00003F1F0000}"/>
    <cellStyle name="20% - Énfasis5 27 2 3" xfId="7997" xr:uid="{00000000-0005-0000-0000-0000401F0000}"/>
    <cellStyle name="20% - Énfasis5 27 2 3 2" xfId="7998" xr:uid="{00000000-0005-0000-0000-0000411F0000}"/>
    <cellStyle name="20% - Énfasis5 27 2 3 2 2" xfId="7999" xr:uid="{00000000-0005-0000-0000-0000421F0000}"/>
    <cellStyle name="20% - Énfasis5 27 2 3 3" xfId="8000" xr:uid="{00000000-0005-0000-0000-0000431F0000}"/>
    <cellStyle name="20% - Énfasis5 27 2 4" xfId="8001" xr:uid="{00000000-0005-0000-0000-0000441F0000}"/>
    <cellStyle name="20% - Énfasis5 27 2 4 2" xfId="8002" xr:uid="{00000000-0005-0000-0000-0000451F0000}"/>
    <cellStyle name="20% - Énfasis5 27 2 5" xfId="8003" xr:uid="{00000000-0005-0000-0000-0000461F0000}"/>
    <cellStyle name="20% - Énfasis5 27 3" xfId="8004" xr:uid="{00000000-0005-0000-0000-0000471F0000}"/>
    <cellStyle name="20% - Énfasis5 27 3 2" xfId="8005" xr:uid="{00000000-0005-0000-0000-0000481F0000}"/>
    <cellStyle name="20% - Énfasis5 27 3 2 2" xfId="8006" xr:uid="{00000000-0005-0000-0000-0000491F0000}"/>
    <cellStyle name="20% - Énfasis5 27 3 3" xfId="8007" xr:uid="{00000000-0005-0000-0000-00004A1F0000}"/>
    <cellStyle name="20% - Énfasis5 27 4" xfId="8008" xr:uid="{00000000-0005-0000-0000-00004B1F0000}"/>
    <cellStyle name="20% - Énfasis5 27 4 2" xfId="8009" xr:uid="{00000000-0005-0000-0000-00004C1F0000}"/>
    <cellStyle name="20% - Énfasis5 27 4 2 2" xfId="8010" xr:uid="{00000000-0005-0000-0000-00004D1F0000}"/>
    <cellStyle name="20% - Énfasis5 27 4 3" xfId="8011" xr:uid="{00000000-0005-0000-0000-00004E1F0000}"/>
    <cellStyle name="20% - Énfasis5 27 5" xfId="8012" xr:uid="{00000000-0005-0000-0000-00004F1F0000}"/>
    <cellStyle name="20% - Énfasis5 27 5 2" xfId="8013" xr:uid="{00000000-0005-0000-0000-0000501F0000}"/>
    <cellStyle name="20% - Énfasis5 27 6" xfId="8014" xr:uid="{00000000-0005-0000-0000-0000511F0000}"/>
    <cellStyle name="20% - Énfasis5 28" xfId="8015" xr:uid="{00000000-0005-0000-0000-0000521F0000}"/>
    <cellStyle name="20% - Énfasis5 28 2" xfId="8016" xr:uid="{00000000-0005-0000-0000-0000531F0000}"/>
    <cellStyle name="20% - Énfasis5 28 2 2" xfId="8017" xr:uid="{00000000-0005-0000-0000-0000541F0000}"/>
    <cellStyle name="20% - Énfasis5 28 2 2 2" xfId="8018" xr:uid="{00000000-0005-0000-0000-0000551F0000}"/>
    <cellStyle name="20% - Énfasis5 28 2 2 2 2" xfId="8019" xr:uid="{00000000-0005-0000-0000-0000561F0000}"/>
    <cellStyle name="20% - Énfasis5 28 2 2 3" xfId="8020" xr:uid="{00000000-0005-0000-0000-0000571F0000}"/>
    <cellStyle name="20% - Énfasis5 28 2 3" xfId="8021" xr:uid="{00000000-0005-0000-0000-0000581F0000}"/>
    <cellStyle name="20% - Énfasis5 28 2 3 2" xfId="8022" xr:uid="{00000000-0005-0000-0000-0000591F0000}"/>
    <cellStyle name="20% - Énfasis5 28 2 4" xfId="8023" xr:uid="{00000000-0005-0000-0000-00005A1F0000}"/>
    <cellStyle name="20% - Énfasis5 28 3" xfId="8024" xr:uid="{00000000-0005-0000-0000-00005B1F0000}"/>
    <cellStyle name="20% - Énfasis5 28 3 2" xfId="8025" xr:uid="{00000000-0005-0000-0000-00005C1F0000}"/>
    <cellStyle name="20% - Énfasis5 28 3 2 2" xfId="8026" xr:uid="{00000000-0005-0000-0000-00005D1F0000}"/>
    <cellStyle name="20% - Énfasis5 28 3 3" xfId="8027" xr:uid="{00000000-0005-0000-0000-00005E1F0000}"/>
    <cellStyle name="20% - Énfasis5 28 4" xfId="8028" xr:uid="{00000000-0005-0000-0000-00005F1F0000}"/>
    <cellStyle name="20% - Énfasis5 28 4 2" xfId="8029" xr:uid="{00000000-0005-0000-0000-0000601F0000}"/>
    <cellStyle name="20% - Énfasis5 28 5" xfId="8030" xr:uid="{00000000-0005-0000-0000-0000611F0000}"/>
    <cellStyle name="20% - Énfasis5 29" xfId="8031" xr:uid="{00000000-0005-0000-0000-0000621F0000}"/>
    <cellStyle name="20% - Énfasis5 29 2" xfId="8032" xr:uid="{00000000-0005-0000-0000-0000631F0000}"/>
    <cellStyle name="20% - Énfasis5 29 2 2" xfId="8033" xr:uid="{00000000-0005-0000-0000-0000641F0000}"/>
    <cellStyle name="20% - Énfasis5 29 2 2 2" xfId="8034" xr:uid="{00000000-0005-0000-0000-0000651F0000}"/>
    <cellStyle name="20% - Énfasis5 29 2 2 2 2" xfId="8035" xr:uid="{00000000-0005-0000-0000-0000661F0000}"/>
    <cellStyle name="20% - Énfasis5 29 2 2 3" xfId="8036" xr:uid="{00000000-0005-0000-0000-0000671F0000}"/>
    <cellStyle name="20% - Énfasis5 29 2 3" xfId="8037" xr:uid="{00000000-0005-0000-0000-0000681F0000}"/>
    <cellStyle name="20% - Énfasis5 29 2 3 2" xfId="8038" xr:uid="{00000000-0005-0000-0000-0000691F0000}"/>
    <cellStyle name="20% - Énfasis5 29 2 4" xfId="8039" xr:uid="{00000000-0005-0000-0000-00006A1F0000}"/>
    <cellStyle name="20% - Énfasis5 29 3" xfId="8040" xr:uid="{00000000-0005-0000-0000-00006B1F0000}"/>
    <cellStyle name="20% - Énfasis5 29 3 2" xfId="8041" xr:uid="{00000000-0005-0000-0000-00006C1F0000}"/>
    <cellStyle name="20% - Énfasis5 29 3 2 2" xfId="8042" xr:uid="{00000000-0005-0000-0000-00006D1F0000}"/>
    <cellStyle name="20% - Énfasis5 29 3 3" xfId="8043" xr:uid="{00000000-0005-0000-0000-00006E1F0000}"/>
    <cellStyle name="20% - Énfasis5 29 4" xfId="8044" xr:uid="{00000000-0005-0000-0000-00006F1F0000}"/>
    <cellStyle name="20% - Énfasis5 29 4 2" xfId="8045" xr:uid="{00000000-0005-0000-0000-0000701F0000}"/>
    <cellStyle name="20% - Énfasis5 29 5" xfId="8046" xr:uid="{00000000-0005-0000-0000-0000711F0000}"/>
    <cellStyle name="20% - Énfasis5 3" xfId="8047" xr:uid="{00000000-0005-0000-0000-0000721F0000}"/>
    <cellStyle name="20% - Énfasis5 3 2" xfId="8048" xr:uid="{00000000-0005-0000-0000-0000731F0000}"/>
    <cellStyle name="20% - Énfasis5 3 2 2" xfId="8049" xr:uid="{00000000-0005-0000-0000-0000741F0000}"/>
    <cellStyle name="20% - Énfasis5 3 2 2 2" xfId="8050" xr:uid="{00000000-0005-0000-0000-0000751F0000}"/>
    <cellStyle name="20% - Énfasis5 3 2 2 2 2" xfId="8051" xr:uid="{00000000-0005-0000-0000-0000761F0000}"/>
    <cellStyle name="20% - Énfasis5 3 2 2 2 2 2" xfId="8052" xr:uid="{00000000-0005-0000-0000-0000771F0000}"/>
    <cellStyle name="20% - Énfasis5 3 2 2 2 3" xfId="8053" xr:uid="{00000000-0005-0000-0000-0000781F0000}"/>
    <cellStyle name="20% - Énfasis5 3 2 2 3" xfId="8054" xr:uid="{00000000-0005-0000-0000-0000791F0000}"/>
    <cellStyle name="20% - Énfasis5 3 2 2 3 2" xfId="8055" xr:uid="{00000000-0005-0000-0000-00007A1F0000}"/>
    <cellStyle name="20% - Énfasis5 3 2 2 4" xfId="8056" xr:uid="{00000000-0005-0000-0000-00007B1F0000}"/>
    <cellStyle name="20% - Énfasis5 3 2 3" xfId="8057" xr:uid="{00000000-0005-0000-0000-00007C1F0000}"/>
    <cellStyle name="20% - Énfasis5 3 2 3 2" xfId="8058" xr:uid="{00000000-0005-0000-0000-00007D1F0000}"/>
    <cellStyle name="20% - Énfasis5 3 2 3 2 2" xfId="8059" xr:uid="{00000000-0005-0000-0000-00007E1F0000}"/>
    <cellStyle name="20% - Énfasis5 3 2 3 3" xfId="8060" xr:uid="{00000000-0005-0000-0000-00007F1F0000}"/>
    <cellStyle name="20% - Énfasis5 3 2 4" xfId="8061" xr:uid="{00000000-0005-0000-0000-0000801F0000}"/>
    <cellStyle name="20% - Énfasis5 3 2 4 2" xfId="8062" xr:uid="{00000000-0005-0000-0000-0000811F0000}"/>
    <cellStyle name="20% - Énfasis5 3 2 4 2 2" xfId="8063" xr:uid="{00000000-0005-0000-0000-0000821F0000}"/>
    <cellStyle name="20% - Énfasis5 3 2 4 3" xfId="8064" xr:uid="{00000000-0005-0000-0000-0000831F0000}"/>
    <cellStyle name="20% - Énfasis5 3 2 5" xfId="8065" xr:uid="{00000000-0005-0000-0000-0000841F0000}"/>
    <cellStyle name="20% - Énfasis5 3 2 5 2" xfId="8066" xr:uid="{00000000-0005-0000-0000-0000851F0000}"/>
    <cellStyle name="20% - Énfasis5 3 2 6" xfId="8067" xr:uid="{00000000-0005-0000-0000-0000861F0000}"/>
    <cellStyle name="20% - Énfasis5 3 3" xfId="8068" xr:uid="{00000000-0005-0000-0000-0000871F0000}"/>
    <cellStyle name="20% - Énfasis5 3 3 2" xfId="8069" xr:uid="{00000000-0005-0000-0000-0000881F0000}"/>
    <cellStyle name="20% - Énfasis5 3 3 2 2" xfId="8070" xr:uid="{00000000-0005-0000-0000-0000891F0000}"/>
    <cellStyle name="20% - Énfasis5 3 3 2 2 2" xfId="8071" xr:uid="{00000000-0005-0000-0000-00008A1F0000}"/>
    <cellStyle name="20% - Énfasis5 3 3 2 3" xfId="8072" xr:uid="{00000000-0005-0000-0000-00008B1F0000}"/>
    <cellStyle name="20% - Énfasis5 3 3 3" xfId="8073" xr:uid="{00000000-0005-0000-0000-00008C1F0000}"/>
    <cellStyle name="20% - Énfasis5 3 3 3 2" xfId="8074" xr:uid="{00000000-0005-0000-0000-00008D1F0000}"/>
    <cellStyle name="20% - Énfasis5 3 3 3 2 2" xfId="8075" xr:uid="{00000000-0005-0000-0000-00008E1F0000}"/>
    <cellStyle name="20% - Énfasis5 3 3 3 3" xfId="8076" xr:uid="{00000000-0005-0000-0000-00008F1F0000}"/>
    <cellStyle name="20% - Énfasis5 3 3 4" xfId="8077" xr:uid="{00000000-0005-0000-0000-0000901F0000}"/>
    <cellStyle name="20% - Énfasis5 3 3 4 2" xfId="8078" xr:uid="{00000000-0005-0000-0000-0000911F0000}"/>
    <cellStyle name="20% - Énfasis5 3 3 5" xfId="8079" xr:uid="{00000000-0005-0000-0000-0000921F0000}"/>
    <cellStyle name="20% - Énfasis5 3 4" xfId="8080" xr:uid="{00000000-0005-0000-0000-0000931F0000}"/>
    <cellStyle name="20% - Énfasis5 3 4 2" xfId="8081" xr:uid="{00000000-0005-0000-0000-0000941F0000}"/>
    <cellStyle name="20% - Énfasis5 3 4 2 2" xfId="8082" xr:uid="{00000000-0005-0000-0000-0000951F0000}"/>
    <cellStyle name="20% - Énfasis5 3 4 2 2 2" xfId="8083" xr:uid="{00000000-0005-0000-0000-0000961F0000}"/>
    <cellStyle name="20% - Énfasis5 3 4 2 3" xfId="8084" xr:uid="{00000000-0005-0000-0000-0000971F0000}"/>
    <cellStyle name="20% - Énfasis5 3 4 3" xfId="8085" xr:uid="{00000000-0005-0000-0000-0000981F0000}"/>
    <cellStyle name="20% - Énfasis5 3 4 3 2" xfId="8086" xr:uid="{00000000-0005-0000-0000-0000991F0000}"/>
    <cellStyle name="20% - Énfasis5 3 4 4" xfId="8087" xr:uid="{00000000-0005-0000-0000-00009A1F0000}"/>
    <cellStyle name="20% - Énfasis5 3 5" xfId="8088" xr:uid="{00000000-0005-0000-0000-00009B1F0000}"/>
    <cellStyle name="20% - Énfasis5 3 5 2" xfId="8089" xr:uid="{00000000-0005-0000-0000-00009C1F0000}"/>
    <cellStyle name="20% - Énfasis5 3 5 2 2" xfId="8090" xr:uid="{00000000-0005-0000-0000-00009D1F0000}"/>
    <cellStyle name="20% - Énfasis5 3 5 3" xfId="8091" xr:uid="{00000000-0005-0000-0000-00009E1F0000}"/>
    <cellStyle name="20% - Énfasis5 3 6" xfId="8092" xr:uid="{00000000-0005-0000-0000-00009F1F0000}"/>
    <cellStyle name="20% - Énfasis5 3 6 2" xfId="8093" xr:uid="{00000000-0005-0000-0000-0000A01F0000}"/>
    <cellStyle name="20% - Énfasis5 3 6 2 2" xfId="8094" xr:uid="{00000000-0005-0000-0000-0000A11F0000}"/>
    <cellStyle name="20% - Énfasis5 3 6 3" xfId="8095" xr:uid="{00000000-0005-0000-0000-0000A21F0000}"/>
    <cellStyle name="20% - Énfasis5 3 7" xfId="8096" xr:uid="{00000000-0005-0000-0000-0000A31F0000}"/>
    <cellStyle name="20% - Énfasis5 3 7 2" xfId="8097" xr:uid="{00000000-0005-0000-0000-0000A41F0000}"/>
    <cellStyle name="20% - Énfasis5 3 8" xfId="8098" xr:uid="{00000000-0005-0000-0000-0000A51F0000}"/>
    <cellStyle name="20% - Énfasis5 30" xfId="8099" xr:uid="{00000000-0005-0000-0000-0000A61F0000}"/>
    <cellStyle name="20% - Énfasis5 30 2" xfId="8100" xr:uid="{00000000-0005-0000-0000-0000A71F0000}"/>
    <cellStyle name="20% - Énfasis5 30 2 2" xfId="8101" xr:uid="{00000000-0005-0000-0000-0000A81F0000}"/>
    <cellStyle name="20% - Énfasis5 30 2 2 2" xfId="8102" xr:uid="{00000000-0005-0000-0000-0000A91F0000}"/>
    <cellStyle name="20% - Énfasis5 30 2 3" xfId="8103" xr:uid="{00000000-0005-0000-0000-0000AA1F0000}"/>
    <cellStyle name="20% - Énfasis5 30 3" xfId="8104" xr:uid="{00000000-0005-0000-0000-0000AB1F0000}"/>
    <cellStyle name="20% - Énfasis5 30 3 2" xfId="8105" xr:uid="{00000000-0005-0000-0000-0000AC1F0000}"/>
    <cellStyle name="20% - Énfasis5 30 3 2 2" xfId="8106" xr:uid="{00000000-0005-0000-0000-0000AD1F0000}"/>
    <cellStyle name="20% - Énfasis5 30 3 3" xfId="8107" xr:uid="{00000000-0005-0000-0000-0000AE1F0000}"/>
    <cellStyle name="20% - Énfasis5 30 4" xfId="8108" xr:uid="{00000000-0005-0000-0000-0000AF1F0000}"/>
    <cellStyle name="20% - Énfasis5 30 4 2" xfId="8109" xr:uid="{00000000-0005-0000-0000-0000B01F0000}"/>
    <cellStyle name="20% - Énfasis5 30 5" xfId="8110" xr:uid="{00000000-0005-0000-0000-0000B11F0000}"/>
    <cellStyle name="20% - Énfasis5 31" xfId="8111" xr:uid="{00000000-0005-0000-0000-0000B21F0000}"/>
    <cellStyle name="20% - Énfasis5 31 2" xfId="8112" xr:uid="{00000000-0005-0000-0000-0000B31F0000}"/>
    <cellStyle name="20% - Énfasis5 31 2 2" xfId="8113" xr:uid="{00000000-0005-0000-0000-0000B41F0000}"/>
    <cellStyle name="20% - Énfasis5 31 2 2 2" xfId="8114" xr:uid="{00000000-0005-0000-0000-0000B51F0000}"/>
    <cellStyle name="20% - Énfasis5 31 2 3" xfId="8115" xr:uid="{00000000-0005-0000-0000-0000B61F0000}"/>
    <cellStyle name="20% - Énfasis5 31 3" xfId="8116" xr:uid="{00000000-0005-0000-0000-0000B71F0000}"/>
    <cellStyle name="20% - Énfasis5 31 3 2" xfId="8117" xr:uid="{00000000-0005-0000-0000-0000B81F0000}"/>
    <cellStyle name="20% - Énfasis5 31 3 2 2" xfId="8118" xr:uid="{00000000-0005-0000-0000-0000B91F0000}"/>
    <cellStyle name="20% - Énfasis5 31 3 3" xfId="8119" xr:uid="{00000000-0005-0000-0000-0000BA1F0000}"/>
    <cellStyle name="20% - Énfasis5 31 4" xfId="8120" xr:uid="{00000000-0005-0000-0000-0000BB1F0000}"/>
    <cellStyle name="20% - Énfasis5 31 4 2" xfId="8121" xr:uid="{00000000-0005-0000-0000-0000BC1F0000}"/>
    <cellStyle name="20% - Énfasis5 31 5" xfId="8122" xr:uid="{00000000-0005-0000-0000-0000BD1F0000}"/>
    <cellStyle name="20% - Énfasis5 32" xfId="8123" xr:uid="{00000000-0005-0000-0000-0000BE1F0000}"/>
    <cellStyle name="20% - Énfasis5 32 2" xfId="8124" xr:uid="{00000000-0005-0000-0000-0000BF1F0000}"/>
    <cellStyle name="20% - Énfasis5 32 2 2" xfId="8125" xr:uid="{00000000-0005-0000-0000-0000C01F0000}"/>
    <cellStyle name="20% - Énfasis5 32 2 2 2" xfId="8126" xr:uid="{00000000-0005-0000-0000-0000C11F0000}"/>
    <cellStyle name="20% - Énfasis5 32 2 3" xfId="8127" xr:uid="{00000000-0005-0000-0000-0000C21F0000}"/>
    <cellStyle name="20% - Énfasis5 32 3" xfId="8128" xr:uid="{00000000-0005-0000-0000-0000C31F0000}"/>
    <cellStyle name="20% - Énfasis5 32 3 2" xfId="8129" xr:uid="{00000000-0005-0000-0000-0000C41F0000}"/>
    <cellStyle name="20% - Énfasis5 32 3 2 2" xfId="8130" xr:uid="{00000000-0005-0000-0000-0000C51F0000}"/>
    <cellStyle name="20% - Énfasis5 32 3 3" xfId="8131" xr:uid="{00000000-0005-0000-0000-0000C61F0000}"/>
    <cellStyle name="20% - Énfasis5 32 4" xfId="8132" xr:uid="{00000000-0005-0000-0000-0000C71F0000}"/>
    <cellStyle name="20% - Énfasis5 32 4 2" xfId="8133" xr:uid="{00000000-0005-0000-0000-0000C81F0000}"/>
    <cellStyle name="20% - Énfasis5 32 5" xfId="8134" xr:uid="{00000000-0005-0000-0000-0000C91F0000}"/>
    <cellStyle name="20% - Énfasis5 33" xfId="8135" xr:uid="{00000000-0005-0000-0000-0000CA1F0000}"/>
    <cellStyle name="20% - Énfasis5 33 2" xfId="8136" xr:uid="{00000000-0005-0000-0000-0000CB1F0000}"/>
    <cellStyle name="20% - Énfasis5 33 2 2" xfId="8137" xr:uid="{00000000-0005-0000-0000-0000CC1F0000}"/>
    <cellStyle name="20% - Énfasis5 33 2 2 2" xfId="8138" xr:uid="{00000000-0005-0000-0000-0000CD1F0000}"/>
    <cellStyle name="20% - Énfasis5 33 2 3" xfId="8139" xr:uid="{00000000-0005-0000-0000-0000CE1F0000}"/>
    <cellStyle name="20% - Énfasis5 33 3" xfId="8140" xr:uid="{00000000-0005-0000-0000-0000CF1F0000}"/>
    <cellStyle name="20% - Énfasis5 33 3 2" xfId="8141" xr:uid="{00000000-0005-0000-0000-0000D01F0000}"/>
    <cellStyle name="20% - Énfasis5 33 4" xfId="8142" xr:uid="{00000000-0005-0000-0000-0000D11F0000}"/>
    <cellStyle name="20% - Énfasis5 34" xfId="8143" xr:uid="{00000000-0005-0000-0000-0000D21F0000}"/>
    <cellStyle name="20% - Énfasis5 34 2" xfId="8144" xr:uid="{00000000-0005-0000-0000-0000D31F0000}"/>
    <cellStyle name="20% - Énfasis5 34 2 2" xfId="8145" xr:uid="{00000000-0005-0000-0000-0000D41F0000}"/>
    <cellStyle name="20% - Énfasis5 34 2 2 2" xfId="8146" xr:uid="{00000000-0005-0000-0000-0000D51F0000}"/>
    <cellStyle name="20% - Énfasis5 34 2 3" xfId="8147" xr:uid="{00000000-0005-0000-0000-0000D61F0000}"/>
    <cellStyle name="20% - Énfasis5 34 3" xfId="8148" xr:uid="{00000000-0005-0000-0000-0000D71F0000}"/>
    <cellStyle name="20% - Énfasis5 34 3 2" xfId="8149" xr:uid="{00000000-0005-0000-0000-0000D81F0000}"/>
    <cellStyle name="20% - Énfasis5 34 4" xfId="8150" xr:uid="{00000000-0005-0000-0000-0000D91F0000}"/>
    <cellStyle name="20% - Énfasis5 35" xfId="8151" xr:uid="{00000000-0005-0000-0000-0000DA1F0000}"/>
    <cellStyle name="20% - Énfasis5 35 2" xfId="8152" xr:uid="{00000000-0005-0000-0000-0000DB1F0000}"/>
    <cellStyle name="20% - Énfasis5 35 2 2" xfId="8153" xr:uid="{00000000-0005-0000-0000-0000DC1F0000}"/>
    <cellStyle name="20% - Énfasis5 35 2 2 2" xfId="8154" xr:uid="{00000000-0005-0000-0000-0000DD1F0000}"/>
    <cellStyle name="20% - Énfasis5 35 2 3" xfId="8155" xr:uid="{00000000-0005-0000-0000-0000DE1F0000}"/>
    <cellStyle name="20% - Énfasis5 35 3" xfId="8156" xr:uid="{00000000-0005-0000-0000-0000DF1F0000}"/>
    <cellStyle name="20% - Énfasis5 35 3 2" xfId="8157" xr:uid="{00000000-0005-0000-0000-0000E01F0000}"/>
    <cellStyle name="20% - Énfasis5 35 4" xfId="8158" xr:uid="{00000000-0005-0000-0000-0000E11F0000}"/>
    <cellStyle name="20% - Énfasis5 36" xfId="8159" xr:uid="{00000000-0005-0000-0000-0000E21F0000}"/>
    <cellStyle name="20% - Énfasis5 36 2" xfId="8160" xr:uid="{00000000-0005-0000-0000-0000E31F0000}"/>
    <cellStyle name="20% - Énfasis5 36 2 2" xfId="8161" xr:uid="{00000000-0005-0000-0000-0000E41F0000}"/>
    <cellStyle name="20% - Énfasis5 36 2 2 2" xfId="8162" xr:uid="{00000000-0005-0000-0000-0000E51F0000}"/>
    <cellStyle name="20% - Énfasis5 36 2 3" xfId="8163" xr:uid="{00000000-0005-0000-0000-0000E61F0000}"/>
    <cellStyle name="20% - Énfasis5 36 3" xfId="8164" xr:uid="{00000000-0005-0000-0000-0000E71F0000}"/>
    <cellStyle name="20% - Énfasis5 36 3 2" xfId="8165" xr:uid="{00000000-0005-0000-0000-0000E81F0000}"/>
    <cellStyle name="20% - Énfasis5 36 4" xfId="8166" xr:uid="{00000000-0005-0000-0000-0000E91F0000}"/>
    <cellStyle name="20% - Énfasis5 37" xfId="8167" xr:uid="{00000000-0005-0000-0000-0000EA1F0000}"/>
    <cellStyle name="20% - Énfasis5 37 2" xfId="8168" xr:uid="{00000000-0005-0000-0000-0000EB1F0000}"/>
    <cellStyle name="20% - Énfasis5 37 2 2" xfId="8169" xr:uid="{00000000-0005-0000-0000-0000EC1F0000}"/>
    <cellStyle name="20% - Énfasis5 37 2 2 2" xfId="8170" xr:uid="{00000000-0005-0000-0000-0000ED1F0000}"/>
    <cellStyle name="20% - Énfasis5 37 2 3" xfId="8171" xr:uid="{00000000-0005-0000-0000-0000EE1F0000}"/>
    <cellStyle name="20% - Énfasis5 37 3" xfId="8172" xr:uid="{00000000-0005-0000-0000-0000EF1F0000}"/>
    <cellStyle name="20% - Énfasis5 37 3 2" xfId="8173" xr:uid="{00000000-0005-0000-0000-0000F01F0000}"/>
    <cellStyle name="20% - Énfasis5 37 4" xfId="8174" xr:uid="{00000000-0005-0000-0000-0000F11F0000}"/>
    <cellStyle name="20% - Énfasis5 38" xfId="8175" xr:uid="{00000000-0005-0000-0000-0000F21F0000}"/>
    <cellStyle name="20% - Énfasis5 38 2" xfId="8176" xr:uid="{00000000-0005-0000-0000-0000F31F0000}"/>
    <cellStyle name="20% - Énfasis5 38 2 2" xfId="8177" xr:uid="{00000000-0005-0000-0000-0000F41F0000}"/>
    <cellStyle name="20% - Énfasis5 38 3" xfId="8178" xr:uid="{00000000-0005-0000-0000-0000F51F0000}"/>
    <cellStyle name="20% - Énfasis5 39" xfId="8179" xr:uid="{00000000-0005-0000-0000-0000F61F0000}"/>
    <cellStyle name="20% - Énfasis5 39 2" xfId="8180" xr:uid="{00000000-0005-0000-0000-0000F71F0000}"/>
    <cellStyle name="20% - Énfasis5 39 2 2" xfId="8181" xr:uid="{00000000-0005-0000-0000-0000F81F0000}"/>
    <cellStyle name="20% - Énfasis5 39 3" xfId="8182" xr:uid="{00000000-0005-0000-0000-0000F91F0000}"/>
    <cellStyle name="20% - Énfasis5 4" xfId="8183" xr:uid="{00000000-0005-0000-0000-0000FA1F0000}"/>
    <cellStyle name="20% - Énfasis5 4 2" xfId="8184" xr:uid="{00000000-0005-0000-0000-0000FB1F0000}"/>
    <cellStyle name="20% - Énfasis5 4 2 2" xfId="8185" xr:uid="{00000000-0005-0000-0000-0000FC1F0000}"/>
    <cellStyle name="20% - Énfasis5 4 2 2 2" xfId="8186" xr:uid="{00000000-0005-0000-0000-0000FD1F0000}"/>
    <cellStyle name="20% - Énfasis5 4 2 2 2 2" xfId="8187" xr:uid="{00000000-0005-0000-0000-0000FE1F0000}"/>
    <cellStyle name="20% - Énfasis5 4 2 2 2 2 2" xfId="8188" xr:uid="{00000000-0005-0000-0000-0000FF1F0000}"/>
    <cellStyle name="20% - Énfasis5 4 2 2 2 3" xfId="8189" xr:uid="{00000000-0005-0000-0000-000000200000}"/>
    <cellStyle name="20% - Énfasis5 4 2 2 3" xfId="8190" xr:uid="{00000000-0005-0000-0000-000001200000}"/>
    <cellStyle name="20% - Énfasis5 4 2 2 3 2" xfId="8191" xr:uid="{00000000-0005-0000-0000-000002200000}"/>
    <cellStyle name="20% - Énfasis5 4 2 2 4" xfId="8192" xr:uid="{00000000-0005-0000-0000-000003200000}"/>
    <cellStyle name="20% - Énfasis5 4 2 3" xfId="8193" xr:uid="{00000000-0005-0000-0000-000004200000}"/>
    <cellStyle name="20% - Énfasis5 4 2 3 2" xfId="8194" xr:uid="{00000000-0005-0000-0000-000005200000}"/>
    <cellStyle name="20% - Énfasis5 4 2 3 2 2" xfId="8195" xr:uid="{00000000-0005-0000-0000-000006200000}"/>
    <cellStyle name="20% - Énfasis5 4 2 3 3" xfId="8196" xr:uid="{00000000-0005-0000-0000-000007200000}"/>
    <cellStyle name="20% - Énfasis5 4 2 4" xfId="8197" xr:uid="{00000000-0005-0000-0000-000008200000}"/>
    <cellStyle name="20% - Énfasis5 4 2 4 2" xfId="8198" xr:uid="{00000000-0005-0000-0000-000009200000}"/>
    <cellStyle name="20% - Énfasis5 4 2 4 2 2" xfId="8199" xr:uid="{00000000-0005-0000-0000-00000A200000}"/>
    <cellStyle name="20% - Énfasis5 4 2 4 3" xfId="8200" xr:uid="{00000000-0005-0000-0000-00000B200000}"/>
    <cellStyle name="20% - Énfasis5 4 2 5" xfId="8201" xr:uid="{00000000-0005-0000-0000-00000C200000}"/>
    <cellStyle name="20% - Énfasis5 4 2 5 2" xfId="8202" xr:uid="{00000000-0005-0000-0000-00000D200000}"/>
    <cellStyle name="20% - Énfasis5 4 2 6" xfId="8203" xr:uid="{00000000-0005-0000-0000-00000E200000}"/>
    <cellStyle name="20% - Énfasis5 4 3" xfId="8204" xr:uid="{00000000-0005-0000-0000-00000F200000}"/>
    <cellStyle name="20% - Énfasis5 4 3 2" xfId="8205" xr:uid="{00000000-0005-0000-0000-000010200000}"/>
    <cellStyle name="20% - Énfasis5 4 3 2 2" xfId="8206" xr:uid="{00000000-0005-0000-0000-000011200000}"/>
    <cellStyle name="20% - Énfasis5 4 3 2 2 2" xfId="8207" xr:uid="{00000000-0005-0000-0000-000012200000}"/>
    <cellStyle name="20% - Énfasis5 4 3 2 3" xfId="8208" xr:uid="{00000000-0005-0000-0000-000013200000}"/>
    <cellStyle name="20% - Énfasis5 4 3 3" xfId="8209" xr:uid="{00000000-0005-0000-0000-000014200000}"/>
    <cellStyle name="20% - Énfasis5 4 3 3 2" xfId="8210" xr:uid="{00000000-0005-0000-0000-000015200000}"/>
    <cellStyle name="20% - Énfasis5 4 3 3 2 2" xfId="8211" xr:uid="{00000000-0005-0000-0000-000016200000}"/>
    <cellStyle name="20% - Énfasis5 4 3 3 3" xfId="8212" xr:uid="{00000000-0005-0000-0000-000017200000}"/>
    <cellStyle name="20% - Énfasis5 4 3 4" xfId="8213" xr:uid="{00000000-0005-0000-0000-000018200000}"/>
    <cellStyle name="20% - Énfasis5 4 3 4 2" xfId="8214" xr:uid="{00000000-0005-0000-0000-000019200000}"/>
    <cellStyle name="20% - Énfasis5 4 3 5" xfId="8215" xr:uid="{00000000-0005-0000-0000-00001A200000}"/>
    <cellStyle name="20% - Énfasis5 4 4" xfId="8216" xr:uid="{00000000-0005-0000-0000-00001B200000}"/>
    <cellStyle name="20% - Énfasis5 4 4 2" xfId="8217" xr:uid="{00000000-0005-0000-0000-00001C200000}"/>
    <cellStyle name="20% - Énfasis5 4 4 2 2" xfId="8218" xr:uid="{00000000-0005-0000-0000-00001D200000}"/>
    <cellStyle name="20% - Énfasis5 4 4 2 2 2" xfId="8219" xr:uid="{00000000-0005-0000-0000-00001E200000}"/>
    <cellStyle name="20% - Énfasis5 4 4 2 3" xfId="8220" xr:uid="{00000000-0005-0000-0000-00001F200000}"/>
    <cellStyle name="20% - Énfasis5 4 4 3" xfId="8221" xr:uid="{00000000-0005-0000-0000-000020200000}"/>
    <cellStyle name="20% - Énfasis5 4 4 3 2" xfId="8222" xr:uid="{00000000-0005-0000-0000-000021200000}"/>
    <cellStyle name="20% - Énfasis5 4 4 4" xfId="8223" xr:uid="{00000000-0005-0000-0000-000022200000}"/>
    <cellStyle name="20% - Énfasis5 4 5" xfId="8224" xr:uid="{00000000-0005-0000-0000-000023200000}"/>
    <cellStyle name="20% - Énfasis5 4 5 2" xfId="8225" xr:uid="{00000000-0005-0000-0000-000024200000}"/>
    <cellStyle name="20% - Énfasis5 4 5 2 2" xfId="8226" xr:uid="{00000000-0005-0000-0000-000025200000}"/>
    <cellStyle name="20% - Énfasis5 4 5 3" xfId="8227" xr:uid="{00000000-0005-0000-0000-000026200000}"/>
    <cellStyle name="20% - Énfasis5 4 6" xfId="8228" xr:uid="{00000000-0005-0000-0000-000027200000}"/>
    <cellStyle name="20% - Énfasis5 4 6 2" xfId="8229" xr:uid="{00000000-0005-0000-0000-000028200000}"/>
    <cellStyle name="20% - Énfasis5 4 6 2 2" xfId="8230" xr:uid="{00000000-0005-0000-0000-000029200000}"/>
    <cellStyle name="20% - Énfasis5 4 6 3" xfId="8231" xr:uid="{00000000-0005-0000-0000-00002A200000}"/>
    <cellStyle name="20% - Énfasis5 4 7" xfId="8232" xr:uid="{00000000-0005-0000-0000-00002B200000}"/>
    <cellStyle name="20% - Énfasis5 4 7 2" xfId="8233" xr:uid="{00000000-0005-0000-0000-00002C200000}"/>
    <cellStyle name="20% - Énfasis5 4 8" xfId="8234" xr:uid="{00000000-0005-0000-0000-00002D200000}"/>
    <cellStyle name="20% - Énfasis5 40" xfId="8235" xr:uid="{00000000-0005-0000-0000-00002E200000}"/>
    <cellStyle name="20% - Énfasis5 40 2" xfId="8236" xr:uid="{00000000-0005-0000-0000-00002F200000}"/>
    <cellStyle name="20% - Énfasis5 40 2 2" xfId="8237" xr:uid="{00000000-0005-0000-0000-000030200000}"/>
    <cellStyle name="20% - Énfasis5 40 3" xfId="8238" xr:uid="{00000000-0005-0000-0000-000031200000}"/>
    <cellStyle name="20% - Énfasis5 41" xfId="8239" xr:uid="{00000000-0005-0000-0000-000032200000}"/>
    <cellStyle name="20% - Énfasis5 41 2" xfId="8240" xr:uid="{00000000-0005-0000-0000-000033200000}"/>
    <cellStyle name="20% - Énfasis5 41 2 2" xfId="8241" xr:uid="{00000000-0005-0000-0000-000034200000}"/>
    <cellStyle name="20% - Énfasis5 41 3" xfId="8242" xr:uid="{00000000-0005-0000-0000-000035200000}"/>
    <cellStyle name="20% - Énfasis5 42" xfId="8243" xr:uid="{00000000-0005-0000-0000-000036200000}"/>
    <cellStyle name="20% - Énfasis5 42 2" xfId="8244" xr:uid="{00000000-0005-0000-0000-000037200000}"/>
    <cellStyle name="20% - Énfasis5 42 2 2" xfId="8245" xr:uid="{00000000-0005-0000-0000-000038200000}"/>
    <cellStyle name="20% - Énfasis5 42 3" xfId="8246" xr:uid="{00000000-0005-0000-0000-000039200000}"/>
    <cellStyle name="20% - Énfasis5 43" xfId="8247" xr:uid="{00000000-0005-0000-0000-00003A200000}"/>
    <cellStyle name="20% - Énfasis5 43 2" xfId="8248" xr:uid="{00000000-0005-0000-0000-00003B200000}"/>
    <cellStyle name="20% - Énfasis5 43 2 2" xfId="8249" xr:uid="{00000000-0005-0000-0000-00003C200000}"/>
    <cellStyle name="20% - Énfasis5 43 3" xfId="8250" xr:uid="{00000000-0005-0000-0000-00003D200000}"/>
    <cellStyle name="20% - Énfasis5 44" xfId="8251" xr:uid="{00000000-0005-0000-0000-00003E200000}"/>
    <cellStyle name="20% - Énfasis5 44 2" xfId="8252" xr:uid="{00000000-0005-0000-0000-00003F200000}"/>
    <cellStyle name="20% - Énfasis5 44 2 2" xfId="8253" xr:uid="{00000000-0005-0000-0000-000040200000}"/>
    <cellStyle name="20% - Énfasis5 44 3" xfId="8254" xr:uid="{00000000-0005-0000-0000-000041200000}"/>
    <cellStyle name="20% - Énfasis5 45" xfId="8255" xr:uid="{00000000-0005-0000-0000-000042200000}"/>
    <cellStyle name="20% - Énfasis5 45 2" xfId="8256" xr:uid="{00000000-0005-0000-0000-000043200000}"/>
    <cellStyle name="20% - Énfasis5 45 2 2" xfId="8257" xr:uid="{00000000-0005-0000-0000-000044200000}"/>
    <cellStyle name="20% - Énfasis5 45 3" xfId="8258" xr:uid="{00000000-0005-0000-0000-000045200000}"/>
    <cellStyle name="20% - Énfasis5 46" xfId="8259" xr:uid="{00000000-0005-0000-0000-000046200000}"/>
    <cellStyle name="20% - Énfasis5 46 2" xfId="8260" xr:uid="{00000000-0005-0000-0000-000047200000}"/>
    <cellStyle name="20% - Énfasis5 47" xfId="8261" xr:uid="{00000000-0005-0000-0000-000048200000}"/>
    <cellStyle name="20% - Énfasis5 47 2" xfId="8262" xr:uid="{00000000-0005-0000-0000-000049200000}"/>
    <cellStyle name="20% - Énfasis5 48" xfId="8263" xr:uid="{00000000-0005-0000-0000-00004A200000}"/>
    <cellStyle name="20% - Énfasis5 48 2" xfId="8264" xr:uid="{00000000-0005-0000-0000-00004B200000}"/>
    <cellStyle name="20% - Énfasis5 49" xfId="8265" xr:uid="{00000000-0005-0000-0000-00004C200000}"/>
    <cellStyle name="20% - Énfasis5 49 2" xfId="8266" xr:uid="{00000000-0005-0000-0000-00004D200000}"/>
    <cellStyle name="20% - Énfasis5 5" xfId="8267" xr:uid="{00000000-0005-0000-0000-00004E200000}"/>
    <cellStyle name="20% - Énfasis5 5 2" xfId="8268" xr:uid="{00000000-0005-0000-0000-00004F200000}"/>
    <cellStyle name="20% - Énfasis5 5 2 2" xfId="8269" xr:uid="{00000000-0005-0000-0000-000050200000}"/>
    <cellStyle name="20% - Énfasis5 5 2 2 2" xfId="8270" xr:uid="{00000000-0005-0000-0000-000051200000}"/>
    <cellStyle name="20% - Énfasis5 5 2 2 2 2" xfId="8271" xr:uid="{00000000-0005-0000-0000-000052200000}"/>
    <cellStyle name="20% - Énfasis5 5 2 2 2 2 2" xfId="8272" xr:uid="{00000000-0005-0000-0000-000053200000}"/>
    <cellStyle name="20% - Énfasis5 5 2 2 2 3" xfId="8273" xr:uid="{00000000-0005-0000-0000-000054200000}"/>
    <cellStyle name="20% - Énfasis5 5 2 2 3" xfId="8274" xr:uid="{00000000-0005-0000-0000-000055200000}"/>
    <cellStyle name="20% - Énfasis5 5 2 2 3 2" xfId="8275" xr:uid="{00000000-0005-0000-0000-000056200000}"/>
    <cellStyle name="20% - Énfasis5 5 2 2 4" xfId="8276" xr:uid="{00000000-0005-0000-0000-000057200000}"/>
    <cellStyle name="20% - Énfasis5 5 2 3" xfId="8277" xr:uid="{00000000-0005-0000-0000-000058200000}"/>
    <cellStyle name="20% - Énfasis5 5 2 3 2" xfId="8278" xr:uid="{00000000-0005-0000-0000-000059200000}"/>
    <cellStyle name="20% - Énfasis5 5 2 3 2 2" xfId="8279" xr:uid="{00000000-0005-0000-0000-00005A200000}"/>
    <cellStyle name="20% - Énfasis5 5 2 3 3" xfId="8280" xr:uid="{00000000-0005-0000-0000-00005B200000}"/>
    <cellStyle name="20% - Énfasis5 5 2 4" xfId="8281" xr:uid="{00000000-0005-0000-0000-00005C200000}"/>
    <cellStyle name="20% - Énfasis5 5 2 4 2" xfId="8282" xr:uid="{00000000-0005-0000-0000-00005D200000}"/>
    <cellStyle name="20% - Énfasis5 5 2 4 2 2" xfId="8283" xr:uid="{00000000-0005-0000-0000-00005E200000}"/>
    <cellStyle name="20% - Énfasis5 5 2 4 3" xfId="8284" xr:uid="{00000000-0005-0000-0000-00005F200000}"/>
    <cellStyle name="20% - Énfasis5 5 2 5" xfId="8285" xr:uid="{00000000-0005-0000-0000-000060200000}"/>
    <cellStyle name="20% - Énfasis5 5 2 5 2" xfId="8286" xr:uid="{00000000-0005-0000-0000-000061200000}"/>
    <cellStyle name="20% - Énfasis5 5 2 6" xfId="8287" xr:uid="{00000000-0005-0000-0000-000062200000}"/>
    <cellStyle name="20% - Énfasis5 5 3" xfId="8288" xr:uid="{00000000-0005-0000-0000-000063200000}"/>
    <cellStyle name="20% - Énfasis5 5 3 2" xfId="8289" xr:uid="{00000000-0005-0000-0000-000064200000}"/>
    <cellStyle name="20% - Énfasis5 5 3 2 2" xfId="8290" xr:uid="{00000000-0005-0000-0000-000065200000}"/>
    <cellStyle name="20% - Énfasis5 5 3 2 2 2" xfId="8291" xr:uid="{00000000-0005-0000-0000-000066200000}"/>
    <cellStyle name="20% - Énfasis5 5 3 2 3" xfId="8292" xr:uid="{00000000-0005-0000-0000-000067200000}"/>
    <cellStyle name="20% - Énfasis5 5 3 3" xfId="8293" xr:uid="{00000000-0005-0000-0000-000068200000}"/>
    <cellStyle name="20% - Énfasis5 5 3 3 2" xfId="8294" xr:uid="{00000000-0005-0000-0000-000069200000}"/>
    <cellStyle name="20% - Énfasis5 5 3 3 2 2" xfId="8295" xr:uid="{00000000-0005-0000-0000-00006A200000}"/>
    <cellStyle name="20% - Énfasis5 5 3 3 3" xfId="8296" xr:uid="{00000000-0005-0000-0000-00006B200000}"/>
    <cellStyle name="20% - Énfasis5 5 3 4" xfId="8297" xr:uid="{00000000-0005-0000-0000-00006C200000}"/>
    <cellStyle name="20% - Énfasis5 5 3 4 2" xfId="8298" xr:uid="{00000000-0005-0000-0000-00006D200000}"/>
    <cellStyle name="20% - Énfasis5 5 3 5" xfId="8299" xr:uid="{00000000-0005-0000-0000-00006E200000}"/>
    <cellStyle name="20% - Énfasis5 5 4" xfId="8300" xr:uid="{00000000-0005-0000-0000-00006F200000}"/>
    <cellStyle name="20% - Énfasis5 5 4 2" xfId="8301" xr:uid="{00000000-0005-0000-0000-000070200000}"/>
    <cellStyle name="20% - Énfasis5 5 4 2 2" xfId="8302" xr:uid="{00000000-0005-0000-0000-000071200000}"/>
    <cellStyle name="20% - Énfasis5 5 4 2 2 2" xfId="8303" xr:uid="{00000000-0005-0000-0000-000072200000}"/>
    <cellStyle name="20% - Énfasis5 5 4 2 3" xfId="8304" xr:uid="{00000000-0005-0000-0000-000073200000}"/>
    <cellStyle name="20% - Énfasis5 5 4 3" xfId="8305" xr:uid="{00000000-0005-0000-0000-000074200000}"/>
    <cellStyle name="20% - Énfasis5 5 4 3 2" xfId="8306" xr:uid="{00000000-0005-0000-0000-000075200000}"/>
    <cellStyle name="20% - Énfasis5 5 4 4" xfId="8307" xr:uid="{00000000-0005-0000-0000-000076200000}"/>
    <cellStyle name="20% - Énfasis5 5 5" xfId="8308" xr:uid="{00000000-0005-0000-0000-000077200000}"/>
    <cellStyle name="20% - Énfasis5 5 5 2" xfId="8309" xr:uid="{00000000-0005-0000-0000-000078200000}"/>
    <cellStyle name="20% - Énfasis5 5 5 2 2" xfId="8310" xr:uid="{00000000-0005-0000-0000-000079200000}"/>
    <cellStyle name="20% - Énfasis5 5 5 3" xfId="8311" xr:uid="{00000000-0005-0000-0000-00007A200000}"/>
    <cellStyle name="20% - Énfasis5 5 6" xfId="8312" xr:uid="{00000000-0005-0000-0000-00007B200000}"/>
    <cellStyle name="20% - Énfasis5 5 6 2" xfId="8313" xr:uid="{00000000-0005-0000-0000-00007C200000}"/>
    <cellStyle name="20% - Énfasis5 5 6 2 2" xfId="8314" xr:uid="{00000000-0005-0000-0000-00007D200000}"/>
    <cellStyle name="20% - Énfasis5 5 6 3" xfId="8315" xr:uid="{00000000-0005-0000-0000-00007E200000}"/>
    <cellStyle name="20% - Énfasis5 5 7" xfId="8316" xr:uid="{00000000-0005-0000-0000-00007F200000}"/>
    <cellStyle name="20% - Énfasis5 5 7 2" xfId="8317" xr:uid="{00000000-0005-0000-0000-000080200000}"/>
    <cellStyle name="20% - Énfasis5 5 8" xfId="8318" xr:uid="{00000000-0005-0000-0000-000081200000}"/>
    <cellStyle name="20% - Énfasis5 50" xfId="8319" xr:uid="{00000000-0005-0000-0000-000082200000}"/>
    <cellStyle name="20% - Énfasis5 50 2" xfId="8320" xr:uid="{00000000-0005-0000-0000-000083200000}"/>
    <cellStyle name="20% - Énfasis5 51" xfId="8321" xr:uid="{00000000-0005-0000-0000-000084200000}"/>
    <cellStyle name="20% - Énfasis5 51 2" xfId="8322" xr:uid="{00000000-0005-0000-0000-000085200000}"/>
    <cellStyle name="20% - Énfasis5 52" xfId="8323" xr:uid="{00000000-0005-0000-0000-000086200000}"/>
    <cellStyle name="20% - Énfasis5 52 2" xfId="8324" xr:uid="{00000000-0005-0000-0000-000087200000}"/>
    <cellStyle name="20% - Énfasis5 53" xfId="8325" xr:uid="{00000000-0005-0000-0000-000088200000}"/>
    <cellStyle name="20% - Énfasis5 53 2" xfId="8326" xr:uid="{00000000-0005-0000-0000-000089200000}"/>
    <cellStyle name="20% - Énfasis5 54" xfId="8327" xr:uid="{00000000-0005-0000-0000-00008A200000}"/>
    <cellStyle name="20% - Énfasis5 54 2" xfId="8328" xr:uid="{00000000-0005-0000-0000-00008B200000}"/>
    <cellStyle name="20% - Énfasis5 55" xfId="8329" xr:uid="{00000000-0005-0000-0000-00008C200000}"/>
    <cellStyle name="20% - Énfasis5 55 2" xfId="8330" xr:uid="{00000000-0005-0000-0000-00008D200000}"/>
    <cellStyle name="20% - Énfasis5 56" xfId="8331" xr:uid="{00000000-0005-0000-0000-00008E200000}"/>
    <cellStyle name="20% - Énfasis5 56 2" xfId="8332" xr:uid="{00000000-0005-0000-0000-00008F200000}"/>
    <cellStyle name="20% - Énfasis5 57" xfId="8333" xr:uid="{00000000-0005-0000-0000-000090200000}"/>
    <cellStyle name="20% - Énfasis5 57 2" xfId="8334" xr:uid="{00000000-0005-0000-0000-000091200000}"/>
    <cellStyle name="20% - Énfasis5 58" xfId="8335" xr:uid="{00000000-0005-0000-0000-000092200000}"/>
    <cellStyle name="20% - Énfasis5 58 2" xfId="8336" xr:uid="{00000000-0005-0000-0000-000093200000}"/>
    <cellStyle name="20% - Énfasis5 59" xfId="8337" xr:uid="{00000000-0005-0000-0000-000094200000}"/>
    <cellStyle name="20% - Énfasis5 59 2" xfId="8338" xr:uid="{00000000-0005-0000-0000-000095200000}"/>
    <cellStyle name="20% - Énfasis5 6" xfId="8339" xr:uid="{00000000-0005-0000-0000-000096200000}"/>
    <cellStyle name="20% - Énfasis5 6 2" xfId="8340" xr:uid="{00000000-0005-0000-0000-000097200000}"/>
    <cellStyle name="20% - Énfasis5 6 2 2" xfId="8341" xr:uid="{00000000-0005-0000-0000-000098200000}"/>
    <cellStyle name="20% - Énfasis5 6 2 2 2" xfId="8342" xr:uid="{00000000-0005-0000-0000-000099200000}"/>
    <cellStyle name="20% - Énfasis5 6 2 2 2 2" xfId="8343" xr:uid="{00000000-0005-0000-0000-00009A200000}"/>
    <cellStyle name="20% - Énfasis5 6 2 2 2 2 2" xfId="8344" xr:uid="{00000000-0005-0000-0000-00009B200000}"/>
    <cellStyle name="20% - Énfasis5 6 2 2 2 3" xfId="8345" xr:uid="{00000000-0005-0000-0000-00009C200000}"/>
    <cellStyle name="20% - Énfasis5 6 2 2 3" xfId="8346" xr:uid="{00000000-0005-0000-0000-00009D200000}"/>
    <cellStyle name="20% - Énfasis5 6 2 2 3 2" xfId="8347" xr:uid="{00000000-0005-0000-0000-00009E200000}"/>
    <cellStyle name="20% - Énfasis5 6 2 2 4" xfId="8348" xr:uid="{00000000-0005-0000-0000-00009F200000}"/>
    <cellStyle name="20% - Énfasis5 6 2 3" xfId="8349" xr:uid="{00000000-0005-0000-0000-0000A0200000}"/>
    <cellStyle name="20% - Énfasis5 6 2 3 2" xfId="8350" xr:uid="{00000000-0005-0000-0000-0000A1200000}"/>
    <cellStyle name="20% - Énfasis5 6 2 3 2 2" xfId="8351" xr:uid="{00000000-0005-0000-0000-0000A2200000}"/>
    <cellStyle name="20% - Énfasis5 6 2 3 3" xfId="8352" xr:uid="{00000000-0005-0000-0000-0000A3200000}"/>
    <cellStyle name="20% - Énfasis5 6 2 4" xfId="8353" xr:uid="{00000000-0005-0000-0000-0000A4200000}"/>
    <cellStyle name="20% - Énfasis5 6 2 4 2" xfId="8354" xr:uid="{00000000-0005-0000-0000-0000A5200000}"/>
    <cellStyle name="20% - Énfasis5 6 2 4 2 2" xfId="8355" xr:uid="{00000000-0005-0000-0000-0000A6200000}"/>
    <cellStyle name="20% - Énfasis5 6 2 4 3" xfId="8356" xr:uid="{00000000-0005-0000-0000-0000A7200000}"/>
    <cellStyle name="20% - Énfasis5 6 2 5" xfId="8357" xr:uid="{00000000-0005-0000-0000-0000A8200000}"/>
    <cellStyle name="20% - Énfasis5 6 2 5 2" xfId="8358" xr:uid="{00000000-0005-0000-0000-0000A9200000}"/>
    <cellStyle name="20% - Énfasis5 6 2 6" xfId="8359" xr:uid="{00000000-0005-0000-0000-0000AA200000}"/>
    <cellStyle name="20% - Énfasis5 6 3" xfId="8360" xr:uid="{00000000-0005-0000-0000-0000AB200000}"/>
    <cellStyle name="20% - Énfasis5 6 3 2" xfId="8361" xr:uid="{00000000-0005-0000-0000-0000AC200000}"/>
    <cellStyle name="20% - Énfasis5 6 3 2 2" xfId="8362" xr:uid="{00000000-0005-0000-0000-0000AD200000}"/>
    <cellStyle name="20% - Énfasis5 6 3 2 2 2" xfId="8363" xr:uid="{00000000-0005-0000-0000-0000AE200000}"/>
    <cellStyle name="20% - Énfasis5 6 3 2 3" xfId="8364" xr:uid="{00000000-0005-0000-0000-0000AF200000}"/>
    <cellStyle name="20% - Énfasis5 6 3 3" xfId="8365" xr:uid="{00000000-0005-0000-0000-0000B0200000}"/>
    <cellStyle name="20% - Énfasis5 6 3 3 2" xfId="8366" xr:uid="{00000000-0005-0000-0000-0000B1200000}"/>
    <cellStyle name="20% - Énfasis5 6 3 3 2 2" xfId="8367" xr:uid="{00000000-0005-0000-0000-0000B2200000}"/>
    <cellStyle name="20% - Énfasis5 6 3 3 3" xfId="8368" xr:uid="{00000000-0005-0000-0000-0000B3200000}"/>
    <cellStyle name="20% - Énfasis5 6 3 4" xfId="8369" xr:uid="{00000000-0005-0000-0000-0000B4200000}"/>
    <cellStyle name="20% - Énfasis5 6 3 4 2" xfId="8370" xr:uid="{00000000-0005-0000-0000-0000B5200000}"/>
    <cellStyle name="20% - Énfasis5 6 3 5" xfId="8371" xr:uid="{00000000-0005-0000-0000-0000B6200000}"/>
    <cellStyle name="20% - Énfasis5 6 4" xfId="8372" xr:uid="{00000000-0005-0000-0000-0000B7200000}"/>
    <cellStyle name="20% - Énfasis5 6 4 2" xfId="8373" xr:uid="{00000000-0005-0000-0000-0000B8200000}"/>
    <cellStyle name="20% - Énfasis5 6 4 2 2" xfId="8374" xr:uid="{00000000-0005-0000-0000-0000B9200000}"/>
    <cellStyle name="20% - Énfasis5 6 4 2 2 2" xfId="8375" xr:uid="{00000000-0005-0000-0000-0000BA200000}"/>
    <cellStyle name="20% - Énfasis5 6 4 2 3" xfId="8376" xr:uid="{00000000-0005-0000-0000-0000BB200000}"/>
    <cellStyle name="20% - Énfasis5 6 4 3" xfId="8377" xr:uid="{00000000-0005-0000-0000-0000BC200000}"/>
    <cellStyle name="20% - Énfasis5 6 4 3 2" xfId="8378" xr:uid="{00000000-0005-0000-0000-0000BD200000}"/>
    <cellStyle name="20% - Énfasis5 6 4 4" xfId="8379" xr:uid="{00000000-0005-0000-0000-0000BE200000}"/>
    <cellStyle name="20% - Énfasis5 6 5" xfId="8380" xr:uid="{00000000-0005-0000-0000-0000BF200000}"/>
    <cellStyle name="20% - Énfasis5 6 5 2" xfId="8381" xr:uid="{00000000-0005-0000-0000-0000C0200000}"/>
    <cellStyle name="20% - Énfasis5 6 5 2 2" xfId="8382" xr:uid="{00000000-0005-0000-0000-0000C1200000}"/>
    <cellStyle name="20% - Énfasis5 6 5 3" xfId="8383" xr:uid="{00000000-0005-0000-0000-0000C2200000}"/>
    <cellStyle name="20% - Énfasis5 6 6" xfId="8384" xr:uid="{00000000-0005-0000-0000-0000C3200000}"/>
    <cellStyle name="20% - Énfasis5 6 6 2" xfId="8385" xr:uid="{00000000-0005-0000-0000-0000C4200000}"/>
    <cellStyle name="20% - Énfasis5 6 6 2 2" xfId="8386" xr:uid="{00000000-0005-0000-0000-0000C5200000}"/>
    <cellStyle name="20% - Énfasis5 6 6 3" xfId="8387" xr:uid="{00000000-0005-0000-0000-0000C6200000}"/>
    <cellStyle name="20% - Énfasis5 6 7" xfId="8388" xr:uid="{00000000-0005-0000-0000-0000C7200000}"/>
    <cellStyle name="20% - Énfasis5 6 7 2" xfId="8389" xr:uid="{00000000-0005-0000-0000-0000C8200000}"/>
    <cellStyle name="20% - Énfasis5 6 8" xfId="8390" xr:uid="{00000000-0005-0000-0000-0000C9200000}"/>
    <cellStyle name="20% - Énfasis5 60" xfId="8391" xr:uid="{00000000-0005-0000-0000-0000CA200000}"/>
    <cellStyle name="20% - Énfasis5 60 2" xfId="8392" xr:uid="{00000000-0005-0000-0000-0000CB200000}"/>
    <cellStyle name="20% - Énfasis5 61" xfId="8393" xr:uid="{00000000-0005-0000-0000-0000CC200000}"/>
    <cellStyle name="20% - Énfasis5 61 2" xfId="8394" xr:uid="{00000000-0005-0000-0000-0000CD200000}"/>
    <cellStyle name="20% - Énfasis5 62" xfId="8395" xr:uid="{00000000-0005-0000-0000-0000CE200000}"/>
    <cellStyle name="20% - Énfasis5 62 2" xfId="8396" xr:uid="{00000000-0005-0000-0000-0000CF200000}"/>
    <cellStyle name="20% - Énfasis5 63" xfId="8397" xr:uid="{00000000-0005-0000-0000-0000D0200000}"/>
    <cellStyle name="20% - Énfasis5 63 2" xfId="8398" xr:uid="{00000000-0005-0000-0000-0000D1200000}"/>
    <cellStyle name="20% - Énfasis5 64" xfId="8399" xr:uid="{00000000-0005-0000-0000-0000D2200000}"/>
    <cellStyle name="20% - Énfasis5 64 2" xfId="8400" xr:uid="{00000000-0005-0000-0000-0000D3200000}"/>
    <cellStyle name="20% - Énfasis5 7" xfId="8401" xr:uid="{00000000-0005-0000-0000-0000D4200000}"/>
    <cellStyle name="20% - Énfasis5 7 2" xfId="8402" xr:uid="{00000000-0005-0000-0000-0000D5200000}"/>
    <cellStyle name="20% - Énfasis5 7 2 2" xfId="8403" xr:uid="{00000000-0005-0000-0000-0000D6200000}"/>
    <cellStyle name="20% - Énfasis5 7 2 2 2" xfId="8404" xr:uid="{00000000-0005-0000-0000-0000D7200000}"/>
    <cellStyle name="20% - Énfasis5 7 2 2 2 2" xfId="8405" xr:uid="{00000000-0005-0000-0000-0000D8200000}"/>
    <cellStyle name="20% - Énfasis5 7 2 2 2 2 2" xfId="8406" xr:uid="{00000000-0005-0000-0000-0000D9200000}"/>
    <cellStyle name="20% - Énfasis5 7 2 2 2 3" xfId="8407" xr:uid="{00000000-0005-0000-0000-0000DA200000}"/>
    <cellStyle name="20% - Énfasis5 7 2 2 3" xfId="8408" xr:uid="{00000000-0005-0000-0000-0000DB200000}"/>
    <cellStyle name="20% - Énfasis5 7 2 2 3 2" xfId="8409" xr:uid="{00000000-0005-0000-0000-0000DC200000}"/>
    <cellStyle name="20% - Énfasis5 7 2 2 4" xfId="8410" xr:uid="{00000000-0005-0000-0000-0000DD200000}"/>
    <cellStyle name="20% - Énfasis5 7 2 3" xfId="8411" xr:uid="{00000000-0005-0000-0000-0000DE200000}"/>
    <cellStyle name="20% - Énfasis5 7 2 3 2" xfId="8412" xr:uid="{00000000-0005-0000-0000-0000DF200000}"/>
    <cellStyle name="20% - Énfasis5 7 2 3 2 2" xfId="8413" xr:uid="{00000000-0005-0000-0000-0000E0200000}"/>
    <cellStyle name="20% - Énfasis5 7 2 3 3" xfId="8414" xr:uid="{00000000-0005-0000-0000-0000E1200000}"/>
    <cellStyle name="20% - Énfasis5 7 2 4" xfId="8415" xr:uid="{00000000-0005-0000-0000-0000E2200000}"/>
    <cellStyle name="20% - Énfasis5 7 2 4 2" xfId="8416" xr:uid="{00000000-0005-0000-0000-0000E3200000}"/>
    <cellStyle name="20% - Énfasis5 7 2 4 2 2" xfId="8417" xr:uid="{00000000-0005-0000-0000-0000E4200000}"/>
    <cellStyle name="20% - Énfasis5 7 2 4 3" xfId="8418" xr:uid="{00000000-0005-0000-0000-0000E5200000}"/>
    <cellStyle name="20% - Énfasis5 7 2 5" xfId="8419" xr:uid="{00000000-0005-0000-0000-0000E6200000}"/>
    <cellStyle name="20% - Énfasis5 7 2 5 2" xfId="8420" xr:uid="{00000000-0005-0000-0000-0000E7200000}"/>
    <cellStyle name="20% - Énfasis5 7 2 6" xfId="8421" xr:uid="{00000000-0005-0000-0000-0000E8200000}"/>
    <cellStyle name="20% - Énfasis5 7 3" xfId="8422" xr:uid="{00000000-0005-0000-0000-0000E9200000}"/>
    <cellStyle name="20% - Énfasis5 7 3 2" xfId="8423" xr:uid="{00000000-0005-0000-0000-0000EA200000}"/>
    <cellStyle name="20% - Énfasis5 7 3 2 2" xfId="8424" xr:uid="{00000000-0005-0000-0000-0000EB200000}"/>
    <cellStyle name="20% - Énfasis5 7 3 2 2 2" xfId="8425" xr:uid="{00000000-0005-0000-0000-0000EC200000}"/>
    <cellStyle name="20% - Énfasis5 7 3 2 3" xfId="8426" xr:uid="{00000000-0005-0000-0000-0000ED200000}"/>
    <cellStyle name="20% - Énfasis5 7 3 3" xfId="8427" xr:uid="{00000000-0005-0000-0000-0000EE200000}"/>
    <cellStyle name="20% - Énfasis5 7 3 3 2" xfId="8428" xr:uid="{00000000-0005-0000-0000-0000EF200000}"/>
    <cellStyle name="20% - Énfasis5 7 3 3 2 2" xfId="8429" xr:uid="{00000000-0005-0000-0000-0000F0200000}"/>
    <cellStyle name="20% - Énfasis5 7 3 3 3" xfId="8430" xr:uid="{00000000-0005-0000-0000-0000F1200000}"/>
    <cellStyle name="20% - Énfasis5 7 3 4" xfId="8431" xr:uid="{00000000-0005-0000-0000-0000F2200000}"/>
    <cellStyle name="20% - Énfasis5 7 3 4 2" xfId="8432" xr:uid="{00000000-0005-0000-0000-0000F3200000}"/>
    <cellStyle name="20% - Énfasis5 7 3 5" xfId="8433" xr:uid="{00000000-0005-0000-0000-0000F4200000}"/>
    <cellStyle name="20% - Énfasis5 7 4" xfId="8434" xr:uid="{00000000-0005-0000-0000-0000F5200000}"/>
    <cellStyle name="20% - Énfasis5 7 4 2" xfId="8435" xr:uid="{00000000-0005-0000-0000-0000F6200000}"/>
    <cellStyle name="20% - Énfasis5 7 4 2 2" xfId="8436" xr:uid="{00000000-0005-0000-0000-0000F7200000}"/>
    <cellStyle name="20% - Énfasis5 7 4 2 2 2" xfId="8437" xr:uid="{00000000-0005-0000-0000-0000F8200000}"/>
    <cellStyle name="20% - Énfasis5 7 4 2 3" xfId="8438" xr:uid="{00000000-0005-0000-0000-0000F9200000}"/>
    <cellStyle name="20% - Énfasis5 7 4 3" xfId="8439" xr:uid="{00000000-0005-0000-0000-0000FA200000}"/>
    <cellStyle name="20% - Énfasis5 7 4 3 2" xfId="8440" xr:uid="{00000000-0005-0000-0000-0000FB200000}"/>
    <cellStyle name="20% - Énfasis5 7 4 4" xfId="8441" xr:uid="{00000000-0005-0000-0000-0000FC200000}"/>
    <cellStyle name="20% - Énfasis5 7 5" xfId="8442" xr:uid="{00000000-0005-0000-0000-0000FD200000}"/>
    <cellStyle name="20% - Énfasis5 7 5 2" xfId="8443" xr:uid="{00000000-0005-0000-0000-0000FE200000}"/>
    <cellStyle name="20% - Énfasis5 7 5 2 2" xfId="8444" xr:uid="{00000000-0005-0000-0000-0000FF200000}"/>
    <cellStyle name="20% - Énfasis5 7 5 3" xfId="8445" xr:uid="{00000000-0005-0000-0000-000000210000}"/>
    <cellStyle name="20% - Énfasis5 7 6" xfId="8446" xr:uid="{00000000-0005-0000-0000-000001210000}"/>
    <cellStyle name="20% - Énfasis5 7 6 2" xfId="8447" xr:uid="{00000000-0005-0000-0000-000002210000}"/>
    <cellStyle name="20% - Énfasis5 7 6 2 2" xfId="8448" xr:uid="{00000000-0005-0000-0000-000003210000}"/>
    <cellStyle name="20% - Énfasis5 7 6 3" xfId="8449" xr:uid="{00000000-0005-0000-0000-000004210000}"/>
    <cellStyle name="20% - Énfasis5 7 7" xfId="8450" xr:uid="{00000000-0005-0000-0000-000005210000}"/>
    <cellStyle name="20% - Énfasis5 7 7 2" xfId="8451" xr:uid="{00000000-0005-0000-0000-000006210000}"/>
    <cellStyle name="20% - Énfasis5 7 8" xfId="8452" xr:uid="{00000000-0005-0000-0000-000007210000}"/>
    <cellStyle name="20% - Énfasis5 8" xfId="8453" xr:uid="{00000000-0005-0000-0000-000008210000}"/>
    <cellStyle name="20% - Énfasis5 8 2" xfId="8454" xr:uid="{00000000-0005-0000-0000-000009210000}"/>
    <cellStyle name="20% - Énfasis5 8 2 2" xfId="8455" xr:uid="{00000000-0005-0000-0000-00000A210000}"/>
    <cellStyle name="20% - Énfasis5 8 2 2 2" xfId="8456" xr:uid="{00000000-0005-0000-0000-00000B210000}"/>
    <cellStyle name="20% - Énfasis5 8 2 2 2 2" xfId="8457" xr:uid="{00000000-0005-0000-0000-00000C210000}"/>
    <cellStyle name="20% - Énfasis5 8 2 2 2 2 2" xfId="8458" xr:uid="{00000000-0005-0000-0000-00000D210000}"/>
    <cellStyle name="20% - Énfasis5 8 2 2 2 3" xfId="8459" xr:uid="{00000000-0005-0000-0000-00000E210000}"/>
    <cellStyle name="20% - Énfasis5 8 2 2 3" xfId="8460" xr:uid="{00000000-0005-0000-0000-00000F210000}"/>
    <cellStyle name="20% - Énfasis5 8 2 2 3 2" xfId="8461" xr:uid="{00000000-0005-0000-0000-000010210000}"/>
    <cellStyle name="20% - Énfasis5 8 2 2 4" xfId="8462" xr:uid="{00000000-0005-0000-0000-000011210000}"/>
    <cellStyle name="20% - Énfasis5 8 2 3" xfId="8463" xr:uid="{00000000-0005-0000-0000-000012210000}"/>
    <cellStyle name="20% - Énfasis5 8 2 3 2" xfId="8464" xr:uid="{00000000-0005-0000-0000-000013210000}"/>
    <cellStyle name="20% - Énfasis5 8 2 3 2 2" xfId="8465" xr:uid="{00000000-0005-0000-0000-000014210000}"/>
    <cellStyle name="20% - Énfasis5 8 2 3 3" xfId="8466" xr:uid="{00000000-0005-0000-0000-000015210000}"/>
    <cellStyle name="20% - Énfasis5 8 2 4" xfId="8467" xr:uid="{00000000-0005-0000-0000-000016210000}"/>
    <cellStyle name="20% - Énfasis5 8 2 4 2" xfId="8468" xr:uid="{00000000-0005-0000-0000-000017210000}"/>
    <cellStyle name="20% - Énfasis5 8 2 4 2 2" xfId="8469" xr:uid="{00000000-0005-0000-0000-000018210000}"/>
    <cellStyle name="20% - Énfasis5 8 2 4 3" xfId="8470" xr:uid="{00000000-0005-0000-0000-000019210000}"/>
    <cellStyle name="20% - Énfasis5 8 2 5" xfId="8471" xr:uid="{00000000-0005-0000-0000-00001A210000}"/>
    <cellStyle name="20% - Énfasis5 8 2 5 2" xfId="8472" xr:uid="{00000000-0005-0000-0000-00001B210000}"/>
    <cellStyle name="20% - Énfasis5 8 2 6" xfId="8473" xr:uid="{00000000-0005-0000-0000-00001C210000}"/>
    <cellStyle name="20% - Énfasis5 8 3" xfId="8474" xr:uid="{00000000-0005-0000-0000-00001D210000}"/>
    <cellStyle name="20% - Énfasis5 8 3 2" xfId="8475" xr:uid="{00000000-0005-0000-0000-00001E210000}"/>
    <cellStyle name="20% - Énfasis5 8 3 2 2" xfId="8476" xr:uid="{00000000-0005-0000-0000-00001F210000}"/>
    <cellStyle name="20% - Énfasis5 8 3 2 2 2" xfId="8477" xr:uid="{00000000-0005-0000-0000-000020210000}"/>
    <cellStyle name="20% - Énfasis5 8 3 2 3" xfId="8478" xr:uid="{00000000-0005-0000-0000-000021210000}"/>
    <cellStyle name="20% - Énfasis5 8 3 3" xfId="8479" xr:uid="{00000000-0005-0000-0000-000022210000}"/>
    <cellStyle name="20% - Énfasis5 8 3 3 2" xfId="8480" xr:uid="{00000000-0005-0000-0000-000023210000}"/>
    <cellStyle name="20% - Énfasis5 8 3 3 2 2" xfId="8481" xr:uid="{00000000-0005-0000-0000-000024210000}"/>
    <cellStyle name="20% - Énfasis5 8 3 3 3" xfId="8482" xr:uid="{00000000-0005-0000-0000-000025210000}"/>
    <cellStyle name="20% - Énfasis5 8 3 4" xfId="8483" xr:uid="{00000000-0005-0000-0000-000026210000}"/>
    <cellStyle name="20% - Énfasis5 8 3 4 2" xfId="8484" xr:uid="{00000000-0005-0000-0000-000027210000}"/>
    <cellStyle name="20% - Énfasis5 8 3 5" xfId="8485" xr:uid="{00000000-0005-0000-0000-000028210000}"/>
    <cellStyle name="20% - Énfasis5 8 4" xfId="8486" xr:uid="{00000000-0005-0000-0000-000029210000}"/>
    <cellStyle name="20% - Énfasis5 8 4 2" xfId="8487" xr:uid="{00000000-0005-0000-0000-00002A210000}"/>
    <cellStyle name="20% - Énfasis5 8 4 2 2" xfId="8488" xr:uid="{00000000-0005-0000-0000-00002B210000}"/>
    <cellStyle name="20% - Énfasis5 8 4 2 2 2" xfId="8489" xr:uid="{00000000-0005-0000-0000-00002C210000}"/>
    <cellStyle name="20% - Énfasis5 8 4 2 3" xfId="8490" xr:uid="{00000000-0005-0000-0000-00002D210000}"/>
    <cellStyle name="20% - Énfasis5 8 4 3" xfId="8491" xr:uid="{00000000-0005-0000-0000-00002E210000}"/>
    <cellStyle name="20% - Énfasis5 8 4 3 2" xfId="8492" xr:uid="{00000000-0005-0000-0000-00002F210000}"/>
    <cellStyle name="20% - Énfasis5 8 4 4" xfId="8493" xr:uid="{00000000-0005-0000-0000-000030210000}"/>
    <cellStyle name="20% - Énfasis5 8 5" xfId="8494" xr:uid="{00000000-0005-0000-0000-000031210000}"/>
    <cellStyle name="20% - Énfasis5 8 5 2" xfId="8495" xr:uid="{00000000-0005-0000-0000-000032210000}"/>
    <cellStyle name="20% - Énfasis5 8 5 2 2" xfId="8496" xr:uid="{00000000-0005-0000-0000-000033210000}"/>
    <cellStyle name="20% - Énfasis5 8 5 3" xfId="8497" xr:uid="{00000000-0005-0000-0000-000034210000}"/>
    <cellStyle name="20% - Énfasis5 8 6" xfId="8498" xr:uid="{00000000-0005-0000-0000-000035210000}"/>
    <cellStyle name="20% - Énfasis5 8 6 2" xfId="8499" xr:uid="{00000000-0005-0000-0000-000036210000}"/>
    <cellStyle name="20% - Énfasis5 8 6 2 2" xfId="8500" xr:uid="{00000000-0005-0000-0000-000037210000}"/>
    <cellStyle name="20% - Énfasis5 8 6 3" xfId="8501" xr:uid="{00000000-0005-0000-0000-000038210000}"/>
    <cellStyle name="20% - Énfasis5 8 7" xfId="8502" xr:uid="{00000000-0005-0000-0000-000039210000}"/>
    <cellStyle name="20% - Énfasis5 8 7 2" xfId="8503" xr:uid="{00000000-0005-0000-0000-00003A210000}"/>
    <cellStyle name="20% - Énfasis5 8 8" xfId="8504" xr:uid="{00000000-0005-0000-0000-00003B210000}"/>
    <cellStyle name="20% - Énfasis5 9" xfId="8505" xr:uid="{00000000-0005-0000-0000-00003C210000}"/>
    <cellStyle name="20% - Énfasis5 9 2" xfId="8506" xr:uid="{00000000-0005-0000-0000-00003D210000}"/>
    <cellStyle name="20% - Énfasis5 9 2 2" xfId="8507" xr:uid="{00000000-0005-0000-0000-00003E210000}"/>
    <cellStyle name="20% - Énfasis5 9 2 2 2" xfId="8508" xr:uid="{00000000-0005-0000-0000-00003F210000}"/>
    <cellStyle name="20% - Énfasis5 9 2 2 2 2" xfId="8509" xr:uid="{00000000-0005-0000-0000-000040210000}"/>
    <cellStyle name="20% - Énfasis5 9 2 2 2 2 2" xfId="8510" xr:uid="{00000000-0005-0000-0000-000041210000}"/>
    <cellStyle name="20% - Énfasis5 9 2 2 2 3" xfId="8511" xr:uid="{00000000-0005-0000-0000-000042210000}"/>
    <cellStyle name="20% - Énfasis5 9 2 2 3" xfId="8512" xr:uid="{00000000-0005-0000-0000-000043210000}"/>
    <cellStyle name="20% - Énfasis5 9 2 2 3 2" xfId="8513" xr:uid="{00000000-0005-0000-0000-000044210000}"/>
    <cellStyle name="20% - Énfasis5 9 2 2 4" xfId="8514" xr:uid="{00000000-0005-0000-0000-000045210000}"/>
    <cellStyle name="20% - Énfasis5 9 2 3" xfId="8515" xr:uid="{00000000-0005-0000-0000-000046210000}"/>
    <cellStyle name="20% - Énfasis5 9 2 3 2" xfId="8516" xr:uid="{00000000-0005-0000-0000-000047210000}"/>
    <cellStyle name="20% - Énfasis5 9 2 3 2 2" xfId="8517" xr:uid="{00000000-0005-0000-0000-000048210000}"/>
    <cellStyle name="20% - Énfasis5 9 2 3 3" xfId="8518" xr:uid="{00000000-0005-0000-0000-000049210000}"/>
    <cellStyle name="20% - Énfasis5 9 2 4" xfId="8519" xr:uid="{00000000-0005-0000-0000-00004A210000}"/>
    <cellStyle name="20% - Énfasis5 9 2 4 2" xfId="8520" xr:uid="{00000000-0005-0000-0000-00004B210000}"/>
    <cellStyle name="20% - Énfasis5 9 2 4 2 2" xfId="8521" xr:uid="{00000000-0005-0000-0000-00004C210000}"/>
    <cellStyle name="20% - Énfasis5 9 2 4 3" xfId="8522" xr:uid="{00000000-0005-0000-0000-00004D210000}"/>
    <cellStyle name="20% - Énfasis5 9 2 5" xfId="8523" xr:uid="{00000000-0005-0000-0000-00004E210000}"/>
    <cellStyle name="20% - Énfasis5 9 2 5 2" xfId="8524" xr:uid="{00000000-0005-0000-0000-00004F210000}"/>
    <cellStyle name="20% - Énfasis5 9 2 6" xfId="8525" xr:uid="{00000000-0005-0000-0000-000050210000}"/>
    <cellStyle name="20% - Énfasis5 9 3" xfId="8526" xr:uid="{00000000-0005-0000-0000-000051210000}"/>
    <cellStyle name="20% - Énfasis5 9 3 2" xfId="8527" xr:uid="{00000000-0005-0000-0000-000052210000}"/>
    <cellStyle name="20% - Énfasis5 9 3 2 2" xfId="8528" xr:uid="{00000000-0005-0000-0000-000053210000}"/>
    <cellStyle name="20% - Énfasis5 9 3 2 2 2" xfId="8529" xr:uid="{00000000-0005-0000-0000-000054210000}"/>
    <cellStyle name="20% - Énfasis5 9 3 2 3" xfId="8530" xr:uid="{00000000-0005-0000-0000-000055210000}"/>
    <cellStyle name="20% - Énfasis5 9 3 3" xfId="8531" xr:uid="{00000000-0005-0000-0000-000056210000}"/>
    <cellStyle name="20% - Énfasis5 9 3 3 2" xfId="8532" xr:uid="{00000000-0005-0000-0000-000057210000}"/>
    <cellStyle name="20% - Énfasis5 9 3 3 2 2" xfId="8533" xr:uid="{00000000-0005-0000-0000-000058210000}"/>
    <cellStyle name="20% - Énfasis5 9 3 3 3" xfId="8534" xr:uid="{00000000-0005-0000-0000-000059210000}"/>
    <cellStyle name="20% - Énfasis5 9 3 4" xfId="8535" xr:uid="{00000000-0005-0000-0000-00005A210000}"/>
    <cellStyle name="20% - Énfasis5 9 3 4 2" xfId="8536" xr:uid="{00000000-0005-0000-0000-00005B210000}"/>
    <cellStyle name="20% - Énfasis5 9 3 5" xfId="8537" xr:uid="{00000000-0005-0000-0000-00005C210000}"/>
    <cellStyle name="20% - Énfasis5 9 4" xfId="8538" xr:uid="{00000000-0005-0000-0000-00005D210000}"/>
    <cellStyle name="20% - Énfasis5 9 4 2" xfId="8539" xr:uid="{00000000-0005-0000-0000-00005E210000}"/>
    <cellStyle name="20% - Énfasis5 9 4 2 2" xfId="8540" xr:uid="{00000000-0005-0000-0000-00005F210000}"/>
    <cellStyle name="20% - Énfasis5 9 4 2 2 2" xfId="8541" xr:uid="{00000000-0005-0000-0000-000060210000}"/>
    <cellStyle name="20% - Énfasis5 9 4 2 3" xfId="8542" xr:uid="{00000000-0005-0000-0000-000061210000}"/>
    <cellStyle name="20% - Énfasis5 9 4 3" xfId="8543" xr:uid="{00000000-0005-0000-0000-000062210000}"/>
    <cellStyle name="20% - Énfasis5 9 4 3 2" xfId="8544" xr:uid="{00000000-0005-0000-0000-000063210000}"/>
    <cellStyle name="20% - Énfasis5 9 4 4" xfId="8545" xr:uid="{00000000-0005-0000-0000-000064210000}"/>
    <cellStyle name="20% - Énfasis5 9 5" xfId="8546" xr:uid="{00000000-0005-0000-0000-000065210000}"/>
    <cellStyle name="20% - Énfasis5 9 5 2" xfId="8547" xr:uid="{00000000-0005-0000-0000-000066210000}"/>
    <cellStyle name="20% - Énfasis5 9 5 2 2" xfId="8548" xr:uid="{00000000-0005-0000-0000-000067210000}"/>
    <cellStyle name="20% - Énfasis5 9 5 3" xfId="8549" xr:uid="{00000000-0005-0000-0000-000068210000}"/>
    <cellStyle name="20% - Énfasis5 9 6" xfId="8550" xr:uid="{00000000-0005-0000-0000-000069210000}"/>
    <cellStyle name="20% - Énfasis5 9 6 2" xfId="8551" xr:uid="{00000000-0005-0000-0000-00006A210000}"/>
    <cellStyle name="20% - Énfasis5 9 6 2 2" xfId="8552" xr:uid="{00000000-0005-0000-0000-00006B210000}"/>
    <cellStyle name="20% - Énfasis5 9 6 3" xfId="8553" xr:uid="{00000000-0005-0000-0000-00006C210000}"/>
    <cellStyle name="20% - Énfasis5 9 7" xfId="8554" xr:uid="{00000000-0005-0000-0000-00006D210000}"/>
    <cellStyle name="20% - Énfasis5 9 7 2" xfId="8555" xr:uid="{00000000-0005-0000-0000-00006E210000}"/>
    <cellStyle name="20% - Énfasis5 9 8" xfId="8556" xr:uid="{00000000-0005-0000-0000-00006F210000}"/>
    <cellStyle name="20% - Énfasis6 10" xfId="8557" xr:uid="{00000000-0005-0000-0000-000070210000}"/>
    <cellStyle name="20% - Énfasis6 10 2" xfId="8558" xr:uid="{00000000-0005-0000-0000-000071210000}"/>
    <cellStyle name="20% - Énfasis6 10 2 2" xfId="8559" xr:uid="{00000000-0005-0000-0000-000072210000}"/>
    <cellStyle name="20% - Énfasis6 10 2 2 2" xfId="8560" xr:uid="{00000000-0005-0000-0000-000073210000}"/>
    <cellStyle name="20% - Énfasis6 10 2 2 2 2" xfId="8561" xr:uid="{00000000-0005-0000-0000-000074210000}"/>
    <cellStyle name="20% - Énfasis6 10 2 2 2 2 2" xfId="8562" xr:uid="{00000000-0005-0000-0000-000075210000}"/>
    <cellStyle name="20% - Énfasis6 10 2 2 2 3" xfId="8563" xr:uid="{00000000-0005-0000-0000-000076210000}"/>
    <cellStyle name="20% - Énfasis6 10 2 2 3" xfId="8564" xr:uid="{00000000-0005-0000-0000-000077210000}"/>
    <cellStyle name="20% - Énfasis6 10 2 2 3 2" xfId="8565" xr:uid="{00000000-0005-0000-0000-000078210000}"/>
    <cellStyle name="20% - Énfasis6 10 2 2 4" xfId="8566" xr:uid="{00000000-0005-0000-0000-000079210000}"/>
    <cellStyle name="20% - Énfasis6 10 2 3" xfId="8567" xr:uid="{00000000-0005-0000-0000-00007A210000}"/>
    <cellStyle name="20% - Énfasis6 10 2 3 2" xfId="8568" xr:uid="{00000000-0005-0000-0000-00007B210000}"/>
    <cellStyle name="20% - Énfasis6 10 2 3 2 2" xfId="8569" xr:uid="{00000000-0005-0000-0000-00007C210000}"/>
    <cellStyle name="20% - Énfasis6 10 2 3 3" xfId="8570" xr:uid="{00000000-0005-0000-0000-00007D210000}"/>
    <cellStyle name="20% - Énfasis6 10 2 4" xfId="8571" xr:uid="{00000000-0005-0000-0000-00007E210000}"/>
    <cellStyle name="20% - Énfasis6 10 2 4 2" xfId="8572" xr:uid="{00000000-0005-0000-0000-00007F210000}"/>
    <cellStyle name="20% - Énfasis6 10 2 4 2 2" xfId="8573" xr:uid="{00000000-0005-0000-0000-000080210000}"/>
    <cellStyle name="20% - Énfasis6 10 2 4 3" xfId="8574" xr:uid="{00000000-0005-0000-0000-000081210000}"/>
    <cellStyle name="20% - Énfasis6 10 2 5" xfId="8575" xr:uid="{00000000-0005-0000-0000-000082210000}"/>
    <cellStyle name="20% - Énfasis6 10 2 5 2" xfId="8576" xr:uid="{00000000-0005-0000-0000-000083210000}"/>
    <cellStyle name="20% - Énfasis6 10 2 6" xfId="8577" xr:uid="{00000000-0005-0000-0000-000084210000}"/>
    <cellStyle name="20% - Énfasis6 10 3" xfId="8578" xr:uid="{00000000-0005-0000-0000-000085210000}"/>
    <cellStyle name="20% - Énfasis6 10 3 2" xfId="8579" xr:uid="{00000000-0005-0000-0000-000086210000}"/>
    <cellStyle name="20% - Énfasis6 10 3 2 2" xfId="8580" xr:uid="{00000000-0005-0000-0000-000087210000}"/>
    <cellStyle name="20% - Énfasis6 10 3 2 2 2" xfId="8581" xr:uid="{00000000-0005-0000-0000-000088210000}"/>
    <cellStyle name="20% - Énfasis6 10 3 2 3" xfId="8582" xr:uid="{00000000-0005-0000-0000-000089210000}"/>
    <cellStyle name="20% - Énfasis6 10 3 3" xfId="8583" xr:uid="{00000000-0005-0000-0000-00008A210000}"/>
    <cellStyle name="20% - Énfasis6 10 3 3 2" xfId="8584" xr:uid="{00000000-0005-0000-0000-00008B210000}"/>
    <cellStyle name="20% - Énfasis6 10 3 3 2 2" xfId="8585" xr:uid="{00000000-0005-0000-0000-00008C210000}"/>
    <cellStyle name="20% - Énfasis6 10 3 3 3" xfId="8586" xr:uid="{00000000-0005-0000-0000-00008D210000}"/>
    <cellStyle name="20% - Énfasis6 10 3 4" xfId="8587" xr:uid="{00000000-0005-0000-0000-00008E210000}"/>
    <cellStyle name="20% - Énfasis6 10 3 4 2" xfId="8588" xr:uid="{00000000-0005-0000-0000-00008F210000}"/>
    <cellStyle name="20% - Énfasis6 10 3 5" xfId="8589" xr:uid="{00000000-0005-0000-0000-000090210000}"/>
    <cellStyle name="20% - Énfasis6 10 4" xfId="8590" xr:uid="{00000000-0005-0000-0000-000091210000}"/>
    <cellStyle name="20% - Énfasis6 10 4 2" xfId="8591" xr:uid="{00000000-0005-0000-0000-000092210000}"/>
    <cellStyle name="20% - Énfasis6 10 4 2 2" xfId="8592" xr:uid="{00000000-0005-0000-0000-000093210000}"/>
    <cellStyle name="20% - Énfasis6 10 4 2 2 2" xfId="8593" xr:uid="{00000000-0005-0000-0000-000094210000}"/>
    <cellStyle name="20% - Énfasis6 10 4 2 3" xfId="8594" xr:uid="{00000000-0005-0000-0000-000095210000}"/>
    <cellStyle name="20% - Énfasis6 10 4 3" xfId="8595" xr:uid="{00000000-0005-0000-0000-000096210000}"/>
    <cellStyle name="20% - Énfasis6 10 4 3 2" xfId="8596" xr:uid="{00000000-0005-0000-0000-000097210000}"/>
    <cellStyle name="20% - Énfasis6 10 4 4" xfId="8597" xr:uid="{00000000-0005-0000-0000-000098210000}"/>
    <cellStyle name="20% - Énfasis6 10 5" xfId="8598" xr:uid="{00000000-0005-0000-0000-000099210000}"/>
    <cellStyle name="20% - Énfasis6 10 5 2" xfId="8599" xr:uid="{00000000-0005-0000-0000-00009A210000}"/>
    <cellStyle name="20% - Énfasis6 10 5 2 2" xfId="8600" xr:uid="{00000000-0005-0000-0000-00009B210000}"/>
    <cellStyle name="20% - Énfasis6 10 5 3" xfId="8601" xr:uid="{00000000-0005-0000-0000-00009C210000}"/>
    <cellStyle name="20% - Énfasis6 10 6" xfId="8602" xr:uid="{00000000-0005-0000-0000-00009D210000}"/>
    <cellStyle name="20% - Énfasis6 10 6 2" xfId="8603" xr:uid="{00000000-0005-0000-0000-00009E210000}"/>
    <cellStyle name="20% - Énfasis6 10 6 2 2" xfId="8604" xr:uid="{00000000-0005-0000-0000-00009F210000}"/>
    <cellStyle name="20% - Énfasis6 10 6 3" xfId="8605" xr:uid="{00000000-0005-0000-0000-0000A0210000}"/>
    <cellStyle name="20% - Énfasis6 10 7" xfId="8606" xr:uid="{00000000-0005-0000-0000-0000A1210000}"/>
    <cellStyle name="20% - Énfasis6 10 7 2" xfId="8607" xr:uid="{00000000-0005-0000-0000-0000A2210000}"/>
    <cellStyle name="20% - Énfasis6 10 8" xfId="8608" xr:uid="{00000000-0005-0000-0000-0000A3210000}"/>
    <cellStyle name="20% - Énfasis6 11" xfId="8609" xr:uid="{00000000-0005-0000-0000-0000A4210000}"/>
    <cellStyle name="20% - Énfasis6 11 2" xfId="8610" xr:uid="{00000000-0005-0000-0000-0000A5210000}"/>
    <cellStyle name="20% - Énfasis6 11 2 2" xfId="8611" xr:uid="{00000000-0005-0000-0000-0000A6210000}"/>
    <cellStyle name="20% - Énfasis6 11 2 2 2" xfId="8612" xr:uid="{00000000-0005-0000-0000-0000A7210000}"/>
    <cellStyle name="20% - Énfasis6 11 2 2 2 2" xfId="8613" xr:uid="{00000000-0005-0000-0000-0000A8210000}"/>
    <cellStyle name="20% - Énfasis6 11 2 2 2 2 2" xfId="8614" xr:uid="{00000000-0005-0000-0000-0000A9210000}"/>
    <cellStyle name="20% - Énfasis6 11 2 2 2 3" xfId="8615" xr:uid="{00000000-0005-0000-0000-0000AA210000}"/>
    <cellStyle name="20% - Énfasis6 11 2 2 3" xfId="8616" xr:uid="{00000000-0005-0000-0000-0000AB210000}"/>
    <cellStyle name="20% - Énfasis6 11 2 2 3 2" xfId="8617" xr:uid="{00000000-0005-0000-0000-0000AC210000}"/>
    <cellStyle name="20% - Énfasis6 11 2 2 4" xfId="8618" xr:uid="{00000000-0005-0000-0000-0000AD210000}"/>
    <cellStyle name="20% - Énfasis6 11 2 3" xfId="8619" xr:uid="{00000000-0005-0000-0000-0000AE210000}"/>
    <cellStyle name="20% - Énfasis6 11 2 3 2" xfId="8620" xr:uid="{00000000-0005-0000-0000-0000AF210000}"/>
    <cellStyle name="20% - Énfasis6 11 2 3 2 2" xfId="8621" xr:uid="{00000000-0005-0000-0000-0000B0210000}"/>
    <cellStyle name="20% - Énfasis6 11 2 3 3" xfId="8622" xr:uid="{00000000-0005-0000-0000-0000B1210000}"/>
    <cellStyle name="20% - Énfasis6 11 2 4" xfId="8623" xr:uid="{00000000-0005-0000-0000-0000B2210000}"/>
    <cellStyle name="20% - Énfasis6 11 2 4 2" xfId="8624" xr:uid="{00000000-0005-0000-0000-0000B3210000}"/>
    <cellStyle name="20% - Énfasis6 11 2 4 2 2" xfId="8625" xr:uid="{00000000-0005-0000-0000-0000B4210000}"/>
    <cellStyle name="20% - Énfasis6 11 2 4 3" xfId="8626" xr:uid="{00000000-0005-0000-0000-0000B5210000}"/>
    <cellStyle name="20% - Énfasis6 11 2 5" xfId="8627" xr:uid="{00000000-0005-0000-0000-0000B6210000}"/>
    <cellStyle name="20% - Énfasis6 11 2 5 2" xfId="8628" xr:uid="{00000000-0005-0000-0000-0000B7210000}"/>
    <cellStyle name="20% - Énfasis6 11 2 6" xfId="8629" xr:uid="{00000000-0005-0000-0000-0000B8210000}"/>
    <cellStyle name="20% - Énfasis6 11 3" xfId="8630" xr:uid="{00000000-0005-0000-0000-0000B9210000}"/>
    <cellStyle name="20% - Énfasis6 11 3 2" xfId="8631" xr:uid="{00000000-0005-0000-0000-0000BA210000}"/>
    <cellStyle name="20% - Énfasis6 11 3 2 2" xfId="8632" xr:uid="{00000000-0005-0000-0000-0000BB210000}"/>
    <cellStyle name="20% - Énfasis6 11 3 2 2 2" xfId="8633" xr:uid="{00000000-0005-0000-0000-0000BC210000}"/>
    <cellStyle name="20% - Énfasis6 11 3 2 3" xfId="8634" xr:uid="{00000000-0005-0000-0000-0000BD210000}"/>
    <cellStyle name="20% - Énfasis6 11 3 3" xfId="8635" xr:uid="{00000000-0005-0000-0000-0000BE210000}"/>
    <cellStyle name="20% - Énfasis6 11 3 3 2" xfId="8636" xr:uid="{00000000-0005-0000-0000-0000BF210000}"/>
    <cellStyle name="20% - Énfasis6 11 3 3 2 2" xfId="8637" xr:uid="{00000000-0005-0000-0000-0000C0210000}"/>
    <cellStyle name="20% - Énfasis6 11 3 3 3" xfId="8638" xr:uid="{00000000-0005-0000-0000-0000C1210000}"/>
    <cellStyle name="20% - Énfasis6 11 3 4" xfId="8639" xr:uid="{00000000-0005-0000-0000-0000C2210000}"/>
    <cellStyle name="20% - Énfasis6 11 3 4 2" xfId="8640" xr:uid="{00000000-0005-0000-0000-0000C3210000}"/>
    <cellStyle name="20% - Énfasis6 11 3 5" xfId="8641" xr:uid="{00000000-0005-0000-0000-0000C4210000}"/>
    <cellStyle name="20% - Énfasis6 11 4" xfId="8642" xr:uid="{00000000-0005-0000-0000-0000C5210000}"/>
    <cellStyle name="20% - Énfasis6 11 4 2" xfId="8643" xr:uid="{00000000-0005-0000-0000-0000C6210000}"/>
    <cellStyle name="20% - Énfasis6 11 4 2 2" xfId="8644" xr:uid="{00000000-0005-0000-0000-0000C7210000}"/>
    <cellStyle name="20% - Énfasis6 11 4 2 2 2" xfId="8645" xr:uid="{00000000-0005-0000-0000-0000C8210000}"/>
    <cellStyle name="20% - Énfasis6 11 4 2 3" xfId="8646" xr:uid="{00000000-0005-0000-0000-0000C9210000}"/>
    <cellStyle name="20% - Énfasis6 11 4 3" xfId="8647" xr:uid="{00000000-0005-0000-0000-0000CA210000}"/>
    <cellStyle name="20% - Énfasis6 11 4 3 2" xfId="8648" xr:uid="{00000000-0005-0000-0000-0000CB210000}"/>
    <cellStyle name="20% - Énfasis6 11 4 4" xfId="8649" xr:uid="{00000000-0005-0000-0000-0000CC210000}"/>
    <cellStyle name="20% - Énfasis6 11 5" xfId="8650" xr:uid="{00000000-0005-0000-0000-0000CD210000}"/>
    <cellStyle name="20% - Énfasis6 11 5 2" xfId="8651" xr:uid="{00000000-0005-0000-0000-0000CE210000}"/>
    <cellStyle name="20% - Énfasis6 11 5 2 2" xfId="8652" xr:uid="{00000000-0005-0000-0000-0000CF210000}"/>
    <cellStyle name="20% - Énfasis6 11 5 3" xfId="8653" xr:uid="{00000000-0005-0000-0000-0000D0210000}"/>
    <cellStyle name="20% - Énfasis6 11 6" xfId="8654" xr:uid="{00000000-0005-0000-0000-0000D1210000}"/>
    <cellStyle name="20% - Énfasis6 11 6 2" xfId="8655" xr:uid="{00000000-0005-0000-0000-0000D2210000}"/>
    <cellStyle name="20% - Énfasis6 11 6 2 2" xfId="8656" xr:uid="{00000000-0005-0000-0000-0000D3210000}"/>
    <cellStyle name="20% - Énfasis6 11 6 3" xfId="8657" xr:uid="{00000000-0005-0000-0000-0000D4210000}"/>
    <cellStyle name="20% - Énfasis6 11 7" xfId="8658" xr:uid="{00000000-0005-0000-0000-0000D5210000}"/>
    <cellStyle name="20% - Énfasis6 11 7 2" xfId="8659" xr:uid="{00000000-0005-0000-0000-0000D6210000}"/>
    <cellStyle name="20% - Énfasis6 11 8" xfId="8660" xr:uid="{00000000-0005-0000-0000-0000D7210000}"/>
    <cellStyle name="20% - Énfasis6 12" xfId="8661" xr:uid="{00000000-0005-0000-0000-0000D8210000}"/>
    <cellStyle name="20% - Énfasis6 12 2" xfId="8662" xr:uid="{00000000-0005-0000-0000-0000D9210000}"/>
    <cellStyle name="20% - Énfasis6 12 2 2" xfId="8663" xr:uid="{00000000-0005-0000-0000-0000DA210000}"/>
    <cellStyle name="20% - Énfasis6 12 2 2 2" xfId="8664" xr:uid="{00000000-0005-0000-0000-0000DB210000}"/>
    <cellStyle name="20% - Énfasis6 12 2 2 2 2" xfId="8665" xr:uid="{00000000-0005-0000-0000-0000DC210000}"/>
    <cellStyle name="20% - Énfasis6 12 2 2 2 2 2" xfId="8666" xr:uid="{00000000-0005-0000-0000-0000DD210000}"/>
    <cellStyle name="20% - Énfasis6 12 2 2 2 3" xfId="8667" xr:uid="{00000000-0005-0000-0000-0000DE210000}"/>
    <cellStyle name="20% - Énfasis6 12 2 2 3" xfId="8668" xr:uid="{00000000-0005-0000-0000-0000DF210000}"/>
    <cellStyle name="20% - Énfasis6 12 2 2 3 2" xfId="8669" xr:uid="{00000000-0005-0000-0000-0000E0210000}"/>
    <cellStyle name="20% - Énfasis6 12 2 2 4" xfId="8670" xr:uid="{00000000-0005-0000-0000-0000E1210000}"/>
    <cellStyle name="20% - Énfasis6 12 2 3" xfId="8671" xr:uid="{00000000-0005-0000-0000-0000E2210000}"/>
    <cellStyle name="20% - Énfasis6 12 2 3 2" xfId="8672" xr:uid="{00000000-0005-0000-0000-0000E3210000}"/>
    <cellStyle name="20% - Énfasis6 12 2 3 2 2" xfId="8673" xr:uid="{00000000-0005-0000-0000-0000E4210000}"/>
    <cellStyle name="20% - Énfasis6 12 2 3 3" xfId="8674" xr:uid="{00000000-0005-0000-0000-0000E5210000}"/>
    <cellStyle name="20% - Énfasis6 12 2 4" xfId="8675" xr:uid="{00000000-0005-0000-0000-0000E6210000}"/>
    <cellStyle name="20% - Énfasis6 12 2 4 2" xfId="8676" xr:uid="{00000000-0005-0000-0000-0000E7210000}"/>
    <cellStyle name="20% - Énfasis6 12 2 4 2 2" xfId="8677" xr:uid="{00000000-0005-0000-0000-0000E8210000}"/>
    <cellStyle name="20% - Énfasis6 12 2 4 3" xfId="8678" xr:uid="{00000000-0005-0000-0000-0000E9210000}"/>
    <cellStyle name="20% - Énfasis6 12 2 5" xfId="8679" xr:uid="{00000000-0005-0000-0000-0000EA210000}"/>
    <cellStyle name="20% - Énfasis6 12 2 5 2" xfId="8680" xr:uid="{00000000-0005-0000-0000-0000EB210000}"/>
    <cellStyle name="20% - Énfasis6 12 2 6" xfId="8681" xr:uid="{00000000-0005-0000-0000-0000EC210000}"/>
    <cellStyle name="20% - Énfasis6 12 3" xfId="8682" xr:uid="{00000000-0005-0000-0000-0000ED210000}"/>
    <cellStyle name="20% - Énfasis6 12 3 2" xfId="8683" xr:uid="{00000000-0005-0000-0000-0000EE210000}"/>
    <cellStyle name="20% - Énfasis6 12 3 2 2" xfId="8684" xr:uid="{00000000-0005-0000-0000-0000EF210000}"/>
    <cellStyle name="20% - Énfasis6 12 3 2 2 2" xfId="8685" xr:uid="{00000000-0005-0000-0000-0000F0210000}"/>
    <cellStyle name="20% - Énfasis6 12 3 2 3" xfId="8686" xr:uid="{00000000-0005-0000-0000-0000F1210000}"/>
    <cellStyle name="20% - Énfasis6 12 3 3" xfId="8687" xr:uid="{00000000-0005-0000-0000-0000F2210000}"/>
    <cellStyle name="20% - Énfasis6 12 3 3 2" xfId="8688" xr:uid="{00000000-0005-0000-0000-0000F3210000}"/>
    <cellStyle name="20% - Énfasis6 12 3 3 2 2" xfId="8689" xr:uid="{00000000-0005-0000-0000-0000F4210000}"/>
    <cellStyle name="20% - Énfasis6 12 3 3 3" xfId="8690" xr:uid="{00000000-0005-0000-0000-0000F5210000}"/>
    <cellStyle name="20% - Énfasis6 12 3 4" xfId="8691" xr:uid="{00000000-0005-0000-0000-0000F6210000}"/>
    <cellStyle name="20% - Énfasis6 12 3 4 2" xfId="8692" xr:uid="{00000000-0005-0000-0000-0000F7210000}"/>
    <cellStyle name="20% - Énfasis6 12 3 5" xfId="8693" xr:uid="{00000000-0005-0000-0000-0000F8210000}"/>
    <cellStyle name="20% - Énfasis6 12 4" xfId="8694" xr:uid="{00000000-0005-0000-0000-0000F9210000}"/>
    <cellStyle name="20% - Énfasis6 12 4 2" xfId="8695" xr:uid="{00000000-0005-0000-0000-0000FA210000}"/>
    <cellStyle name="20% - Énfasis6 12 4 2 2" xfId="8696" xr:uid="{00000000-0005-0000-0000-0000FB210000}"/>
    <cellStyle name="20% - Énfasis6 12 4 2 2 2" xfId="8697" xr:uid="{00000000-0005-0000-0000-0000FC210000}"/>
    <cellStyle name="20% - Énfasis6 12 4 2 3" xfId="8698" xr:uid="{00000000-0005-0000-0000-0000FD210000}"/>
    <cellStyle name="20% - Énfasis6 12 4 3" xfId="8699" xr:uid="{00000000-0005-0000-0000-0000FE210000}"/>
    <cellStyle name="20% - Énfasis6 12 4 3 2" xfId="8700" xr:uid="{00000000-0005-0000-0000-0000FF210000}"/>
    <cellStyle name="20% - Énfasis6 12 4 4" xfId="8701" xr:uid="{00000000-0005-0000-0000-000000220000}"/>
    <cellStyle name="20% - Énfasis6 12 5" xfId="8702" xr:uid="{00000000-0005-0000-0000-000001220000}"/>
    <cellStyle name="20% - Énfasis6 12 5 2" xfId="8703" xr:uid="{00000000-0005-0000-0000-000002220000}"/>
    <cellStyle name="20% - Énfasis6 12 5 2 2" xfId="8704" xr:uid="{00000000-0005-0000-0000-000003220000}"/>
    <cellStyle name="20% - Énfasis6 12 5 3" xfId="8705" xr:uid="{00000000-0005-0000-0000-000004220000}"/>
    <cellStyle name="20% - Énfasis6 12 6" xfId="8706" xr:uid="{00000000-0005-0000-0000-000005220000}"/>
    <cellStyle name="20% - Énfasis6 12 6 2" xfId="8707" xr:uid="{00000000-0005-0000-0000-000006220000}"/>
    <cellStyle name="20% - Énfasis6 12 6 2 2" xfId="8708" xr:uid="{00000000-0005-0000-0000-000007220000}"/>
    <cellStyle name="20% - Énfasis6 12 6 3" xfId="8709" xr:uid="{00000000-0005-0000-0000-000008220000}"/>
    <cellStyle name="20% - Énfasis6 12 7" xfId="8710" xr:uid="{00000000-0005-0000-0000-000009220000}"/>
    <cellStyle name="20% - Énfasis6 12 7 2" xfId="8711" xr:uid="{00000000-0005-0000-0000-00000A220000}"/>
    <cellStyle name="20% - Énfasis6 12 8" xfId="8712" xr:uid="{00000000-0005-0000-0000-00000B220000}"/>
    <cellStyle name="20% - Énfasis6 13" xfId="8713" xr:uid="{00000000-0005-0000-0000-00000C220000}"/>
    <cellStyle name="20% - Énfasis6 13 2" xfId="8714" xr:uid="{00000000-0005-0000-0000-00000D220000}"/>
    <cellStyle name="20% - Énfasis6 13 2 2" xfId="8715" xr:uid="{00000000-0005-0000-0000-00000E220000}"/>
    <cellStyle name="20% - Énfasis6 13 2 2 2" xfId="8716" xr:uid="{00000000-0005-0000-0000-00000F220000}"/>
    <cellStyle name="20% - Énfasis6 13 2 2 2 2" xfId="8717" xr:uid="{00000000-0005-0000-0000-000010220000}"/>
    <cellStyle name="20% - Énfasis6 13 2 2 2 2 2" xfId="8718" xr:uid="{00000000-0005-0000-0000-000011220000}"/>
    <cellStyle name="20% - Énfasis6 13 2 2 2 3" xfId="8719" xr:uid="{00000000-0005-0000-0000-000012220000}"/>
    <cellStyle name="20% - Énfasis6 13 2 2 3" xfId="8720" xr:uid="{00000000-0005-0000-0000-000013220000}"/>
    <cellStyle name="20% - Énfasis6 13 2 2 3 2" xfId="8721" xr:uid="{00000000-0005-0000-0000-000014220000}"/>
    <cellStyle name="20% - Énfasis6 13 2 2 4" xfId="8722" xr:uid="{00000000-0005-0000-0000-000015220000}"/>
    <cellStyle name="20% - Énfasis6 13 2 3" xfId="8723" xr:uid="{00000000-0005-0000-0000-000016220000}"/>
    <cellStyle name="20% - Énfasis6 13 2 3 2" xfId="8724" xr:uid="{00000000-0005-0000-0000-000017220000}"/>
    <cellStyle name="20% - Énfasis6 13 2 3 2 2" xfId="8725" xr:uid="{00000000-0005-0000-0000-000018220000}"/>
    <cellStyle name="20% - Énfasis6 13 2 3 3" xfId="8726" xr:uid="{00000000-0005-0000-0000-000019220000}"/>
    <cellStyle name="20% - Énfasis6 13 2 4" xfId="8727" xr:uid="{00000000-0005-0000-0000-00001A220000}"/>
    <cellStyle name="20% - Énfasis6 13 2 4 2" xfId="8728" xr:uid="{00000000-0005-0000-0000-00001B220000}"/>
    <cellStyle name="20% - Énfasis6 13 2 4 2 2" xfId="8729" xr:uid="{00000000-0005-0000-0000-00001C220000}"/>
    <cellStyle name="20% - Énfasis6 13 2 4 3" xfId="8730" xr:uid="{00000000-0005-0000-0000-00001D220000}"/>
    <cellStyle name="20% - Énfasis6 13 2 5" xfId="8731" xr:uid="{00000000-0005-0000-0000-00001E220000}"/>
    <cellStyle name="20% - Énfasis6 13 2 5 2" xfId="8732" xr:uid="{00000000-0005-0000-0000-00001F220000}"/>
    <cellStyle name="20% - Énfasis6 13 2 6" xfId="8733" xr:uid="{00000000-0005-0000-0000-000020220000}"/>
    <cellStyle name="20% - Énfasis6 13 3" xfId="8734" xr:uid="{00000000-0005-0000-0000-000021220000}"/>
    <cellStyle name="20% - Énfasis6 13 3 2" xfId="8735" xr:uid="{00000000-0005-0000-0000-000022220000}"/>
    <cellStyle name="20% - Énfasis6 13 3 2 2" xfId="8736" xr:uid="{00000000-0005-0000-0000-000023220000}"/>
    <cellStyle name="20% - Énfasis6 13 3 2 2 2" xfId="8737" xr:uid="{00000000-0005-0000-0000-000024220000}"/>
    <cellStyle name="20% - Énfasis6 13 3 2 3" xfId="8738" xr:uid="{00000000-0005-0000-0000-000025220000}"/>
    <cellStyle name="20% - Énfasis6 13 3 3" xfId="8739" xr:uid="{00000000-0005-0000-0000-000026220000}"/>
    <cellStyle name="20% - Énfasis6 13 3 3 2" xfId="8740" xr:uid="{00000000-0005-0000-0000-000027220000}"/>
    <cellStyle name="20% - Énfasis6 13 3 3 2 2" xfId="8741" xr:uid="{00000000-0005-0000-0000-000028220000}"/>
    <cellStyle name="20% - Énfasis6 13 3 3 3" xfId="8742" xr:uid="{00000000-0005-0000-0000-000029220000}"/>
    <cellStyle name="20% - Énfasis6 13 3 4" xfId="8743" xr:uid="{00000000-0005-0000-0000-00002A220000}"/>
    <cellStyle name="20% - Énfasis6 13 3 4 2" xfId="8744" xr:uid="{00000000-0005-0000-0000-00002B220000}"/>
    <cellStyle name="20% - Énfasis6 13 3 5" xfId="8745" xr:uid="{00000000-0005-0000-0000-00002C220000}"/>
    <cellStyle name="20% - Énfasis6 13 4" xfId="8746" xr:uid="{00000000-0005-0000-0000-00002D220000}"/>
    <cellStyle name="20% - Énfasis6 13 4 2" xfId="8747" xr:uid="{00000000-0005-0000-0000-00002E220000}"/>
    <cellStyle name="20% - Énfasis6 13 4 2 2" xfId="8748" xr:uid="{00000000-0005-0000-0000-00002F220000}"/>
    <cellStyle name="20% - Énfasis6 13 4 2 2 2" xfId="8749" xr:uid="{00000000-0005-0000-0000-000030220000}"/>
    <cellStyle name="20% - Énfasis6 13 4 2 3" xfId="8750" xr:uid="{00000000-0005-0000-0000-000031220000}"/>
    <cellStyle name="20% - Énfasis6 13 4 3" xfId="8751" xr:uid="{00000000-0005-0000-0000-000032220000}"/>
    <cellStyle name="20% - Énfasis6 13 4 3 2" xfId="8752" xr:uid="{00000000-0005-0000-0000-000033220000}"/>
    <cellStyle name="20% - Énfasis6 13 4 4" xfId="8753" xr:uid="{00000000-0005-0000-0000-000034220000}"/>
    <cellStyle name="20% - Énfasis6 13 5" xfId="8754" xr:uid="{00000000-0005-0000-0000-000035220000}"/>
    <cellStyle name="20% - Énfasis6 13 5 2" xfId="8755" xr:uid="{00000000-0005-0000-0000-000036220000}"/>
    <cellStyle name="20% - Énfasis6 13 5 2 2" xfId="8756" xr:uid="{00000000-0005-0000-0000-000037220000}"/>
    <cellStyle name="20% - Énfasis6 13 5 3" xfId="8757" xr:uid="{00000000-0005-0000-0000-000038220000}"/>
    <cellStyle name="20% - Énfasis6 13 6" xfId="8758" xr:uid="{00000000-0005-0000-0000-000039220000}"/>
    <cellStyle name="20% - Énfasis6 13 6 2" xfId="8759" xr:uid="{00000000-0005-0000-0000-00003A220000}"/>
    <cellStyle name="20% - Énfasis6 13 6 2 2" xfId="8760" xr:uid="{00000000-0005-0000-0000-00003B220000}"/>
    <cellStyle name="20% - Énfasis6 13 6 3" xfId="8761" xr:uid="{00000000-0005-0000-0000-00003C220000}"/>
    <cellStyle name="20% - Énfasis6 13 7" xfId="8762" xr:uid="{00000000-0005-0000-0000-00003D220000}"/>
    <cellStyle name="20% - Énfasis6 13 7 2" xfId="8763" xr:uid="{00000000-0005-0000-0000-00003E220000}"/>
    <cellStyle name="20% - Énfasis6 13 8" xfId="8764" xr:uid="{00000000-0005-0000-0000-00003F220000}"/>
    <cellStyle name="20% - Énfasis6 14" xfId="8765" xr:uid="{00000000-0005-0000-0000-000040220000}"/>
    <cellStyle name="20% - Énfasis6 14 2" xfId="8766" xr:uid="{00000000-0005-0000-0000-000041220000}"/>
    <cellStyle name="20% - Énfasis6 14 2 2" xfId="8767" xr:uid="{00000000-0005-0000-0000-000042220000}"/>
    <cellStyle name="20% - Énfasis6 14 2 2 2" xfId="8768" xr:uid="{00000000-0005-0000-0000-000043220000}"/>
    <cellStyle name="20% - Énfasis6 14 2 2 2 2" xfId="8769" xr:uid="{00000000-0005-0000-0000-000044220000}"/>
    <cellStyle name="20% - Énfasis6 14 2 2 2 2 2" xfId="8770" xr:uid="{00000000-0005-0000-0000-000045220000}"/>
    <cellStyle name="20% - Énfasis6 14 2 2 2 3" xfId="8771" xr:uid="{00000000-0005-0000-0000-000046220000}"/>
    <cellStyle name="20% - Énfasis6 14 2 2 3" xfId="8772" xr:uid="{00000000-0005-0000-0000-000047220000}"/>
    <cellStyle name="20% - Énfasis6 14 2 2 3 2" xfId="8773" xr:uid="{00000000-0005-0000-0000-000048220000}"/>
    <cellStyle name="20% - Énfasis6 14 2 2 4" xfId="8774" xr:uid="{00000000-0005-0000-0000-000049220000}"/>
    <cellStyle name="20% - Énfasis6 14 2 3" xfId="8775" xr:uid="{00000000-0005-0000-0000-00004A220000}"/>
    <cellStyle name="20% - Énfasis6 14 2 3 2" xfId="8776" xr:uid="{00000000-0005-0000-0000-00004B220000}"/>
    <cellStyle name="20% - Énfasis6 14 2 3 2 2" xfId="8777" xr:uid="{00000000-0005-0000-0000-00004C220000}"/>
    <cellStyle name="20% - Énfasis6 14 2 3 3" xfId="8778" xr:uid="{00000000-0005-0000-0000-00004D220000}"/>
    <cellStyle name="20% - Énfasis6 14 2 4" xfId="8779" xr:uid="{00000000-0005-0000-0000-00004E220000}"/>
    <cellStyle name="20% - Énfasis6 14 2 4 2" xfId="8780" xr:uid="{00000000-0005-0000-0000-00004F220000}"/>
    <cellStyle name="20% - Énfasis6 14 2 4 2 2" xfId="8781" xr:uid="{00000000-0005-0000-0000-000050220000}"/>
    <cellStyle name="20% - Énfasis6 14 2 4 3" xfId="8782" xr:uid="{00000000-0005-0000-0000-000051220000}"/>
    <cellStyle name="20% - Énfasis6 14 2 5" xfId="8783" xr:uid="{00000000-0005-0000-0000-000052220000}"/>
    <cellStyle name="20% - Énfasis6 14 2 5 2" xfId="8784" xr:uid="{00000000-0005-0000-0000-000053220000}"/>
    <cellStyle name="20% - Énfasis6 14 2 6" xfId="8785" xr:uid="{00000000-0005-0000-0000-000054220000}"/>
    <cellStyle name="20% - Énfasis6 14 3" xfId="8786" xr:uid="{00000000-0005-0000-0000-000055220000}"/>
    <cellStyle name="20% - Énfasis6 14 3 2" xfId="8787" xr:uid="{00000000-0005-0000-0000-000056220000}"/>
    <cellStyle name="20% - Énfasis6 14 3 2 2" xfId="8788" xr:uid="{00000000-0005-0000-0000-000057220000}"/>
    <cellStyle name="20% - Énfasis6 14 3 2 2 2" xfId="8789" xr:uid="{00000000-0005-0000-0000-000058220000}"/>
    <cellStyle name="20% - Énfasis6 14 3 2 3" xfId="8790" xr:uid="{00000000-0005-0000-0000-000059220000}"/>
    <cellStyle name="20% - Énfasis6 14 3 3" xfId="8791" xr:uid="{00000000-0005-0000-0000-00005A220000}"/>
    <cellStyle name="20% - Énfasis6 14 3 3 2" xfId="8792" xr:uid="{00000000-0005-0000-0000-00005B220000}"/>
    <cellStyle name="20% - Énfasis6 14 3 3 2 2" xfId="8793" xr:uid="{00000000-0005-0000-0000-00005C220000}"/>
    <cellStyle name="20% - Énfasis6 14 3 3 3" xfId="8794" xr:uid="{00000000-0005-0000-0000-00005D220000}"/>
    <cellStyle name="20% - Énfasis6 14 3 4" xfId="8795" xr:uid="{00000000-0005-0000-0000-00005E220000}"/>
    <cellStyle name="20% - Énfasis6 14 3 4 2" xfId="8796" xr:uid="{00000000-0005-0000-0000-00005F220000}"/>
    <cellStyle name="20% - Énfasis6 14 3 5" xfId="8797" xr:uid="{00000000-0005-0000-0000-000060220000}"/>
    <cellStyle name="20% - Énfasis6 14 4" xfId="8798" xr:uid="{00000000-0005-0000-0000-000061220000}"/>
    <cellStyle name="20% - Énfasis6 14 4 2" xfId="8799" xr:uid="{00000000-0005-0000-0000-000062220000}"/>
    <cellStyle name="20% - Énfasis6 14 4 2 2" xfId="8800" xr:uid="{00000000-0005-0000-0000-000063220000}"/>
    <cellStyle name="20% - Énfasis6 14 4 2 2 2" xfId="8801" xr:uid="{00000000-0005-0000-0000-000064220000}"/>
    <cellStyle name="20% - Énfasis6 14 4 2 3" xfId="8802" xr:uid="{00000000-0005-0000-0000-000065220000}"/>
    <cellStyle name="20% - Énfasis6 14 4 3" xfId="8803" xr:uid="{00000000-0005-0000-0000-000066220000}"/>
    <cellStyle name="20% - Énfasis6 14 4 3 2" xfId="8804" xr:uid="{00000000-0005-0000-0000-000067220000}"/>
    <cellStyle name="20% - Énfasis6 14 4 4" xfId="8805" xr:uid="{00000000-0005-0000-0000-000068220000}"/>
    <cellStyle name="20% - Énfasis6 14 5" xfId="8806" xr:uid="{00000000-0005-0000-0000-000069220000}"/>
    <cellStyle name="20% - Énfasis6 14 5 2" xfId="8807" xr:uid="{00000000-0005-0000-0000-00006A220000}"/>
    <cellStyle name="20% - Énfasis6 14 5 2 2" xfId="8808" xr:uid="{00000000-0005-0000-0000-00006B220000}"/>
    <cellStyle name="20% - Énfasis6 14 5 3" xfId="8809" xr:uid="{00000000-0005-0000-0000-00006C220000}"/>
    <cellStyle name="20% - Énfasis6 14 6" xfId="8810" xr:uid="{00000000-0005-0000-0000-00006D220000}"/>
    <cellStyle name="20% - Énfasis6 14 6 2" xfId="8811" xr:uid="{00000000-0005-0000-0000-00006E220000}"/>
    <cellStyle name="20% - Énfasis6 14 6 2 2" xfId="8812" xr:uid="{00000000-0005-0000-0000-00006F220000}"/>
    <cellStyle name="20% - Énfasis6 14 6 3" xfId="8813" xr:uid="{00000000-0005-0000-0000-000070220000}"/>
    <cellStyle name="20% - Énfasis6 14 7" xfId="8814" xr:uid="{00000000-0005-0000-0000-000071220000}"/>
    <cellStyle name="20% - Énfasis6 14 7 2" xfId="8815" xr:uid="{00000000-0005-0000-0000-000072220000}"/>
    <cellStyle name="20% - Énfasis6 14 8" xfId="8816" xr:uid="{00000000-0005-0000-0000-000073220000}"/>
    <cellStyle name="20% - Énfasis6 15" xfId="8817" xr:uid="{00000000-0005-0000-0000-000074220000}"/>
    <cellStyle name="20% - Énfasis6 15 2" xfId="8818" xr:uid="{00000000-0005-0000-0000-000075220000}"/>
    <cellStyle name="20% - Énfasis6 15 2 2" xfId="8819" xr:uid="{00000000-0005-0000-0000-000076220000}"/>
    <cellStyle name="20% - Énfasis6 15 2 2 2" xfId="8820" xr:uid="{00000000-0005-0000-0000-000077220000}"/>
    <cellStyle name="20% - Énfasis6 15 2 2 2 2" xfId="8821" xr:uid="{00000000-0005-0000-0000-000078220000}"/>
    <cellStyle name="20% - Énfasis6 15 2 2 2 2 2" xfId="8822" xr:uid="{00000000-0005-0000-0000-000079220000}"/>
    <cellStyle name="20% - Énfasis6 15 2 2 2 3" xfId="8823" xr:uid="{00000000-0005-0000-0000-00007A220000}"/>
    <cellStyle name="20% - Énfasis6 15 2 2 3" xfId="8824" xr:uid="{00000000-0005-0000-0000-00007B220000}"/>
    <cellStyle name="20% - Énfasis6 15 2 2 3 2" xfId="8825" xr:uid="{00000000-0005-0000-0000-00007C220000}"/>
    <cellStyle name="20% - Énfasis6 15 2 2 4" xfId="8826" xr:uid="{00000000-0005-0000-0000-00007D220000}"/>
    <cellStyle name="20% - Énfasis6 15 2 3" xfId="8827" xr:uid="{00000000-0005-0000-0000-00007E220000}"/>
    <cellStyle name="20% - Énfasis6 15 2 3 2" xfId="8828" xr:uid="{00000000-0005-0000-0000-00007F220000}"/>
    <cellStyle name="20% - Énfasis6 15 2 3 2 2" xfId="8829" xr:uid="{00000000-0005-0000-0000-000080220000}"/>
    <cellStyle name="20% - Énfasis6 15 2 3 3" xfId="8830" xr:uid="{00000000-0005-0000-0000-000081220000}"/>
    <cellStyle name="20% - Énfasis6 15 2 4" xfId="8831" xr:uid="{00000000-0005-0000-0000-000082220000}"/>
    <cellStyle name="20% - Énfasis6 15 2 4 2" xfId="8832" xr:uid="{00000000-0005-0000-0000-000083220000}"/>
    <cellStyle name="20% - Énfasis6 15 2 4 2 2" xfId="8833" xr:uid="{00000000-0005-0000-0000-000084220000}"/>
    <cellStyle name="20% - Énfasis6 15 2 4 3" xfId="8834" xr:uid="{00000000-0005-0000-0000-000085220000}"/>
    <cellStyle name="20% - Énfasis6 15 2 5" xfId="8835" xr:uid="{00000000-0005-0000-0000-000086220000}"/>
    <cellStyle name="20% - Énfasis6 15 2 5 2" xfId="8836" xr:uid="{00000000-0005-0000-0000-000087220000}"/>
    <cellStyle name="20% - Énfasis6 15 2 6" xfId="8837" xr:uid="{00000000-0005-0000-0000-000088220000}"/>
    <cellStyle name="20% - Énfasis6 15 3" xfId="8838" xr:uid="{00000000-0005-0000-0000-000089220000}"/>
    <cellStyle name="20% - Énfasis6 15 3 2" xfId="8839" xr:uid="{00000000-0005-0000-0000-00008A220000}"/>
    <cellStyle name="20% - Énfasis6 15 3 2 2" xfId="8840" xr:uid="{00000000-0005-0000-0000-00008B220000}"/>
    <cellStyle name="20% - Énfasis6 15 3 2 2 2" xfId="8841" xr:uid="{00000000-0005-0000-0000-00008C220000}"/>
    <cellStyle name="20% - Énfasis6 15 3 2 3" xfId="8842" xr:uid="{00000000-0005-0000-0000-00008D220000}"/>
    <cellStyle name="20% - Énfasis6 15 3 3" xfId="8843" xr:uid="{00000000-0005-0000-0000-00008E220000}"/>
    <cellStyle name="20% - Énfasis6 15 3 3 2" xfId="8844" xr:uid="{00000000-0005-0000-0000-00008F220000}"/>
    <cellStyle name="20% - Énfasis6 15 3 3 2 2" xfId="8845" xr:uid="{00000000-0005-0000-0000-000090220000}"/>
    <cellStyle name="20% - Énfasis6 15 3 3 3" xfId="8846" xr:uid="{00000000-0005-0000-0000-000091220000}"/>
    <cellStyle name="20% - Énfasis6 15 3 4" xfId="8847" xr:uid="{00000000-0005-0000-0000-000092220000}"/>
    <cellStyle name="20% - Énfasis6 15 3 4 2" xfId="8848" xr:uid="{00000000-0005-0000-0000-000093220000}"/>
    <cellStyle name="20% - Énfasis6 15 3 5" xfId="8849" xr:uid="{00000000-0005-0000-0000-000094220000}"/>
    <cellStyle name="20% - Énfasis6 15 4" xfId="8850" xr:uid="{00000000-0005-0000-0000-000095220000}"/>
    <cellStyle name="20% - Énfasis6 15 4 2" xfId="8851" xr:uid="{00000000-0005-0000-0000-000096220000}"/>
    <cellStyle name="20% - Énfasis6 15 4 2 2" xfId="8852" xr:uid="{00000000-0005-0000-0000-000097220000}"/>
    <cellStyle name="20% - Énfasis6 15 4 2 2 2" xfId="8853" xr:uid="{00000000-0005-0000-0000-000098220000}"/>
    <cellStyle name="20% - Énfasis6 15 4 2 3" xfId="8854" xr:uid="{00000000-0005-0000-0000-000099220000}"/>
    <cellStyle name="20% - Énfasis6 15 4 3" xfId="8855" xr:uid="{00000000-0005-0000-0000-00009A220000}"/>
    <cellStyle name="20% - Énfasis6 15 4 3 2" xfId="8856" xr:uid="{00000000-0005-0000-0000-00009B220000}"/>
    <cellStyle name="20% - Énfasis6 15 4 4" xfId="8857" xr:uid="{00000000-0005-0000-0000-00009C220000}"/>
    <cellStyle name="20% - Énfasis6 15 5" xfId="8858" xr:uid="{00000000-0005-0000-0000-00009D220000}"/>
    <cellStyle name="20% - Énfasis6 15 5 2" xfId="8859" xr:uid="{00000000-0005-0000-0000-00009E220000}"/>
    <cellStyle name="20% - Énfasis6 15 5 2 2" xfId="8860" xr:uid="{00000000-0005-0000-0000-00009F220000}"/>
    <cellStyle name="20% - Énfasis6 15 5 3" xfId="8861" xr:uid="{00000000-0005-0000-0000-0000A0220000}"/>
    <cellStyle name="20% - Énfasis6 15 6" xfId="8862" xr:uid="{00000000-0005-0000-0000-0000A1220000}"/>
    <cellStyle name="20% - Énfasis6 15 6 2" xfId="8863" xr:uid="{00000000-0005-0000-0000-0000A2220000}"/>
    <cellStyle name="20% - Énfasis6 15 6 2 2" xfId="8864" xr:uid="{00000000-0005-0000-0000-0000A3220000}"/>
    <cellStyle name="20% - Énfasis6 15 6 3" xfId="8865" xr:uid="{00000000-0005-0000-0000-0000A4220000}"/>
    <cellStyle name="20% - Énfasis6 15 7" xfId="8866" xr:uid="{00000000-0005-0000-0000-0000A5220000}"/>
    <cellStyle name="20% - Énfasis6 15 7 2" xfId="8867" xr:uid="{00000000-0005-0000-0000-0000A6220000}"/>
    <cellStyle name="20% - Énfasis6 15 8" xfId="8868" xr:uid="{00000000-0005-0000-0000-0000A7220000}"/>
    <cellStyle name="20% - Énfasis6 16" xfId="8869" xr:uid="{00000000-0005-0000-0000-0000A8220000}"/>
    <cellStyle name="20% - Énfasis6 16 2" xfId="8870" xr:uid="{00000000-0005-0000-0000-0000A9220000}"/>
    <cellStyle name="20% - Énfasis6 16 2 2" xfId="8871" xr:uid="{00000000-0005-0000-0000-0000AA220000}"/>
    <cellStyle name="20% - Énfasis6 16 2 2 2" xfId="8872" xr:uid="{00000000-0005-0000-0000-0000AB220000}"/>
    <cellStyle name="20% - Énfasis6 16 2 2 2 2" xfId="8873" xr:uid="{00000000-0005-0000-0000-0000AC220000}"/>
    <cellStyle name="20% - Énfasis6 16 2 2 3" xfId="8874" xr:uid="{00000000-0005-0000-0000-0000AD220000}"/>
    <cellStyle name="20% - Énfasis6 16 2 3" xfId="8875" xr:uid="{00000000-0005-0000-0000-0000AE220000}"/>
    <cellStyle name="20% - Énfasis6 16 2 3 2" xfId="8876" xr:uid="{00000000-0005-0000-0000-0000AF220000}"/>
    <cellStyle name="20% - Énfasis6 16 2 3 2 2" xfId="8877" xr:uid="{00000000-0005-0000-0000-0000B0220000}"/>
    <cellStyle name="20% - Énfasis6 16 2 3 3" xfId="8878" xr:uid="{00000000-0005-0000-0000-0000B1220000}"/>
    <cellStyle name="20% - Énfasis6 16 2 4" xfId="8879" xr:uid="{00000000-0005-0000-0000-0000B2220000}"/>
    <cellStyle name="20% - Énfasis6 16 2 4 2" xfId="8880" xr:uid="{00000000-0005-0000-0000-0000B3220000}"/>
    <cellStyle name="20% - Énfasis6 16 2 5" xfId="8881" xr:uid="{00000000-0005-0000-0000-0000B4220000}"/>
    <cellStyle name="20% - Énfasis6 16 3" xfId="8882" xr:uid="{00000000-0005-0000-0000-0000B5220000}"/>
    <cellStyle name="20% - Énfasis6 16 3 2" xfId="8883" xr:uid="{00000000-0005-0000-0000-0000B6220000}"/>
    <cellStyle name="20% - Énfasis6 16 3 2 2" xfId="8884" xr:uid="{00000000-0005-0000-0000-0000B7220000}"/>
    <cellStyle name="20% - Énfasis6 16 3 2 2 2" xfId="8885" xr:uid="{00000000-0005-0000-0000-0000B8220000}"/>
    <cellStyle name="20% - Énfasis6 16 3 2 3" xfId="8886" xr:uid="{00000000-0005-0000-0000-0000B9220000}"/>
    <cellStyle name="20% - Énfasis6 16 3 3" xfId="8887" xr:uid="{00000000-0005-0000-0000-0000BA220000}"/>
    <cellStyle name="20% - Énfasis6 16 3 3 2" xfId="8888" xr:uid="{00000000-0005-0000-0000-0000BB220000}"/>
    <cellStyle name="20% - Énfasis6 16 3 4" xfId="8889" xr:uid="{00000000-0005-0000-0000-0000BC220000}"/>
    <cellStyle name="20% - Énfasis6 16 4" xfId="8890" xr:uid="{00000000-0005-0000-0000-0000BD220000}"/>
    <cellStyle name="20% - Énfasis6 16 4 2" xfId="8891" xr:uid="{00000000-0005-0000-0000-0000BE220000}"/>
    <cellStyle name="20% - Énfasis6 16 4 2 2" xfId="8892" xr:uid="{00000000-0005-0000-0000-0000BF220000}"/>
    <cellStyle name="20% - Énfasis6 16 4 3" xfId="8893" xr:uid="{00000000-0005-0000-0000-0000C0220000}"/>
    <cellStyle name="20% - Énfasis6 16 5" xfId="8894" xr:uid="{00000000-0005-0000-0000-0000C1220000}"/>
    <cellStyle name="20% - Énfasis6 16 5 2" xfId="8895" xr:uid="{00000000-0005-0000-0000-0000C2220000}"/>
    <cellStyle name="20% - Énfasis6 16 5 2 2" xfId="8896" xr:uid="{00000000-0005-0000-0000-0000C3220000}"/>
    <cellStyle name="20% - Énfasis6 16 5 3" xfId="8897" xr:uid="{00000000-0005-0000-0000-0000C4220000}"/>
    <cellStyle name="20% - Énfasis6 16 6" xfId="8898" xr:uid="{00000000-0005-0000-0000-0000C5220000}"/>
    <cellStyle name="20% - Énfasis6 16 6 2" xfId="8899" xr:uid="{00000000-0005-0000-0000-0000C6220000}"/>
    <cellStyle name="20% - Énfasis6 16 7" xfId="8900" xr:uid="{00000000-0005-0000-0000-0000C7220000}"/>
    <cellStyle name="20% - Énfasis6 17" xfId="8901" xr:uid="{00000000-0005-0000-0000-0000C8220000}"/>
    <cellStyle name="20% - Énfasis6 17 2" xfId="8902" xr:uid="{00000000-0005-0000-0000-0000C9220000}"/>
    <cellStyle name="20% - Énfasis6 17 2 2" xfId="8903" xr:uid="{00000000-0005-0000-0000-0000CA220000}"/>
    <cellStyle name="20% - Énfasis6 17 2 2 2" xfId="8904" xr:uid="{00000000-0005-0000-0000-0000CB220000}"/>
    <cellStyle name="20% - Énfasis6 17 2 2 2 2" xfId="8905" xr:uid="{00000000-0005-0000-0000-0000CC220000}"/>
    <cellStyle name="20% - Énfasis6 17 2 2 3" xfId="8906" xr:uid="{00000000-0005-0000-0000-0000CD220000}"/>
    <cellStyle name="20% - Énfasis6 17 2 3" xfId="8907" xr:uid="{00000000-0005-0000-0000-0000CE220000}"/>
    <cellStyle name="20% - Énfasis6 17 2 3 2" xfId="8908" xr:uid="{00000000-0005-0000-0000-0000CF220000}"/>
    <cellStyle name="20% - Énfasis6 17 2 3 2 2" xfId="8909" xr:uid="{00000000-0005-0000-0000-0000D0220000}"/>
    <cellStyle name="20% - Énfasis6 17 2 3 3" xfId="8910" xr:uid="{00000000-0005-0000-0000-0000D1220000}"/>
    <cellStyle name="20% - Énfasis6 17 2 4" xfId="8911" xr:uid="{00000000-0005-0000-0000-0000D2220000}"/>
    <cellStyle name="20% - Énfasis6 17 2 4 2" xfId="8912" xr:uid="{00000000-0005-0000-0000-0000D3220000}"/>
    <cellStyle name="20% - Énfasis6 17 2 5" xfId="8913" xr:uid="{00000000-0005-0000-0000-0000D4220000}"/>
    <cellStyle name="20% - Énfasis6 17 3" xfId="8914" xr:uid="{00000000-0005-0000-0000-0000D5220000}"/>
    <cellStyle name="20% - Énfasis6 17 3 2" xfId="8915" xr:uid="{00000000-0005-0000-0000-0000D6220000}"/>
    <cellStyle name="20% - Énfasis6 17 3 2 2" xfId="8916" xr:uid="{00000000-0005-0000-0000-0000D7220000}"/>
    <cellStyle name="20% - Énfasis6 17 3 2 2 2" xfId="8917" xr:uid="{00000000-0005-0000-0000-0000D8220000}"/>
    <cellStyle name="20% - Énfasis6 17 3 2 3" xfId="8918" xr:uid="{00000000-0005-0000-0000-0000D9220000}"/>
    <cellStyle name="20% - Énfasis6 17 3 3" xfId="8919" xr:uid="{00000000-0005-0000-0000-0000DA220000}"/>
    <cellStyle name="20% - Énfasis6 17 3 3 2" xfId="8920" xr:uid="{00000000-0005-0000-0000-0000DB220000}"/>
    <cellStyle name="20% - Énfasis6 17 3 4" xfId="8921" xr:uid="{00000000-0005-0000-0000-0000DC220000}"/>
    <cellStyle name="20% - Énfasis6 17 4" xfId="8922" xr:uid="{00000000-0005-0000-0000-0000DD220000}"/>
    <cellStyle name="20% - Énfasis6 17 4 2" xfId="8923" xr:uid="{00000000-0005-0000-0000-0000DE220000}"/>
    <cellStyle name="20% - Énfasis6 17 4 2 2" xfId="8924" xr:uid="{00000000-0005-0000-0000-0000DF220000}"/>
    <cellStyle name="20% - Énfasis6 17 4 3" xfId="8925" xr:uid="{00000000-0005-0000-0000-0000E0220000}"/>
    <cellStyle name="20% - Énfasis6 17 5" xfId="8926" xr:uid="{00000000-0005-0000-0000-0000E1220000}"/>
    <cellStyle name="20% - Énfasis6 17 5 2" xfId="8927" xr:uid="{00000000-0005-0000-0000-0000E2220000}"/>
    <cellStyle name="20% - Énfasis6 17 5 2 2" xfId="8928" xr:uid="{00000000-0005-0000-0000-0000E3220000}"/>
    <cellStyle name="20% - Énfasis6 17 5 3" xfId="8929" xr:uid="{00000000-0005-0000-0000-0000E4220000}"/>
    <cellStyle name="20% - Énfasis6 17 6" xfId="8930" xr:uid="{00000000-0005-0000-0000-0000E5220000}"/>
    <cellStyle name="20% - Énfasis6 17 6 2" xfId="8931" xr:uid="{00000000-0005-0000-0000-0000E6220000}"/>
    <cellStyle name="20% - Énfasis6 17 7" xfId="8932" xr:uid="{00000000-0005-0000-0000-0000E7220000}"/>
    <cellStyle name="20% - Énfasis6 18" xfId="8933" xr:uid="{00000000-0005-0000-0000-0000E8220000}"/>
    <cellStyle name="20% - Énfasis6 18 2" xfId="8934" xr:uid="{00000000-0005-0000-0000-0000E9220000}"/>
    <cellStyle name="20% - Énfasis6 18 2 2" xfId="8935" xr:uid="{00000000-0005-0000-0000-0000EA220000}"/>
    <cellStyle name="20% - Énfasis6 18 2 2 2" xfId="8936" xr:uid="{00000000-0005-0000-0000-0000EB220000}"/>
    <cellStyle name="20% - Énfasis6 18 2 2 2 2" xfId="8937" xr:uid="{00000000-0005-0000-0000-0000EC220000}"/>
    <cellStyle name="20% - Énfasis6 18 2 2 3" xfId="8938" xr:uid="{00000000-0005-0000-0000-0000ED220000}"/>
    <cellStyle name="20% - Énfasis6 18 2 3" xfId="8939" xr:uid="{00000000-0005-0000-0000-0000EE220000}"/>
    <cellStyle name="20% - Énfasis6 18 2 3 2" xfId="8940" xr:uid="{00000000-0005-0000-0000-0000EF220000}"/>
    <cellStyle name="20% - Énfasis6 18 2 3 2 2" xfId="8941" xr:uid="{00000000-0005-0000-0000-0000F0220000}"/>
    <cellStyle name="20% - Énfasis6 18 2 3 3" xfId="8942" xr:uid="{00000000-0005-0000-0000-0000F1220000}"/>
    <cellStyle name="20% - Énfasis6 18 2 4" xfId="8943" xr:uid="{00000000-0005-0000-0000-0000F2220000}"/>
    <cellStyle name="20% - Énfasis6 18 2 4 2" xfId="8944" xr:uid="{00000000-0005-0000-0000-0000F3220000}"/>
    <cellStyle name="20% - Énfasis6 18 2 5" xfId="8945" xr:uid="{00000000-0005-0000-0000-0000F4220000}"/>
    <cellStyle name="20% - Énfasis6 18 3" xfId="8946" xr:uid="{00000000-0005-0000-0000-0000F5220000}"/>
    <cellStyle name="20% - Énfasis6 18 3 2" xfId="8947" xr:uid="{00000000-0005-0000-0000-0000F6220000}"/>
    <cellStyle name="20% - Énfasis6 18 3 2 2" xfId="8948" xr:uid="{00000000-0005-0000-0000-0000F7220000}"/>
    <cellStyle name="20% - Énfasis6 18 3 2 2 2" xfId="8949" xr:uid="{00000000-0005-0000-0000-0000F8220000}"/>
    <cellStyle name="20% - Énfasis6 18 3 2 3" xfId="8950" xr:uid="{00000000-0005-0000-0000-0000F9220000}"/>
    <cellStyle name="20% - Énfasis6 18 3 3" xfId="8951" xr:uid="{00000000-0005-0000-0000-0000FA220000}"/>
    <cellStyle name="20% - Énfasis6 18 3 3 2" xfId="8952" xr:uid="{00000000-0005-0000-0000-0000FB220000}"/>
    <cellStyle name="20% - Énfasis6 18 3 4" xfId="8953" xr:uid="{00000000-0005-0000-0000-0000FC220000}"/>
    <cellStyle name="20% - Énfasis6 18 4" xfId="8954" xr:uid="{00000000-0005-0000-0000-0000FD220000}"/>
    <cellStyle name="20% - Énfasis6 18 4 2" xfId="8955" xr:uid="{00000000-0005-0000-0000-0000FE220000}"/>
    <cellStyle name="20% - Énfasis6 18 4 2 2" xfId="8956" xr:uid="{00000000-0005-0000-0000-0000FF220000}"/>
    <cellStyle name="20% - Énfasis6 18 4 3" xfId="8957" xr:uid="{00000000-0005-0000-0000-000000230000}"/>
    <cellStyle name="20% - Énfasis6 18 5" xfId="8958" xr:uid="{00000000-0005-0000-0000-000001230000}"/>
    <cellStyle name="20% - Énfasis6 18 5 2" xfId="8959" xr:uid="{00000000-0005-0000-0000-000002230000}"/>
    <cellStyle name="20% - Énfasis6 18 5 2 2" xfId="8960" xr:uid="{00000000-0005-0000-0000-000003230000}"/>
    <cellStyle name="20% - Énfasis6 18 5 3" xfId="8961" xr:uid="{00000000-0005-0000-0000-000004230000}"/>
    <cellStyle name="20% - Énfasis6 18 6" xfId="8962" xr:uid="{00000000-0005-0000-0000-000005230000}"/>
    <cellStyle name="20% - Énfasis6 18 6 2" xfId="8963" xr:uid="{00000000-0005-0000-0000-000006230000}"/>
    <cellStyle name="20% - Énfasis6 18 7" xfId="8964" xr:uid="{00000000-0005-0000-0000-000007230000}"/>
    <cellStyle name="20% - Énfasis6 19" xfId="8965" xr:uid="{00000000-0005-0000-0000-000008230000}"/>
    <cellStyle name="20% - Énfasis6 19 2" xfId="8966" xr:uid="{00000000-0005-0000-0000-000009230000}"/>
    <cellStyle name="20% - Énfasis6 19 2 2" xfId="8967" xr:uid="{00000000-0005-0000-0000-00000A230000}"/>
    <cellStyle name="20% - Énfasis6 19 2 2 2" xfId="8968" xr:uid="{00000000-0005-0000-0000-00000B230000}"/>
    <cellStyle name="20% - Énfasis6 19 2 2 2 2" xfId="8969" xr:uid="{00000000-0005-0000-0000-00000C230000}"/>
    <cellStyle name="20% - Énfasis6 19 2 2 3" xfId="8970" xr:uid="{00000000-0005-0000-0000-00000D230000}"/>
    <cellStyle name="20% - Énfasis6 19 2 3" xfId="8971" xr:uid="{00000000-0005-0000-0000-00000E230000}"/>
    <cellStyle name="20% - Énfasis6 19 2 3 2" xfId="8972" xr:uid="{00000000-0005-0000-0000-00000F230000}"/>
    <cellStyle name="20% - Énfasis6 19 2 3 2 2" xfId="8973" xr:uid="{00000000-0005-0000-0000-000010230000}"/>
    <cellStyle name="20% - Énfasis6 19 2 3 3" xfId="8974" xr:uid="{00000000-0005-0000-0000-000011230000}"/>
    <cellStyle name="20% - Énfasis6 19 2 4" xfId="8975" xr:uid="{00000000-0005-0000-0000-000012230000}"/>
    <cellStyle name="20% - Énfasis6 19 2 4 2" xfId="8976" xr:uid="{00000000-0005-0000-0000-000013230000}"/>
    <cellStyle name="20% - Énfasis6 19 2 5" xfId="8977" xr:uid="{00000000-0005-0000-0000-000014230000}"/>
    <cellStyle name="20% - Énfasis6 19 3" xfId="8978" xr:uid="{00000000-0005-0000-0000-000015230000}"/>
    <cellStyle name="20% - Énfasis6 19 3 2" xfId="8979" xr:uid="{00000000-0005-0000-0000-000016230000}"/>
    <cellStyle name="20% - Énfasis6 19 3 2 2" xfId="8980" xr:uid="{00000000-0005-0000-0000-000017230000}"/>
    <cellStyle name="20% - Énfasis6 19 3 2 2 2" xfId="8981" xr:uid="{00000000-0005-0000-0000-000018230000}"/>
    <cellStyle name="20% - Énfasis6 19 3 2 3" xfId="8982" xr:uid="{00000000-0005-0000-0000-000019230000}"/>
    <cellStyle name="20% - Énfasis6 19 3 3" xfId="8983" xr:uid="{00000000-0005-0000-0000-00001A230000}"/>
    <cellStyle name="20% - Énfasis6 19 3 3 2" xfId="8984" xr:uid="{00000000-0005-0000-0000-00001B230000}"/>
    <cellStyle name="20% - Énfasis6 19 3 4" xfId="8985" xr:uid="{00000000-0005-0000-0000-00001C230000}"/>
    <cellStyle name="20% - Énfasis6 19 4" xfId="8986" xr:uid="{00000000-0005-0000-0000-00001D230000}"/>
    <cellStyle name="20% - Énfasis6 19 4 2" xfId="8987" xr:uid="{00000000-0005-0000-0000-00001E230000}"/>
    <cellStyle name="20% - Énfasis6 19 4 2 2" xfId="8988" xr:uid="{00000000-0005-0000-0000-00001F230000}"/>
    <cellStyle name="20% - Énfasis6 19 4 3" xfId="8989" xr:uid="{00000000-0005-0000-0000-000020230000}"/>
    <cellStyle name="20% - Énfasis6 19 5" xfId="8990" xr:uid="{00000000-0005-0000-0000-000021230000}"/>
    <cellStyle name="20% - Énfasis6 19 5 2" xfId="8991" xr:uid="{00000000-0005-0000-0000-000022230000}"/>
    <cellStyle name="20% - Énfasis6 19 5 2 2" xfId="8992" xr:uid="{00000000-0005-0000-0000-000023230000}"/>
    <cellStyle name="20% - Énfasis6 19 5 3" xfId="8993" xr:uid="{00000000-0005-0000-0000-000024230000}"/>
    <cellStyle name="20% - Énfasis6 19 6" xfId="8994" xr:uid="{00000000-0005-0000-0000-000025230000}"/>
    <cellStyle name="20% - Énfasis6 19 6 2" xfId="8995" xr:uid="{00000000-0005-0000-0000-000026230000}"/>
    <cellStyle name="20% - Énfasis6 19 7" xfId="8996" xr:uid="{00000000-0005-0000-0000-000027230000}"/>
    <cellStyle name="20% - Énfasis6 2" xfId="8997" xr:uid="{00000000-0005-0000-0000-000028230000}"/>
    <cellStyle name="20% - Énfasis6 2 2" xfId="8998" xr:uid="{00000000-0005-0000-0000-000029230000}"/>
    <cellStyle name="20% - Énfasis6 2 2 2" xfId="8999" xr:uid="{00000000-0005-0000-0000-00002A230000}"/>
    <cellStyle name="20% - Énfasis6 2 2 2 2" xfId="9000" xr:uid="{00000000-0005-0000-0000-00002B230000}"/>
    <cellStyle name="20% - Énfasis6 2 2 2 2 2" xfId="9001" xr:uid="{00000000-0005-0000-0000-00002C230000}"/>
    <cellStyle name="20% - Énfasis6 2 2 2 2 2 2" xfId="9002" xr:uid="{00000000-0005-0000-0000-00002D230000}"/>
    <cellStyle name="20% - Énfasis6 2 2 2 2 3" xfId="9003" xr:uid="{00000000-0005-0000-0000-00002E230000}"/>
    <cellStyle name="20% - Énfasis6 2 2 2 3" xfId="9004" xr:uid="{00000000-0005-0000-0000-00002F230000}"/>
    <cellStyle name="20% - Énfasis6 2 2 2 3 2" xfId="9005" xr:uid="{00000000-0005-0000-0000-000030230000}"/>
    <cellStyle name="20% - Énfasis6 2 2 2 4" xfId="9006" xr:uid="{00000000-0005-0000-0000-000031230000}"/>
    <cellStyle name="20% - Énfasis6 2 2 3" xfId="9007" xr:uid="{00000000-0005-0000-0000-000032230000}"/>
    <cellStyle name="20% - Énfasis6 2 2 3 2" xfId="9008" xr:uid="{00000000-0005-0000-0000-000033230000}"/>
    <cellStyle name="20% - Énfasis6 2 2 3 2 2" xfId="9009" xr:uid="{00000000-0005-0000-0000-000034230000}"/>
    <cellStyle name="20% - Énfasis6 2 2 3 3" xfId="9010" xr:uid="{00000000-0005-0000-0000-000035230000}"/>
    <cellStyle name="20% - Énfasis6 2 2 4" xfId="9011" xr:uid="{00000000-0005-0000-0000-000036230000}"/>
    <cellStyle name="20% - Énfasis6 2 2 4 2" xfId="9012" xr:uid="{00000000-0005-0000-0000-000037230000}"/>
    <cellStyle name="20% - Énfasis6 2 2 4 2 2" xfId="9013" xr:uid="{00000000-0005-0000-0000-000038230000}"/>
    <cellStyle name="20% - Énfasis6 2 2 4 3" xfId="9014" xr:uid="{00000000-0005-0000-0000-000039230000}"/>
    <cellStyle name="20% - Énfasis6 2 2 5" xfId="9015" xr:uid="{00000000-0005-0000-0000-00003A230000}"/>
    <cellStyle name="20% - Énfasis6 2 2 5 2" xfId="9016" xr:uid="{00000000-0005-0000-0000-00003B230000}"/>
    <cellStyle name="20% - Énfasis6 2 2 6" xfId="9017" xr:uid="{00000000-0005-0000-0000-00003C230000}"/>
    <cellStyle name="20% - Énfasis6 2 3" xfId="9018" xr:uid="{00000000-0005-0000-0000-00003D230000}"/>
    <cellStyle name="20% - Énfasis6 2 3 2" xfId="9019" xr:uid="{00000000-0005-0000-0000-00003E230000}"/>
    <cellStyle name="20% - Énfasis6 2 3 2 2" xfId="9020" xr:uid="{00000000-0005-0000-0000-00003F230000}"/>
    <cellStyle name="20% - Énfasis6 2 3 2 2 2" xfId="9021" xr:uid="{00000000-0005-0000-0000-000040230000}"/>
    <cellStyle name="20% - Énfasis6 2 3 2 3" xfId="9022" xr:uid="{00000000-0005-0000-0000-000041230000}"/>
    <cellStyle name="20% - Énfasis6 2 3 3" xfId="9023" xr:uid="{00000000-0005-0000-0000-000042230000}"/>
    <cellStyle name="20% - Énfasis6 2 3 3 2" xfId="9024" xr:uid="{00000000-0005-0000-0000-000043230000}"/>
    <cellStyle name="20% - Énfasis6 2 3 3 2 2" xfId="9025" xr:uid="{00000000-0005-0000-0000-000044230000}"/>
    <cellStyle name="20% - Énfasis6 2 3 3 3" xfId="9026" xr:uid="{00000000-0005-0000-0000-000045230000}"/>
    <cellStyle name="20% - Énfasis6 2 3 4" xfId="9027" xr:uid="{00000000-0005-0000-0000-000046230000}"/>
    <cellStyle name="20% - Énfasis6 2 3 4 2" xfId="9028" xr:uid="{00000000-0005-0000-0000-000047230000}"/>
    <cellStyle name="20% - Énfasis6 2 3 5" xfId="9029" xr:uid="{00000000-0005-0000-0000-000048230000}"/>
    <cellStyle name="20% - Énfasis6 2 4" xfId="9030" xr:uid="{00000000-0005-0000-0000-000049230000}"/>
    <cellStyle name="20% - Énfasis6 2 4 2" xfId="9031" xr:uid="{00000000-0005-0000-0000-00004A230000}"/>
    <cellStyle name="20% - Énfasis6 2 4 2 2" xfId="9032" xr:uid="{00000000-0005-0000-0000-00004B230000}"/>
    <cellStyle name="20% - Énfasis6 2 4 2 2 2" xfId="9033" xr:uid="{00000000-0005-0000-0000-00004C230000}"/>
    <cellStyle name="20% - Énfasis6 2 4 2 3" xfId="9034" xr:uid="{00000000-0005-0000-0000-00004D230000}"/>
    <cellStyle name="20% - Énfasis6 2 4 3" xfId="9035" xr:uid="{00000000-0005-0000-0000-00004E230000}"/>
    <cellStyle name="20% - Énfasis6 2 4 3 2" xfId="9036" xr:uid="{00000000-0005-0000-0000-00004F230000}"/>
    <cellStyle name="20% - Énfasis6 2 4 4" xfId="9037" xr:uid="{00000000-0005-0000-0000-000050230000}"/>
    <cellStyle name="20% - Énfasis6 2 5" xfId="9038" xr:uid="{00000000-0005-0000-0000-000051230000}"/>
    <cellStyle name="20% - Énfasis6 2 5 2" xfId="9039" xr:uid="{00000000-0005-0000-0000-000052230000}"/>
    <cellStyle name="20% - Énfasis6 2 5 2 2" xfId="9040" xr:uid="{00000000-0005-0000-0000-000053230000}"/>
    <cellStyle name="20% - Énfasis6 2 5 3" xfId="9041" xr:uid="{00000000-0005-0000-0000-000054230000}"/>
    <cellStyle name="20% - Énfasis6 2 6" xfId="9042" xr:uid="{00000000-0005-0000-0000-000055230000}"/>
    <cellStyle name="20% - Énfasis6 2 6 2" xfId="9043" xr:uid="{00000000-0005-0000-0000-000056230000}"/>
    <cellStyle name="20% - Énfasis6 2 6 2 2" xfId="9044" xr:uid="{00000000-0005-0000-0000-000057230000}"/>
    <cellStyle name="20% - Énfasis6 2 6 3" xfId="9045" xr:uid="{00000000-0005-0000-0000-000058230000}"/>
    <cellStyle name="20% - Énfasis6 2 7" xfId="9046" xr:uid="{00000000-0005-0000-0000-000059230000}"/>
    <cellStyle name="20% - Énfasis6 2 7 2" xfId="9047" xr:uid="{00000000-0005-0000-0000-00005A230000}"/>
    <cellStyle name="20% - Énfasis6 2 8" xfId="9048" xr:uid="{00000000-0005-0000-0000-00005B230000}"/>
    <cellStyle name="20% - Énfasis6 20" xfId="9049" xr:uid="{00000000-0005-0000-0000-00005C230000}"/>
    <cellStyle name="20% - Énfasis6 20 2" xfId="9050" xr:uid="{00000000-0005-0000-0000-00005D230000}"/>
    <cellStyle name="20% - Énfasis6 20 2 2" xfId="9051" xr:uid="{00000000-0005-0000-0000-00005E230000}"/>
    <cellStyle name="20% - Énfasis6 20 2 2 2" xfId="9052" xr:uid="{00000000-0005-0000-0000-00005F230000}"/>
    <cellStyle name="20% - Énfasis6 20 2 2 2 2" xfId="9053" xr:uid="{00000000-0005-0000-0000-000060230000}"/>
    <cellStyle name="20% - Énfasis6 20 2 2 3" xfId="9054" xr:uid="{00000000-0005-0000-0000-000061230000}"/>
    <cellStyle name="20% - Énfasis6 20 2 3" xfId="9055" xr:uid="{00000000-0005-0000-0000-000062230000}"/>
    <cellStyle name="20% - Énfasis6 20 2 3 2" xfId="9056" xr:uid="{00000000-0005-0000-0000-000063230000}"/>
    <cellStyle name="20% - Énfasis6 20 2 3 2 2" xfId="9057" xr:uid="{00000000-0005-0000-0000-000064230000}"/>
    <cellStyle name="20% - Énfasis6 20 2 3 3" xfId="9058" xr:uid="{00000000-0005-0000-0000-000065230000}"/>
    <cellStyle name="20% - Énfasis6 20 2 4" xfId="9059" xr:uid="{00000000-0005-0000-0000-000066230000}"/>
    <cellStyle name="20% - Énfasis6 20 2 4 2" xfId="9060" xr:uid="{00000000-0005-0000-0000-000067230000}"/>
    <cellStyle name="20% - Énfasis6 20 2 5" xfId="9061" xr:uid="{00000000-0005-0000-0000-000068230000}"/>
    <cellStyle name="20% - Énfasis6 20 3" xfId="9062" xr:uid="{00000000-0005-0000-0000-000069230000}"/>
    <cellStyle name="20% - Énfasis6 20 3 2" xfId="9063" xr:uid="{00000000-0005-0000-0000-00006A230000}"/>
    <cellStyle name="20% - Énfasis6 20 3 2 2" xfId="9064" xr:uid="{00000000-0005-0000-0000-00006B230000}"/>
    <cellStyle name="20% - Énfasis6 20 3 2 2 2" xfId="9065" xr:uid="{00000000-0005-0000-0000-00006C230000}"/>
    <cellStyle name="20% - Énfasis6 20 3 2 3" xfId="9066" xr:uid="{00000000-0005-0000-0000-00006D230000}"/>
    <cellStyle name="20% - Énfasis6 20 3 3" xfId="9067" xr:uid="{00000000-0005-0000-0000-00006E230000}"/>
    <cellStyle name="20% - Énfasis6 20 3 3 2" xfId="9068" xr:uid="{00000000-0005-0000-0000-00006F230000}"/>
    <cellStyle name="20% - Énfasis6 20 3 4" xfId="9069" xr:uid="{00000000-0005-0000-0000-000070230000}"/>
    <cellStyle name="20% - Énfasis6 20 4" xfId="9070" xr:uid="{00000000-0005-0000-0000-000071230000}"/>
    <cellStyle name="20% - Énfasis6 20 4 2" xfId="9071" xr:uid="{00000000-0005-0000-0000-000072230000}"/>
    <cellStyle name="20% - Énfasis6 20 4 2 2" xfId="9072" xr:uid="{00000000-0005-0000-0000-000073230000}"/>
    <cellStyle name="20% - Énfasis6 20 4 3" xfId="9073" xr:uid="{00000000-0005-0000-0000-000074230000}"/>
    <cellStyle name="20% - Énfasis6 20 5" xfId="9074" xr:uid="{00000000-0005-0000-0000-000075230000}"/>
    <cellStyle name="20% - Énfasis6 20 5 2" xfId="9075" xr:uid="{00000000-0005-0000-0000-000076230000}"/>
    <cellStyle name="20% - Énfasis6 20 5 2 2" xfId="9076" xr:uid="{00000000-0005-0000-0000-000077230000}"/>
    <cellStyle name="20% - Énfasis6 20 5 3" xfId="9077" xr:uid="{00000000-0005-0000-0000-000078230000}"/>
    <cellStyle name="20% - Énfasis6 20 6" xfId="9078" xr:uid="{00000000-0005-0000-0000-000079230000}"/>
    <cellStyle name="20% - Énfasis6 20 6 2" xfId="9079" xr:uid="{00000000-0005-0000-0000-00007A230000}"/>
    <cellStyle name="20% - Énfasis6 20 7" xfId="9080" xr:uid="{00000000-0005-0000-0000-00007B230000}"/>
    <cellStyle name="20% - Énfasis6 21" xfId="9081" xr:uid="{00000000-0005-0000-0000-00007C230000}"/>
    <cellStyle name="20% - Énfasis6 21 2" xfId="9082" xr:uid="{00000000-0005-0000-0000-00007D230000}"/>
    <cellStyle name="20% - Énfasis6 21 2 2" xfId="9083" xr:uid="{00000000-0005-0000-0000-00007E230000}"/>
    <cellStyle name="20% - Énfasis6 21 2 2 2" xfId="9084" xr:uid="{00000000-0005-0000-0000-00007F230000}"/>
    <cellStyle name="20% - Énfasis6 21 2 2 2 2" xfId="9085" xr:uid="{00000000-0005-0000-0000-000080230000}"/>
    <cellStyle name="20% - Énfasis6 21 2 2 3" xfId="9086" xr:uid="{00000000-0005-0000-0000-000081230000}"/>
    <cellStyle name="20% - Énfasis6 21 2 3" xfId="9087" xr:uid="{00000000-0005-0000-0000-000082230000}"/>
    <cellStyle name="20% - Énfasis6 21 2 3 2" xfId="9088" xr:uid="{00000000-0005-0000-0000-000083230000}"/>
    <cellStyle name="20% - Énfasis6 21 2 3 2 2" xfId="9089" xr:uid="{00000000-0005-0000-0000-000084230000}"/>
    <cellStyle name="20% - Énfasis6 21 2 3 3" xfId="9090" xr:uid="{00000000-0005-0000-0000-000085230000}"/>
    <cellStyle name="20% - Énfasis6 21 2 4" xfId="9091" xr:uid="{00000000-0005-0000-0000-000086230000}"/>
    <cellStyle name="20% - Énfasis6 21 2 4 2" xfId="9092" xr:uid="{00000000-0005-0000-0000-000087230000}"/>
    <cellStyle name="20% - Énfasis6 21 2 5" xfId="9093" xr:uid="{00000000-0005-0000-0000-000088230000}"/>
    <cellStyle name="20% - Énfasis6 21 3" xfId="9094" xr:uid="{00000000-0005-0000-0000-000089230000}"/>
    <cellStyle name="20% - Énfasis6 21 3 2" xfId="9095" xr:uid="{00000000-0005-0000-0000-00008A230000}"/>
    <cellStyle name="20% - Énfasis6 21 3 2 2" xfId="9096" xr:uid="{00000000-0005-0000-0000-00008B230000}"/>
    <cellStyle name="20% - Énfasis6 21 3 2 2 2" xfId="9097" xr:uid="{00000000-0005-0000-0000-00008C230000}"/>
    <cellStyle name="20% - Énfasis6 21 3 2 3" xfId="9098" xr:uid="{00000000-0005-0000-0000-00008D230000}"/>
    <cellStyle name="20% - Énfasis6 21 3 3" xfId="9099" xr:uid="{00000000-0005-0000-0000-00008E230000}"/>
    <cellStyle name="20% - Énfasis6 21 3 3 2" xfId="9100" xr:uid="{00000000-0005-0000-0000-00008F230000}"/>
    <cellStyle name="20% - Énfasis6 21 3 4" xfId="9101" xr:uid="{00000000-0005-0000-0000-000090230000}"/>
    <cellStyle name="20% - Énfasis6 21 4" xfId="9102" xr:uid="{00000000-0005-0000-0000-000091230000}"/>
    <cellStyle name="20% - Énfasis6 21 4 2" xfId="9103" xr:uid="{00000000-0005-0000-0000-000092230000}"/>
    <cellStyle name="20% - Énfasis6 21 4 2 2" xfId="9104" xr:uid="{00000000-0005-0000-0000-000093230000}"/>
    <cellStyle name="20% - Énfasis6 21 4 3" xfId="9105" xr:uid="{00000000-0005-0000-0000-000094230000}"/>
    <cellStyle name="20% - Énfasis6 21 5" xfId="9106" xr:uid="{00000000-0005-0000-0000-000095230000}"/>
    <cellStyle name="20% - Énfasis6 21 5 2" xfId="9107" xr:uid="{00000000-0005-0000-0000-000096230000}"/>
    <cellStyle name="20% - Énfasis6 21 5 2 2" xfId="9108" xr:uid="{00000000-0005-0000-0000-000097230000}"/>
    <cellStyle name="20% - Énfasis6 21 5 3" xfId="9109" xr:uid="{00000000-0005-0000-0000-000098230000}"/>
    <cellStyle name="20% - Énfasis6 21 6" xfId="9110" xr:uid="{00000000-0005-0000-0000-000099230000}"/>
    <cellStyle name="20% - Énfasis6 21 6 2" xfId="9111" xr:uid="{00000000-0005-0000-0000-00009A230000}"/>
    <cellStyle name="20% - Énfasis6 21 7" xfId="9112" xr:uid="{00000000-0005-0000-0000-00009B230000}"/>
    <cellStyle name="20% - Énfasis6 22" xfId="9113" xr:uid="{00000000-0005-0000-0000-00009C230000}"/>
    <cellStyle name="20% - Énfasis6 22 2" xfId="9114" xr:uid="{00000000-0005-0000-0000-00009D230000}"/>
    <cellStyle name="20% - Énfasis6 22 2 2" xfId="9115" xr:uid="{00000000-0005-0000-0000-00009E230000}"/>
    <cellStyle name="20% - Énfasis6 22 2 2 2" xfId="9116" xr:uid="{00000000-0005-0000-0000-00009F230000}"/>
    <cellStyle name="20% - Énfasis6 22 2 2 2 2" xfId="9117" xr:uid="{00000000-0005-0000-0000-0000A0230000}"/>
    <cellStyle name="20% - Énfasis6 22 2 2 3" xfId="9118" xr:uid="{00000000-0005-0000-0000-0000A1230000}"/>
    <cellStyle name="20% - Énfasis6 22 2 3" xfId="9119" xr:uid="{00000000-0005-0000-0000-0000A2230000}"/>
    <cellStyle name="20% - Énfasis6 22 2 3 2" xfId="9120" xr:uid="{00000000-0005-0000-0000-0000A3230000}"/>
    <cellStyle name="20% - Énfasis6 22 2 3 2 2" xfId="9121" xr:uid="{00000000-0005-0000-0000-0000A4230000}"/>
    <cellStyle name="20% - Énfasis6 22 2 3 3" xfId="9122" xr:uid="{00000000-0005-0000-0000-0000A5230000}"/>
    <cellStyle name="20% - Énfasis6 22 2 4" xfId="9123" xr:uid="{00000000-0005-0000-0000-0000A6230000}"/>
    <cellStyle name="20% - Énfasis6 22 2 4 2" xfId="9124" xr:uid="{00000000-0005-0000-0000-0000A7230000}"/>
    <cellStyle name="20% - Énfasis6 22 2 5" xfId="9125" xr:uid="{00000000-0005-0000-0000-0000A8230000}"/>
    <cellStyle name="20% - Énfasis6 22 3" xfId="9126" xr:uid="{00000000-0005-0000-0000-0000A9230000}"/>
    <cellStyle name="20% - Énfasis6 22 3 2" xfId="9127" xr:uid="{00000000-0005-0000-0000-0000AA230000}"/>
    <cellStyle name="20% - Énfasis6 22 3 2 2" xfId="9128" xr:uid="{00000000-0005-0000-0000-0000AB230000}"/>
    <cellStyle name="20% - Énfasis6 22 3 2 2 2" xfId="9129" xr:uid="{00000000-0005-0000-0000-0000AC230000}"/>
    <cellStyle name="20% - Énfasis6 22 3 2 3" xfId="9130" xr:uid="{00000000-0005-0000-0000-0000AD230000}"/>
    <cellStyle name="20% - Énfasis6 22 3 3" xfId="9131" xr:uid="{00000000-0005-0000-0000-0000AE230000}"/>
    <cellStyle name="20% - Énfasis6 22 3 3 2" xfId="9132" xr:uid="{00000000-0005-0000-0000-0000AF230000}"/>
    <cellStyle name="20% - Énfasis6 22 3 4" xfId="9133" xr:uid="{00000000-0005-0000-0000-0000B0230000}"/>
    <cellStyle name="20% - Énfasis6 22 4" xfId="9134" xr:uid="{00000000-0005-0000-0000-0000B1230000}"/>
    <cellStyle name="20% - Énfasis6 22 4 2" xfId="9135" xr:uid="{00000000-0005-0000-0000-0000B2230000}"/>
    <cellStyle name="20% - Énfasis6 22 4 2 2" xfId="9136" xr:uid="{00000000-0005-0000-0000-0000B3230000}"/>
    <cellStyle name="20% - Énfasis6 22 4 3" xfId="9137" xr:uid="{00000000-0005-0000-0000-0000B4230000}"/>
    <cellStyle name="20% - Énfasis6 22 5" xfId="9138" xr:uid="{00000000-0005-0000-0000-0000B5230000}"/>
    <cellStyle name="20% - Énfasis6 22 5 2" xfId="9139" xr:uid="{00000000-0005-0000-0000-0000B6230000}"/>
    <cellStyle name="20% - Énfasis6 22 5 2 2" xfId="9140" xr:uid="{00000000-0005-0000-0000-0000B7230000}"/>
    <cellStyle name="20% - Énfasis6 22 5 3" xfId="9141" xr:uid="{00000000-0005-0000-0000-0000B8230000}"/>
    <cellStyle name="20% - Énfasis6 22 6" xfId="9142" xr:uid="{00000000-0005-0000-0000-0000B9230000}"/>
    <cellStyle name="20% - Énfasis6 22 6 2" xfId="9143" xr:uid="{00000000-0005-0000-0000-0000BA230000}"/>
    <cellStyle name="20% - Énfasis6 22 7" xfId="9144" xr:uid="{00000000-0005-0000-0000-0000BB230000}"/>
    <cellStyle name="20% - Énfasis6 23" xfId="9145" xr:uid="{00000000-0005-0000-0000-0000BC230000}"/>
    <cellStyle name="20% - Énfasis6 23 2" xfId="9146" xr:uid="{00000000-0005-0000-0000-0000BD230000}"/>
    <cellStyle name="20% - Énfasis6 23 2 2" xfId="9147" xr:uid="{00000000-0005-0000-0000-0000BE230000}"/>
    <cellStyle name="20% - Énfasis6 23 2 2 2" xfId="9148" xr:uid="{00000000-0005-0000-0000-0000BF230000}"/>
    <cellStyle name="20% - Énfasis6 23 2 2 2 2" xfId="9149" xr:uid="{00000000-0005-0000-0000-0000C0230000}"/>
    <cellStyle name="20% - Énfasis6 23 2 2 3" xfId="9150" xr:uid="{00000000-0005-0000-0000-0000C1230000}"/>
    <cellStyle name="20% - Énfasis6 23 2 3" xfId="9151" xr:uid="{00000000-0005-0000-0000-0000C2230000}"/>
    <cellStyle name="20% - Énfasis6 23 2 3 2" xfId="9152" xr:uid="{00000000-0005-0000-0000-0000C3230000}"/>
    <cellStyle name="20% - Énfasis6 23 2 3 2 2" xfId="9153" xr:uid="{00000000-0005-0000-0000-0000C4230000}"/>
    <cellStyle name="20% - Énfasis6 23 2 3 3" xfId="9154" xr:uid="{00000000-0005-0000-0000-0000C5230000}"/>
    <cellStyle name="20% - Énfasis6 23 2 4" xfId="9155" xr:uid="{00000000-0005-0000-0000-0000C6230000}"/>
    <cellStyle name="20% - Énfasis6 23 2 4 2" xfId="9156" xr:uid="{00000000-0005-0000-0000-0000C7230000}"/>
    <cellStyle name="20% - Énfasis6 23 2 5" xfId="9157" xr:uid="{00000000-0005-0000-0000-0000C8230000}"/>
    <cellStyle name="20% - Énfasis6 23 3" xfId="9158" xr:uid="{00000000-0005-0000-0000-0000C9230000}"/>
    <cellStyle name="20% - Énfasis6 23 3 2" xfId="9159" xr:uid="{00000000-0005-0000-0000-0000CA230000}"/>
    <cellStyle name="20% - Énfasis6 23 3 2 2" xfId="9160" xr:uid="{00000000-0005-0000-0000-0000CB230000}"/>
    <cellStyle name="20% - Énfasis6 23 3 2 2 2" xfId="9161" xr:uid="{00000000-0005-0000-0000-0000CC230000}"/>
    <cellStyle name="20% - Énfasis6 23 3 2 3" xfId="9162" xr:uid="{00000000-0005-0000-0000-0000CD230000}"/>
    <cellStyle name="20% - Énfasis6 23 3 3" xfId="9163" xr:uid="{00000000-0005-0000-0000-0000CE230000}"/>
    <cellStyle name="20% - Énfasis6 23 3 3 2" xfId="9164" xr:uid="{00000000-0005-0000-0000-0000CF230000}"/>
    <cellStyle name="20% - Énfasis6 23 3 4" xfId="9165" xr:uid="{00000000-0005-0000-0000-0000D0230000}"/>
    <cellStyle name="20% - Énfasis6 23 4" xfId="9166" xr:uid="{00000000-0005-0000-0000-0000D1230000}"/>
    <cellStyle name="20% - Énfasis6 23 4 2" xfId="9167" xr:uid="{00000000-0005-0000-0000-0000D2230000}"/>
    <cellStyle name="20% - Énfasis6 23 4 2 2" xfId="9168" xr:uid="{00000000-0005-0000-0000-0000D3230000}"/>
    <cellStyle name="20% - Énfasis6 23 4 3" xfId="9169" xr:uid="{00000000-0005-0000-0000-0000D4230000}"/>
    <cellStyle name="20% - Énfasis6 23 5" xfId="9170" xr:uid="{00000000-0005-0000-0000-0000D5230000}"/>
    <cellStyle name="20% - Énfasis6 23 5 2" xfId="9171" xr:uid="{00000000-0005-0000-0000-0000D6230000}"/>
    <cellStyle name="20% - Énfasis6 23 5 2 2" xfId="9172" xr:uid="{00000000-0005-0000-0000-0000D7230000}"/>
    <cellStyle name="20% - Énfasis6 23 5 3" xfId="9173" xr:uid="{00000000-0005-0000-0000-0000D8230000}"/>
    <cellStyle name="20% - Énfasis6 23 6" xfId="9174" xr:uid="{00000000-0005-0000-0000-0000D9230000}"/>
    <cellStyle name="20% - Énfasis6 23 6 2" xfId="9175" xr:uid="{00000000-0005-0000-0000-0000DA230000}"/>
    <cellStyle name="20% - Énfasis6 23 7" xfId="9176" xr:uid="{00000000-0005-0000-0000-0000DB230000}"/>
    <cellStyle name="20% - Énfasis6 24" xfId="9177" xr:uid="{00000000-0005-0000-0000-0000DC230000}"/>
    <cellStyle name="20% - Énfasis6 24 2" xfId="9178" xr:uid="{00000000-0005-0000-0000-0000DD230000}"/>
    <cellStyle name="20% - Énfasis6 24 2 2" xfId="9179" xr:uid="{00000000-0005-0000-0000-0000DE230000}"/>
    <cellStyle name="20% - Énfasis6 24 2 2 2" xfId="9180" xr:uid="{00000000-0005-0000-0000-0000DF230000}"/>
    <cellStyle name="20% - Énfasis6 24 2 2 2 2" xfId="9181" xr:uid="{00000000-0005-0000-0000-0000E0230000}"/>
    <cellStyle name="20% - Énfasis6 24 2 2 3" xfId="9182" xr:uid="{00000000-0005-0000-0000-0000E1230000}"/>
    <cellStyle name="20% - Énfasis6 24 2 3" xfId="9183" xr:uid="{00000000-0005-0000-0000-0000E2230000}"/>
    <cellStyle name="20% - Énfasis6 24 2 3 2" xfId="9184" xr:uid="{00000000-0005-0000-0000-0000E3230000}"/>
    <cellStyle name="20% - Énfasis6 24 2 3 2 2" xfId="9185" xr:uid="{00000000-0005-0000-0000-0000E4230000}"/>
    <cellStyle name="20% - Énfasis6 24 2 3 3" xfId="9186" xr:uid="{00000000-0005-0000-0000-0000E5230000}"/>
    <cellStyle name="20% - Énfasis6 24 2 4" xfId="9187" xr:uid="{00000000-0005-0000-0000-0000E6230000}"/>
    <cellStyle name="20% - Énfasis6 24 2 4 2" xfId="9188" xr:uid="{00000000-0005-0000-0000-0000E7230000}"/>
    <cellStyle name="20% - Énfasis6 24 2 5" xfId="9189" xr:uid="{00000000-0005-0000-0000-0000E8230000}"/>
    <cellStyle name="20% - Énfasis6 24 3" xfId="9190" xr:uid="{00000000-0005-0000-0000-0000E9230000}"/>
    <cellStyle name="20% - Énfasis6 24 3 2" xfId="9191" xr:uid="{00000000-0005-0000-0000-0000EA230000}"/>
    <cellStyle name="20% - Énfasis6 24 3 2 2" xfId="9192" xr:uid="{00000000-0005-0000-0000-0000EB230000}"/>
    <cellStyle name="20% - Énfasis6 24 3 2 2 2" xfId="9193" xr:uid="{00000000-0005-0000-0000-0000EC230000}"/>
    <cellStyle name="20% - Énfasis6 24 3 2 3" xfId="9194" xr:uid="{00000000-0005-0000-0000-0000ED230000}"/>
    <cellStyle name="20% - Énfasis6 24 3 3" xfId="9195" xr:uid="{00000000-0005-0000-0000-0000EE230000}"/>
    <cellStyle name="20% - Énfasis6 24 3 3 2" xfId="9196" xr:uid="{00000000-0005-0000-0000-0000EF230000}"/>
    <cellStyle name="20% - Énfasis6 24 3 4" xfId="9197" xr:uid="{00000000-0005-0000-0000-0000F0230000}"/>
    <cellStyle name="20% - Énfasis6 24 4" xfId="9198" xr:uid="{00000000-0005-0000-0000-0000F1230000}"/>
    <cellStyle name="20% - Énfasis6 24 4 2" xfId="9199" xr:uid="{00000000-0005-0000-0000-0000F2230000}"/>
    <cellStyle name="20% - Énfasis6 24 4 2 2" xfId="9200" xr:uid="{00000000-0005-0000-0000-0000F3230000}"/>
    <cellStyle name="20% - Énfasis6 24 4 3" xfId="9201" xr:uid="{00000000-0005-0000-0000-0000F4230000}"/>
    <cellStyle name="20% - Énfasis6 24 5" xfId="9202" xr:uid="{00000000-0005-0000-0000-0000F5230000}"/>
    <cellStyle name="20% - Énfasis6 24 5 2" xfId="9203" xr:uid="{00000000-0005-0000-0000-0000F6230000}"/>
    <cellStyle name="20% - Énfasis6 24 5 2 2" xfId="9204" xr:uid="{00000000-0005-0000-0000-0000F7230000}"/>
    <cellStyle name="20% - Énfasis6 24 5 3" xfId="9205" xr:uid="{00000000-0005-0000-0000-0000F8230000}"/>
    <cellStyle name="20% - Énfasis6 24 6" xfId="9206" xr:uid="{00000000-0005-0000-0000-0000F9230000}"/>
    <cellStyle name="20% - Énfasis6 24 6 2" xfId="9207" xr:uid="{00000000-0005-0000-0000-0000FA230000}"/>
    <cellStyle name="20% - Énfasis6 24 7" xfId="9208" xr:uid="{00000000-0005-0000-0000-0000FB230000}"/>
    <cellStyle name="20% - Énfasis6 25" xfId="9209" xr:uid="{00000000-0005-0000-0000-0000FC230000}"/>
    <cellStyle name="20% - Énfasis6 25 2" xfId="9210" xr:uid="{00000000-0005-0000-0000-0000FD230000}"/>
    <cellStyle name="20% - Énfasis6 25 2 2" xfId="9211" xr:uid="{00000000-0005-0000-0000-0000FE230000}"/>
    <cellStyle name="20% - Énfasis6 25 2 2 2" xfId="9212" xr:uid="{00000000-0005-0000-0000-0000FF230000}"/>
    <cellStyle name="20% - Énfasis6 25 2 2 2 2" xfId="9213" xr:uid="{00000000-0005-0000-0000-000000240000}"/>
    <cellStyle name="20% - Énfasis6 25 2 2 3" xfId="9214" xr:uid="{00000000-0005-0000-0000-000001240000}"/>
    <cellStyle name="20% - Énfasis6 25 2 3" xfId="9215" xr:uid="{00000000-0005-0000-0000-000002240000}"/>
    <cellStyle name="20% - Énfasis6 25 2 3 2" xfId="9216" xr:uid="{00000000-0005-0000-0000-000003240000}"/>
    <cellStyle name="20% - Énfasis6 25 2 3 2 2" xfId="9217" xr:uid="{00000000-0005-0000-0000-000004240000}"/>
    <cellStyle name="20% - Énfasis6 25 2 3 3" xfId="9218" xr:uid="{00000000-0005-0000-0000-000005240000}"/>
    <cellStyle name="20% - Énfasis6 25 2 4" xfId="9219" xr:uid="{00000000-0005-0000-0000-000006240000}"/>
    <cellStyle name="20% - Énfasis6 25 2 4 2" xfId="9220" xr:uid="{00000000-0005-0000-0000-000007240000}"/>
    <cellStyle name="20% - Énfasis6 25 2 5" xfId="9221" xr:uid="{00000000-0005-0000-0000-000008240000}"/>
    <cellStyle name="20% - Énfasis6 25 3" xfId="9222" xr:uid="{00000000-0005-0000-0000-000009240000}"/>
    <cellStyle name="20% - Énfasis6 25 3 2" xfId="9223" xr:uid="{00000000-0005-0000-0000-00000A240000}"/>
    <cellStyle name="20% - Énfasis6 25 3 2 2" xfId="9224" xr:uid="{00000000-0005-0000-0000-00000B240000}"/>
    <cellStyle name="20% - Énfasis6 25 3 2 2 2" xfId="9225" xr:uid="{00000000-0005-0000-0000-00000C240000}"/>
    <cellStyle name="20% - Énfasis6 25 3 2 3" xfId="9226" xr:uid="{00000000-0005-0000-0000-00000D240000}"/>
    <cellStyle name="20% - Énfasis6 25 3 3" xfId="9227" xr:uid="{00000000-0005-0000-0000-00000E240000}"/>
    <cellStyle name="20% - Énfasis6 25 3 3 2" xfId="9228" xr:uid="{00000000-0005-0000-0000-00000F240000}"/>
    <cellStyle name="20% - Énfasis6 25 3 4" xfId="9229" xr:uid="{00000000-0005-0000-0000-000010240000}"/>
    <cellStyle name="20% - Énfasis6 25 4" xfId="9230" xr:uid="{00000000-0005-0000-0000-000011240000}"/>
    <cellStyle name="20% - Énfasis6 25 4 2" xfId="9231" xr:uid="{00000000-0005-0000-0000-000012240000}"/>
    <cellStyle name="20% - Énfasis6 25 4 2 2" xfId="9232" xr:uid="{00000000-0005-0000-0000-000013240000}"/>
    <cellStyle name="20% - Énfasis6 25 4 3" xfId="9233" xr:uid="{00000000-0005-0000-0000-000014240000}"/>
    <cellStyle name="20% - Énfasis6 25 5" xfId="9234" xr:uid="{00000000-0005-0000-0000-000015240000}"/>
    <cellStyle name="20% - Énfasis6 25 5 2" xfId="9235" xr:uid="{00000000-0005-0000-0000-000016240000}"/>
    <cellStyle name="20% - Énfasis6 25 5 2 2" xfId="9236" xr:uid="{00000000-0005-0000-0000-000017240000}"/>
    <cellStyle name="20% - Énfasis6 25 5 3" xfId="9237" xr:uid="{00000000-0005-0000-0000-000018240000}"/>
    <cellStyle name="20% - Énfasis6 25 6" xfId="9238" xr:uid="{00000000-0005-0000-0000-000019240000}"/>
    <cellStyle name="20% - Énfasis6 25 6 2" xfId="9239" xr:uid="{00000000-0005-0000-0000-00001A240000}"/>
    <cellStyle name="20% - Énfasis6 25 7" xfId="9240" xr:uid="{00000000-0005-0000-0000-00001B240000}"/>
    <cellStyle name="20% - Énfasis6 26" xfId="9241" xr:uid="{00000000-0005-0000-0000-00001C240000}"/>
    <cellStyle name="20% - Énfasis6 26 2" xfId="9242" xr:uid="{00000000-0005-0000-0000-00001D240000}"/>
    <cellStyle name="20% - Énfasis6 26 2 2" xfId="9243" xr:uid="{00000000-0005-0000-0000-00001E240000}"/>
    <cellStyle name="20% - Énfasis6 26 2 2 2" xfId="9244" xr:uid="{00000000-0005-0000-0000-00001F240000}"/>
    <cellStyle name="20% - Énfasis6 26 2 2 2 2" xfId="9245" xr:uid="{00000000-0005-0000-0000-000020240000}"/>
    <cellStyle name="20% - Énfasis6 26 2 2 3" xfId="9246" xr:uid="{00000000-0005-0000-0000-000021240000}"/>
    <cellStyle name="20% - Énfasis6 26 2 3" xfId="9247" xr:uid="{00000000-0005-0000-0000-000022240000}"/>
    <cellStyle name="20% - Énfasis6 26 2 3 2" xfId="9248" xr:uid="{00000000-0005-0000-0000-000023240000}"/>
    <cellStyle name="20% - Énfasis6 26 2 3 2 2" xfId="9249" xr:uid="{00000000-0005-0000-0000-000024240000}"/>
    <cellStyle name="20% - Énfasis6 26 2 3 3" xfId="9250" xr:uid="{00000000-0005-0000-0000-000025240000}"/>
    <cellStyle name="20% - Énfasis6 26 2 4" xfId="9251" xr:uid="{00000000-0005-0000-0000-000026240000}"/>
    <cellStyle name="20% - Énfasis6 26 2 4 2" xfId="9252" xr:uid="{00000000-0005-0000-0000-000027240000}"/>
    <cellStyle name="20% - Énfasis6 26 2 5" xfId="9253" xr:uid="{00000000-0005-0000-0000-000028240000}"/>
    <cellStyle name="20% - Énfasis6 26 3" xfId="9254" xr:uid="{00000000-0005-0000-0000-000029240000}"/>
    <cellStyle name="20% - Énfasis6 26 3 2" xfId="9255" xr:uid="{00000000-0005-0000-0000-00002A240000}"/>
    <cellStyle name="20% - Énfasis6 26 3 2 2" xfId="9256" xr:uid="{00000000-0005-0000-0000-00002B240000}"/>
    <cellStyle name="20% - Énfasis6 26 3 2 2 2" xfId="9257" xr:uid="{00000000-0005-0000-0000-00002C240000}"/>
    <cellStyle name="20% - Énfasis6 26 3 2 3" xfId="9258" xr:uid="{00000000-0005-0000-0000-00002D240000}"/>
    <cellStyle name="20% - Énfasis6 26 3 3" xfId="9259" xr:uid="{00000000-0005-0000-0000-00002E240000}"/>
    <cellStyle name="20% - Énfasis6 26 3 3 2" xfId="9260" xr:uid="{00000000-0005-0000-0000-00002F240000}"/>
    <cellStyle name="20% - Énfasis6 26 3 4" xfId="9261" xr:uid="{00000000-0005-0000-0000-000030240000}"/>
    <cellStyle name="20% - Énfasis6 26 4" xfId="9262" xr:uid="{00000000-0005-0000-0000-000031240000}"/>
    <cellStyle name="20% - Énfasis6 26 4 2" xfId="9263" xr:uid="{00000000-0005-0000-0000-000032240000}"/>
    <cellStyle name="20% - Énfasis6 26 4 2 2" xfId="9264" xr:uid="{00000000-0005-0000-0000-000033240000}"/>
    <cellStyle name="20% - Énfasis6 26 4 3" xfId="9265" xr:uid="{00000000-0005-0000-0000-000034240000}"/>
    <cellStyle name="20% - Énfasis6 26 5" xfId="9266" xr:uid="{00000000-0005-0000-0000-000035240000}"/>
    <cellStyle name="20% - Énfasis6 26 5 2" xfId="9267" xr:uid="{00000000-0005-0000-0000-000036240000}"/>
    <cellStyle name="20% - Énfasis6 26 5 2 2" xfId="9268" xr:uid="{00000000-0005-0000-0000-000037240000}"/>
    <cellStyle name="20% - Énfasis6 26 5 3" xfId="9269" xr:uid="{00000000-0005-0000-0000-000038240000}"/>
    <cellStyle name="20% - Énfasis6 26 6" xfId="9270" xr:uid="{00000000-0005-0000-0000-000039240000}"/>
    <cellStyle name="20% - Énfasis6 26 6 2" xfId="9271" xr:uid="{00000000-0005-0000-0000-00003A240000}"/>
    <cellStyle name="20% - Énfasis6 26 7" xfId="9272" xr:uid="{00000000-0005-0000-0000-00003B240000}"/>
    <cellStyle name="20% - Énfasis6 27" xfId="9273" xr:uid="{00000000-0005-0000-0000-00003C240000}"/>
    <cellStyle name="20% - Énfasis6 27 2" xfId="9274" xr:uid="{00000000-0005-0000-0000-00003D240000}"/>
    <cellStyle name="20% - Énfasis6 27 2 2" xfId="9275" xr:uid="{00000000-0005-0000-0000-00003E240000}"/>
    <cellStyle name="20% - Énfasis6 27 2 2 2" xfId="9276" xr:uid="{00000000-0005-0000-0000-00003F240000}"/>
    <cellStyle name="20% - Énfasis6 27 2 2 2 2" xfId="9277" xr:uid="{00000000-0005-0000-0000-000040240000}"/>
    <cellStyle name="20% - Énfasis6 27 2 2 3" xfId="9278" xr:uid="{00000000-0005-0000-0000-000041240000}"/>
    <cellStyle name="20% - Énfasis6 27 2 3" xfId="9279" xr:uid="{00000000-0005-0000-0000-000042240000}"/>
    <cellStyle name="20% - Énfasis6 27 2 3 2" xfId="9280" xr:uid="{00000000-0005-0000-0000-000043240000}"/>
    <cellStyle name="20% - Énfasis6 27 2 3 2 2" xfId="9281" xr:uid="{00000000-0005-0000-0000-000044240000}"/>
    <cellStyle name="20% - Énfasis6 27 2 3 3" xfId="9282" xr:uid="{00000000-0005-0000-0000-000045240000}"/>
    <cellStyle name="20% - Énfasis6 27 2 4" xfId="9283" xr:uid="{00000000-0005-0000-0000-000046240000}"/>
    <cellStyle name="20% - Énfasis6 27 2 4 2" xfId="9284" xr:uid="{00000000-0005-0000-0000-000047240000}"/>
    <cellStyle name="20% - Énfasis6 27 2 5" xfId="9285" xr:uid="{00000000-0005-0000-0000-000048240000}"/>
    <cellStyle name="20% - Énfasis6 27 3" xfId="9286" xr:uid="{00000000-0005-0000-0000-000049240000}"/>
    <cellStyle name="20% - Énfasis6 27 3 2" xfId="9287" xr:uid="{00000000-0005-0000-0000-00004A240000}"/>
    <cellStyle name="20% - Énfasis6 27 3 2 2" xfId="9288" xr:uid="{00000000-0005-0000-0000-00004B240000}"/>
    <cellStyle name="20% - Énfasis6 27 3 3" xfId="9289" xr:uid="{00000000-0005-0000-0000-00004C240000}"/>
    <cellStyle name="20% - Énfasis6 27 4" xfId="9290" xr:uid="{00000000-0005-0000-0000-00004D240000}"/>
    <cellStyle name="20% - Énfasis6 27 4 2" xfId="9291" xr:uid="{00000000-0005-0000-0000-00004E240000}"/>
    <cellStyle name="20% - Énfasis6 27 4 2 2" xfId="9292" xr:uid="{00000000-0005-0000-0000-00004F240000}"/>
    <cellStyle name="20% - Énfasis6 27 4 3" xfId="9293" xr:uid="{00000000-0005-0000-0000-000050240000}"/>
    <cellStyle name="20% - Énfasis6 27 5" xfId="9294" xr:uid="{00000000-0005-0000-0000-000051240000}"/>
    <cellStyle name="20% - Énfasis6 27 5 2" xfId="9295" xr:uid="{00000000-0005-0000-0000-000052240000}"/>
    <cellStyle name="20% - Énfasis6 27 6" xfId="9296" xr:uid="{00000000-0005-0000-0000-000053240000}"/>
    <cellStyle name="20% - Énfasis6 28" xfId="9297" xr:uid="{00000000-0005-0000-0000-000054240000}"/>
    <cellStyle name="20% - Énfasis6 28 2" xfId="9298" xr:uid="{00000000-0005-0000-0000-000055240000}"/>
    <cellStyle name="20% - Énfasis6 28 2 2" xfId="9299" xr:uid="{00000000-0005-0000-0000-000056240000}"/>
    <cellStyle name="20% - Énfasis6 28 2 2 2" xfId="9300" xr:uid="{00000000-0005-0000-0000-000057240000}"/>
    <cellStyle name="20% - Énfasis6 28 2 2 2 2" xfId="9301" xr:uid="{00000000-0005-0000-0000-000058240000}"/>
    <cellStyle name="20% - Énfasis6 28 2 2 3" xfId="9302" xr:uid="{00000000-0005-0000-0000-000059240000}"/>
    <cellStyle name="20% - Énfasis6 28 2 3" xfId="9303" xr:uid="{00000000-0005-0000-0000-00005A240000}"/>
    <cellStyle name="20% - Énfasis6 28 2 3 2" xfId="9304" xr:uid="{00000000-0005-0000-0000-00005B240000}"/>
    <cellStyle name="20% - Énfasis6 28 2 4" xfId="9305" xr:uid="{00000000-0005-0000-0000-00005C240000}"/>
    <cellStyle name="20% - Énfasis6 28 3" xfId="9306" xr:uid="{00000000-0005-0000-0000-00005D240000}"/>
    <cellStyle name="20% - Énfasis6 28 3 2" xfId="9307" xr:uid="{00000000-0005-0000-0000-00005E240000}"/>
    <cellStyle name="20% - Énfasis6 28 3 2 2" xfId="9308" xr:uid="{00000000-0005-0000-0000-00005F240000}"/>
    <cellStyle name="20% - Énfasis6 28 3 3" xfId="9309" xr:uid="{00000000-0005-0000-0000-000060240000}"/>
    <cellStyle name="20% - Énfasis6 28 4" xfId="9310" xr:uid="{00000000-0005-0000-0000-000061240000}"/>
    <cellStyle name="20% - Énfasis6 28 4 2" xfId="9311" xr:uid="{00000000-0005-0000-0000-000062240000}"/>
    <cellStyle name="20% - Énfasis6 28 5" xfId="9312" xr:uid="{00000000-0005-0000-0000-000063240000}"/>
    <cellStyle name="20% - Énfasis6 29" xfId="9313" xr:uid="{00000000-0005-0000-0000-000064240000}"/>
    <cellStyle name="20% - Énfasis6 29 2" xfId="9314" xr:uid="{00000000-0005-0000-0000-000065240000}"/>
    <cellStyle name="20% - Énfasis6 29 2 2" xfId="9315" xr:uid="{00000000-0005-0000-0000-000066240000}"/>
    <cellStyle name="20% - Énfasis6 29 2 2 2" xfId="9316" xr:uid="{00000000-0005-0000-0000-000067240000}"/>
    <cellStyle name="20% - Énfasis6 29 2 2 2 2" xfId="9317" xr:uid="{00000000-0005-0000-0000-000068240000}"/>
    <cellStyle name="20% - Énfasis6 29 2 2 3" xfId="9318" xr:uid="{00000000-0005-0000-0000-000069240000}"/>
    <cellStyle name="20% - Énfasis6 29 2 3" xfId="9319" xr:uid="{00000000-0005-0000-0000-00006A240000}"/>
    <cellStyle name="20% - Énfasis6 29 2 3 2" xfId="9320" xr:uid="{00000000-0005-0000-0000-00006B240000}"/>
    <cellStyle name="20% - Énfasis6 29 2 4" xfId="9321" xr:uid="{00000000-0005-0000-0000-00006C240000}"/>
    <cellStyle name="20% - Énfasis6 29 3" xfId="9322" xr:uid="{00000000-0005-0000-0000-00006D240000}"/>
    <cellStyle name="20% - Énfasis6 29 3 2" xfId="9323" xr:uid="{00000000-0005-0000-0000-00006E240000}"/>
    <cellStyle name="20% - Énfasis6 29 3 2 2" xfId="9324" xr:uid="{00000000-0005-0000-0000-00006F240000}"/>
    <cellStyle name="20% - Énfasis6 29 3 3" xfId="9325" xr:uid="{00000000-0005-0000-0000-000070240000}"/>
    <cellStyle name="20% - Énfasis6 29 4" xfId="9326" xr:uid="{00000000-0005-0000-0000-000071240000}"/>
    <cellStyle name="20% - Énfasis6 29 4 2" xfId="9327" xr:uid="{00000000-0005-0000-0000-000072240000}"/>
    <cellStyle name="20% - Énfasis6 29 5" xfId="9328" xr:uid="{00000000-0005-0000-0000-000073240000}"/>
    <cellStyle name="20% - Énfasis6 3" xfId="9329" xr:uid="{00000000-0005-0000-0000-000074240000}"/>
    <cellStyle name="20% - Énfasis6 3 2" xfId="9330" xr:uid="{00000000-0005-0000-0000-000075240000}"/>
    <cellStyle name="20% - Énfasis6 3 2 2" xfId="9331" xr:uid="{00000000-0005-0000-0000-000076240000}"/>
    <cellStyle name="20% - Énfasis6 3 2 2 2" xfId="9332" xr:uid="{00000000-0005-0000-0000-000077240000}"/>
    <cellStyle name="20% - Énfasis6 3 2 2 2 2" xfId="9333" xr:uid="{00000000-0005-0000-0000-000078240000}"/>
    <cellStyle name="20% - Énfasis6 3 2 2 2 2 2" xfId="9334" xr:uid="{00000000-0005-0000-0000-000079240000}"/>
    <cellStyle name="20% - Énfasis6 3 2 2 2 3" xfId="9335" xr:uid="{00000000-0005-0000-0000-00007A240000}"/>
    <cellStyle name="20% - Énfasis6 3 2 2 3" xfId="9336" xr:uid="{00000000-0005-0000-0000-00007B240000}"/>
    <cellStyle name="20% - Énfasis6 3 2 2 3 2" xfId="9337" xr:uid="{00000000-0005-0000-0000-00007C240000}"/>
    <cellStyle name="20% - Énfasis6 3 2 2 4" xfId="9338" xr:uid="{00000000-0005-0000-0000-00007D240000}"/>
    <cellStyle name="20% - Énfasis6 3 2 3" xfId="9339" xr:uid="{00000000-0005-0000-0000-00007E240000}"/>
    <cellStyle name="20% - Énfasis6 3 2 3 2" xfId="9340" xr:uid="{00000000-0005-0000-0000-00007F240000}"/>
    <cellStyle name="20% - Énfasis6 3 2 3 2 2" xfId="9341" xr:uid="{00000000-0005-0000-0000-000080240000}"/>
    <cellStyle name="20% - Énfasis6 3 2 3 3" xfId="9342" xr:uid="{00000000-0005-0000-0000-000081240000}"/>
    <cellStyle name="20% - Énfasis6 3 2 4" xfId="9343" xr:uid="{00000000-0005-0000-0000-000082240000}"/>
    <cellStyle name="20% - Énfasis6 3 2 4 2" xfId="9344" xr:uid="{00000000-0005-0000-0000-000083240000}"/>
    <cellStyle name="20% - Énfasis6 3 2 4 2 2" xfId="9345" xr:uid="{00000000-0005-0000-0000-000084240000}"/>
    <cellStyle name="20% - Énfasis6 3 2 4 3" xfId="9346" xr:uid="{00000000-0005-0000-0000-000085240000}"/>
    <cellStyle name="20% - Énfasis6 3 2 5" xfId="9347" xr:uid="{00000000-0005-0000-0000-000086240000}"/>
    <cellStyle name="20% - Énfasis6 3 2 5 2" xfId="9348" xr:uid="{00000000-0005-0000-0000-000087240000}"/>
    <cellStyle name="20% - Énfasis6 3 2 6" xfId="9349" xr:uid="{00000000-0005-0000-0000-000088240000}"/>
    <cellStyle name="20% - Énfasis6 3 3" xfId="9350" xr:uid="{00000000-0005-0000-0000-000089240000}"/>
    <cellStyle name="20% - Énfasis6 3 3 2" xfId="9351" xr:uid="{00000000-0005-0000-0000-00008A240000}"/>
    <cellStyle name="20% - Énfasis6 3 3 2 2" xfId="9352" xr:uid="{00000000-0005-0000-0000-00008B240000}"/>
    <cellStyle name="20% - Énfasis6 3 3 2 2 2" xfId="9353" xr:uid="{00000000-0005-0000-0000-00008C240000}"/>
    <cellStyle name="20% - Énfasis6 3 3 2 3" xfId="9354" xr:uid="{00000000-0005-0000-0000-00008D240000}"/>
    <cellStyle name="20% - Énfasis6 3 3 3" xfId="9355" xr:uid="{00000000-0005-0000-0000-00008E240000}"/>
    <cellStyle name="20% - Énfasis6 3 3 3 2" xfId="9356" xr:uid="{00000000-0005-0000-0000-00008F240000}"/>
    <cellStyle name="20% - Énfasis6 3 3 3 2 2" xfId="9357" xr:uid="{00000000-0005-0000-0000-000090240000}"/>
    <cellStyle name="20% - Énfasis6 3 3 3 3" xfId="9358" xr:uid="{00000000-0005-0000-0000-000091240000}"/>
    <cellStyle name="20% - Énfasis6 3 3 4" xfId="9359" xr:uid="{00000000-0005-0000-0000-000092240000}"/>
    <cellStyle name="20% - Énfasis6 3 3 4 2" xfId="9360" xr:uid="{00000000-0005-0000-0000-000093240000}"/>
    <cellStyle name="20% - Énfasis6 3 3 5" xfId="9361" xr:uid="{00000000-0005-0000-0000-000094240000}"/>
    <cellStyle name="20% - Énfasis6 3 4" xfId="9362" xr:uid="{00000000-0005-0000-0000-000095240000}"/>
    <cellStyle name="20% - Énfasis6 3 4 2" xfId="9363" xr:uid="{00000000-0005-0000-0000-000096240000}"/>
    <cellStyle name="20% - Énfasis6 3 4 2 2" xfId="9364" xr:uid="{00000000-0005-0000-0000-000097240000}"/>
    <cellStyle name="20% - Énfasis6 3 4 2 2 2" xfId="9365" xr:uid="{00000000-0005-0000-0000-000098240000}"/>
    <cellStyle name="20% - Énfasis6 3 4 2 3" xfId="9366" xr:uid="{00000000-0005-0000-0000-000099240000}"/>
    <cellStyle name="20% - Énfasis6 3 4 3" xfId="9367" xr:uid="{00000000-0005-0000-0000-00009A240000}"/>
    <cellStyle name="20% - Énfasis6 3 4 3 2" xfId="9368" xr:uid="{00000000-0005-0000-0000-00009B240000}"/>
    <cellStyle name="20% - Énfasis6 3 4 4" xfId="9369" xr:uid="{00000000-0005-0000-0000-00009C240000}"/>
    <cellStyle name="20% - Énfasis6 3 5" xfId="9370" xr:uid="{00000000-0005-0000-0000-00009D240000}"/>
    <cellStyle name="20% - Énfasis6 3 5 2" xfId="9371" xr:uid="{00000000-0005-0000-0000-00009E240000}"/>
    <cellStyle name="20% - Énfasis6 3 5 2 2" xfId="9372" xr:uid="{00000000-0005-0000-0000-00009F240000}"/>
    <cellStyle name="20% - Énfasis6 3 5 3" xfId="9373" xr:uid="{00000000-0005-0000-0000-0000A0240000}"/>
    <cellStyle name="20% - Énfasis6 3 6" xfId="9374" xr:uid="{00000000-0005-0000-0000-0000A1240000}"/>
    <cellStyle name="20% - Énfasis6 3 6 2" xfId="9375" xr:uid="{00000000-0005-0000-0000-0000A2240000}"/>
    <cellStyle name="20% - Énfasis6 3 6 2 2" xfId="9376" xr:uid="{00000000-0005-0000-0000-0000A3240000}"/>
    <cellStyle name="20% - Énfasis6 3 6 3" xfId="9377" xr:uid="{00000000-0005-0000-0000-0000A4240000}"/>
    <cellStyle name="20% - Énfasis6 3 7" xfId="9378" xr:uid="{00000000-0005-0000-0000-0000A5240000}"/>
    <cellStyle name="20% - Énfasis6 3 7 2" xfId="9379" xr:uid="{00000000-0005-0000-0000-0000A6240000}"/>
    <cellStyle name="20% - Énfasis6 3 8" xfId="9380" xr:uid="{00000000-0005-0000-0000-0000A7240000}"/>
    <cellStyle name="20% - Énfasis6 30" xfId="9381" xr:uid="{00000000-0005-0000-0000-0000A8240000}"/>
    <cellStyle name="20% - Énfasis6 30 2" xfId="9382" xr:uid="{00000000-0005-0000-0000-0000A9240000}"/>
    <cellStyle name="20% - Énfasis6 30 2 2" xfId="9383" xr:uid="{00000000-0005-0000-0000-0000AA240000}"/>
    <cellStyle name="20% - Énfasis6 30 2 2 2" xfId="9384" xr:uid="{00000000-0005-0000-0000-0000AB240000}"/>
    <cellStyle name="20% - Énfasis6 30 2 3" xfId="9385" xr:uid="{00000000-0005-0000-0000-0000AC240000}"/>
    <cellStyle name="20% - Énfasis6 30 3" xfId="9386" xr:uid="{00000000-0005-0000-0000-0000AD240000}"/>
    <cellStyle name="20% - Énfasis6 30 3 2" xfId="9387" xr:uid="{00000000-0005-0000-0000-0000AE240000}"/>
    <cellStyle name="20% - Énfasis6 30 3 2 2" xfId="9388" xr:uid="{00000000-0005-0000-0000-0000AF240000}"/>
    <cellStyle name="20% - Énfasis6 30 3 3" xfId="9389" xr:uid="{00000000-0005-0000-0000-0000B0240000}"/>
    <cellStyle name="20% - Énfasis6 30 4" xfId="9390" xr:uid="{00000000-0005-0000-0000-0000B1240000}"/>
    <cellStyle name="20% - Énfasis6 30 4 2" xfId="9391" xr:uid="{00000000-0005-0000-0000-0000B2240000}"/>
    <cellStyle name="20% - Énfasis6 30 5" xfId="9392" xr:uid="{00000000-0005-0000-0000-0000B3240000}"/>
    <cellStyle name="20% - Énfasis6 31" xfId="9393" xr:uid="{00000000-0005-0000-0000-0000B4240000}"/>
    <cellStyle name="20% - Énfasis6 31 2" xfId="9394" xr:uid="{00000000-0005-0000-0000-0000B5240000}"/>
    <cellStyle name="20% - Énfasis6 31 2 2" xfId="9395" xr:uid="{00000000-0005-0000-0000-0000B6240000}"/>
    <cellStyle name="20% - Énfasis6 31 2 2 2" xfId="9396" xr:uid="{00000000-0005-0000-0000-0000B7240000}"/>
    <cellStyle name="20% - Énfasis6 31 2 3" xfId="9397" xr:uid="{00000000-0005-0000-0000-0000B8240000}"/>
    <cellStyle name="20% - Énfasis6 31 3" xfId="9398" xr:uid="{00000000-0005-0000-0000-0000B9240000}"/>
    <cellStyle name="20% - Énfasis6 31 3 2" xfId="9399" xr:uid="{00000000-0005-0000-0000-0000BA240000}"/>
    <cellStyle name="20% - Énfasis6 31 3 2 2" xfId="9400" xr:uid="{00000000-0005-0000-0000-0000BB240000}"/>
    <cellStyle name="20% - Énfasis6 31 3 3" xfId="9401" xr:uid="{00000000-0005-0000-0000-0000BC240000}"/>
    <cellStyle name="20% - Énfasis6 31 4" xfId="9402" xr:uid="{00000000-0005-0000-0000-0000BD240000}"/>
    <cellStyle name="20% - Énfasis6 31 4 2" xfId="9403" xr:uid="{00000000-0005-0000-0000-0000BE240000}"/>
    <cellStyle name="20% - Énfasis6 31 5" xfId="9404" xr:uid="{00000000-0005-0000-0000-0000BF240000}"/>
    <cellStyle name="20% - Énfasis6 32" xfId="9405" xr:uid="{00000000-0005-0000-0000-0000C0240000}"/>
    <cellStyle name="20% - Énfasis6 32 2" xfId="9406" xr:uid="{00000000-0005-0000-0000-0000C1240000}"/>
    <cellStyle name="20% - Énfasis6 32 2 2" xfId="9407" xr:uid="{00000000-0005-0000-0000-0000C2240000}"/>
    <cellStyle name="20% - Énfasis6 32 2 2 2" xfId="9408" xr:uid="{00000000-0005-0000-0000-0000C3240000}"/>
    <cellStyle name="20% - Énfasis6 32 2 3" xfId="9409" xr:uid="{00000000-0005-0000-0000-0000C4240000}"/>
    <cellStyle name="20% - Énfasis6 32 3" xfId="9410" xr:uid="{00000000-0005-0000-0000-0000C5240000}"/>
    <cellStyle name="20% - Énfasis6 32 3 2" xfId="9411" xr:uid="{00000000-0005-0000-0000-0000C6240000}"/>
    <cellStyle name="20% - Énfasis6 32 3 2 2" xfId="9412" xr:uid="{00000000-0005-0000-0000-0000C7240000}"/>
    <cellStyle name="20% - Énfasis6 32 3 3" xfId="9413" xr:uid="{00000000-0005-0000-0000-0000C8240000}"/>
    <cellStyle name="20% - Énfasis6 32 4" xfId="9414" xr:uid="{00000000-0005-0000-0000-0000C9240000}"/>
    <cellStyle name="20% - Énfasis6 32 4 2" xfId="9415" xr:uid="{00000000-0005-0000-0000-0000CA240000}"/>
    <cellStyle name="20% - Énfasis6 32 5" xfId="9416" xr:uid="{00000000-0005-0000-0000-0000CB240000}"/>
    <cellStyle name="20% - Énfasis6 33" xfId="9417" xr:uid="{00000000-0005-0000-0000-0000CC240000}"/>
    <cellStyle name="20% - Énfasis6 33 2" xfId="9418" xr:uid="{00000000-0005-0000-0000-0000CD240000}"/>
    <cellStyle name="20% - Énfasis6 33 2 2" xfId="9419" xr:uid="{00000000-0005-0000-0000-0000CE240000}"/>
    <cellStyle name="20% - Énfasis6 33 2 2 2" xfId="9420" xr:uid="{00000000-0005-0000-0000-0000CF240000}"/>
    <cellStyle name="20% - Énfasis6 33 2 3" xfId="9421" xr:uid="{00000000-0005-0000-0000-0000D0240000}"/>
    <cellStyle name="20% - Énfasis6 33 3" xfId="9422" xr:uid="{00000000-0005-0000-0000-0000D1240000}"/>
    <cellStyle name="20% - Énfasis6 33 3 2" xfId="9423" xr:uid="{00000000-0005-0000-0000-0000D2240000}"/>
    <cellStyle name="20% - Énfasis6 33 4" xfId="9424" xr:uid="{00000000-0005-0000-0000-0000D3240000}"/>
    <cellStyle name="20% - Énfasis6 34" xfId="9425" xr:uid="{00000000-0005-0000-0000-0000D4240000}"/>
    <cellStyle name="20% - Énfasis6 34 2" xfId="9426" xr:uid="{00000000-0005-0000-0000-0000D5240000}"/>
    <cellStyle name="20% - Énfasis6 34 2 2" xfId="9427" xr:uid="{00000000-0005-0000-0000-0000D6240000}"/>
    <cellStyle name="20% - Énfasis6 34 2 2 2" xfId="9428" xr:uid="{00000000-0005-0000-0000-0000D7240000}"/>
    <cellStyle name="20% - Énfasis6 34 2 3" xfId="9429" xr:uid="{00000000-0005-0000-0000-0000D8240000}"/>
    <cellStyle name="20% - Énfasis6 34 3" xfId="9430" xr:uid="{00000000-0005-0000-0000-0000D9240000}"/>
    <cellStyle name="20% - Énfasis6 34 3 2" xfId="9431" xr:uid="{00000000-0005-0000-0000-0000DA240000}"/>
    <cellStyle name="20% - Énfasis6 34 4" xfId="9432" xr:uid="{00000000-0005-0000-0000-0000DB240000}"/>
    <cellStyle name="20% - Énfasis6 35" xfId="9433" xr:uid="{00000000-0005-0000-0000-0000DC240000}"/>
    <cellStyle name="20% - Énfasis6 35 2" xfId="9434" xr:uid="{00000000-0005-0000-0000-0000DD240000}"/>
    <cellStyle name="20% - Énfasis6 35 2 2" xfId="9435" xr:uid="{00000000-0005-0000-0000-0000DE240000}"/>
    <cellStyle name="20% - Énfasis6 35 2 2 2" xfId="9436" xr:uid="{00000000-0005-0000-0000-0000DF240000}"/>
    <cellStyle name="20% - Énfasis6 35 2 3" xfId="9437" xr:uid="{00000000-0005-0000-0000-0000E0240000}"/>
    <cellStyle name="20% - Énfasis6 35 3" xfId="9438" xr:uid="{00000000-0005-0000-0000-0000E1240000}"/>
    <cellStyle name="20% - Énfasis6 35 3 2" xfId="9439" xr:uid="{00000000-0005-0000-0000-0000E2240000}"/>
    <cellStyle name="20% - Énfasis6 35 4" xfId="9440" xr:uid="{00000000-0005-0000-0000-0000E3240000}"/>
    <cellStyle name="20% - Énfasis6 36" xfId="9441" xr:uid="{00000000-0005-0000-0000-0000E4240000}"/>
    <cellStyle name="20% - Énfasis6 36 2" xfId="9442" xr:uid="{00000000-0005-0000-0000-0000E5240000}"/>
    <cellStyle name="20% - Énfasis6 36 2 2" xfId="9443" xr:uid="{00000000-0005-0000-0000-0000E6240000}"/>
    <cellStyle name="20% - Énfasis6 36 2 2 2" xfId="9444" xr:uid="{00000000-0005-0000-0000-0000E7240000}"/>
    <cellStyle name="20% - Énfasis6 36 2 3" xfId="9445" xr:uid="{00000000-0005-0000-0000-0000E8240000}"/>
    <cellStyle name="20% - Énfasis6 36 3" xfId="9446" xr:uid="{00000000-0005-0000-0000-0000E9240000}"/>
    <cellStyle name="20% - Énfasis6 36 3 2" xfId="9447" xr:uid="{00000000-0005-0000-0000-0000EA240000}"/>
    <cellStyle name="20% - Énfasis6 36 4" xfId="9448" xr:uid="{00000000-0005-0000-0000-0000EB240000}"/>
    <cellStyle name="20% - Énfasis6 37" xfId="9449" xr:uid="{00000000-0005-0000-0000-0000EC240000}"/>
    <cellStyle name="20% - Énfasis6 37 2" xfId="9450" xr:uid="{00000000-0005-0000-0000-0000ED240000}"/>
    <cellStyle name="20% - Énfasis6 37 2 2" xfId="9451" xr:uid="{00000000-0005-0000-0000-0000EE240000}"/>
    <cellStyle name="20% - Énfasis6 37 2 2 2" xfId="9452" xr:uid="{00000000-0005-0000-0000-0000EF240000}"/>
    <cellStyle name="20% - Énfasis6 37 2 3" xfId="9453" xr:uid="{00000000-0005-0000-0000-0000F0240000}"/>
    <cellStyle name="20% - Énfasis6 37 3" xfId="9454" xr:uid="{00000000-0005-0000-0000-0000F1240000}"/>
    <cellStyle name="20% - Énfasis6 37 3 2" xfId="9455" xr:uid="{00000000-0005-0000-0000-0000F2240000}"/>
    <cellStyle name="20% - Énfasis6 37 4" xfId="9456" xr:uid="{00000000-0005-0000-0000-0000F3240000}"/>
    <cellStyle name="20% - Énfasis6 38" xfId="9457" xr:uid="{00000000-0005-0000-0000-0000F4240000}"/>
    <cellStyle name="20% - Énfasis6 38 2" xfId="9458" xr:uid="{00000000-0005-0000-0000-0000F5240000}"/>
    <cellStyle name="20% - Énfasis6 38 2 2" xfId="9459" xr:uid="{00000000-0005-0000-0000-0000F6240000}"/>
    <cellStyle name="20% - Énfasis6 38 3" xfId="9460" xr:uid="{00000000-0005-0000-0000-0000F7240000}"/>
    <cellStyle name="20% - Énfasis6 39" xfId="9461" xr:uid="{00000000-0005-0000-0000-0000F8240000}"/>
    <cellStyle name="20% - Énfasis6 39 2" xfId="9462" xr:uid="{00000000-0005-0000-0000-0000F9240000}"/>
    <cellStyle name="20% - Énfasis6 39 2 2" xfId="9463" xr:uid="{00000000-0005-0000-0000-0000FA240000}"/>
    <cellStyle name="20% - Énfasis6 39 3" xfId="9464" xr:uid="{00000000-0005-0000-0000-0000FB240000}"/>
    <cellStyle name="20% - Énfasis6 4" xfId="9465" xr:uid="{00000000-0005-0000-0000-0000FC240000}"/>
    <cellStyle name="20% - Énfasis6 4 2" xfId="9466" xr:uid="{00000000-0005-0000-0000-0000FD240000}"/>
    <cellStyle name="20% - Énfasis6 4 2 2" xfId="9467" xr:uid="{00000000-0005-0000-0000-0000FE240000}"/>
    <cellStyle name="20% - Énfasis6 4 2 2 2" xfId="9468" xr:uid="{00000000-0005-0000-0000-0000FF240000}"/>
    <cellStyle name="20% - Énfasis6 4 2 2 2 2" xfId="9469" xr:uid="{00000000-0005-0000-0000-000000250000}"/>
    <cellStyle name="20% - Énfasis6 4 2 2 2 2 2" xfId="9470" xr:uid="{00000000-0005-0000-0000-000001250000}"/>
    <cellStyle name="20% - Énfasis6 4 2 2 2 3" xfId="9471" xr:uid="{00000000-0005-0000-0000-000002250000}"/>
    <cellStyle name="20% - Énfasis6 4 2 2 3" xfId="9472" xr:uid="{00000000-0005-0000-0000-000003250000}"/>
    <cellStyle name="20% - Énfasis6 4 2 2 3 2" xfId="9473" xr:uid="{00000000-0005-0000-0000-000004250000}"/>
    <cellStyle name="20% - Énfasis6 4 2 2 4" xfId="9474" xr:uid="{00000000-0005-0000-0000-000005250000}"/>
    <cellStyle name="20% - Énfasis6 4 2 3" xfId="9475" xr:uid="{00000000-0005-0000-0000-000006250000}"/>
    <cellStyle name="20% - Énfasis6 4 2 3 2" xfId="9476" xr:uid="{00000000-0005-0000-0000-000007250000}"/>
    <cellStyle name="20% - Énfasis6 4 2 3 2 2" xfId="9477" xr:uid="{00000000-0005-0000-0000-000008250000}"/>
    <cellStyle name="20% - Énfasis6 4 2 3 3" xfId="9478" xr:uid="{00000000-0005-0000-0000-000009250000}"/>
    <cellStyle name="20% - Énfasis6 4 2 4" xfId="9479" xr:uid="{00000000-0005-0000-0000-00000A250000}"/>
    <cellStyle name="20% - Énfasis6 4 2 4 2" xfId="9480" xr:uid="{00000000-0005-0000-0000-00000B250000}"/>
    <cellStyle name="20% - Énfasis6 4 2 4 2 2" xfId="9481" xr:uid="{00000000-0005-0000-0000-00000C250000}"/>
    <cellStyle name="20% - Énfasis6 4 2 4 3" xfId="9482" xr:uid="{00000000-0005-0000-0000-00000D250000}"/>
    <cellStyle name="20% - Énfasis6 4 2 5" xfId="9483" xr:uid="{00000000-0005-0000-0000-00000E250000}"/>
    <cellStyle name="20% - Énfasis6 4 2 5 2" xfId="9484" xr:uid="{00000000-0005-0000-0000-00000F250000}"/>
    <cellStyle name="20% - Énfasis6 4 2 6" xfId="9485" xr:uid="{00000000-0005-0000-0000-000010250000}"/>
    <cellStyle name="20% - Énfasis6 4 3" xfId="9486" xr:uid="{00000000-0005-0000-0000-000011250000}"/>
    <cellStyle name="20% - Énfasis6 4 3 2" xfId="9487" xr:uid="{00000000-0005-0000-0000-000012250000}"/>
    <cellStyle name="20% - Énfasis6 4 3 2 2" xfId="9488" xr:uid="{00000000-0005-0000-0000-000013250000}"/>
    <cellStyle name="20% - Énfasis6 4 3 2 2 2" xfId="9489" xr:uid="{00000000-0005-0000-0000-000014250000}"/>
    <cellStyle name="20% - Énfasis6 4 3 2 3" xfId="9490" xr:uid="{00000000-0005-0000-0000-000015250000}"/>
    <cellStyle name="20% - Énfasis6 4 3 3" xfId="9491" xr:uid="{00000000-0005-0000-0000-000016250000}"/>
    <cellStyle name="20% - Énfasis6 4 3 3 2" xfId="9492" xr:uid="{00000000-0005-0000-0000-000017250000}"/>
    <cellStyle name="20% - Énfasis6 4 3 3 2 2" xfId="9493" xr:uid="{00000000-0005-0000-0000-000018250000}"/>
    <cellStyle name="20% - Énfasis6 4 3 3 3" xfId="9494" xr:uid="{00000000-0005-0000-0000-000019250000}"/>
    <cellStyle name="20% - Énfasis6 4 3 4" xfId="9495" xr:uid="{00000000-0005-0000-0000-00001A250000}"/>
    <cellStyle name="20% - Énfasis6 4 3 4 2" xfId="9496" xr:uid="{00000000-0005-0000-0000-00001B250000}"/>
    <cellStyle name="20% - Énfasis6 4 3 5" xfId="9497" xr:uid="{00000000-0005-0000-0000-00001C250000}"/>
    <cellStyle name="20% - Énfasis6 4 4" xfId="9498" xr:uid="{00000000-0005-0000-0000-00001D250000}"/>
    <cellStyle name="20% - Énfasis6 4 4 2" xfId="9499" xr:uid="{00000000-0005-0000-0000-00001E250000}"/>
    <cellStyle name="20% - Énfasis6 4 4 2 2" xfId="9500" xr:uid="{00000000-0005-0000-0000-00001F250000}"/>
    <cellStyle name="20% - Énfasis6 4 4 2 2 2" xfId="9501" xr:uid="{00000000-0005-0000-0000-000020250000}"/>
    <cellStyle name="20% - Énfasis6 4 4 2 3" xfId="9502" xr:uid="{00000000-0005-0000-0000-000021250000}"/>
    <cellStyle name="20% - Énfasis6 4 4 3" xfId="9503" xr:uid="{00000000-0005-0000-0000-000022250000}"/>
    <cellStyle name="20% - Énfasis6 4 4 3 2" xfId="9504" xr:uid="{00000000-0005-0000-0000-000023250000}"/>
    <cellStyle name="20% - Énfasis6 4 4 4" xfId="9505" xr:uid="{00000000-0005-0000-0000-000024250000}"/>
    <cellStyle name="20% - Énfasis6 4 5" xfId="9506" xr:uid="{00000000-0005-0000-0000-000025250000}"/>
    <cellStyle name="20% - Énfasis6 4 5 2" xfId="9507" xr:uid="{00000000-0005-0000-0000-000026250000}"/>
    <cellStyle name="20% - Énfasis6 4 5 2 2" xfId="9508" xr:uid="{00000000-0005-0000-0000-000027250000}"/>
    <cellStyle name="20% - Énfasis6 4 5 3" xfId="9509" xr:uid="{00000000-0005-0000-0000-000028250000}"/>
    <cellStyle name="20% - Énfasis6 4 6" xfId="9510" xr:uid="{00000000-0005-0000-0000-000029250000}"/>
    <cellStyle name="20% - Énfasis6 4 6 2" xfId="9511" xr:uid="{00000000-0005-0000-0000-00002A250000}"/>
    <cellStyle name="20% - Énfasis6 4 6 2 2" xfId="9512" xr:uid="{00000000-0005-0000-0000-00002B250000}"/>
    <cellStyle name="20% - Énfasis6 4 6 3" xfId="9513" xr:uid="{00000000-0005-0000-0000-00002C250000}"/>
    <cellStyle name="20% - Énfasis6 4 7" xfId="9514" xr:uid="{00000000-0005-0000-0000-00002D250000}"/>
    <cellStyle name="20% - Énfasis6 4 7 2" xfId="9515" xr:uid="{00000000-0005-0000-0000-00002E250000}"/>
    <cellStyle name="20% - Énfasis6 4 8" xfId="9516" xr:uid="{00000000-0005-0000-0000-00002F250000}"/>
    <cellStyle name="20% - Énfasis6 40" xfId="9517" xr:uid="{00000000-0005-0000-0000-000030250000}"/>
    <cellStyle name="20% - Énfasis6 40 2" xfId="9518" xr:uid="{00000000-0005-0000-0000-000031250000}"/>
    <cellStyle name="20% - Énfasis6 40 2 2" xfId="9519" xr:uid="{00000000-0005-0000-0000-000032250000}"/>
    <cellStyle name="20% - Énfasis6 40 3" xfId="9520" xr:uid="{00000000-0005-0000-0000-000033250000}"/>
    <cellStyle name="20% - Énfasis6 41" xfId="9521" xr:uid="{00000000-0005-0000-0000-000034250000}"/>
    <cellStyle name="20% - Énfasis6 41 2" xfId="9522" xr:uid="{00000000-0005-0000-0000-000035250000}"/>
    <cellStyle name="20% - Énfasis6 41 2 2" xfId="9523" xr:uid="{00000000-0005-0000-0000-000036250000}"/>
    <cellStyle name="20% - Énfasis6 41 3" xfId="9524" xr:uid="{00000000-0005-0000-0000-000037250000}"/>
    <cellStyle name="20% - Énfasis6 42" xfId="9525" xr:uid="{00000000-0005-0000-0000-000038250000}"/>
    <cellStyle name="20% - Énfasis6 42 2" xfId="9526" xr:uid="{00000000-0005-0000-0000-000039250000}"/>
    <cellStyle name="20% - Énfasis6 42 2 2" xfId="9527" xr:uid="{00000000-0005-0000-0000-00003A250000}"/>
    <cellStyle name="20% - Énfasis6 42 3" xfId="9528" xr:uid="{00000000-0005-0000-0000-00003B250000}"/>
    <cellStyle name="20% - Énfasis6 43" xfId="9529" xr:uid="{00000000-0005-0000-0000-00003C250000}"/>
    <cellStyle name="20% - Énfasis6 43 2" xfId="9530" xr:uid="{00000000-0005-0000-0000-00003D250000}"/>
    <cellStyle name="20% - Énfasis6 43 2 2" xfId="9531" xr:uid="{00000000-0005-0000-0000-00003E250000}"/>
    <cellStyle name="20% - Énfasis6 43 3" xfId="9532" xr:uid="{00000000-0005-0000-0000-00003F250000}"/>
    <cellStyle name="20% - Énfasis6 44" xfId="9533" xr:uid="{00000000-0005-0000-0000-000040250000}"/>
    <cellStyle name="20% - Énfasis6 44 2" xfId="9534" xr:uid="{00000000-0005-0000-0000-000041250000}"/>
    <cellStyle name="20% - Énfasis6 44 2 2" xfId="9535" xr:uid="{00000000-0005-0000-0000-000042250000}"/>
    <cellStyle name="20% - Énfasis6 44 3" xfId="9536" xr:uid="{00000000-0005-0000-0000-000043250000}"/>
    <cellStyle name="20% - Énfasis6 45" xfId="9537" xr:uid="{00000000-0005-0000-0000-000044250000}"/>
    <cellStyle name="20% - Énfasis6 45 2" xfId="9538" xr:uid="{00000000-0005-0000-0000-000045250000}"/>
    <cellStyle name="20% - Énfasis6 45 2 2" xfId="9539" xr:uid="{00000000-0005-0000-0000-000046250000}"/>
    <cellStyle name="20% - Énfasis6 45 3" xfId="9540" xr:uid="{00000000-0005-0000-0000-000047250000}"/>
    <cellStyle name="20% - Énfasis6 46" xfId="9541" xr:uid="{00000000-0005-0000-0000-000048250000}"/>
    <cellStyle name="20% - Énfasis6 46 2" xfId="9542" xr:uid="{00000000-0005-0000-0000-000049250000}"/>
    <cellStyle name="20% - Énfasis6 47" xfId="9543" xr:uid="{00000000-0005-0000-0000-00004A250000}"/>
    <cellStyle name="20% - Énfasis6 47 2" xfId="9544" xr:uid="{00000000-0005-0000-0000-00004B250000}"/>
    <cellStyle name="20% - Énfasis6 48" xfId="9545" xr:uid="{00000000-0005-0000-0000-00004C250000}"/>
    <cellStyle name="20% - Énfasis6 48 2" xfId="9546" xr:uid="{00000000-0005-0000-0000-00004D250000}"/>
    <cellStyle name="20% - Énfasis6 49" xfId="9547" xr:uid="{00000000-0005-0000-0000-00004E250000}"/>
    <cellStyle name="20% - Énfasis6 49 2" xfId="9548" xr:uid="{00000000-0005-0000-0000-00004F250000}"/>
    <cellStyle name="20% - Énfasis6 5" xfId="9549" xr:uid="{00000000-0005-0000-0000-000050250000}"/>
    <cellStyle name="20% - Énfasis6 5 2" xfId="9550" xr:uid="{00000000-0005-0000-0000-000051250000}"/>
    <cellStyle name="20% - Énfasis6 5 2 2" xfId="9551" xr:uid="{00000000-0005-0000-0000-000052250000}"/>
    <cellStyle name="20% - Énfasis6 5 2 2 2" xfId="9552" xr:uid="{00000000-0005-0000-0000-000053250000}"/>
    <cellStyle name="20% - Énfasis6 5 2 2 2 2" xfId="9553" xr:uid="{00000000-0005-0000-0000-000054250000}"/>
    <cellStyle name="20% - Énfasis6 5 2 2 2 2 2" xfId="9554" xr:uid="{00000000-0005-0000-0000-000055250000}"/>
    <cellStyle name="20% - Énfasis6 5 2 2 2 3" xfId="9555" xr:uid="{00000000-0005-0000-0000-000056250000}"/>
    <cellStyle name="20% - Énfasis6 5 2 2 3" xfId="9556" xr:uid="{00000000-0005-0000-0000-000057250000}"/>
    <cellStyle name="20% - Énfasis6 5 2 2 3 2" xfId="9557" xr:uid="{00000000-0005-0000-0000-000058250000}"/>
    <cellStyle name="20% - Énfasis6 5 2 2 4" xfId="9558" xr:uid="{00000000-0005-0000-0000-000059250000}"/>
    <cellStyle name="20% - Énfasis6 5 2 3" xfId="9559" xr:uid="{00000000-0005-0000-0000-00005A250000}"/>
    <cellStyle name="20% - Énfasis6 5 2 3 2" xfId="9560" xr:uid="{00000000-0005-0000-0000-00005B250000}"/>
    <cellStyle name="20% - Énfasis6 5 2 3 2 2" xfId="9561" xr:uid="{00000000-0005-0000-0000-00005C250000}"/>
    <cellStyle name="20% - Énfasis6 5 2 3 3" xfId="9562" xr:uid="{00000000-0005-0000-0000-00005D250000}"/>
    <cellStyle name="20% - Énfasis6 5 2 4" xfId="9563" xr:uid="{00000000-0005-0000-0000-00005E250000}"/>
    <cellStyle name="20% - Énfasis6 5 2 4 2" xfId="9564" xr:uid="{00000000-0005-0000-0000-00005F250000}"/>
    <cellStyle name="20% - Énfasis6 5 2 4 2 2" xfId="9565" xr:uid="{00000000-0005-0000-0000-000060250000}"/>
    <cellStyle name="20% - Énfasis6 5 2 4 3" xfId="9566" xr:uid="{00000000-0005-0000-0000-000061250000}"/>
    <cellStyle name="20% - Énfasis6 5 2 5" xfId="9567" xr:uid="{00000000-0005-0000-0000-000062250000}"/>
    <cellStyle name="20% - Énfasis6 5 2 5 2" xfId="9568" xr:uid="{00000000-0005-0000-0000-000063250000}"/>
    <cellStyle name="20% - Énfasis6 5 2 6" xfId="9569" xr:uid="{00000000-0005-0000-0000-000064250000}"/>
    <cellStyle name="20% - Énfasis6 5 3" xfId="9570" xr:uid="{00000000-0005-0000-0000-000065250000}"/>
    <cellStyle name="20% - Énfasis6 5 3 2" xfId="9571" xr:uid="{00000000-0005-0000-0000-000066250000}"/>
    <cellStyle name="20% - Énfasis6 5 3 2 2" xfId="9572" xr:uid="{00000000-0005-0000-0000-000067250000}"/>
    <cellStyle name="20% - Énfasis6 5 3 2 2 2" xfId="9573" xr:uid="{00000000-0005-0000-0000-000068250000}"/>
    <cellStyle name="20% - Énfasis6 5 3 2 3" xfId="9574" xr:uid="{00000000-0005-0000-0000-000069250000}"/>
    <cellStyle name="20% - Énfasis6 5 3 3" xfId="9575" xr:uid="{00000000-0005-0000-0000-00006A250000}"/>
    <cellStyle name="20% - Énfasis6 5 3 3 2" xfId="9576" xr:uid="{00000000-0005-0000-0000-00006B250000}"/>
    <cellStyle name="20% - Énfasis6 5 3 3 2 2" xfId="9577" xr:uid="{00000000-0005-0000-0000-00006C250000}"/>
    <cellStyle name="20% - Énfasis6 5 3 3 3" xfId="9578" xr:uid="{00000000-0005-0000-0000-00006D250000}"/>
    <cellStyle name="20% - Énfasis6 5 3 4" xfId="9579" xr:uid="{00000000-0005-0000-0000-00006E250000}"/>
    <cellStyle name="20% - Énfasis6 5 3 4 2" xfId="9580" xr:uid="{00000000-0005-0000-0000-00006F250000}"/>
    <cellStyle name="20% - Énfasis6 5 3 5" xfId="9581" xr:uid="{00000000-0005-0000-0000-000070250000}"/>
    <cellStyle name="20% - Énfasis6 5 4" xfId="9582" xr:uid="{00000000-0005-0000-0000-000071250000}"/>
    <cellStyle name="20% - Énfasis6 5 4 2" xfId="9583" xr:uid="{00000000-0005-0000-0000-000072250000}"/>
    <cellStyle name="20% - Énfasis6 5 4 2 2" xfId="9584" xr:uid="{00000000-0005-0000-0000-000073250000}"/>
    <cellStyle name="20% - Énfasis6 5 4 2 2 2" xfId="9585" xr:uid="{00000000-0005-0000-0000-000074250000}"/>
    <cellStyle name="20% - Énfasis6 5 4 2 3" xfId="9586" xr:uid="{00000000-0005-0000-0000-000075250000}"/>
    <cellStyle name="20% - Énfasis6 5 4 3" xfId="9587" xr:uid="{00000000-0005-0000-0000-000076250000}"/>
    <cellStyle name="20% - Énfasis6 5 4 3 2" xfId="9588" xr:uid="{00000000-0005-0000-0000-000077250000}"/>
    <cellStyle name="20% - Énfasis6 5 4 4" xfId="9589" xr:uid="{00000000-0005-0000-0000-000078250000}"/>
    <cellStyle name="20% - Énfasis6 5 5" xfId="9590" xr:uid="{00000000-0005-0000-0000-000079250000}"/>
    <cellStyle name="20% - Énfasis6 5 5 2" xfId="9591" xr:uid="{00000000-0005-0000-0000-00007A250000}"/>
    <cellStyle name="20% - Énfasis6 5 5 2 2" xfId="9592" xr:uid="{00000000-0005-0000-0000-00007B250000}"/>
    <cellStyle name="20% - Énfasis6 5 5 3" xfId="9593" xr:uid="{00000000-0005-0000-0000-00007C250000}"/>
    <cellStyle name="20% - Énfasis6 5 6" xfId="9594" xr:uid="{00000000-0005-0000-0000-00007D250000}"/>
    <cellStyle name="20% - Énfasis6 5 6 2" xfId="9595" xr:uid="{00000000-0005-0000-0000-00007E250000}"/>
    <cellStyle name="20% - Énfasis6 5 6 2 2" xfId="9596" xr:uid="{00000000-0005-0000-0000-00007F250000}"/>
    <cellStyle name="20% - Énfasis6 5 6 3" xfId="9597" xr:uid="{00000000-0005-0000-0000-000080250000}"/>
    <cellStyle name="20% - Énfasis6 5 7" xfId="9598" xr:uid="{00000000-0005-0000-0000-000081250000}"/>
    <cellStyle name="20% - Énfasis6 5 7 2" xfId="9599" xr:uid="{00000000-0005-0000-0000-000082250000}"/>
    <cellStyle name="20% - Énfasis6 5 8" xfId="9600" xr:uid="{00000000-0005-0000-0000-000083250000}"/>
    <cellStyle name="20% - Énfasis6 50" xfId="9601" xr:uid="{00000000-0005-0000-0000-000084250000}"/>
    <cellStyle name="20% - Énfasis6 50 2" xfId="9602" xr:uid="{00000000-0005-0000-0000-000085250000}"/>
    <cellStyle name="20% - Énfasis6 51" xfId="9603" xr:uid="{00000000-0005-0000-0000-000086250000}"/>
    <cellStyle name="20% - Énfasis6 51 2" xfId="9604" xr:uid="{00000000-0005-0000-0000-000087250000}"/>
    <cellStyle name="20% - Énfasis6 52" xfId="9605" xr:uid="{00000000-0005-0000-0000-000088250000}"/>
    <cellStyle name="20% - Énfasis6 52 2" xfId="9606" xr:uid="{00000000-0005-0000-0000-000089250000}"/>
    <cellStyle name="20% - Énfasis6 53" xfId="9607" xr:uid="{00000000-0005-0000-0000-00008A250000}"/>
    <cellStyle name="20% - Énfasis6 53 2" xfId="9608" xr:uid="{00000000-0005-0000-0000-00008B250000}"/>
    <cellStyle name="20% - Énfasis6 54" xfId="9609" xr:uid="{00000000-0005-0000-0000-00008C250000}"/>
    <cellStyle name="20% - Énfasis6 54 2" xfId="9610" xr:uid="{00000000-0005-0000-0000-00008D250000}"/>
    <cellStyle name="20% - Énfasis6 55" xfId="9611" xr:uid="{00000000-0005-0000-0000-00008E250000}"/>
    <cellStyle name="20% - Énfasis6 55 2" xfId="9612" xr:uid="{00000000-0005-0000-0000-00008F250000}"/>
    <cellStyle name="20% - Énfasis6 56" xfId="9613" xr:uid="{00000000-0005-0000-0000-000090250000}"/>
    <cellStyle name="20% - Énfasis6 56 2" xfId="9614" xr:uid="{00000000-0005-0000-0000-000091250000}"/>
    <cellStyle name="20% - Énfasis6 57" xfId="9615" xr:uid="{00000000-0005-0000-0000-000092250000}"/>
    <cellStyle name="20% - Énfasis6 57 2" xfId="9616" xr:uid="{00000000-0005-0000-0000-000093250000}"/>
    <cellStyle name="20% - Énfasis6 58" xfId="9617" xr:uid="{00000000-0005-0000-0000-000094250000}"/>
    <cellStyle name="20% - Énfasis6 58 2" xfId="9618" xr:uid="{00000000-0005-0000-0000-000095250000}"/>
    <cellStyle name="20% - Énfasis6 59" xfId="9619" xr:uid="{00000000-0005-0000-0000-000096250000}"/>
    <cellStyle name="20% - Énfasis6 59 2" xfId="9620" xr:uid="{00000000-0005-0000-0000-000097250000}"/>
    <cellStyle name="20% - Énfasis6 6" xfId="9621" xr:uid="{00000000-0005-0000-0000-000098250000}"/>
    <cellStyle name="20% - Énfasis6 6 2" xfId="9622" xr:uid="{00000000-0005-0000-0000-000099250000}"/>
    <cellStyle name="20% - Énfasis6 6 2 2" xfId="9623" xr:uid="{00000000-0005-0000-0000-00009A250000}"/>
    <cellStyle name="20% - Énfasis6 6 2 2 2" xfId="9624" xr:uid="{00000000-0005-0000-0000-00009B250000}"/>
    <cellStyle name="20% - Énfasis6 6 2 2 2 2" xfId="9625" xr:uid="{00000000-0005-0000-0000-00009C250000}"/>
    <cellStyle name="20% - Énfasis6 6 2 2 2 2 2" xfId="9626" xr:uid="{00000000-0005-0000-0000-00009D250000}"/>
    <cellStyle name="20% - Énfasis6 6 2 2 2 3" xfId="9627" xr:uid="{00000000-0005-0000-0000-00009E250000}"/>
    <cellStyle name="20% - Énfasis6 6 2 2 3" xfId="9628" xr:uid="{00000000-0005-0000-0000-00009F250000}"/>
    <cellStyle name="20% - Énfasis6 6 2 2 3 2" xfId="9629" xr:uid="{00000000-0005-0000-0000-0000A0250000}"/>
    <cellStyle name="20% - Énfasis6 6 2 2 4" xfId="9630" xr:uid="{00000000-0005-0000-0000-0000A1250000}"/>
    <cellStyle name="20% - Énfasis6 6 2 3" xfId="9631" xr:uid="{00000000-0005-0000-0000-0000A2250000}"/>
    <cellStyle name="20% - Énfasis6 6 2 3 2" xfId="9632" xr:uid="{00000000-0005-0000-0000-0000A3250000}"/>
    <cellStyle name="20% - Énfasis6 6 2 3 2 2" xfId="9633" xr:uid="{00000000-0005-0000-0000-0000A4250000}"/>
    <cellStyle name="20% - Énfasis6 6 2 3 3" xfId="9634" xr:uid="{00000000-0005-0000-0000-0000A5250000}"/>
    <cellStyle name="20% - Énfasis6 6 2 4" xfId="9635" xr:uid="{00000000-0005-0000-0000-0000A6250000}"/>
    <cellStyle name="20% - Énfasis6 6 2 4 2" xfId="9636" xr:uid="{00000000-0005-0000-0000-0000A7250000}"/>
    <cellStyle name="20% - Énfasis6 6 2 4 2 2" xfId="9637" xr:uid="{00000000-0005-0000-0000-0000A8250000}"/>
    <cellStyle name="20% - Énfasis6 6 2 4 3" xfId="9638" xr:uid="{00000000-0005-0000-0000-0000A9250000}"/>
    <cellStyle name="20% - Énfasis6 6 2 5" xfId="9639" xr:uid="{00000000-0005-0000-0000-0000AA250000}"/>
    <cellStyle name="20% - Énfasis6 6 2 5 2" xfId="9640" xr:uid="{00000000-0005-0000-0000-0000AB250000}"/>
    <cellStyle name="20% - Énfasis6 6 2 6" xfId="9641" xr:uid="{00000000-0005-0000-0000-0000AC250000}"/>
    <cellStyle name="20% - Énfasis6 6 3" xfId="9642" xr:uid="{00000000-0005-0000-0000-0000AD250000}"/>
    <cellStyle name="20% - Énfasis6 6 3 2" xfId="9643" xr:uid="{00000000-0005-0000-0000-0000AE250000}"/>
    <cellStyle name="20% - Énfasis6 6 3 2 2" xfId="9644" xr:uid="{00000000-0005-0000-0000-0000AF250000}"/>
    <cellStyle name="20% - Énfasis6 6 3 2 2 2" xfId="9645" xr:uid="{00000000-0005-0000-0000-0000B0250000}"/>
    <cellStyle name="20% - Énfasis6 6 3 2 3" xfId="9646" xr:uid="{00000000-0005-0000-0000-0000B1250000}"/>
    <cellStyle name="20% - Énfasis6 6 3 3" xfId="9647" xr:uid="{00000000-0005-0000-0000-0000B2250000}"/>
    <cellStyle name="20% - Énfasis6 6 3 3 2" xfId="9648" xr:uid="{00000000-0005-0000-0000-0000B3250000}"/>
    <cellStyle name="20% - Énfasis6 6 3 3 2 2" xfId="9649" xr:uid="{00000000-0005-0000-0000-0000B4250000}"/>
    <cellStyle name="20% - Énfasis6 6 3 3 3" xfId="9650" xr:uid="{00000000-0005-0000-0000-0000B5250000}"/>
    <cellStyle name="20% - Énfasis6 6 3 4" xfId="9651" xr:uid="{00000000-0005-0000-0000-0000B6250000}"/>
    <cellStyle name="20% - Énfasis6 6 3 4 2" xfId="9652" xr:uid="{00000000-0005-0000-0000-0000B7250000}"/>
    <cellStyle name="20% - Énfasis6 6 3 5" xfId="9653" xr:uid="{00000000-0005-0000-0000-0000B8250000}"/>
    <cellStyle name="20% - Énfasis6 6 4" xfId="9654" xr:uid="{00000000-0005-0000-0000-0000B9250000}"/>
    <cellStyle name="20% - Énfasis6 6 4 2" xfId="9655" xr:uid="{00000000-0005-0000-0000-0000BA250000}"/>
    <cellStyle name="20% - Énfasis6 6 4 2 2" xfId="9656" xr:uid="{00000000-0005-0000-0000-0000BB250000}"/>
    <cellStyle name="20% - Énfasis6 6 4 2 2 2" xfId="9657" xr:uid="{00000000-0005-0000-0000-0000BC250000}"/>
    <cellStyle name="20% - Énfasis6 6 4 2 3" xfId="9658" xr:uid="{00000000-0005-0000-0000-0000BD250000}"/>
    <cellStyle name="20% - Énfasis6 6 4 3" xfId="9659" xr:uid="{00000000-0005-0000-0000-0000BE250000}"/>
    <cellStyle name="20% - Énfasis6 6 4 3 2" xfId="9660" xr:uid="{00000000-0005-0000-0000-0000BF250000}"/>
    <cellStyle name="20% - Énfasis6 6 4 4" xfId="9661" xr:uid="{00000000-0005-0000-0000-0000C0250000}"/>
    <cellStyle name="20% - Énfasis6 6 5" xfId="9662" xr:uid="{00000000-0005-0000-0000-0000C1250000}"/>
    <cellStyle name="20% - Énfasis6 6 5 2" xfId="9663" xr:uid="{00000000-0005-0000-0000-0000C2250000}"/>
    <cellStyle name="20% - Énfasis6 6 5 2 2" xfId="9664" xr:uid="{00000000-0005-0000-0000-0000C3250000}"/>
    <cellStyle name="20% - Énfasis6 6 5 3" xfId="9665" xr:uid="{00000000-0005-0000-0000-0000C4250000}"/>
    <cellStyle name="20% - Énfasis6 6 6" xfId="9666" xr:uid="{00000000-0005-0000-0000-0000C5250000}"/>
    <cellStyle name="20% - Énfasis6 6 6 2" xfId="9667" xr:uid="{00000000-0005-0000-0000-0000C6250000}"/>
    <cellStyle name="20% - Énfasis6 6 6 2 2" xfId="9668" xr:uid="{00000000-0005-0000-0000-0000C7250000}"/>
    <cellStyle name="20% - Énfasis6 6 6 3" xfId="9669" xr:uid="{00000000-0005-0000-0000-0000C8250000}"/>
    <cellStyle name="20% - Énfasis6 6 7" xfId="9670" xr:uid="{00000000-0005-0000-0000-0000C9250000}"/>
    <cellStyle name="20% - Énfasis6 6 7 2" xfId="9671" xr:uid="{00000000-0005-0000-0000-0000CA250000}"/>
    <cellStyle name="20% - Énfasis6 6 8" xfId="9672" xr:uid="{00000000-0005-0000-0000-0000CB250000}"/>
    <cellStyle name="20% - Énfasis6 60" xfId="9673" xr:uid="{00000000-0005-0000-0000-0000CC250000}"/>
    <cellStyle name="20% - Énfasis6 60 2" xfId="9674" xr:uid="{00000000-0005-0000-0000-0000CD250000}"/>
    <cellStyle name="20% - Énfasis6 61" xfId="9675" xr:uid="{00000000-0005-0000-0000-0000CE250000}"/>
    <cellStyle name="20% - Énfasis6 61 2" xfId="9676" xr:uid="{00000000-0005-0000-0000-0000CF250000}"/>
    <cellStyle name="20% - Énfasis6 62" xfId="9677" xr:uid="{00000000-0005-0000-0000-0000D0250000}"/>
    <cellStyle name="20% - Énfasis6 62 2" xfId="9678" xr:uid="{00000000-0005-0000-0000-0000D1250000}"/>
    <cellStyle name="20% - Énfasis6 63" xfId="9679" xr:uid="{00000000-0005-0000-0000-0000D2250000}"/>
    <cellStyle name="20% - Énfasis6 63 2" xfId="9680" xr:uid="{00000000-0005-0000-0000-0000D3250000}"/>
    <cellStyle name="20% - Énfasis6 64" xfId="9681" xr:uid="{00000000-0005-0000-0000-0000D4250000}"/>
    <cellStyle name="20% - Énfasis6 64 2" xfId="9682" xr:uid="{00000000-0005-0000-0000-0000D5250000}"/>
    <cellStyle name="20% - Énfasis6 7" xfId="9683" xr:uid="{00000000-0005-0000-0000-0000D6250000}"/>
    <cellStyle name="20% - Énfasis6 7 2" xfId="9684" xr:uid="{00000000-0005-0000-0000-0000D7250000}"/>
    <cellStyle name="20% - Énfasis6 7 2 2" xfId="9685" xr:uid="{00000000-0005-0000-0000-0000D8250000}"/>
    <cellStyle name="20% - Énfasis6 7 2 2 2" xfId="9686" xr:uid="{00000000-0005-0000-0000-0000D9250000}"/>
    <cellStyle name="20% - Énfasis6 7 2 2 2 2" xfId="9687" xr:uid="{00000000-0005-0000-0000-0000DA250000}"/>
    <cellStyle name="20% - Énfasis6 7 2 2 2 2 2" xfId="9688" xr:uid="{00000000-0005-0000-0000-0000DB250000}"/>
    <cellStyle name="20% - Énfasis6 7 2 2 2 3" xfId="9689" xr:uid="{00000000-0005-0000-0000-0000DC250000}"/>
    <cellStyle name="20% - Énfasis6 7 2 2 3" xfId="9690" xr:uid="{00000000-0005-0000-0000-0000DD250000}"/>
    <cellStyle name="20% - Énfasis6 7 2 2 3 2" xfId="9691" xr:uid="{00000000-0005-0000-0000-0000DE250000}"/>
    <cellStyle name="20% - Énfasis6 7 2 2 4" xfId="9692" xr:uid="{00000000-0005-0000-0000-0000DF250000}"/>
    <cellStyle name="20% - Énfasis6 7 2 3" xfId="9693" xr:uid="{00000000-0005-0000-0000-0000E0250000}"/>
    <cellStyle name="20% - Énfasis6 7 2 3 2" xfId="9694" xr:uid="{00000000-0005-0000-0000-0000E1250000}"/>
    <cellStyle name="20% - Énfasis6 7 2 3 2 2" xfId="9695" xr:uid="{00000000-0005-0000-0000-0000E2250000}"/>
    <cellStyle name="20% - Énfasis6 7 2 3 3" xfId="9696" xr:uid="{00000000-0005-0000-0000-0000E3250000}"/>
    <cellStyle name="20% - Énfasis6 7 2 4" xfId="9697" xr:uid="{00000000-0005-0000-0000-0000E4250000}"/>
    <cellStyle name="20% - Énfasis6 7 2 4 2" xfId="9698" xr:uid="{00000000-0005-0000-0000-0000E5250000}"/>
    <cellStyle name="20% - Énfasis6 7 2 4 2 2" xfId="9699" xr:uid="{00000000-0005-0000-0000-0000E6250000}"/>
    <cellStyle name="20% - Énfasis6 7 2 4 3" xfId="9700" xr:uid="{00000000-0005-0000-0000-0000E7250000}"/>
    <cellStyle name="20% - Énfasis6 7 2 5" xfId="9701" xr:uid="{00000000-0005-0000-0000-0000E8250000}"/>
    <cellStyle name="20% - Énfasis6 7 2 5 2" xfId="9702" xr:uid="{00000000-0005-0000-0000-0000E9250000}"/>
    <cellStyle name="20% - Énfasis6 7 2 6" xfId="9703" xr:uid="{00000000-0005-0000-0000-0000EA250000}"/>
    <cellStyle name="20% - Énfasis6 7 3" xfId="9704" xr:uid="{00000000-0005-0000-0000-0000EB250000}"/>
    <cellStyle name="20% - Énfasis6 7 3 2" xfId="9705" xr:uid="{00000000-0005-0000-0000-0000EC250000}"/>
    <cellStyle name="20% - Énfasis6 7 3 2 2" xfId="9706" xr:uid="{00000000-0005-0000-0000-0000ED250000}"/>
    <cellStyle name="20% - Énfasis6 7 3 2 2 2" xfId="9707" xr:uid="{00000000-0005-0000-0000-0000EE250000}"/>
    <cellStyle name="20% - Énfasis6 7 3 2 3" xfId="9708" xr:uid="{00000000-0005-0000-0000-0000EF250000}"/>
    <cellStyle name="20% - Énfasis6 7 3 3" xfId="9709" xr:uid="{00000000-0005-0000-0000-0000F0250000}"/>
    <cellStyle name="20% - Énfasis6 7 3 3 2" xfId="9710" xr:uid="{00000000-0005-0000-0000-0000F1250000}"/>
    <cellStyle name="20% - Énfasis6 7 3 3 2 2" xfId="9711" xr:uid="{00000000-0005-0000-0000-0000F2250000}"/>
    <cellStyle name="20% - Énfasis6 7 3 3 3" xfId="9712" xr:uid="{00000000-0005-0000-0000-0000F3250000}"/>
    <cellStyle name="20% - Énfasis6 7 3 4" xfId="9713" xr:uid="{00000000-0005-0000-0000-0000F4250000}"/>
    <cellStyle name="20% - Énfasis6 7 3 4 2" xfId="9714" xr:uid="{00000000-0005-0000-0000-0000F5250000}"/>
    <cellStyle name="20% - Énfasis6 7 3 5" xfId="9715" xr:uid="{00000000-0005-0000-0000-0000F6250000}"/>
    <cellStyle name="20% - Énfasis6 7 4" xfId="9716" xr:uid="{00000000-0005-0000-0000-0000F7250000}"/>
    <cellStyle name="20% - Énfasis6 7 4 2" xfId="9717" xr:uid="{00000000-0005-0000-0000-0000F8250000}"/>
    <cellStyle name="20% - Énfasis6 7 4 2 2" xfId="9718" xr:uid="{00000000-0005-0000-0000-0000F9250000}"/>
    <cellStyle name="20% - Énfasis6 7 4 2 2 2" xfId="9719" xr:uid="{00000000-0005-0000-0000-0000FA250000}"/>
    <cellStyle name="20% - Énfasis6 7 4 2 3" xfId="9720" xr:uid="{00000000-0005-0000-0000-0000FB250000}"/>
    <cellStyle name="20% - Énfasis6 7 4 3" xfId="9721" xr:uid="{00000000-0005-0000-0000-0000FC250000}"/>
    <cellStyle name="20% - Énfasis6 7 4 3 2" xfId="9722" xr:uid="{00000000-0005-0000-0000-0000FD250000}"/>
    <cellStyle name="20% - Énfasis6 7 4 4" xfId="9723" xr:uid="{00000000-0005-0000-0000-0000FE250000}"/>
    <cellStyle name="20% - Énfasis6 7 5" xfId="9724" xr:uid="{00000000-0005-0000-0000-0000FF250000}"/>
    <cellStyle name="20% - Énfasis6 7 5 2" xfId="9725" xr:uid="{00000000-0005-0000-0000-000000260000}"/>
    <cellStyle name="20% - Énfasis6 7 5 2 2" xfId="9726" xr:uid="{00000000-0005-0000-0000-000001260000}"/>
    <cellStyle name="20% - Énfasis6 7 5 3" xfId="9727" xr:uid="{00000000-0005-0000-0000-000002260000}"/>
    <cellStyle name="20% - Énfasis6 7 6" xfId="9728" xr:uid="{00000000-0005-0000-0000-000003260000}"/>
    <cellStyle name="20% - Énfasis6 7 6 2" xfId="9729" xr:uid="{00000000-0005-0000-0000-000004260000}"/>
    <cellStyle name="20% - Énfasis6 7 6 2 2" xfId="9730" xr:uid="{00000000-0005-0000-0000-000005260000}"/>
    <cellStyle name="20% - Énfasis6 7 6 3" xfId="9731" xr:uid="{00000000-0005-0000-0000-000006260000}"/>
    <cellStyle name="20% - Énfasis6 7 7" xfId="9732" xr:uid="{00000000-0005-0000-0000-000007260000}"/>
    <cellStyle name="20% - Énfasis6 7 7 2" xfId="9733" xr:uid="{00000000-0005-0000-0000-000008260000}"/>
    <cellStyle name="20% - Énfasis6 7 8" xfId="9734" xr:uid="{00000000-0005-0000-0000-000009260000}"/>
    <cellStyle name="20% - Énfasis6 8" xfId="9735" xr:uid="{00000000-0005-0000-0000-00000A260000}"/>
    <cellStyle name="20% - Énfasis6 8 2" xfId="9736" xr:uid="{00000000-0005-0000-0000-00000B260000}"/>
    <cellStyle name="20% - Énfasis6 8 2 2" xfId="9737" xr:uid="{00000000-0005-0000-0000-00000C260000}"/>
    <cellStyle name="20% - Énfasis6 8 2 2 2" xfId="9738" xr:uid="{00000000-0005-0000-0000-00000D260000}"/>
    <cellStyle name="20% - Énfasis6 8 2 2 2 2" xfId="9739" xr:uid="{00000000-0005-0000-0000-00000E260000}"/>
    <cellStyle name="20% - Énfasis6 8 2 2 2 2 2" xfId="9740" xr:uid="{00000000-0005-0000-0000-00000F260000}"/>
    <cellStyle name="20% - Énfasis6 8 2 2 2 3" xfId="9741" xr:uid="{00000000-0005-0000-0000-000010260000}"/>
    <cellStyle name="20% - Énfasis6 8 2 2 3" xfId="9742" xr:uid="{00000000-0005-0000-0000-000011260000}"/>
    <cellStyle name="20% - Énfasis6 8 2 2 3 2" xfId="9743" xr:uid="{00000000-0005-0000-0000-000012260000}"/>
    <cellStyle name="20% - Énfasis6 8 2 2 4" xfId="9744" xr:uid="{00000000-0005-0000-0000-000013260000}"/>
    <cellStyle name="20% - Énfasis6 8 2 3" xfId="9745" xr:uid="{00000000-0005-0000-0000-000014260000}"/>
    <cellStyle name="20% - Énfasis6 8 2 3 2" xfId="9746" xr:uid="{00000000-0005-0000-0000-000015260000}"/>
    <cellStyle name="20% - Énfasis6 8 2 3 2 2" xfId="9747" xr:uid="{00000000-0005-0000-0000-000016260000}"/>
    <cellStyle name="20% - Énfasis6 8 2 3 3" xfId="9748" xr:uid="{00000000-0005-0000-0000-000017260000}"/>
    <cellStyle name="20% - Énfasis6 8 2 4" xfId="9749" xr:uid="{00000000-0005-0000-0000-000018260000}"/>
    <cellStyle name="20% - Énfasis6 8 2 4 2" xfId="9750" xr:uid="{00000000-0005-0000-0000-000019260000}"/>
    <cellStyle name="20% - Énfasis6 8 2 4 2 2" xfId="9751" xr:uid="{00000000-0005-0000-0000-00001A260000}"/>
    <cellStyle name="20% - Énfasis6 8 2 4 3" xfId="9752" xr:uid="{00000000-0005-0000-0000-00001B260000}"/>
    <cellStyle name="20% - Énfasis6 8 2 5" xfId="9753" xr:uid="{00000000-0005-0000-0000-00001C260000}"/>
    <cellStyle name="20% - Énfasis6 8 2 5 2" xfId="9754" xr:uid="{00000000-0005-0000-0000-00001D260000}"/>
    <cellStyle name="20% - Énfasis6 8 2 6" xfId="9755" xr:uid="{00000000-0005-0000-0000-00001E260000}"/>
    <cellStyle name="20% - Énfasis6 8 3" xfId="9756" xr:uid="{00000000-0005-0000-0000-00001F260000}"/>
    <cellStyle name="20% - Énfasis6 8 3 2" xfId="9757" xr:uid="{00000000-0005-0000-0000-000020260000}"/>
    <cellStyle name="20% - Énfasis6 8 3 2 2" xfId="9758" xr:uid="{00000000-0005-0000-0000-000021260000}"/>
    <cellStyle name="20% - Énfasis6 8 3 2 2 2" xfId="9759" xr:uid="{00000000-0005-0000-0000-000022260000}"/>
    <cellStyle name="20% - Énfasis6 8 3 2 3" xfId="9760" xr:uid="{00000000-0005-0000-0000-000023260000}"/>
    <cellStyle name="20% - Énfasis6 8 3 3" xfId="9761" xr:uid="{00000000-0005-0000-0000-000024260000}"/>
    <cellStyle name="20% - Énfasis6 8 3 3 2" xfId="9762" xr:uid="{00000000-0005-0000-0000-000025260000}"/>
    <cellStyle name="20% - Énfasis6 8 3 3 2 2" xfId="9763" xr:uid="{00000000-0005-0000-0000-000026260000}"/>
    <cellStyle name="20% - Énfasis6 8 3 3 3" xfId="9764" xr:uid="{00000000-0005-0000-0000-000027260000}"/>
    <cellStyle name="20% - Énfasis6 8 3 4" xfId="9765" xr:uid="{00000000-0005-0000-0000-000028260000}"/>
    <cellStyle name="20% - Énfasis6 8 3 4 2" xfId="9766" xr:uid="{00000000-0005-0000-0000-000029260000}"/>
    <cellStyle name="20% - Énfasis6 8 3 5" xfId="9767" xr:uid="{00000000-0005-0000-0000-00002A260000}"/>
    <cellStyle name="20% - Énfasis6 8 4" xfId="9768" xr:uid="{00000000-0005-0000-0000-00002B260000}"/>
    <cellStyle name="20% - Énfasis6 8 4 2" xfId="9769" xr:uid="{00000000-0005-0000-0000-00002C260000}"/>
    <cellStyle name="20% - Énfasis6 8 4 2 2" xfId="9770" xr:uid="{00000000-0005-0000-0000-00002D260000}"/>
    <cellStyle name="20% - Énfasis6 8 4 2 2 2" xfId="9771" xr:uid="{00000000-0005-0000-0000-00002E260000}"/>
    <cellStyle name="20% - Énfasis6 8 4 2 3" xfId="9772" xr:uid="{00000000-0005-0000-0000-00002F260000}"/>
    <cellStyle name="20% - Énfasis6 8 4 3" xfId="9773" xr:uid="{00000000-0005-0000-0000-000030260000}"/>
    <cellStyle name="20% - Énfasis6 8 4 3 2" xfId="9774" xr:uid="{00000000-0005-0000-0000-000031260000}"/>
    <cellStyle name="20% - Énfasis6 8 4 4" xfId="9775" xr:uid="{00000000-0005-0000-0000-000032260000}"/>
    <cellStyle name="20% - Énfasis6 8 5" xfId="9776" xr:uid="{00000000-0005-0000-0000-000033260000}"/>
    <cellStyle name="20% - Énfasis6 8 5 2" xfId="9777" xr:uid="{00000000-0005-0000-0000-000034260000}"/>
    <cellStyle name="20% - Énfasis6 8 5 2 2" xfId="9778" xr:uid="{00000000-0005-0000-0000-000035260000}"/>
    <cellStyle name="20% - Énfasis6 8 5 3" xfId="9779" xr:uid="{00000000-0005-0000-0000-000036260000}"/>
    <cellStyle name="20% - Énfasis6 8 6" xfId="9780" xr:uid="{00000000-0005-0000-0000-000037260000}"/>
    <cellStyle name="20% - Énfasis6 8 6 2" xfId="9781" xr:uid="{00000000-0005-0000-0000-000038260000}"/>
    <cellStyle name="20% - Énfasis6 8 6 2 2" xfId="9782" xr:uid="{00000000-0005-0000-0000-000039260000}"/>
    <cellStyle name="20% - Énfasis6 8 6 3" xfId="9783" xr:uid="{00000000-0005-0000-0000-00003A260000}"/>
    <cellStyle name="20% - Énfasis6 8 7" xfId="9784" xr:uid="{00000000-0005-0000-0000-00003B260000}"/>
    <cellStyle name="20% - Énfasis6 8 7 2" xfId="9785" xr:uid="{00000000-0005-0000-0000-00003C260000}"/>
    <cellStyle name="20% - Énfasis6 8 8" xfId="9786" xr:uid="{00000000-0005-0000-0000-00003D260000}"/>
    <cellStyle name="20% - Énfasis6 9" xfId="9787" xr:uid="{00000000-0005-0000-0000-00003E260000}"/>
    <cellStyle name="20% - Énfasis6 9 2" xfId="9788" xr:uid="{00000000-0005-0000-0000-00003F260000}"/>
    <cellStyle name="20% - Énfasis6 9 2 2" xfId="9789" xr:uid="{00000000-0005-0000-0000-000040260000}"/>
    <cellStyle name="20% - Énfasis6 9 2 2 2" xfId="9790" xr:uid="{00000000-0005-0000-0000-000041260000}"/>
    <cellStyle name="20% - Énfasis6 9 2 2 2 2" xfId="9791" xr:uid="{00000000-0005-0000-0000-000042260000}"/>
    <cellStyle name="20% - Énfasis6 9 2 2 2 2 2" xfId="9792" xr:uid="{00000000-0005-0000-0000-000043260000}"/>
    <cellStyle name="20% - Énfasis6 9 2 2 2 3" xfId="9793" xr:uid="{00000000-0005-0000-0000-000044260000}"/>
    <cellStyle name="20% - Énfasis6 9 2 2 3" xfId="9794" xr:uid="{00000000-0005-0000-0000-000045260000}"/>
    <cellStyle name="20% - Énfasis6 9 2 2 3 2" xfId="9795" xr:uid="{00000000-0005-0000-0000-000046260000}"/>
    <cellStyle name="20% - Énfasis6 9 2 2 4" xfId="9796" xr:uid="{00000000-0005-0000-0000-000047260000}"/>
    <cellStyle name="20% - Énfasis6 9 2 3" xfId="9797" xr:uid="{00000000-0005-0000-0000-000048260000}"/>
    <cellStyle name="20% - Énfasis6 9 2 3 2" xfId="9798" xr:uid="{00000000-0005-0000-0000-000049260000}"/>
    <cellStyle name="20% - Énfasis6 9 2 3 2 2" xfId="9799" xr:uid="{00000000-0005-0000-0000-00004A260000}"/>
    <cellStyle name="20% - Énfasis6 9 2 3 3" xfId="9800" xr:uid="{00000000-0005-0000-0000-00004B260000}"/>
    <cellStyle name="20% - Énfasis6 9 2 4" xfId="9801" xr:uid="{00000000-0005-0000-0000-00004C260000}"/>
    <cellStyle name="20% - Énfasis6 9 2 4 2" xfId="9802" xr:uid="{00000000-0005-0000-0000-00004D260000}"/>
    <cellStyle name="20% - Énfasis6 9 2 4 2 2" xfId="9803" xr:uid="{00000000-0005-0000-0000-00004E260000}"/>
    <cellStyle name="20% - Énfasis6 9 2 4 3" xfId="9804" xr:uid="{00000000-0005-0000-0000-00004F260000}"/>
    <cellStyle name="20% - Énfasis6 9 2 5" xfId="9805" xr:uid="{00000000-0005-0000-0000-000050260000}"/>
    <cellStyle name="20% - Énfasis6 9 2 5 2" xfId="9806" xr:uid="{00000000-0005-0000-0000-000051260000}"/>
    <cellStyle name="20% - Énfasis6 9 2 6" xfId="9807" xr:uid="{00000000-0005-0000-0000-000052260000}"/>
    <cellStyle name="20% - Énfasis6 9 3" xfId="9808" xr:uid="{00000000-0005-0000-0000-000053260000}"/>
    <cellStyle name="20% - Énfasis6 9 3 2" xfId="9809" xr:uid="{00000000-0005-0000-0000-000054260000}"/>
    <cellStyle name="20% - Énfasis6 9 3 2 2" xfId="9810" xr:uid="{00000000-0005-0000-0000-000055260000}"/>
    <cellStyle name="20% - Énfasis6 9 3 2 2 2" xfId="9811" xr:uid="{00000000-0005-0000-0000-000056260000}"/>
    <cellStyle name="20% - Énfasis6 9 3 2 3" xfId="9812" xr:uid="{00000000-0005-0000-0000-000057260000}"/>
    <cellStyle name="20% - Énfasis6 9 3 3" xfId="9813" xr:uid="{00000000-0005-0000-0000-000058260000}"/>
    <cellStyle name="20% - Énfasis6 9 3 3 2" xfId="9814" xr:uid="{00000000-0005-0000-0000-000059260000}"/>
    <cellStyle name="20% - Énfasis6 9 3 3 2 2" xfId="9815" xr:uid="{00000000-0005-0000-0000-00005A260000}"/>
    <cellStyle name="20% - Énfasis6 9 3 3 3" xfId="9816" xr:uid="{00000000-0005-0000-0000-00005B260000}"/>
    <cellStyle name="20% - Énfasis6 9 3 4" xfId="9817" xr:uid="{00000000-0005-0000-0000-00005C260000}"/>
    <cellStyle name="20% - Énfasis6 9 3 4 2" xfId="9818" xr:uid="{00000000-0005-0000-0000-00005D260000}"/>
    <cellStyle name="20% - Énfasis6 9 3 5" xfId="9819" xr:uid="{00000000-0005-0000-0000-00005E260000}"/>
    <cellStyle name="20% - Énfasis6 9 4" xfId="9820" xr:uid="{00000000-0005-0000-0000-00005F260000}"/>
    <cellStyle name="20% - Énfasis6 9 4 2" xfId="9821" xr:uid="{00000000-0005-0000-0000-000060260000}"/>
    <cellStyle name="20% - Énfasis6 9 4 2 2" xfId="9822" xr:uid="{00000000-0005-0000-0000-000061260000}"/>
    <cellStyle name="20% - Énfasis6 9 4 2 2 2" xfId="9823" xr:uid="{00000000-0005-0000-0000-000062260000}"/>
    <cellStyle name="20% - Énfasis6 9 4 2 3" xfId="9824" xr:uid="{00000000-0005-0000-0000-000063260000}"/>
    <cellStyle name="20% - Énfasis6 9 4 3" xfId="9825" xr:uid="{00000000-0005-0000-0000-000064260000}"/>
    <cellStyle name="20% - Énfasis6 9 4 3 2" xfId="9826" xr:uid="{00000000-0005-0000-0000-000065260000}"/>
    <cellStyle name="20% - Énfasis6 9 4 4" xfId="9827" xr:uid="{00000000-0005-0000-0000-000066260000}"/>
    <cellStyle name="20% - Énfasis6 9 5" xfId="9828" xr:uid="{00000000-0005-0000-0000-000067260000}"/>
    <cellStyle name="20% - Énfasis6 9 5 2" xfId="9829" xr:uid="{00000000-0005-0000-0000-000068260000}"/>
    <cellStyle name="20% - Énfasis6 9 5 2 2" xfId="9830" xr:uid="{00000000-0005-0000-0000-000069260000}"/>
    <cellStyle name="20% - Énfasis6 9 5 3" xfId="9831" xr:uid="{00000000-0005-0000-0000-00006A260000}"/>
    <cellStyle name="20% - Énfasis6 9 6" xfId="9832" xr:uid="{00000000-0005-0000-0000-00006B260000}"/>
    <cellStyle name="20% - Énfasis6 9 6 2" xfId="9833" xr:uid="{00000000-0005-0000-0000-00006C260000}"/>
    <cellStyle name="20% - Énfasis6 9 6 2 2" xfId="9834" xr:uid="{00000000-0005-0000-0000-00006D260000}"/>
    <cellStyle name="20% - Énfasis6 9 6 3" xfId="9835" xr:uid="{00000000-0005-0000-0000-00006E260000}"/>
    <cellStyle name="20% - Énfasis6 9 7" xfId="9836" xr:uid="{00000000-0005-0000-0000-00006F260000}"/>
    <cellStyle name="20% - Énfasis6 9 7 2" xfId="9837" xr:uid="{00000000-0005-0000-0000-000070260000}"/>
    <cellStyle name="20% - Énfasis6 9 8" xfId="9838" xr:uid="{00000000-0005-0000-0000-000071260000}"/>
    <cellStyle name="40% - Énfasis1 10" xfId="9839" xr:uid="{00000000-0005-0000-0000-000072260000}"/>
    <cellStyle name="40% - Énfasis1 10 2" xfId="9840" xr:uid="{00000000-0005-0000-0000-000073260000}"/>
    <cellStyle name="40% - Énfasis1 10 2 2" xfId="9841" xr:uid="{00000000-0005-0000-0000-000074260000}"/>
    <cellStyle name="40% - Énfasis1 10 2 2 2" xfId="9842" xr:uid="{00000000-0005-0000-0000-000075260000}"/>
    <cellStyle name="40% - Énfasis1 10 2 2 2 2" xfId="9843" xr:uid="{00000000-0005-0000-0000-000076260000}"/>
    <cellStyle name="40% - Énfasis1 10 2 2 2 2 2" xfId="9844" xr:uid="{00000000-0005-0000-0000-000077260000}"/>
    <cellStyle name="40% - Énfasis1 10 2 2 2 3" xfId="9845" xr:uid="{00000000-0005-0000-0000-000078260000}"/>
    <cellStyle name="40% - Énfasis1 10 2 2 3" xfId="9846" xr:uid="{00000000-0005-0000-0000-000079260000}"/>
    <cellStyle name="40% - Énfasis1 10 2 2 3 2" xfId="9847" xr:uid="{00000000-0005-0000-0000-00007A260000}"/>
    <cellStyle name="40% - Énfasis1 10 2 2 4" xfId="9848" xr:uid="{00000000-0005-0000-0000-00007B260000}"/>
    <cellStyle name="40% - Énfasis1 10 2 3" xfId="9849" xr:uid="{00000000-0005-0000-0000-00007C260000}"/>
    <cellStyle name="40% - Énfasis1 10 2 3 2" xfId="9850" xr:uid="{00000000-0005-0000-0000-00007D260000}"/>
    <cellStyle name="40% - Énfasis1 10 2 3 2 2" xfId="9851" xr:uid="{00000000-0005-0000-0000-00007E260000}"/>
    <cellStyle name="40% - Énfasis1 10 2 3 3" xfId="9852" xr:uid="{00000000-0005-0000-0000-00007F260000}"/>
    <cellStyle name="40% - Énfasis1 10 2 4" xfId="9853" xr:uid="{00000000-0005-0000-0000-000080260000}"/>
    <cellStyle name="40% - Énfasis1 10 2 4 2" xfId="9854" xr:uid="{00000000-0005-0000-0000-000081260000}"/>
    <cellStyle name="40% - Énfasis1 10 2 4 2 2" xfId="9855" xr:uid="{00000000-0005-0000-0000-000082260000}"/>
    <cellStyle name="40% - Énfasis1 10 2 4 3" xfId="9856" xr:uid="{00000000-0005-0000-0000-000083260000}"/>
    <cellStyle name="40% - Énfasis1 10 2 5" xfId="9857" xr:uid="{00000000-0005-0000-0000-000084260000}"/>
    <cellStyle name="40% - Énfasis1 10 2 5 2" xfId="9858" xr:uid="{00000000-0005-0000-0000-000085260000}"/>
    <cellStyle name="40% - Énfasis1 10 2 6" xfId="9859" xr:uid="{00000000-0005-0000-0000-000086260000}"/>
    <cellStyle name="40% - Énfasis1 10 3" xfId="9860" xr:uid="{00000000-0005-0000-0000-000087260000}"/>
    <cellStyle name="40% - Énfasis1 10 3 2" xfId="9861" xr:uid="{00000000-0005-0000-0000-000088260000}"/>
    <cellStyle name="40% - Énfasis1 10 3 2 2" xfId="9862" xr:uid="{00000000-0005-0000-0000-000089260000}"/>
    <cellStyle name="40% - Énfasis1 10 3 2 2 2" xfId="9863" xr:uid="{00000000-0005-0000-0000-00008A260000}"/>
    <cellStyle name="40% - Énfasis1 10 3 2 3" xfId="9864" xr:uid="{00000000-0005-0000-0000-00008B260000}"/>
    <cellStyle name="40% - Énfasis1 10 3 3" xfId="9865" xr:uid="{00000000-0005-0000-0000-00008C260000}"/>
    <cellStyle name="40% - Énfasis1 10 3 3 2" xfId="9866" xr:uid="{00000000-0005-0000-0000-00008D260000}"/>
    <cellStyle name="40% - Énfasis1 10 3 3 2 2" xfId="9867" xr:uid="{00000000-0005-0000-0000-00008E260000}"/>
    <cellStyle name="40% - Énfasis1 10 3 3 3" xfId="9868" xr:uid="{00000000-0005-0000-0000-00008F260000}"/>
    <cellStyle name="40% - Énfasis1 10 3 4" xfId="9869" xr:uid="{00000000-0005-0000-0000-000090260000}"/>
    <cellStyle name="40% - Énfasis1 10 3 4 2" xfId="9870" xr:uid="{00000000-0005-0000-0000-000091260000}"/>
    <cellStyle name="40% - Énfasis1 10 3 5" xfId="9871" xr:uid="{00000000-0005-0000-0000-000092260000}"/>
    <cellStyle name="40% - Énfasis1 10 4" xfId="9872" xr:uid="{00000000-0005-0000-0000-000093260000}"/>
    <cellStyle name="40% - Énfasis1 10 4 2" xfId="9873" xr:uid="{00000000-0005-0000-0000-000094260000}"/>
    <cellStyle name="40% - Énfasis1 10 4 2 2" xfId="9874" xr:uid="{00000000-0005-0000-0000-000095260000}"/>
    <cellStyle name="40% - Énfasis1 10 4 2 2 2" xfId="9875" xr:uid="{00000000-0005-0000-0000-000096260000}"/>
    <cellStyle name="40% - Énfasis1 10 4 2 3" xfId="9876" xr:uid="{00000000-0005-0000-0000-000097260000}"/>
    <cellStyle name="40% - Énfasis1 10 4 3" xfId="9877" xr:uid="{00000000-0005-0000-0000-000098260000}"/>
    <cellStyle name="40% - Énfasis1 10 4 3 2" xfId="9878" xr:uid="{00000000-0005-0000-0000-000099260000}"/>
    <cellStyle name="40% - Énfasis1 10 4 4" xfId="9879" xr:uid="{00000000-0005-0000-0000-00009A260000}"/>
    <cellStyle name="40% - Énfasis1 10 5" xfId="9880" xr:uid="{00000000-0005-0000-0000-00009B260000}"/>
    <cellStyle name="40% - Énfasis1 10 5 2" xfId="9881" xr:uid="{00000000-0005-0000-0000-00009C260000}"/>
    <cellStyle name="40% - Énfasis1 10 5 2 2" xfId="9882" xr:uid="{00000000-0005-0000-0000-00009D260000}"/>
    <cellStyle name="40% - Énfasis1 10 5 3" xfId="9883" xr:uid="{00000000-0005-0000-0000-00009E260000}"/>
    <cellStyle name="40% - Énfasis1 10 6" xfId="9884" xr:uid="{00000000-0005-0000-0000-00009F260000}"/>
    <cellStyle name="40% - Énfasis1 10 6 2" xfId="9885" xr:uid="{00000000-0005-0000-0000-0000A0260000}"/>
    <cellStyle name="40% - Énfasis1 10 6 2 2" xfId="9886" xr:uid="{00000000-0005-0000-0000-0000A1260000}"/>
    <cellStyle name="40% - Énfasis1 10 6 3" xfId="9887" xr:uid="{00000000-0005-0000-0000-0000A2260000}"/>
    <cellStyle name="40% - Énfasis1 10 7" xfId="9888" xr:uid="{00000000-0005-0000-0000-0000A3260000}"/>
    <cellStyle name="40% - Énfasis1 10 7 2" xfId="9889" xr:uid="{00000000-0005-0000-0000-0000A4260000}"/>
    <cellStyle name="40% - Énfasis1 10 8" xfId="9890" xr:uid="{00000000-0005-0000-0000-0000A5260000}"/>
    <cellStyle name="40% - Énfasis1 11" xfId="9891" xr:uid="{00000000-0005-0000-0000-0000A6260000}"/>
    <cellStyle name="40% - Énfasis1 11 2" xfId="9892" xr:uid="{00000000-0005-0000-0000-0000A7260000}"/>
    <cellStyle name="40% - Énfasis1 11 2 2" xfId="9893" xr:uid="{00000000-0005-0000-0000-0000A8260000}"/>
    <cellStyle name="40% - Énfasis1 11 2 2 2" xfId="9894" xr:uid="{00000000-0005-0000-0000-0000A9260000}"/>
    <cellStyle name="40% - Énfasis1 11 2 2 2 2" xfId="9895" xr:uid="{00000000-0005-0000-0000-0000AA260000}"/>
    <cellStyle name="40% - Énfasis1 11 2 2 2 2 2" xfId="9896" xr:uid="{00000000-0005-0000-0000-0000AB260000}"/>
    <cellStyle name="40% - Énfasis1 11 2 2 2 3" xfId="9897" xr:uid="{00000000-0005-0000-0000-0000AC260000}"/>
    <cellStyle name="40% - Énfasis1 11 2 2 3" xfId="9898" xr:uid="{00000000-0005-0000-0000-0000AD260000}"/>
    <cellStyle name="40% - Énfasis1 11 2 2 3 2" xfId="9899" xr:uid="{00000000-0005-0000-0000-0000AE260000}"/>
    <cellStyle name="40% - Énfasis1 11 2 2 4" xfId="9900" xr:uid="{00000000-0005-0000-0000-0000AF260000}"/>
    <cellStyle name="40% - Énfasis1 11 2 3" xfId="9901" xr:uid="{00000000-0005-0000-0000-0000B0260000}"/>
    <cellStyle name="40% - Énfasis1 11 2 3 2" xfId="9902" xr:uid="{00000000-0005-0000-0000-0000B1260000}"/>
    <cellStyle name="40% - Énfasis1 11 2 3 2 2" xfId="9903" xr:uid="{00000000-0005-0000-0000-0000B2260000}"/>
    <cellStyle name="40% - Énfasis1 11 2 3 3" xfId="9904" xr:uid="{00000000-0005-0000-0000-0000B3260000}"/>
    <cellStyle name="40% - Énfasis1 11 2 4" xfId="9905" xr:uid="{00000000-0005-0000-0000-0000B4260000}"/>
    <cellStyle name="40% - Énfasis1 11 2 4 2" xfId="9906" xr:uid="{00000000-0005-0000-0000-0000B5260000}"/>
    <cellStyle name="40% - Énfasis1 11 2 4 2 2" xfId="9907" xr:uid="{00000000-0005-0000-0000-0000B6260000}"/>
    <cellStyle name="40% - Énfasis1 11 2 4 3" xfId="9908" xr:uid="{00000000-0005-0000-0000-0000B7260000}"/>
    <cellStyle name="40% - Énfasis1 11 2 5" xfId="9909" xr:uid="{00000000-0005-0000-0000-0000B8260000}"/>
    <cellStyle name="40% - Énfasis1 11 2 5 2" xfId="9910" xr:uid="{00000000-0005-0000-0000-0000B9260000}"/>
    <cellStyle name="40% - Énfasis1 11 2 6" xfId="9911" xr:uid="{00000000-0005-0000-0000-0000BA260000}"/>
    <cellStyle name="40% - Énfasis1 11 3" xfId="9912" xr:uid="{00000000-0005-0000-0000-0000BB260000}"/>
    <cellStyle name="40% - Énfasis1 11 3 2" xfId="9913" xr:uid="{00000000-0005-0000-0000-0000BC260000}"/>
    <cellStyle name="40% - Énfasis1 11 3 2 2" xfId="9914" xr:uid="{00000000-0005-0000-0000-0000BD260000}"/>
    <cellStyle name="40% - Énfasis1 11 3 2 2 2" xfId="9915" xr:uid="{00000000-0005-0000-0000-0000BE260000}"/>
    <cellStyle name="40% - Énfasis1 11 3 2 3" xfId="9916" xr:uid="{00000000-0005-0000-0000-0000BF260000}"/>
    <cellStyle name="40% - Énfasis1 11 3 3" xfId="9917" xr:uid="{00000000-0005-0000-0000-0000C0260000}"/>
    <cellStyle name="40% - Énfasis1 11 3 3 2" xfId="9918" xr:uid="{00000000-0005-0000-0000-0000C1260000}"/>
    <cellStyle name="40% - Énfasis1 11 3 3 2 2" xfId="9919" xr:uid="{00000000-0005-0000-0000-0000C2260000}"/>
    <cellStyle name="40% - Énfasis1 11 3 3 3" xfId="9920" xr:uid="{00000000-0005-0000-0000-0000C3260000}"/>
    <cellStyle name="40% - Énfasis1 11 3 4" xfId="9921" xr:uid="{00000000-0005-0000-0000-0000C4260000}"/>
    <cellStyle name="40% - Énfasis1 11 3 4 2" xfId="9922" xr:uid="{00000000-0005-0000-0000-0000C5260000}"/>
    <cellStyle name="40% - Énfasis1 11 3 5" xfId="9923" xr:uid="{00000000-0005-0000-0000-0000C6260000}"/>
    <cellStyle name="40% - Énfasis1 11 4" xfId="9924" xr:uid="{00000000-0005-0000-0000-0000C7260000}"/>
    <cellStyle name="40% - Énfasis1 11 4 2" xfId="9925" xr:uid="{00000000-0005-0000-0000-0000C8260000}"/>
    <cellStyle name="40% - Énfasis1 11 4 2 2" xfId="9926" xr:uid="{00000000-0005-0000-0000-0000C9260000}"/>
    <cellStyle name="40% - Énfasis1 11 4 2 2 2" xfId="9927" xr:uid="{00000000-0005-0000-0000-0000CA260000}"/>
    <cellStyle name="40% - Énfasis1 11 4 2 3" xfId="9928" xr:uid="{00000000-0005-0000-0000-0000CB260000}"/>
    <cellStyle name="40% - Énfasis1 11 4 3" xfId="9929" xr:uid="{00000000-0005-0000-0000-0000CC260000}"/>
    <cellStyle name="40% - Énfasis1 11 4 3 2" xfId="9930" xr:uid="{00000000-0005-0000-0000-0000CD260000}"/>
    <cellStyle name="40% - Énfasis1 11 4 4" xfId="9931" xr:uid="{00000000-0005-0000-0000-0000CE260000}"/>
    <cellStyle name="40% - Énfasis1 11 5" xfId="9932" xr:uid="{00000000-0005-0000-0000-0000CF260000}"/>
    <cellStyle name="40% - Énfasis1 11 5 2" xfId="9933" xr:uid="{00000000-0005-0000-0000-0000D0260000}"/>
    <cellStyle name="40% - Énfasis1 11 5 2 2" xfId="9934" xr:uid="{00000000-0005-0000-0000-0000D1260000}"/>
    <cellStyle name="40% - Énfasis1 11 5 3" xfId="9935" xr:uid="{00000000-0005-0000-0000-0000D2260000}"/>
    <cellStyle name="40% - Énfasis1 11 6" xfId="9936" xr:uid="{00000000-0005-0000-0000-0000D3260000}"/>
    <cellStyle name="40% - Énfasis1 11 6 2" xfId="9937" xr:uid="{00000000-0005-0000-0000-0000D4260000}"/>
    <cellStyle name="40% - Énfasis1 11 6 2 2" xfId="9938" xr:uid="{00000000-0005-0000-0000-0000D5260000}"/>
    <cellStyle name="40% - Énfasis1 11 6 3" xfId="9939" xr:uid="{00000000-0005-0000-0000-0000D6260000}"/>
    <cellStyle name="40% - Énfasis1 11 7" xfId="9940" xr:uid="{00000000-0005-0000-0000-0000D7260000}"/>
    <cellStyle name="40% - Énfasis1 11 7 2" xfId="9941" xr:uid="{00000000-0005-0000-0000-0000D8260000}"/>
    <cellStyle name="40% - Énfasis1 11 8" xfId="9942" xr:uid="{00000000-0005-0000-0000-0000D9260000}"/>
    <cellStyle name="40% - Énfasis1 12" xfId="9943" xr:uid="{00000000-0005-0000-0000-0000DA260000}"/>
    <cellStyle name="40% - Énfasis1 12 2" xfId="9944" xr:uid="{00000000-0005-0000-0000-0000DB260000}"/>
    <cellStyle name="40% - Énfasis1 12 2 2" xfId="9945" xr:uid="{00000000-0005-0000-0000-0000DC260000}"/>
    <cellStyle name="40% - Énfasis1 12 2 2 2" xfId="9946" xr:uid="{00000000-0005-0000-0000-0000DD260000}"/>
    <cellStyle name="40% - Énfasis1 12 2 2 2 2" xfId="9947" xr:uid="{00000000-0005-0000-0000-0000DE260000}"/>
    <cellStyle name="40% - Énfasis1 12 2 2 2 2 2" xfId="9948" xr:uid="{00000000-0005-0000-0000-0000DF260000}"/>
    <cellStyle name="40% - Énfasis1 12 2 2 2 3" xfId="9949" xr:uid="{00000000-0005-0000-0000-0000E0260000}"/>
    <cellStyle name="40% - Énfasis1 12 2 2 3" xfId="9950" xr:uid="{00000000-0005-0000-0000-0000E1260000}"/>
    <cellStyle name="40% - Énfasis1 12 2 2 3 2" xfId="9951" xr:uid="{00000000-0005-0000-0000-0000E2260000}"/>
    <cellStyle name="40% - Énfasis1 12 2 2 4" xfId="9952" xr:uid="{00000000-0005-0000-0000-0000E3260000}"/>
    <cellStyle name="40% - Énfasis1 12 2 3" xfId="9953" xr:uid="{00000000-0005-0000-0000-0000E4260000}"/>
    <cellStyle name="40% - Énfasis1 12 2 3 2" xfId="9954" xr:uid="{00000000-0005-0000-0000-0000E5260000}"/>
    <cellStyle name="40% - Énfasis1 12 2 3 2 2" xfId="9955" xr:uid="{00000000-0005-0000-0000-0000E6260000}"/>
    <cellStyle name="40% - Énfasis1 12 2 3 3" xfId="9956" xr:uid="{00000000-0005-0000-0000-0000E7260000}"/>
    <cellStyle name="40% - Énfasis1 12 2 4" xfId="9957" xr:uid="{00000000-0005-0000-0000-0000E8260000}"/>
    <cellStyle name="40% - Énfasis1 12 2 4 2" xfId="9958" xr:uid="{00000000-0005-0000-0000-0000E9260000}"/>
    <cellStyle name="40% - Énfasis1 12 2 4 2 2" xfId="9959" xr:uid="{00000000-0005-0000-0000-0000EA260000}"/>
    <cellStyle name="40% - Énfasis1 12 2 4 3" xfId="9960" xr:uid="{00000000-0005-0000-0000-0000EB260000}"/>
    <cellStyle name="40% - Énfasis1 12 2 5" xfId="9961" xr:uid="{00000000-0005-0000-0000-0000EC260000}"/>
    <cellStyle name="40% - Énfasis1 12 2 5 2" xfId="9962" xr:uid="{00000000-0005-0000-0000-0000ED260000}"/>
    <cellStyle name="40% - Énfasis1 12 2 6" xfId="9963" xr:uid="{00000000-0005-0000-0000-0000EE260000}"/>
    <cellStyle name="40% - Énfasis1 12 3" xfId="9964" xr:uid="{00000000-0005-0000-0000-0000EF260000}"/>
    <cellStyle name="40% - Énfasis1 12 3 2" xfId="9965" xr:uid="{00000000-0005-0000-0000-0000F0260000}"/>
    <cellStyle name="40% - Énfasis1 12 3 2 2" xfId="9966" xr:uid="{00000000-0005-0000-0000-0000F1260000}"/>
    <cellStyle name="40% - Énfasis1 12 3 2 2 2" xfId="9967" xr:uid="{00000000-0005-0000-0000-0000F2260000}"/>
    <cellStyle name="40% - Énfasis1 12 3 2 3" xfId="9968" xr:uid="{00000000-0005-0000-0000-0000F3260000}"/>
    <cellStyle name="40% - Énfasis1 12 3 3" xfId="9969" xr:uid="{00000000-0005-0000-0000-0000F4260000}"/>
    <cellStyle name="40% - Énfasis1 12 3 3 2" xfId="9970" xr:uid="{00000000-0005-0000-0000-0000F5260000}"/>
    <cellStyle name="40% - Énfasis1 12 3 3 2 2" xfId="9971" xr:uid="{00000000-0005-0000-0000-0000F6260000}"/>
    <cellStyle name="40% - Énfasis1 12 3 3 3" xfId="9972" xr:uid="{00000000-0005-0000-0000-0000F7260000}"/>
    <cellStyle name="40% - Énfasis1 12 3 4" xfId="9973" xr:uid="{00000000-0005-0000-0000-0000F8260000}"/>
    <cellStyle name="40% - Énfasis1 12 3 4 2" xfId="9974" xr:uid="{00000000-0005-0000-0000-0000F9260000}"/>
    <cellStyle name="40% - Énfasis1 12 3 5" xfId="9975" xr:uid="{00000000-0005-0000-0000-0000FA260000}"/>
    <cellStyle name="40% - Énfasis1 12 4" xfId="9976" xr:uid="{00000000-0005-0000-0000-0000FB260000}"/>
    <cellStyle name="40% - Énfasis1 12 4 2" xfId="9977" xr:uid="{00000000-0005-0000-0000-0000FC260000}"/>
    <cellStyle name="40% - Énfasis1 12 4 2 2" xfId="9978" xr:uid="{00000000-0005-0000-0000-0000FD260000}"/>
    <cellStyle name="40% - Énfasis1 12 4 2 2 2" xfId="9979" xr:uid="{00000000-0005-0000-0000-0000FE260000}"/>
    <cellStyle name="40% - Énfasis1 12 4 2 3" xfId="9980" xr:uid="{00000000-0005-0000-0000-0000FF260000}"/>
    <cellStyle name="40% - Énfasis1 12 4 3" xfId="9981" xr:uid="{00000000-0005-0000-0000-000000270000}"/>
    <cellStyle name="40% - Énfasis1 12 4 3 2" xfId="9982" xr:uid="{00000000-0005-0000-0000-000001270000}"/>
    <cellStyle name="40% - Énfasis1 12 4 4" xfId="9983" xr:uid="{00000000-0005-0000-0000-000002270000}"/>
    <cellStyle name="40% - Énfasis1 12 5" xfId="9984" xr:uid="{00000000-0005-0000-0000-000003270000}"/>
    <cellStyle name="40% - Énfasis1 12 5 2" xfId="9985" xr:uid="{00000000-0005-0000-0000-000004270000}"/>
    <cellStyle name="40% - Énfasis1 12 5 2 2" xfId="9986" xr:uid="{00000000-0005-0000-0000-000005270000}"/>
    <cellStyle name="40% - Énfasis1 12 5 3" xfId="9987" xr:uid="{00000000-0005-0000-0000-000006270000}"/>
    <cellStyle name="40% - Énfasis1 12 6" xfId="9988" xr:uid="{00000000-0005-0000-0000-000007270000}"/>
    <cellStyle name="40% - Énfasis1 12 6 2" xfId="9989" xr:uid="{00000000-0005-0000-0000-000008270000}"/>
    <cellStyle name="40% - Énfasis1 12 6 2 2" xfId="9990" xr:uid="{00000000-0005-0000-0000-000009270000}"/>
    <cellStyle name="40% - Énfasis1 12 6 3" xfId="9991" xr:uid="{00000000-0005-0000-0000-00000A270000}"/>
    <cellStyle name="40% - Énfasis1 12 7" xfId="9992" xr:uid="{00000000-0005-0000-0000-00000B270000}"/>
    <cellStyle name="40% - Énfasis1 12 7 2" xfId="9993" xr:uid="{00000000-0005-0000-0000-00000C270000}"/>
    <cellStyle name="40% - Énfasis1 12 8" xfId="9994" xr:uid="{00000000-0005-0000-0000-00000D270000}"/>
    <cellStyle name="40% - Énfasis1 13" xfId="9995" xr:uid="{00000000-0005-0000-0000-00000E270000}"/>
    <cellStyle name="40% - Énfasis1 13 2" xfId="9996" xr:uid="{00000000-0005-0000-0000-00000F270000}"/>
    <cellStyle name="40% - Énfasis1 13 2 2" xfId="9997" xr:uid="{00000000-0005-0000-0000-000010270000}"/>
    <cellStyle name="40% - Énfasis1 13 2 2 2" xfId="9998" xr:uid="{00000000-0005-0000-0000-000011270000}"/>
    <cellStyle name="40% - Énfasis1 13 2 2 2 2" xfId="9999" xr:uid="{00000000-0005-0000-0000-000012270000}"/>
    <cellStyle name="40% - Énfasis1 13 2 2 2 2 2" xfId="10000" xr:uid="{00000000-0005-0000-0000-000013270000}"/>
    <cellStyle name="40% - Énfasis1 13 2 2 2 3" xfId="10001" xr:uid="{00000000-0005-0000-0000-000014270000}"/>
    <cellStyle name="40% - Énfasis1 13 2 2 3" xfId="10002" xr:uid="{00000000-0005-0000-0000-000015270000}"/>
    <cellStyle name="40% - Énfasis1 13 2 2 3 2" xfId="10003" xr:uid="{00000000-0005-0000-0000-000016270000}"/>
    <cellStyle name="40% - Énfasis1 13 2 2 4" xfId="10004" xr:uid="{00000000-0005-0000-0000-000017270000}"/>
    <cellStyle name="40% - Énfasis1 13 2 3" xfId="10005" xr:uid="{00000000-0005-0000-0000-000018270000}"/>
    <cellStyle name="40% - Énfasis1 13 2 3 2" xfId="10006" xr:uid="{00000000-0005-0000-0000-000019270000}"/>
    <cellStyle name="40% - Énfasis1 13 2 3 2 2" xfId="10007" xr:uid="{00000000-0005-0000-0000-00001A270000}"/>
    <cellStyle name="40% - Énfasis1 13 2 3 3" xfId="10008" xr:uid="{00000000-0005-0000-0000-00001B270000}"/>
    <cellStyle name="40% - Énfasis1 13 2 4" xfId="10009" xr:uid="{00000000-0005-0000-0000-00001C270000}"/>
    <cellStyle name="40% - Énfasis1 13 2 4 2" xfId="10010" xr:uid="{00000000-0005-0000-0000-00001D270000}"/>
    <cellStyle name="40% - Énfasis1 13 2 4 2 2" xfId="10011" xr:uid="{00000000-0005-0000-0000-00001E270000}"/>
    <cellStyle name="40% - Énfasis1 13 2 4 3" xfId="10012" xr:uid="{00000000-0005-0000-0000-00001F270000}"/>
    <cellStyle name="40% - Énfasis1 13 2 5" xfId="10013" xr:uid="{00000000-0005-0000-0000-000020270000}"/>
    <cellStyle name="40% - Énfasis1 13 2 5 2" xfId="10014" xr:uid="{00000000-0005-0000-0000-000021270000}"/>
    <cellStyle name="40% - Énfasis1 13 2 6" xfId="10015" xr:uid="{00000000-0005-0000-0000-000022270000}"/>
    <cellStyle name="40% - Énfasis1 13 3" xfId="10016" xr:uid="{00000000-0005-0000-0000-000023270000}"/>
    <cellStyle name="40% - Énfasis1 13 3 2" xfId="10017" xr:uid="{00000000-0005-0000-0000-000024270000}"/>
    <cellStyle name="40% - Énfasis1 13 3 2 2" xfId="10018" xr:uid="{00000000-0005-0000-0000-000025270000}"/>
    <cellStyle name="40% - Énfasis1 13 3 2 2 2" xfId="10019" xr:uid="{00000000-0005-0000-0000-000026270000}"/>
    <cellStyle name="40% - Énfasis1 13 3 2 3" xfId="10020" xr:uid="{00000000-0005-0000-0000-000027270000}"/>
    <cellStyle name="40% - Énfasis1 13 3 3" xfId="10021" xr:uid="{00000000-0005-0000-0000-000028270000}"/>
    <cellStyle name="40% - Énfasis1 13 3 3 2" xfId="10022" xr:uid="{00000000-0005-0000-0000-000029270000}"/>
    <cellStyle name="40% - Énfasis1 13 3 3 2 2" xfId="10023" xr:uid="{00000000-0005-0000-0000-00002A270000}"/>
    <cellStyle name="40% - Énfasis1 13 3 3 3" xfId="10024" xr:uid="{00000000-0005-0000-0000-00002B270000}"/>
    <cellStyle name="40% - Énfasis1 13 3 4" xfId="10025" xr:uid="{00000000-0005-0000-0000-00002C270000}"/>
    <cellStyle name="40% - Énfasis1 13 3 4 2" xfId="10026" xr:uid="{00000000-0005-0000-0000-00002D270000}"/>
    <cellStyle name="40% - Énfasis1 13 3 5" xfId="10027" xr:uid="{00000000-0005-0000-0000-00002E270000}"/>
    <cellStyle name="40% - Énfasis1 13 4" xfId="10028" xr:uid="{00000000-0005-0000-0000-00002F270000}"/>
    <cellStyle name="40% - Énfasis1 13 4 2" xfId="10029" xr:uid="{00000000-0005-0000-0000-000030270000}"/>
    <cellStyle name="40% - Énfasis1 13 4 2 2" xfId="10030" xr:uid="{00000000-0005-0000-0000-000031270000}"/>
    <cellStyle name="40% - Énfasis1 13 4 2 2 2" xfId="10031" xr:uid="{00000000-0005-0000-0000-000032270000}"/>
    <cellStyle name="40% - Énfasis1 13 4 2 3" xfId="10032" xr:uid="{00000000-0005-0000-0000-000033270000}"/>
    <cellStyle name="40% - Énfasis1 13 4 3" xfId="10033" xr:uid="{00000000-0005-0000-0000-000034270000}"/>
    <cellStyle name="40% - Énfasis1 13 4 3 2" xfId="10034" xr:uid="{00000000-0005-0000-0000-000035270000}"/>
    <cellStyle name="40% - Énfasis1 13 4 4" xfId="10035" xr:uid="{00000000-0005-0000-0000-000036270000}"/>
    <cellStyle name="40% - Énfasis1 13 5" xfId="10036" xr:uid="{00000000-0005-0000-0000-000037270000}"/>
    <cellStyle name="40% - Énfasis1 13 5 2" xfId="10037" xr:uid="{00000000-0005-0000-0000-000038270000}"/>
    <cellStyle name="40% - Énfasis1 13 5 2 2" xfId="10038" xr:uid="{00000000-0005-0000-0000-000039270000}"/>
    <cellStyle name="40% - Énfasis1 13 5 3" xfId="10039" xr:uid="{00000000-0005-0000-0000-00003A270000}"/>
    <cellStyle name="40% - Énfasis1 13 6" xfId="10040" xr:uid="{00000000-0005-0000-0000-00003B270000}"/>
    <cellStyle name="40% - Énfasis1 13 6 2" xfId="10041" xr:uid="{00000000-0005-0000-0000-00003C270000}"/>
    <cellStyle name="40% - Énfasis1 13 6 2 2" xfId="10042" xr:uid="{00000000-0005-0000-0000-00003D270000}"/>
    <cellStyle name="40% - Énfasis1 13 6 3" xfId="10043" xr:uid="{00000000-0005-0000-0000-00003E270000}"/>
    <cellStyle name="40% - Énfasis1 13 7" xfId="10044" xr:uid="{00000000-0005-0000-0000-00003F270000}"/>
    <cellStyle name="40% - Énfasis1 13 7 2" xfId="10045" xr:uid="{00000000-0005-0000-0000-000040270000}"/>
    <cellStyle name="40% - Énfasis1 13 8" xfId="10046" xr:uid="{00000000-0005-0000-0000-000041270000}"/>
    <cellStyle name="40% - Énfasis1 14" xfId="10047" xr:uid="{00000000-0005-0000-0000-000042270000}"/>
    <cellStyle name="40% - Énfasis1 14 2" xfId="10048" xr:uid="{00000000-0005-0000-0000-000043270000}"/>
    <cellStyle name="40% - Énfasis1 14 2 2" xfId="10049" xr:uid="{00000000-0005-0000-0000-000044270000}"/>
    <cellStyle name="40% - Énfasis1 14 2 2 2" xfId="10050" xr:uid="{00000000-0005-0000-0000-000045270000}"/>
    <cellStyle name="40% - Énfasis1 14 2 2 2 2" xfId="10051" xr:uid="{00000000-0005-0000-0000-000046270000}"/>
    <cellStyle name="40% - Énfasis1 14 2 2 2 2 2" xfId="10052" xr:uid="{00000000-0005-0000-0000-000047270000}"/>
    <cellStyle name="40% - Énfasis1 14 2 2 2 3" xfId="10053" xr:uid="{00000000-0005-0000-0000-000048270000}"/>
    <cellStyle name="40% - Énfasis1 14 2 2 3" xfId="10054" xr:uid="{00000000-0005-0000-0000-000049270000}"/>
    <cellStyle name="40% - Énfasis1 14 2 2 3 2" xfId="10055" xr:uid="{00000000-0005-0000-0000-00004A270000}"/>
    <cellStyle name="40% - Énfasis1 14 2 2 4" xfId="10056" xr:uid="{00000000-0005-0000-0000-00004B270000}"/>
    <cellStyle name="40% - Énfasis1 14 2 3" xfId="10057" xr:uid="{00000000-0005-0000-0000-00004C270000}"/>
    <cellStyle name="40% - Énfasis1 14 2 3 2" xfId="10058" xr:uid="{00000000-0005-0000-0000-00004D270000}"/>
    <cellStyle name="40% - Énfasis1 14 2 3 2 2" xfId="10059" xr:uid="{00000000-0005-0000-0000-00004E270000}"/>
    <cellStyle name="40% - Énfasis1 14 2 3 3" xfId="10060" xr:uid="{00000000-0005-0000-0000-00004F270000}"/>
    <cellStyle name="40% - Énfasis1 14 2 4" xfId="10061" xr:uid="{00000000-0005-0000-0000-000050270000}"/>
    <cellStyle name="40% - Énfasis1 14 2 4 2" xfId="10062" xr:uid="{00000000-0005-0000-0000-000051270000}"/>
    <cellStyle name="40% - Énfasis1 14 2 4 2 2" xfId="10063" xr:uid="{00000000-0005-0000-0000-000052270000}"/>
    <cellStyle name="40% - Énfasis1 14 2 4 3" xfId="10064" xr:uid="{00000000-0005-0000-0000-000053270000}"/>
    <cellStyle name="40% - Énfasis1 14 2 5" xfId="10065" xr:uid="{00000000-0005-0000-0000-000054270000}"/>
    <cellStyle name="40% - Énfasis1 14 2 5 2" xfId="10066" xr:uid="{00000000-0005-0000-0000-000055270000}"/>
    <cellStyle name="40% - Énfasis1 14 2 6" xfId="10067" xr:uid="{00000000-0005-0000-0000-000056270000}"/>
    <cellStyle name="40% - Énfasis1 14 3" xfId="10068" xr:uid="{00000000-0005-0000-0000-000057270000}"/>
    <cellStyle name="40% - Énfasis1 14 3 2" xfId="10069" xr:uid="{00000000-0005-0000-0000-000058270000}"/>
    <cellStyle name="40% - Énfasis1 14 3 2 2" xfId="10070" xr:uid="{00000000-0005-0000-0000-000059270000}"/>
    <cellStyle name="40% - Énfasis1 14 3 2 2 2" xfId="10071" xr:uid="{00000000-0005-0000-0000-00005A270000}"/>
    <cellStyle name="40% - Énfasis1 14 3 2 3" xfId="10072" xr:uid="{00000000-0005-0000-0000-00005B270000}"/>
    <cellStyle name="40% - Énfasis1 14 3 3" xfId="10073" xr:uid="{00000000-0005-0000-0000-00005C270000}"/>
    <cellStyle name="40% - Énfasis1 14 3 3 2" xfId="10074" xr:uid="{00000000-0005-0000-0000-00005D270000}"/>
    <cellStyle name="40% - Énfasis1 14 3 3 2 2" xfId="10075" xr:uid="{00000000-0005-0000-0000-00005E270000}"/>
    <cellStyle name="40% - Énfasis1 14 3 3 3" xfId="10076" xr:uid="{00000000-0005-0000-0000-00005F270000}"/>
    <cellStyle name="40% - Énfasis1 14 3 4" xfId="10077" xr:uid="{00000000-0005-0000-0000-000060270000}"/>
    <cellStyle name="40% - Énfasis1 14 3 4 2" xfId="10078" xr:uid="{00000000-0005-0000-0000-000061270000}"/>
    <cellStyle name="40% - Énfasis1 14 3 5" xfId="10079" xr:uid="{00000000-0005-0000-0000-000062270000}"/>
    <cellStyle name="40% - Énfasis1 14 4" xfId="10080" xr:uid="{00000000-0005-0000-0000-000063270000}"/>
    <cellStyle name="40% - Énfasis1 14 4 2" xfId="10081" xr:uid="{00000000-0005-0000-0000-000064270000}"/>
    <cellStyle name="40% - Énfasis1 14 4 2 2" xfId="10082" xr:uid="{00000000-0005-0000-0000-000065270000}"/>
    <cellStyle name="40% - Énfasis1 14 4 2 2 2" xfId="10083" xr:uid="{00000000-0005-0000-0000-000066270000}"/>
    <cellStyle name="40% - Énfasis1 14 4 2 3" xfId="10084" xr:uid="{00000000-0005-0000-0000-000067270000}"/>
    <cellStyle name="40% - Énfasis1 14 4 3" xfId="10085" xr:uid="{00000000-0005-0000-0000-000068270000}"/>
    <cellStyle name="40% - Énfasis1 14 4 3 2" xfId="10086" xr:uid="{00000000-0005-0000-0000-000069270000}"/>
    <cellStyle name="40% - Énfasis1 14 4 4" xfId="10087" xr:uid="{00000000-0005-0000-0000-00006A270000}"/>
    <cellStyle name="40% - Énfasis1 14 5" xfId="10088" xr:uid="{00000000-0005-0000-0000-00006B270000}"/>
    <cellStyle name="40% - Énfasis1 14 5 2" xfId="10089" xr:uid="{00000000-0005-0000-0000-00006C270000}"/>
    <cellStyle name="40% - Énfasis1 14 5 2 2" xfId="10090" xr:uid="{00000000-0005-0000-0000-00006D270000}"/>
    <cellStyle name="40% - Énfasis1 14 5 3" xfId="10091" xr:uid="{00000000-0005-0000-0000-00006E270000}"/>
    <cellStyle name="40% - Énfasis1 14 6" xfId="10092" xr:uid="{00000000-0005-0000-0000-00006F270000}"/>
    <cellStyle name="40% - Énfasis1 14 6 2" xfId="10093" xr:uid="{00000000-0005-0000-0000-000070270000}"/>
    <cellStyle name="40% - Énfasis1 14 6 2 2" xfId="10094" xr:uid="{00000000-0005-0000-0000-000071270000}"/>
    <cellStyle name="40% - Énfasis1 14 6 3" xfId="10095" xr:uid="{00000000-0005-0000-0000-000072270000}"/>
    <cellStyle name="40% - Énfasis1 14 7" xfId="10096" xr:uid="{00000000-0005-0000-0000-000073270000}"/>
    <cellStyle name="40% - Énfasis1 14 7 2" xfId="10097" xr:uid="{00000000-0005-0000-0000-000074270000}"/>
    <cellStyle name="40% - Énfasis1 14 8" xfId="10098" xr:uid="{00000000-0005-0000-0000-000075270000}"/>
    <cellStyle name="40% - Énfasis1 15" xfId="10099" xr:uid="{00000000-0005-0000-0000-000076270000}"/>
    <cellStyle name="40% - Énfasis1 15 2" xfId="10100" xr:uid="{00000000-0005-0000-0000-000077270000}"/>
    <cellStyle name="40% - Énfasis1 15 2 2" xfId="10101" xr:uid="{00000000-0005-0000-0000-000078270000}"/>
    <cellStyle name="40% - Énfasis1 15 2 2 2" xfId="10102" xr:uid="{00000000-0005-0000-0000-000079270000}"/>
    <cellStyle name="40% - Énfasis1 15 2 2 2 2" xfId="10103" xr:uid="{00000000-0005-0000-0000-00007A270000}"/>
    <cellStyle name="40% - Énfasis1 15 2 2 2 2 2" xfId="10104" xr:uid="{00000000-0005-0000-0000-00007B270000}"/>
    <cellStyle name="40% - Énfasis1 15 2 2 2 3" xfId="10105" xr:uid="{00000000-0005-0000-0000-00007C270000}"/>
    <cellStyle name="40% - Énfasis1 15 2 2 3" xfId="10106" xr:uid="{00000000-0005-0000-0000-00007D270000}"/>
    <cellStyle name="40% - Énfasis1 15 2 2 3 2" xfId="10107" xr:uid="{00000000-0005-0000-0000-00007E270000}"/>
    <cellStyle name="40% - Énfasis1 15 2 2 4" xfId="10108" xr:uid="{00000000-0005-0000-0000-00007F270000}"/>
    <cellStyle name="40% - Énfasis1 15 2 3" xfId="10109" xr:uid="{00000000-0005-0000-0000-000080270000}"/>
    <cellStyle name="40% - Énfasis1 15 2 3 2" xfId="10110" xr:uid="{00000000-0005-0000-0000-000081270000}"/>
    <cellStyle name="40% - Énfasis1 15 2 3 2 2" xfId="10111" xr:uid="{00000000-0005-0000-0000-000082270000}"/>
    <cellStyle name="40% - Énfasis1 15 2 3 3" xfId="10112" xr:uid="{00000000-0005-0000-0000-000083270000}"/>
    <cellStyle name="40% - Énfasis1 15 2 4" xfId="10113" xr:uid="{00000000-0005-0000-0000-000084270000}"/>
    <cellStyle name="40% - Énfasis1 15 2 4 2" xfId="10114" xr:uid="{00000000-0005-0000-0000-000085270000}"/>
    <cellStyle name="40% - Énfasis1 15 2 4 2 2" xfId="10115" xr:uid="{00000000-0005-0000-0000-000086270000}"/>
    <cellStyle name="40% - Énfasis1 15 2 4 3" xfId="10116" xr:uid="{00000000-0005-0000-0000-000087270000}"/>
    <cellStyle name="40% - Énfasis1 15 2 5" xfId="10117" xr:uid="{00000000-0005-0000-0000-000088270000}"/>
    <cellStyle name="40% - Énfasis1 15 2 5 2" xfId="10118" xr:uid="{00000000-0005-0000-0000-000089270000}"/>
    <cellStyle name="40% - Énfasis1 15 2 6" xfId="10119" xr:uid="{00000000-0005-0000-0000-00008A270000}"/>
    <cellStyle name="40% - Énfasis1 15 3" xfId="10120" xr:uid="{00000000-0005-0000-0000-00008B270000}"/>
    <cellStyle name="40% - Énfasis1 15 3 2" xfId="10121" xr:uid="{00000000-0005-0000-0000-00008C270000}"/>
    <cellStyle name="40% - Énfasis1 15 3 2 2" xfId="10122" xr:uid="{00000000-0005-0000-0000-00008D270000}"/>
    <cellStyle name="40% - Énfasis1 15 3 2 2 2" xfId="10123" xr:uid="{00000000-0005-0000-0000-00008E270000}"/>
    <cellStyle name="40% - Énfasis1 15 3 2 3" xfId="10124" xr:uid="{00000000-0005-0000-0000-00008F270000}"/>
    <cellStyle name="40% - Énfasis1 15 3 3" xfId="10125" xr:uid="{00000000-0005-0000-0000-000090270000}"/>
    <cellStyle name="40% - Énfasis1 15 3 3 2" xfId="10126" xr:uid="{00000000-0005-0000-0000-000091270000}"/>
    <cellStyle name="40% - Énfasis1 15 3 3 2 2" xfId="10127" xr:uid="{00000000-0005-0000-0000-000092270000}"/>
    <cellStyle name="40% - Énfasis1 15 3 3 3" xfId="10128" xr:uid="{00000000-0005-0000-0000-000093270000}"/>
    <cellStyle name="40% - Énfasis1 15 3 4" xfId="10129" xr:uid="{00000000-0005-0000-0000-000094270000}"/>
    <cellStyle name="40% - Énfasis1 15 3 4 2" xfId="10130" xr:uid="{00000000-0005-0000-0000-000095270000}"/>
    <cellStyle name="40% - Énfasis1 15 3 5" xfId="10131" xr:uid="{00000000-0005-0000-0000-000096270000}"/>
    <cellStyle name="40% - Énfasis1 15 4" xfId="10132" xr:uid="{00000000-0005-0000-0000-000097270000}"/>
    <cellStyle name="40% - Énfasis1 15 4 2" xfId="10133" xr:uid="{00000000-0005-0000-0000-000098270000}"/>
    <cellStyle name="40% - Énfasis1 15 4 2 2" xfId="10134" xr:uid="{00000000-0005-0000-0000-000099270000}"/>
    <cellStyle name="40% - Énfasis1 15 4 2 2 2" xfId="10135" xr:uid="{00000000-0005-0000-0000-00009A270000}"/>
    <cellStyle name="40% - Énfasis1 15 4 2 3" xfId="10136" xr:uid="{00000000-0005-0000-0000-00009B270000}"/>
    <cellStyle name="40% - Énfasis1 15 4 3" xfId="10137" xr:uid="{00000000-0005-0000-0000-00009C270000}"/>
    <cellStyle name="40% - Énfasis1 15 4 3 2" xfId="10138" xr:uid="{00000000-0005-0000-0000-00009D270000}"/>
    <cellStyle name="40% - Énfasis1 15 4 4" xfId="10139" xr:uid="{00000000-0005-0000-0000-00009E270000}"/>
    <cellStyle name="40% - Énfasis1 15 5" xfId="10140" xr:uid="{00000000-0005-0000-0000-00009F270000}"/>
    <cellStyle name="40% - Énfasis1 15 5 2" xfId="10141" xr:uid="{00000000-0005-0000-0000-0000A0270000}"/>
    <cellStyle name="40% - Énfasis1 15 5 2 2" xfId="10142" xr:uid="{00000000-0005-0000-0000-0000A1270000}"/>
    <cellStyle name="40% - Énfasis1 15 5 3" xfId="10143" xr:uid="{00000000-0005-0000-0000-0000A2270000}"/>
    <cellStyle name="40% - Énfasis1 15 6" xfId="10144" xr:uid="{00000000-0005-0000-0000-0000A3270000}"/>
    <cellStyle name="40% - Énfasis1 15 6 2" xfId="10145" xr:uid="{00000000-0005-0000-0000-0000A4270000}"/>
    <cellStyle name="40% - Énfasis1 15 6 2 2" xfId="10146" xr:uid="{00000000-0005-0000-0000-0000A5270000}"/>
    <cellStyle name="40% - Énfasis1 15 6 3" xfId="10147" xr:uid="{00000000-0005-0000-0000-0000A6270000}"/>
    <cellStyle name="40% - Énfasis1 15 7" xfId="10148" xr:uid="{00000000-0005-0000-0000-0000A7270000}"/>
    <cellStyle name="40% - Énfasis1 15 7 2" xfId="10149" xr:uid="{00000000-0005-0000-0000-0000A8270000}"/>
    <cellStyle name="40% - Énfasis1 15 8" xfId="10150" xr:uid="{00000000-0005-0000-0000-0000A9270000}"/>
    <cellStyle name="40% - Énfasis1 16" xfId="10151" xr:uid="{00000000-0005-0000-0000-0000AA270000}"/>
    <cellStyle name="40% - Énfasis1 16 2" xfId="10152" xr:uid="{00000000-0005-0000-0000-0000AB270000}"/>
    <cellStyle name="40% - Énfasis1 16 2 2" xfId="10153" xr:uid="{00000000-0005-0000-0000-0000AC270000}"/>
    <cellStyle name="40% - Énfasis1 16 2 2 2" xfId="10154" xr:uid="{00000000-0005-0000-0000-0000AD270000}"/>
    <cellStyle name="40% - Énfasis1 16 2 2 2 2" xfId="10155" xr:uid="{00000000-0005-0000-0000-0000AE270000}"/>
    <cellStyle name="40% - Énfasis1 16 2 2 3" xfId="10156" xr:uid="{00000000-0005-0000-0000-0000AF270000}"/>
    <cellStyle name="40% - Énfasis1 16 2 3" xfId="10157" xr:uid="{00000000-0005-0000-0000-0000B0270000}"/>
    <cellStyle name="40% - Énfasis1 16 2 3 2" xfId="10158" xr:uid="{00000000-0005-0000-0000-0000B1270000}"/>
    <cellStyle name="40% - Énfasis1 16 2 3 2 2" xfId="10159" xr:uid="{00000000-0005-0000-0000-0000B2270000}"/>
    <cellStyle name="40% - Énfasis1 16 2 3 3" xfId="10160" xr:uid="{00000000-0005-0000-0000-0000B3270000}"/>
    <cellStyle name="40% - Énfasis1 16 2 4" xfId="10161" xr:uid="{00000000-0005-0000-0000-0000B4270000}"/>
    <cellStyle name="40% - Énfasis1 16 2 4 2" xfId="10162" xr:uid="{00000000-0005-0000-0000-0000B5270000}"/>
    <cellStyle name="40% - Énfasis1 16 2 5" xfId="10163" xr:uid="{00000000-0005-0000-0000-0000B6270000}"/>
    <cellStyle name="40% - Énfasis1 16 3" xfId="10164" xr:uid="{00000000-0005-0000-0000-0000B7270000}"/>
    <cellStyle name="40% - Énfasis1 16 3 2" xfId="10165" xr:uid="{00000000-0005-0000-0000-0000B8270000}"/>
    <cellStyle name="40% - Énfasis1 16 3 2 2" xfId="10166" xr:uid="{00000000-0005-0000-0000-0000B9270000}"/>
    <cellStyle name="40% - Énfasis1 16 3 2 2 2" xfId="10167" xr:uid="{00000000-0005-0000-0000-0000BA270000}"/>
    <cellStyle name="40% - Énfasis1 16 3 2 3" xfId="10168" xr:uid="{00000000-0005-0000-0000-0000BB270000}"/>
    <cellStyle name="40% - Énfasis1 16 3 3" xfId="10169" xr:uid="{00000000-0005-0000-0000-0000BC270000}"/>
    <cellStyle name="40% - Énfasis1 16 3 3 2" xfId="10170" xr:uid="{00000000-0005-0000-0000-0000BD270000}"/>
    <cellStyle name="40% - Énfasis1 16 3 4" xfId="10171" xr:uid="{00000000-0005-0000-0000-0000BE270000}"/>
    <cellStyle name="40% - Énfasis1 16 4" xfId="10172" xr:uid="{00000000-0005-0000-0000-0000BF270000}"/>
    <cellStyle name="40% - Énfasis1 16 4 2" xfId="10173" xr:uid="{00000000-0005-0000-0000-0000C0270000}"/>
    <cellStyle name="40% - Énfasis1 16 4 2 2" xfId="10174" xr:uid="{00000000-0005-0000-0000-0000C1270000}"/>
    <cellStyle name="40% - Énfasis1 16 4 3" xfId="10175" xr:uid="{00000000-0005-0000-0000-0000C2270000}"/>
    <cellStyle name="40% - Énfasis1 16 5" xfId="10176" xr:uid="{00000000-0005-0000-0000-0000C3270000}"/>
    <cellStyle name="40% - Énfasis1 16 5 2" xfId="10177" xr:uid="{00000000-0005-0000-0000-0000C4270000}"/>
    <cellStyle name="40% - Énfasis1 16 5 2 2" xfId="10178" xr:uid="{00000000-0005-0000-0000-0000C5270000}"/>
    <cellStyle name="40% - Énfasis1 16 5 3" xfId="10179" xr:uid="{00000000-0005-0000-0000-0000C6270000}"/>
    <cellStyle name="40% - Énfasis1 16 6" xfId="10180" xr:uid="{00000000-0005-0000-0000-0000C7270000}"/>
    <cellStyle name="40% - Énfasis1 16 6 2" xfId="10181" xr:uid="{00000000-0005-0000-0000-0000C8270000}"/>
    <cellStyle name="40% - Énfasis1 16 7" xfId="10182" xr:uid="{00000000-0005-0000-0000-0000C9270000}"/>
    <cellStyle name="40% - Énfasis1 17" xfId="10183" xr:uid="{00000000-0005-0000-0000-0000CA270000}"/>
    <cellStyle name="40% - Énfasis1 17 2" xfId="10184" xr:uid="{00000000-0005-0000-0000-0000CB270000}"/>
    <cellStyle name="40% - Énfasis1 17 2 2" xfId="10185" xr:uid="{00000000-0005-0000-0000-0000CC270000}"/>
    <cellStyle name="40% - Énfasis1 17 2 2 2" xfId="10186" xr:uid="{00000000-0005-0000-0000-0000CD270000}"/>
    <cellStyle name="40% - Énfasis1 17 2 2 2 2" xfId="10187" xr:uid="{00000000-0005-0000-0000-0000CE270000}"/>
    <cellStyle name="40% - Énfasis1 17 2 2 3" xfId="10188" xr:uid="{00000000-0005-0000-0000-0000CF270000}"/>
    <cellStyle name="40% - Énfasis1 17 2 3" xfId="10189" xr:uid="{00000000-0005-0000-0000-0000D0270000}"/>
    <cellStyle name="40% - Énfasis1 17 2 3 2" xfId="10190" xr:uid="{00000000-0005-0000-0000-0000D1270000}"/>
    <cellStyle name="40% - Énfasis1 17 2 3 2 2" xfId="10191" xr:uid="{00000000-0005-0000-0000-0000D2270000}"/>
    <cellStyle name="40% - Énfasis1 17 2 3 3" xfId="10192" xr:uid="{00000000-0005-0000-0000-0000D3270000}"/>
    <cellStyle name="40% - Énfasis1 17 2 4" xfId="10193" xr:uid="{00000000-0005-0000-0000-0000D4270000}"/>
    <cellStyle name="40% - Énfasis1 17 2 4 2" xfId="10194" xr:uid="{00000000-0005-0000-0000-0000D5270000}"/>
    <cellStyle name="40% - Énfasis1 17 2 5" xfId="10195" xr:uid="{00000000-0005-0000-0000-0000D6270000}"/>
    <cellStyle name="40% - Énfasis1 17 3" xfId="10196" xr:uid="{00000000-0005-0000-0000-0000D7270000}"/>
    <cellStyle name="40% - Énfasis1 17 3 2" xfId="10197" xr:uid="{00000000-0005-0000-0000-0000D8270000}"/>
    <cellStyle name="40% - Énfasis1 17 3 2 2" xfId="10198" xr:uid="{00000000-0005-0000-0000-0000D9270000}"/>
    <cellStyle name="40% - Énfasis1 17 3 2 2 2" xfId="10199" xr:uid="{00000000-0005-0000-0000-0000DA270000}"/>
    <cellStyle name="40% - Énfasis1 17 3 2 3" xfId="10200" xr:uid="{00000000-0005-0000-0000-0000DB270000}"/>
    <cellStyle name="40% - Énfasis1 17 3 3" xfId="10201" xr:uid="{00000000-0005-0000-0000-0000DC270000}"/>
    <cellStyle name="40% - Énfasis1 17 3 3 2" xfId="10202" xr:uid="{00000000-0005-0000-0000-0000DD270000}"/>
    <cellStyle name="40% - Énfasis1 17 3 4" xfId="10203" xr:uid="{00000000-0005-0000-0000-0000DE270000}"/>
    <cellStyle name="40% - Énfasis1 17 4" xfId="10204" xr:uid="{00000000-0005-0000-0000-0000DF270000}"/>
    <cellStyle name="40% - Énfasis1 17 4 2" xfId="10205" xr:uid="{00000000-0005-0000-0000-0000E0270000}"/>
    <cellStyle name="40% - Énfasis1 17 4 2 2" xfId="10206" xr:uid="{00000000-0005-0000-0000-0000E1270000}"/>
    <cellStyle name="40% - Énfasis1 17 4 3" xfId="10207" xr:uid="{00000000-0005-0000-0000-0000E2270000}"/>
    <cellStyle name="40% - Énfasis1 17 5" xfId="10208" xr:uid="{00000000-0005-0000-0000-0000E3270000}"/>
    <cellStyle name="40% - Énfasis1 17 5 2" xfId="10209" xr:uid="{00000000-0005-0000-0000-0000E4270000}"/>
    <cellStyle name="40% - Énfasis1 17 5 2 2" xfId="10210" xr:uid="{00000000-0005-0000-0000-0000E5270000}"/>
    <cellStyle name="40% - Énfasis1 17 5 3" xfId="10211" xr:uid="{00000000-0005-0000-0000-0000E6270000}"/>
    <cellStyle name="40% - Énfasis1 17 6" xfId="10212" xr:uid="{00000000-0005-0000-0000-0000E7270000}"/>
    <cellStyle name="40% - Énfasis1 17 6 2" xfId="10213" xr:uid="{00000000-0005-0000-0000-0000E8270000}"/>
    <cellStyle name="40% - Énfasis1 17 7" xfId="10214" xr:uid="{00000000-0005-0000-0000-0000E9270000}"/>
    <cellStyle name="40% - Énfasis1 18" xfId="10215" xr:uid="{00000000-0005-0000-0000-0000EA270000}"/>
    <cellStyle name="40% - Énfasis1 18 2" xfId="10216" xr:uid="{00000000-0005-0000-0000-0000EB270000}"/>
    <cellStyle name="40% - Énfasis1 18 2 2" xfId="10217" xr:uid="{00000000-0005-0000-0000-0000EC270000}"/>
    <cellStyle name="40% - Énfasis1 18 2 2 2" xfId="10218" xr:uid="{00000000-0005-0000-0000-0000ED270000}"/>
    <cellStyle name="40% - Énfasis1 18 2 2 2 2" xfId="10219" xr:uid="{00000000-0005-0000-0000-0000EE270000}"/>
    <cellStyle name="40% - Énfasis1 18 2 2 3" xfId="10220" xr:uid="{00000000-0005-0000-0000-0000EF270000}"/>
    <cellStyle name="40% - Énfasis1 18 2 3" xfId="10221" xr:uid="{00000000-0005-0000-0000-0000F0270000}"/>
    <cellStyle name="40% - Énfasis1 18 2 3 2" xfId="10222" xr:uid="{00000000-0005-0000-0000-0000F1270000}"/>
    <cellStyle name="40% - Énfasis1 18 2 3 2 2" xfId="10223" xr:uid="{00000000-0005-0000-0000-0000F2270000}"/>
    <cellStyle name="40% - Énfasis1 18 2 3 3" xfId="10224" xr:uid="{00000000-0005-0000-0000-0000F3270000}"/>
    <cellStyle name="40% - Énfasis1 18 2 4" xfId="10225" xr:uid="{00000000-0005-0000-0000-0000F4270000}"/>
    <cellStyle name="40% - Énfasis1 18 2 4 2" xfId="10226" xr:uid="{00000000-0005-0000-0000-0000F5270000}"/>
    <cellStyle name="40% - Énfasis1 18 2 5" xfId="10227" xr:uid="{00000000-0005-0000-0000-0000F6270000}"/>
    <cellStyle name="40% - Énfasis1 18 3" xfId="10228" xr:uid="{00000000-0005-0000-0000-0000F7270000}"/>
    <cellStyle name="40% - Énfasis1 18 3 2" xfId="10229" xr:uid="{00000000-0005-0000-0000-0000F8270000}"/>
    <cellStyle name="40% - Énfasis1 18 3 2 2" xfId="10230" xr:uid="{00000000-0005-0000-0000-0000F9270000}"/>
    <cellStyle name="40% - Énfasis1 18 3 2 2 2" xfId="10231" xr:uid="{00000000-0005-0000-0000-0000FA270000}"/>
    <cellStyle name="40% - Énfasis1 18 3 2 3" xfId="10232" xr:uid="{00000000-0005-0000-0000-0000FB270000}"/>
    <cellStyle name="40% - Énfasis1 18 3 3" xfId="10233" xr:uid="{00000000-0005-0000-0000-0000FC270000}"/>
    <cellStyle name="40% - Énfasis1 18 3 3 2" xfId="10234" xr:uid="{00000000-0005-0000-0000-0000FD270000}"/>
    <cellStyle name="40% - Énfasis1 18 3 4" xfId="10235" xr:uid="{00000000-0005-0000-0000-0000FE270000}"/>
    <cellStyle name="40% - Énfasis1 18 4" xfId="10236" xr:uid="{00000000-0005-0000-0000-0000FF270000}"/>
    <cellStyle name="40% - Énfasis1 18 4 2" xfId="10237" xr:uid="{00000000-0005-0000-0000-000000280000}"/>
    <cellStyle name="40% - Énfasis1 18 4 2 2" xfId="10238" xr:uid="{00000000-0005-0000-0000-000001280000}"/>
    <cellStyle name="40% - Énfasis1 18 4 3" xfId="10239" xr:uid="{00000000-0005-0000-0000-000002280000}"/>
    <cellStyle name="40% - Énfasis1 18 5" xfId="10240" xr:uid="{00000000-0005-0000-0000-000003280000}"/>
    <cellStyle name="40% - Énfasis1 18 5 2" xfId="10241" xr:uid="{00000000-0005-0000-0000-000004280000}"/>
    <cellStyle name="40% - Énfasis1 18 5 2 2" xfId="10242" xr:uid="{00000000-0005-0000-0000-000005280000}"/>
    <cellStyle name="40% - Énfasis1 18 5 3" xfId="10243" xr:uid="{00000000-0005-0000-0000-000006280000}"/>
    <cellStyle name="40% - Énfasis1 18 6" xfId="10244" xr:uid="{00000000-0005-0000-0000-000007280000}"/>
    <cellStyle name="40% - Énfasis1 18 6 2" xfId="10245" xr:uid="{00000000-0005-0000-0000-000008280000}"/>
    <cellStyle name="40% - Énfasis1 18 7" xfId="10246" xr:uid="{00000000-0005-0000-0000-000009280000}"/>
    <cellStyle name="40% - Énfasis1 19" xfId="10247" xr:uid="{00000000-0005-0000-0000-00000A280000}"/>
    <cellStyle name="40% - Énfasis1 19 2" xfId="10248" xr:uid="{00000000-0005-0000-0000-00000B280000}"/>
    <cellStyle name="40% - Énfasis1 19 2 2" xfId="10249" xr:uid="{00000000-0005-0000-0000-00000C280000}"/>
    <cellStyle name="40% - Énfasis1 19 2 2 2" xfId="10250" xr:uid="{00000000-0005-0000-0000-00000D280000}"/>
    <cellStyle name="40% - Énfasis1 19 2 2 2 2" xfId="10251" xr:uid="{00000000-0005-0000-0000-00000E280000}"/>
    <cellStyle name="40% - Énfasis1 19 2 2 3" xfId="10252" xr:uid="{00000000-0005-0000-0000-00000F280000}"/>
    <cellStyle name="40% - Énfasis1 19 2 3" xfId="10253" xr:uid="{00000000-0005-0000-0000-000010280000}"/>
    <cellStyle name="40% - Énfasis1 19 2 3 2" xfId="10254" xr:uid="{00000000-0005-0000-0000-000011280000}"/>
    <cellStyle name="40% - Énfasis1 19 2 3 2 2" xfId="10255" xr:uid="{00000000-0005-0000-0000-000012280000}"/>
    <cellStyle name="40% - Énfasis1 19 2 3 3" xfId="10256" xr:uid="{00000000-0005-0000-0000-000013280000}"/>
    <cellStyle name="40% - Énfasis1 19 2 4" xfId="10257" xr:uid="{00000000-0005-0000-0000-000014280000}"/>
    <cellStyle name="40% - Énfasis1 19 2 4 2" xfId="10258" xr:uid="{00000000-0005-0000-0000-000015280000}"/>
    <cellStyle name="40% - Énfasis1 19 2 5" xfId="10259" xr:uid="{00000000-0005-0000-0000-000016280000}"/>
    <cellStyle name="40% - Énfasis1 19 3" xfId="10260" xr:uid="{00000000-0005-0000-0000-000017280000}"/>
    <cellStyle name="40% - Énfasis1 19 3 2" xfId="10261" xr:uid="{00000000-0005-0000-0000-000018280000}"/>
    <cellStyle name="40% - Énfasis1 19 3 2 2" xfId="10262" xr:uid="{00000000-0005-0000-0000-000019280000}"/>
    <cellStyle name="40% - Énfasis1 19 3 2 2 2" xfId="10263" xr:uid="{00000000-0005-0000-0000-00001A280000}"/>
    <cellStyle name="40% - Énfasis1 19 3 2 3" xfId="10264" xr:uid="{00000000-0005-0000-0000-00001B280000}"/>
    <cellStyle name="40% - Énfasis1 19 3 3" xfId="10265" xr:uid="{00000000-0005-0000-0000-00001C280000}"/>
    <cellStyle name="40% - Énfasis1 19 3 3 2" xfId="10266" xr:uid="{00000000-0005-0000-0000-00001D280000}"/>
    <cellStyle name="40% - Énfasis1 19 3 4" xfId="10267" xr:uid="{00000000-0005-0000-0000-00001E280000}"/>
    <cellStyle name="40% - Énfasis1 19 4" xfId="10268" xr:uid="{00000000-0005-0000-0000-00001F280000}"/>
    <cellStyle name="40% - Énfasis1 19 4 2" xfId="10269" xr:uid="{00000000-0005-0000-0000-000020280000}"/>
    <cellStyle name="40% - Énfasis1 19 4 2 2" xfId="10270" xr:uid="{00000000-0005-0000-0000-000021280000}"/>
    <cellStyle name="40% - Énfasis1 19 4 3" xfId="10271" xr:uid="{00000000-0005-0000-0000-000022280000}"/>
    <cellStyle name="40% - Énfasis1 19 5" xfId="10272" xr:uid="{00000000-0005-0000-0000-000023280000}"/>
    <cellStyle name="40% - Énfasis1 19 5 2" xfId="10273" xr:uid="{00000000-0005-0000-0000-000024280000}"/>
    <cellStyle name="40% - Énfasis1 19 5 2 2" xfId="10274" xr:uid="{00000000-0005-0000-0000-000025280000}"/>
    <cellStyle name="40% - Énfasis1 19 5 3" xfId="10275" xr:uid="{00000000-0005-0000-0000-000026280000}"/>
    <cellStyle name="40% - Énfasis1 19 6" xfId="10276" xr:uid="{00000000-0005-0000-0000-000027280000}"/>
    <cellStyle name="40% - Énfasis1 19 6 2" xfId="10277" xr:uid="{00000000-0005-0000-0000-000028280000}"/>
    <cellStyle name="40% - Énfasis1 19 7" xfId="10278" xr:uid="{00000000-0005-0000-0000-000029280000}"/>
    <cellStyle name="40% - Énfasis1 2" xfId="10279" xr:uid="{00000000-0005-0000-0000-00002A280000}"/>
    <cellStyle name="40% - Énfasis1 2 2" xfId="10280" xr:uid="{00000000-0005-0000-0000-00002B280000}"/>
    <cellStyle name="40% - Énfasis1 2 2 2" xfId="10281" xr:uid="{00000000-0005-0000-0000-00002C280000}"/>
    <cellStyle name="40% - Énfasis1 2 2 2 2" xfId="10282" xr:uid="{00000000-0005-0000-0000-00002D280000}"/>
    <cellStyle name="40% - Énfasis1 2 2 2 2 2" xfId="10283" xr:uid="{00000000-0005-0000-0000-00002E280000}"/>
    <cellStyle name="40% - Énfasis1 2 2 2 2 2 2" xfId="10284" xr:uid="{00000000-0005-0000-0000-00002F280000}"/>
    <cellStyle name="40% - Énfasis1 2 2 2 2 3" xfId="10285" xr:uid="{00000000-0005-0000-0000-000030280000}"/>
    <cellStyle name="40% - Énfasis1 2 2 2 3" xfId="10286" xr:uid="{00000000-0005-0000-0000-000031280000}"/>
    <cellStyle name="40% - Énfasis1 2 2 2 3 2" xfId="10287" xr:uid="{00000000-0005-0000-0000-000032280000}"/>
    <cellStyle name="40% - Énfasis1 2 2 2 4" xfId="10288" xr:uid="{00000000-0005-0000-0000-000033280000}"/>
    <cellStyle name="40% - Énfasis1 2 2 3" xfId="10289" xr:uid="{00000000-0005-0000-0000-000034280000}"/>
    <cellStyle name="40% - Énfasis1 2 2 3 2" xfId="10290" xr:uid="{00000000-0005-0000-0000-000035280000}"/>
    <cellStyle name="40% - Énfasis1 2 2 3 2 2" xfId="10291" xr:uid="{00000000-0005-0000-0000-000036280000}"/>
    <cellStyle name="40% - Énfasis1 2 2 3 3" xfId="10292" xr:uid="{00000000-0005-0000-0000-000037280000}"/>
    <cellStyle name="40% - Énfasis1 2 2 4" xfId="10293" xr:uid="{00000000-0005-0000-0000-000038280000}"/>
    <cellStyle name="40% - Énfasis1 2 2 4 2" xfId="10294" xr:uid="{00000000-0005-0000-0000-000039280000}"/>
    <cellStyle name="40% - Énfasis1 2 2 4 2 2" xfId="10295" xr:uid="{00000000-0005-0000-0000-00003A280000}"/>
    <cellStyle name="40% - Énfasis1 2 2 4 3" xfId="10296" xr:uid="{00000000-0005-0000-0000-00003B280000}"/>
    <cellStyle name="40% - Énfasis1 2 2 5" xfId="10297" xr:uid="{00000000-0005-0000-0000-00003C280000}"/>
    <cellStyle name="40% - Énfasis1 2 2 5 2" xfId="10298" xr:uid="{00000000-0005-0000-0000-00003D280000}"/>
    <cellStyle name="40% - Énfasis1 2 2 6" xfId="10299" xr:uid="{00000000-0005-0000-0000-00003E280000}"/>
    <cellStyle name="40% - Énfasis1 2 3" xfId="10300" xr:uid="{00000000-0005-0000-0000-00003F280000}"/>
    <cellStyle name="40% - Énfasis1 2 3 2" xfId="10301" xr:uid="{00000000-0005-0000-0000-000040280000}"/>
    <cellStyle name="40% - Énfasis1 2 3 2 2" xfId="10302" xr:uid="{00000000-0005-0000-0000-000041280000}"/>
    <cellStyle name="40% - Énfasis1 2 3 2 2 2" xfId="10303" xr:uid="{00000000-0005-0000-0000-000042280000}"/>
    <cellStyle name="40% - Énfasis1 2 3 2 3" xfId="10304" xr:uid="{00000000-0005-0000-0000-000043280000}"/>
    <cellStyle name="40% - Énfasis1 2 3 3" xfId="10305" xr:uid="{00000000-0005-0000-0000-000044280000}"/>
    <cellStyle name="40% - Énfasis1 2 3 3 2" xfId="10306" xr:uid="{00000000-0005-0000-0000-000045280000}"/>
    <cellStyle name="40% - Énfasis1 2 3 3 2 2" xfId="10307" xr:uid="{00000000-0005-0000-0000-000046280000}"/>
    <cellStyle name="40% - Énfasis1 2 3 3 3" xfId="10308" xr:uid="{00000000-0005-0000-0000-000047280000}"/>
    <cellStyle name="40% - Énfasis1 2 3 4" xfId="10309" xr:uid="{00000000-0005-0000-0000-000048280000}"/>
    <cellStyle name="40% - Énfasis1 2 3 4 2" xfId="10310" xr:uid="{00000000-0005-0000-0000-000049280000}"/>
    <cellStyle name="40% - Énfasis1 2 3 5" xfId="10311" xr:uid="{00000000-0005-0000-0000-00004A280000}"/>
    <cellStyle name="40% - Énfasis1 2 4" xfId="10312" xr:uid="{00000000-0005-0000-0000-00004B280000}"/>
    <cellStyle name="40% - Énfasis1 2 4 2" xfId="10313" xr:uid="{00000000-0005-0000-0000-00004C280000}"/>
    <cellStyle name="40% - Énfasis1 2 4 2 2" xfId="10314" xr:uid="{00000000-0005-0000-0000-00004D280000}"/>
    <cellStyle name="40% - Énfasis1 2 4 2 2 2" xfId="10315" xr:uid="{00000000-0005-0000-0000-00004E280000}"/>
    <cellStyle name="40% - Énfasis1 2 4 2 3" xfId="10316" xr:uid="{00000000-0005-0000-0000-00004F280000}"/>
    <cellStyle name="40% - Énfasis1 2 4 3" xfId="10317" xr:uid="{00000000-0005-0000-0000-000050280000}"/>
    <cellStyle name="40% - Énfasis1 2 4 3 2" xfId="10318" xr:uid="{00000000-0005-0000-0000-000051280000}"/>
    <cellStyle name="40% - Énfasis1 2 4 4" xfId="10319" xr:uid="{00000000-0005-0000-0000-000052280000}"/>
    <cellStyle name="40% - Énfasis1 2 5" xfId="10320" xr:uid="{00000000-0005-0000-0000-000053280000}"/>
    <cellStyle name="40% - Énfasis1 2 5 2" xfId="10321" xr:uid="{00000000-0005-0000-0000-000054280000}"/>
    <cellStyle name="40% - Énfasis1 2 5 2 2" xfId="10322" xr:uid="{00000000-0005-0000-0000-000055280000}"/>
    <cellStyle name="40% - Énfasis1 2 5 3" xfId="10323" xr:uid="{00000000-0005-0000-0000-000056280000}"/>
    <cellStyle name="40% - Énfasis1 2 6" xfId="10324" xr:uid="{00000000-0005-0000-0000-000057280000}"/>
    <cellStyle name="40% - Énfasis1 2 6 2" xfId="10325" xr:uid="{00000000-0005-0000-0000-000058280000}"/>
    <cellStyle name="40% - Énfasis1 2 6 2 2" xfId="10326" xr:uid="{00000000-0005-0000-0000-000059280000}"/>
    <cellStyle name="40% - Énfasis1 2 6 3" xfId="10327" xr:uid="{00000000-0005-0000-0000-00005A280000}"/>
    <cellStyle name="40% - Énfasis1 2 7" xfId="10328" xr:uid="{00000000-0005-0000-0000-00005B280000}"/>
    <cellStyle name="40% - Énfasis1 2 7 2" xfId="10329" xr:uid="{00000000-0005-0000-0000-00005C280000}"/>
    <cellStyle name="40% - Énfasis1 2 8" xfId="10330" xr:uid="{00000000-0005-0000-0000-00005D280000}"/>
    <cellStyle name="40% - Énfasis1 20" xfId="10331" xr:uid="{00000000-0005-0000-0000-00005E280000}"/>
    <cellStyle name="40% - Énfasis1 20 2" xfId="10332" xr:uid="{00000000-0005-0000-0000-00005F280000}"/>
    <cellStyle name="40% - Énfasis1 20 2 2" xfId="10333" xr:uid="{00000000-0005-0000-0000-000060280000}"/>
    <cellStyle name="40% - Énfasis1 20 2 2 2" xfId="10334" xr:uid="{00000000-0005-0000-0000-000061280000}"/>
    <cellStyle name="40% - Énfasis1 20 2 2 2 2" xfId="10335" xr:uid="{00000000-0005-0000-0000-000062280000}"/>
    <cellStyle name="40% - Énfasis1 20 2 2 3" xfId="10336" xr:uid="{00000000-0005-0000-0000-000063280000}"/>
    <cellStyle name="40% - Énfasis1 20 2 3" xfId="10337" xr:uid="{00000000-0005-0000-0000-000064280000}"/>
    <cellStyle name="40% - Énfasis1 20 2 3 2" xfId="10338" xr:uid="{00000000-0005-0000-0000-000065280000}"/>
    <cellStyle name="40% - Énfasis1 20 2 3 2 2" xfId="10339" xr:uid="{00000000-0005-0000-0000-000066280000}"/>
    <cellStyle name="40% - Énfasis1 20 2 3 3" xfId="10340" xr:uid="{00000000-0005-0000-0000-000067280000}"/>
    <cellStyle name="40% - Énfasis1 20 2 4" xfId="10341" xr:uid="{00000000-0005-0000-0000-000068280000}"/>
    <cellStyle name="40% - Énfasis1 20 2 4 2" xfId="10342" xr:uid="{00000000-0005-0000-0000-000069280000}"/>
    <cellStyle name="40% - Énfasis1 20 2 5" xfId="10343" xr:uid="{00000000-0005-0000-0000-00006A280000}"/>
    <cellStyle name="40% - Énfasis1 20 3" xfId="10344" xr:uid="{00000000-0005-0000-0000-00006B280000}"/>
    <cellStyle name="40% - Énfasis1 20 3 2" xfId="10345" xr:uid="{00000000-0005-0000-0000-00006C280000}"/>
    <cellStyle name="40% - Énfasis1 20 3 2 2" xfId="10346" xr:uid="{00000000-0005-0000-0000-00006D280000}"/>
    <cellStyle name="40% - Énfasis1 20 3 2 2 2" xfId="10347" xr:uid="{00000000-0005-0000-0000-00006E280000}"/>
    <cellStyle name="40% - Énfasis1 20 3 2 3" xfId="10348" xr:uid="{00000000-0005-0000-0000-00006F280000}"/>
    <cellStyle name="40% - Énfasis1 20 3 3" xfId="10349" xr:uid="{00000000-0005-0000-0000-000070280000}"/>
    <cellStyle name="40% - Énfasis1 20 3 3 2" xfId="10350" xr:uid="{00000000-0005-0000-0000-000071280000}"/>
    <cellStyle name="40% - Énfasis1 20 3 4" xfId="10351" xr:uid="{00000000-0005-0000-0000-000072280000}"/>
    <cellStyle name="40% - Énfasis1 20 4" xfId="10352" xr:uid="{00000000-0005-0000-0000-000073280000}"/>
    <cellStyle name="40% - Énfasis1 20 4 2" xfId="10353" xr:uid="{00000000-0005-0000-0000-000074280000}"/>
    <cellStyle name="40% - Énfasis1 20 4 2 2" xfId="10354" xr:uid="{00000000-0005-0000-0000-000075280000}"/>
    <cellStyle name="40% - Énfasis1 20 4 3" xfId="10355" xr:uid="{00000000-0005-0000-0000-000076280000}"/>
    <cellStyle name="40% - Énfasis1 20 5" xfId="10356" xr:uid="{00000000-0005-0000-0000-000077280000}"/>
    <cellStyle name="40% - Énfasis1 20 5 2" xfId="10357" xr:uid="{00000000-0005-0000-0000-000078280000}"/>
    <cellStyle name="40% - Énfasis1 20 5 2 2" xfId="10358" xr:uid="{00000000-0005-0000-0000-000079280000}"/>
    <cellStyle name="40% - Énfasis1 20 5 3" xfId="10359" xr:uid="{00000000-0005-0000-0000-00007A280000}"/>
    <cellStyle name="40% - Énfasis1 20 6" xfId="10360" xr:uid="{00000000-0005-0000-0000-00007B280000}"/>
    <cellStyle name="40% - Énfasis1 20 6 2" xfId="10361" xr:uid="{00000000-0005-0000-0000-00007C280000}"/>
    <cellStyle name="40% - Énfasis1 20 7" xfId="10362" xr:uid="{00000000-0005-0000-0000-00007D280000}"/>
    <cellStyle name="40% - Énfasis1 21" xfId="10363" xr:uid="{00000000-0005-0000-0000-00007E280000}"/>
    <cellStyle name="40% - Énfasis1 21 2" xfId="10364" xr:uid="{00000000-0005-0000-0000-00007F280000}"/>
    <cellStyle name="40% - Énfasis1 21 2 2" xfId="10365" xr:uid="{00000000-0005-0000-0000-000080280000}"/>
    <cellStyle name="40% - Énfasis1 21 2 2 2" xfId="10366" xr:uid="{00000000-0005-0000-0000-000081280000}"/>
    <cellStyle name="40% - Énfasis1 21 2 2 2 2" xfId="10367" xr:uid="{00000000-0005-0000-0000-000082280000}"/>
    <cellStyle name="40% - Énfasis1 21 2 2 3" xfId="10368" xr:uid="{00000000-0005-0000-0000-000083280000}"/>
    <cellStyle name="40% - Énfasis1 21 2 3" xfId="10369" xr:uid="{00000000-0005-0000-0000-000084280000}"/>
    <cellStyle name="40% - Énfasis1 21 2 3 2" xfId="10370" xr:uid="{00000000-0005-0000-0000-000085280000}"/>
    <cellStyle name="40% - Énfasis1 21 2 3 2 2" xfId="10371" xr:uid="{00000000-0005-0000-0000-000086280000}"/>
    <cellStyle name="40% - Énfasis1 21 2 3 3" xfId="10372" xr:uid="{00000000-0005-0000-0000-000087280000}"/>
    <cellStyle name="40% - Énfasis1 21 2 4" xfId="10373" xr:uid="{00000000-0005-0000-0000-000088280000}"/>
    <cellStyle name="40% - Énfasis1 21 2 4 2" xfId="10374" xr:uid="{00000000-0005-0000-0000-000089280000}"/>
    <cellStyle name="40% - Énfasis1 21 2 5" xfId="10375" xr:uid="{00000000-0005-0000-0000-00008A280000}"/>
    <cellStyle name="40% - Énfasis1 21 3" xfId="10376" xr:uid="{00000000-0005-0000-0000-00008B280000}"/>
    <cellStyle name="40% - Énfasis1 21 3 2" xfId="10377" xr:uid="{00000000-0005-0000-0000-00008C280000}"/>
    <cellStyle name="40% - Énfasis1 21 3 2 2" xfId="10378" xr:uid="{00000000-0005-0000-0000-00008D280000}"/>
    <cellStyle name="40% - Énfasis1 21 3 2 2 2" xfId="10379" xr:uid="{00000000-0005-0000-0000-00008E280000}"/>
    <cellStyle name="40% - Énfasis1 21 3 2 3" xfId="10380" xr:uid="{00000000-0005-0000-0000-00008F280000}"/>
    <cellStyle name="40% - Énfasis1 21 3 3" xfId="10381" xr:uid="{00000000-0005-0000-0000-000090280000}"/>
    <cellStyle name="40% - Énfasis1 21 3 3 2" xfId="10382" xr:uid="{00000000-0005-0000-0000-000091280000}"/>
    <cellStyle name="40% - Énfasis1 21 3 4" xfId="10383" xr:uid="{00000000-0005-0000-0000-000092280000}"/>
    <cellStyle name="40% - Énfasis1 21 4" xfId="10384" xr:uid="{00000000-0005-0000-0000-000093280000}"/>
    <cellStyle name="40% - Énfasis1 21 4 2" xfId="10385" xr:uid="{00000000-0005-0000-0000-000094280000}"/>
    <cellStyle name="40% - Énfasis1 21 4 2 2" xfId="10386" xr:uid="{00000000-0005-0000-0000-000095280000}"/>
    <cellStyle name="40% - Énfasis1 21 4 3" xfId="10387" xr:uid="{00000000-0005-0000-0000-000096280000}"/>
    <cellStyle name="40% - Énfasis1 21 5" xfId="10388" xr:uid="{00000000-0005-0000-0000-000097280000}"/>
    <cellStyle name="40% - Énfasis1 21 5 2" xfId="10389" xr:uid="{00000000-0005-0000-0000-000098280000}"/>
    <cellStyle name="40% - Énfasis1 21 5 2 2" xfId="10390" xr:uid="{00000000-0005-0000-0000-000099280000}"/>
    <cellStyle name="40% - Énfasis1 21 5 3" xfId="10391" xr:uid="{00000000-0005-0000-0000-00009A280000}"/>
    <cellStyle name="40% - Énfasis1 21 6" xfId="10392" xr:uid="{00000000-0005-0000-0000-00009B280000}"/>
    <cellStyle name="40% - Énfasis1 21 6 2" xfId="10393" xr:uid="{00000000-0005-0000-0000-00009C280000}"/>
    <cellStyle name="40% - Énfasis1 21 7" xfId="10394" xr:uid="{00000000-0005-0000-0000-00009D280000}"/>
    <cellStyle name="40% - Énfasis1 22" xfId="10395" xr:uid="{00000000-0005-0000-0000-00009E280000}"/>
    <cellStyle name="40% - Énfasis1 22 2" xfId="10396" xr:uid="{00000000-0005-0000-0000-00009F280000}"/>
    <cellStyle name="40% - Énfasis1 22 2 2" xfId="10397" xr:uid="{00000000-0005-0000-0000-0000A0280000}"/>
    <cellStyle name="40% - Énfasis1 22 2 2 2" xfId="10398" xr:uid="{00000000-0005-0000-0000-0000A1280000}"/>
    <cellStyle name="40% - Énfasis1 22 2 2 2 2" xfId="10399" xr:uid="{00000000-0005-0000-0000-0000A2280000}"/>
    <cellStyle name="40% - Énfasis1 22 2 2 3" xfId="10400" xr:uid="{00000000-0005-0000-0000-0000A3280000}"/>
    <cellStyle name="40% - Énfasis1 22 2 3" xfId="10401" xr:uid="{00000000-0005-0000-0000-0000A4280000}"/>
    <cellStyle name="40% - Énfasis1 22 2 3 2" xfId="10402" xr:uid="{00000000-0005-0000-0000-0000A5280000}"/>
    <cellStyle name="40% - Énfasis1 22 2 3 2 2" xfId="10403" xr:uid="{00000000-0005-0000-0000-0000A6280000}"/>
    <cellStyle name="40% - Énfasis1 22 2 3 3" xfId="10404" xr:uid="{00000000-0005-0000-0000-0000A7280000}"/>
    <cellStyle name="40% - Énfasis1 22 2 4" xfId="10405" xr:uid="{00000000-0005-0000-0000-0000A8280000}"/>
    <cellStyle name="40% - Énfasis1 22 2 4 2" xfId="10406" xr:uid="{00000000-0005-0000-0000-0000A9280000}"/>
    <cellStyle name="40% - Énfasis1 22 2 5" xfId="10407" xr:uid="{00000000-0005-0000-0000-0000AA280000}"/>
    <cellStyle name="40% - Énfasis1 22 3" xfId="10408" xr:uid="{00000000-0005-0000-0000-0000AB280000}"/>
    <cellStyle name="40% - Énfasis1 22 3 2" xfId="10409" xr:uid="{00000000-0005-0000-0000-0000AC280000}"/>
    <cellStyle name="40% - Énfasis1 22 3 2 2" xfId="10410" xr:uid="{00000000-0005-0000-0000-0000AD280000}"/>
    <cellStyle name="40% - Énfasis1 22 3 2 2 2" xfId="10411" xr:uid="{00000000-0005-0000-0000-0000AE280000}"/>
    <cellStyle name="40% - Énfasis1 22 3 2 3" xfId="10412" xr:uid="{00000000-0005-0000-0000-0000AF280000}"/>
    <cellStyle name="40% - Énfasis1 22 3 3" xfId="10413" xr:uid="{00000000-0005-0000-0000-0000B0280000}"/>
    <cellStyle name="40% - Énfasis1 22 3 3 2" xfId="10414" xr:uid="{00000000-0005-0000-0000-0000B1280000}"/>
    <cellStyle name="40% - Énfasis1 22 3 4" xfId="10415" xr:uid="{00000000-0005-0000-0000-0000B2280000}"/>
    <cellStyle name="40% - Énfasis1 22 4" xfId="10416" xr:uid="{00000000-0005-0000-0000-0000B3280000}"/>
    <cellStyle name="40% - Énfasis1 22 4 2" xfId="10417" xr:uid="{00000000-0005-0000-0000-0000B4280000}"/>
    <cellStyle name="40% - Énfasis1 22 4 2 2" xfId="10418" xr:uid="{00000000-0005-0000-0000-0000B5280000}"/>
    <cellStyle name="40% - Énfasis1 22 4 3" xfId="10419" xr:uid="{00000000-0005-0000-0000-0000B6280000}"/>
    <cellStyle name="40% - Énfasis1 22 5" xfId="10420" xr:uid="{00000000-0005-0000-0000-0000B7280000}"/>
    <cellStyle name="40% - Énfasis1 22 5 2" xfId="10421" xr:uid="{00000000-0005-0000-0000-0000B8280000}"/>
    <cellStyle name="40% - Énfasis1 22 5 2 2" xfId="10422" xr:uid="{00000000-0005-0000-0000-0000B9280000}"/>
    <cellStyle name="40% - Énfasis1 22 5 3" xfId="10423" xr:uid="{00000000-0005-0000-0000-0000BA280000}"/>
    <cellStyle name="40% - Énfasis1 22 6" xfId="10424" xr:uid="{00000000-0005-0000-0000-0000BB280000}"/>
    <cellStyle name="40% - Énfasis1 22 6 2" xfId="10425" xr:uid="{00000000-0005-0000-0000-0000BC280000}"/>
    <cellStyle name="40% - Énfasis1 22 7" xfId="10426" xr:uid="{00000000-0005-0000-0000-0000BD280000}"/>
    <cellStyle name="40% - Énfasis1 23" xfId="10427" xr:uid="{00000000-0005-0000-0000-0000BE280000}"/>
    <cellStyle name="40% - Énfasis1 23 2" xfId="10428" xr:uid="{00000000-0005-0000-0000-0000BF280000}"/>
    <cellStyle name="40% - Énfasis1 23 2 2" xfId="10429" xr:uid="{00000000-0005-0000-0000-0000C0280000}"/>
    <cellStyle name="40% - Énfasis1 23 2 2 2" xfId="10430" xr:uid="{00000000-0005-0000-0000-0000C1280000}"/>
    <cellStyle name="40% - Énfasis1 23 2 2 2 2" xfId="10431" xr:uid="{00000000-0005-0000-0000-0000C2280000}"/>
    <cellStyle name="40% - Énfasis1 23 2 2 3" xfId="10432" xr:uid="{00000000-0005-0000-0000-0000C3280000}"/>
    <cellStyle name="40% - Énfasis1 23 2 3" xfId="10433" xr:uid="{00000000-0005-0000-0000-0000C4280000}"/>
    <cellStyle name="40% - Énfasis1 23 2 3 2" xfId="10434" xr:uid="{00000000-0005-0000-0000-0000C5280000}"/>
    <cellStyle name="40% - Énfasis1 23 2 3 2 2" xfId="10435" xr:uid="{00000000-0005-0000-0000-0000C6280000}"/>
    <cellStyle name="40% - Énfasis1 23 2 3 3" xfId="10436" xr:uid="{00000000-0005-0000-0000-0000C7280000}"/>
    <cellStyle name="40% - Énfasis1 23 2 4" xfId="10437" xr:uid="{00000000-0005-0000-0000-0000C8280000}"/>
    <cellStyle name="40% - Énfasis1 23 2 4 2" xfId="10438" xr:uid="{00000000-0005-0000-0000-0000C9280000}"/>
    <cellStyle name="40% - Énfasis1 23 2 5" xfId="10439" xr:uid="{00000000-0005-0000-0000-0000CA280000}"/>
    <cellStyle name="40% - Énfasis1 23 3" xfId="10440" xr:uid="{00000000-0005-0000-0000-0000CB280000}"/>
    <cellStyle name="40% - Énfasis1 23 3 2" xfId="10441" xr:uid="{00000000-0005-0000-0000-0000CC280000}"/>
    <cellStyle name="40% - Énfasis1 23 3 2 2" xfId="10442" xr:uid="{00000000-0005-0000-0000-0000CD280000}"/>
    <cellStyle name="40% - Énfasis1 23 3 2 2 2" xfId="10443" xr:uid="{00000000-0005-0000-0000-0000CE280000}"/>
    <cellStyle name="40% - Énfasis1 23 3 2 3" xfId="10444" xr:uid="{00000000-0005-0000-0000-0000CF280000}"/>
    <cellStyle name="40% - Énfasis1 23 3 3" xfId="10445" xr:uid="{00000000-0005-0000-0000-0000D0280000}"/>
    <cellStyle name="40% - Énfasis1 23 3 3 2" xfId="10446" xr:uid="{00000000-0005-0000-0000-0000D1280000}"/>
    <cellStyle name="40% - Énfasis1 23 3 4" xfId="10447" xr:uid="{00000000-0005-0000-0000-0000D2280000}"/>
    <cellStyle name="40% - Énfasis1 23 4" xfId="10448" xr:uid="{00000000-0005-0000-0000-0000D3280000}"/>
    <cellStyle name="40% - Énfasis1 23 4 2" xfId="10449" xr:uid="{00000000-0005-0000-0000-0000D4280000}"/>
    <cellStyle name="40% - Énfasis1 23 4 2 2" xfId="10450" xr:uid="{00000000-0005-0000-0000-0000D5280000}"/>
    <cellStyle name="40% - Énfasis1 23 4 3" xfId="10451" xr:uid="{00000000-0005-0000-0000-0000D6280000}"/>
    <cellStyle name="40% - Énfasis1 23 5" xfId="10452" xr:uid="{00000000-0005-0000-0000-0000D7280000}"/>
    <cellStyle name="40% - Énfasis1 23 5 2" xfId="10453" xr:uid="{00000000-0005-0000-0000-0000D8280000}"/>
    <cellStyle name="40% - Énfasis1 23 5 2 2" xfId="10454" xr:uid="{00000000-0005-0000-0000-0000D9280000}"/>
    <cellStyle name="40% - Énfasis1 23 5 3" xfId="10455" xr:uid="{00000000-0005-0000-0000-0000DA280000}"/>
    <cellStyle name="40% - Énfasis1 23 6" xfId="10456" xr:uid="{00000000-0005-0000-0000-0000DB280000}"/>
    <cellStyle name="40% - Énfasis1 23 6 2" xfId="10457" xr:uid="{00000000-0005-0000-0000-0000DC280000}"/>
    <cellStyle name="40% - Énfasis1 23 7" xfId="10458" xr:uid="{00000000-0005-0000-0000-0000DD280000}"/>
    <cellStyle name="40% - Énfasis1 24" xfId="10459" xr:uid="{00000000-0005-0000-0000-0000DE280000}"/>
    <cellStyle name="40% - Énfasis1 24 2" xfId="10460" xr:uid="{00000000-0005-0000-0000-0000DF280000}"/>
    <cellStyle name="40% - Énfasis1 24 2 2" xfId="10461" xr:uid="{00000000-0005-0000-0000-0000E0280000}"/>
    <cellStyle name="40% - Énfasis1 24 2 2 2" xfId="10462" xr:uid="{00000000-0005-0000-0000-0000E1280000}"/>
    <cellStyle name="40% - Énfasis1 24 2 2 2 2" xfId="10463" xr:uid="{00000000-0005-0000-0000-0000E2280000}"/>
    <cellStyle name="40% - Énfasis1 24 2 2 3" xfId="10464" xr:uid="{00000000-0005-0000-0000-0000E3280000}"/>
    <cellStyle name="40% - Énfasis1 24 2 3" xfId="10465" xr:uid="{00000000-0005-0000-0000-0000E4280000}"/>
    <cellStyle name="40% - Énfasis1 24 2 3 2" xfId="10466" xr:uid="{00000000-0005-0000-0000-0000E5280000}"/>
    <cellStyle name="40% - Énfasis1 24 2 3 2 2" xfId="10467" xr:uid="{00000000-0005-0000-0000-0000E6280000}"/>
    <cellStyle name="40% - Énfasis1 24 2 3 3" xfId="10468" xr:uid="{00000000-0005-0000-0000-0000E7280000}"/>
    <cellStyle name="40% - Énfasis1 24 2 4" xfId="10469" xr:uid="{00000000-0005-0000-0000-0000E8280000}"/>
    <cellStyle name="40% - Énfasis1 24 2 4 2" xfId="10470" xr:uid="{00000000-0005-0000-0000-0000E9280000}"/>
    <cellStyle name="40% - Énfasis1 24 2 5" xfId="10471" xr:uid="{00000000-0005-0000-0000-0000EA280000}"/>
    <cellStyle name="40% - Énfasis1 24 3" xfId="10472" xr:uid="{00000000-0005-0000-0000-0000EB280000}"/>
    <cellStyle name="40% - Énfasis1 24 3 2" xfId="10473" xr:uid="{00000000-0005-0000-0000-0000EC280000}"/>
    <cellStyle name="40% - Énfasis1 24 3 2 2" xfId="10474" xr:uid="{00000000-0005-0000-0000-0000ED280000}"/>
    <cellStyle name="40% - Énfasis1 24 3 2 2 2" xfId="10475" xr:uid="{00000000-0005-0000-0000-0000EE280000}"/>
    <cellStyle name="40% - Énfasis1 24 3 2 3" xfId="10476" xr:uid="{00000000-0005-0000-0000-0000EF280000}"/>
    <cellStyle name="40% - Énfasis1 24 3 3" xfId="10477" xr:uid="{00000000-0005-0000-0000-0000F0280000}"/>
    <cellStyle name="40% - Énfasis1 24 3 3 2" xfId="10478" xr:uid="{00000000-0005-0000-0000-0000F1280000}"/>
    <cellStyle name="40% - Énfasis1 24 3 4" xfId="10479" xr:uid="{00000000-0005-0000-0000-0000F2280000}"/>
    <cellStyle name="40% - Énfasis1 24 4" xfId="10480" xr:uid="{00000000-0005-0000-0000-0000F3280000}"/>
    <cellStyle name="40% - Énfasis1 24 4 2" xfId="10481" xr:uid="{00000000-0005-0000-0000-0000F4280000}"/>
    <cellStyle name="40% - Énfasis1 24 4 2 2" xfId="10482" xr:uid="{00000000-0005-0000-0000-0000F5280000}"/>
    <cellStyle name="40% - Énfasis1 24 4 3" xfId="10483" xr:uid="{00000000-0005-0000-0000-0000F6280000}"/>
    <cellStyle name="40% - Énfasis1 24 5" xfId="10484" xr:uid="{00000000-0005-0000-0000-0000F7280000}"/>
    <cellStyle name="40% - Énfasis1 24 5 2" xfId="10485" xr:uid="{00000000-0005-0000-0000-0000F8280000}"/>
    <cellStyle name="40% - Énfasis1 24 5 2 2" xfId="10486" xr:uid="{00000000-0005-0000-0000-0000F9280000}"/>
    <cellStyle name="40% - Énfasis1 24 5 3" xfId="10487" xr:uid="{00000000-0005-0000-0000-0000FA280000}"/>
    <cellStyle name="40% - Énfasis1 24 6" xfId="10488" xr:uid="{00000000-0005-0000-0000-0000FB280000}"/>
    <cellStyle name="40% - Énfasis1 24 6 2" xfId="10489" xr:uid="{00000000-0005-0000-0000-0000FC280000}"/>
    <cellStyle name="40% - Énfasis1 24 7" xfId="10490" xr:uid="{00000000-0005-0000-0000-0000FD280000}"/>
    <cellStyle name="40% - Énfasis1 25" xfId="10491" xr:uid="{00000000-0005-0000-0000-0000FE280000}"/>
    <cellStyle name="40% - Énfasis1 25 2" xfId="10492" xr:uid="{00000000-0005-0000-0000-0000FF280000}"/>
    <cellStyle name="40% - Énfasis1 25 2 2" xfId="10493" xr:uid="{00000000-0005-0000-0000-000000290000}"/>
    <cellStyle name="40% - Énfasis1 25 2 2 2" xfId="10494" xr:uid="{00000000-0005-0000-0000-000001290000}"/>
    <cellStyle name="40% - Énfasis1 25 2 2 2 2" xfId="10495" xr:uid="{00000000-0005-0000-0000-000002290000}"/>
    <cellStyle name="40% - Énfasis1 25 2 2 3" xfId="10496" xr:uid="{00000000-0005-0000-0000-000003290000}"/>
    <cellStyle name="40% - Énfasis1 25 2 3" xfId="10497" xr:uid="{00000000-0005-0000-0000-000004290000}"/>
    <cellStyle name="40% - Énfasis1 25 2 3 2" xfId="10498" xr:uid="{00000000-0005-0000-0000-000005290000}"/>
    <cellStyle name="40% - Énfasis1 25 2 3 2 2" xfId="10499" xr:uid="{00000000-0005-0000-0000-000006290000}"/>
    <cellStyle name="40% - Énfasis1 25 2 3 3" xfId="10500" xr:uid="{00000000-0005-0000-0000-000007290000}"/>
    <cellStyle name="40% - Énfasis1 25 2 4" xfId="10501" xr:uid="{00000000-0005-0000-0000-000008290000}"/>
    <cellStyle name="40% - Énfasis1 25 2 4 2" xfId="10502" xr:uid="{00000000-0005-0000-0000-000009290000}"/>
    <cellStyle name="40% - Énfasis1 25 2 5" xfId="10503" xr:uid="{00000000-0005-0000-0000-00000A290000}"/>
    <cellStyle name="40% - Énfasis1 25 3" xfId="10504" xr:uid="{00000000-0005-0000-0000-00000B290000}"/>
    <cellStyle name="40% - Énfasis1 25 3 2" xfId="10505" xr:uid="{00000000-0005-0000-0000-00000C290000}"/>
    <cellStyle name="40% - Énfasis1 25 3 2 2" xfId="10506" xr:uid="{00000000-0005-0000-0000-00000D290000}"/>
    <cellStyle name="40% - Énfasis1 25 3 2 2 2" xfId="10507" xr:uid="{00000000-0005-0000-0000-00000E290000}"/>
    <cellStyle name="40% - Énfasis1 25 3 2 3" xfId="10508" xr:uid="{00000000-0005-0000-0000-00000F290000}"/>
    <cellStyle name="40% - Énfasis1 25 3 3" xfId="10509" xr:uid="{00000000-0005-0000-0000-000010290000}"/>
    <cellStyle name="40% - Énfasis1 25 3 3 2" xfId="10510" xr:uid="{00000000-0005-0000-0000-000011290000}"/>
    <cellStyle name="40% - Énfasis1 25 3 4" xfId="10511" xr:uid="{00000000-0005-0000-0000-000012290000}"/>
    <cellStyle name="40% - Énfasis1 25 4" xfId="10512" xr:uid="{00000000-0005-0000-0000-000013290000}"/>
    <cellStyle name="40% - Énfasis1 25 4 2" xfId="10513" xr:uid="{00000000-0005-0000-0000-000014290000}"/>
    <cellStyle name="40% - Énfasis1 25 4 2 2" xfId="10514" xr:uid="{00000000-0005-0000-0000-000015290000}"/>
    <cellStyle name="40% - Énfasis1 25 4 3" xfId="10515" xr:uid="{00000000-0005-0000-0000-000016290000}"/>
    <cellStyle name="40% - Énfasis1 25 5" xfId="10516" xr:uid="{00000000-0005-0000-0000-000017290000}"/>
    <cellStyle name="40% - Énfasis1 25 5 2" xfId="10517" xr:uid="{00000000-0005-0000-0000-000018290000}"/>
    <cellStyle name="40% - Énfasis1 25 5 2 2" xfId="10518" xr:uid="{00000000-0005-0000-0000-000019290000}"/>
    <cellStyle name="40% - Énfasis1 25 5 3" xfId="10519" xr:uid="{00000000-0005-0000-0000-00001A290000}"/>
    <cellStyle name="40% - Énfasis1 25 6" xfId="10520" xr:uid="{00000000-0005-0000-0000-00001B290000}"/>
    <cellStyle name="40% - Énfasis1 25 6 2" xfId="10521" xr:uid="{00000000-0005-0000-0000-00001C290000}"/>
    <cellStyle name="40% - Énfasis1 25 7" xfId="10522" xr:uid="{00000000-0005-0000-0000-00001D290000}"/>
    <cellStyle name="40% - Énfasis1 26" xfId="10523" xr:uid="{00000000-0005-0000-0000-00001E290000}"/>
    <cellStyle name="40% - Énfasis1 26 2" xfId="10524" xr:uid="{00000000-0005-0000-0000-00001F290000}"/>
    <cellStyle name="40% - Énfasis1 26 2 2" xfId="10525" xr:uid="{00000000-0005-0000-0000-000020290000}"/>
    <cellStyle name="40% - Énfasis1 26 2 2 2" xfId="10526" xr:uid="{00000000-0005-0000-0000-000021290000}"/>
    <cellStyle name="40% - Énfasis1 26 2 2 2 2" xfId="10527" xr:uid="{00000000-0005-0000-0000-000022290000}"/>
    <cellStyle name="40% - Énfasis1 26 2 2 3" xfId="10528" xr:uid="{00000000-0005-0000-0000-000023290000}"/>
    <cellStyle name="40% - Énfasis1 26 2 3" xfId="10529" xr:uid="{00000000-0005-0000-0000-000024290000}"/>
    <cellStyle name="40% - Énfasis1 26 2 3 2" xfId="10530" xr:uid="{00000000-0005-0000-0000-000025290000}"/>
    <cellStyle name="40% - Énfasis1 26 2 3 2 2" xfId="10531" xr:uid="{00000000-0005-0000-0000-000026290000}"/>
    <cellStyle name="40% - Énfasis1 26 2 3 3" xfId="10532" xr:uid="{00000000-0005-0000-0000-000027290000}"/>
    <cellStyle name="40% - Énfasis1 26 2 4" xfId="10533" xr:uid="{00000000-0005-0000-0000-000028290000}"/>
    <cellStyle name="40% - Énfasis1 26 2 4 2" xfId="10534" xr:uid="{00000000-0005-0000-0000-000029290000}"/>
    <cellStyle name="40% - Énfasis1 26 2 5" xfId="10535" xr:uid="{00000000-0005-0000-0000-00002A290000}"/>
    <cellStyle name="40% - Énfasis1 26 3" xfId="10536" xr:uid="{00000000-0005-0000-0000-00002B290000}"/>
    <cellStyle name="40% - Énfasis1 26 3 2" xfId="10537" xr:uid="{00000000-0005-0000-0000-00002C290000}"/>
    <cellStyle name="40% - Énfasis1 26 3 2 2" xfId="10538" xr:uid="{00000000-0005-0000-0000-00002D290000}"/>
    <cellStyle name="40% - Énfasis1 26 3 2 2 2" xfId="10539" xr:uid="{00000000-0005-0000-0000-00002E290000}"/>
    <cellStyle name="40% - Énfasis1 26 3 2 3" xfId="10540" xr:uid="{00000000-0005-0000-0000-00002F290000}"/>
    <cellStyle name="40% - Énfasis1 26 3 3" xfId="10541" xr:uid="{00000000-0005-0000-0000-000030290000}"/>
    <cellStyle name="40% - Énfasis1 26 3 3 2" xfId="10542" xr:uid="{00000000-0005-0000-0000-000031290000}"/>
    <cellStyle name="40% - Énfasis1 26 3 4" xfId="10543" xr:uid="{00000000-0005-0000-0000-000032290000}"/>
    <cellStyle name="40% - Énfasis1 26 4" xfId="10544" xr:uid="{00000000-0005-0000-0000-000033290000}"/>
    <cellStyle name="40% - Énfasis1 26 4 2" xfId="10545" xr:uid="{00000000-0005-0000-0000-000034290000}"/>
    <cellStyle name="40% - Énfasis1 26 4 2 2" xfId="10546" xr:uid="{00000000-0005-0000-0000-000035290000}"/>
    <cellStyle name="40% - Énfasis1 26 4 3" xfId="10547" xr:uid="{00000000-0005-0000-0000-000036290000}"/>
    <cellStyle name="40% - Énfasis1 26 5" xfId="10548" xr:uid="{00000000-0005-0000-0000-000037290000}"/>
    <cellStyle name="40% - Énfasis1 26 5 2" xfId="10549" xr:uid="{00000000-0005-0000-0000-000038290000}"/>
    <cellStyle name="40% - Énfasis1 26 5 2 2" xfId="10550" xr:uid="{00000000-0005-0000-0000-000039290000}"/>
    <cellStyle name="40% - Énfasis1 26 5 3" xfId="10551" xr:uid="{00000000-0005-0000-0000-00003A290000}"/>
    <cellStyle name="40% - Énfasis1 26 6" xfId="10552" xr:uid="{00000000-0005-0000-0000-00003B290000}"/>
    <cellStyle name="40% - Énfasis1 26 6 2" xfId="10553" xr:uid="{00000000-0005-0000-0000-00003C290000}"/>
    <cellStyle name="40% - Énfasis1 26 7" xfId="10554" xr:uid="{00000000-0005-0000-0000-00003D290000}"/>
    <cellStyle name="40% - Énfasis1 27" xfId="10555" xr:uid="{00000000-0005-0000-0000-00003E290000}"/>
    <cellStyle name="40% - Énfasis1 27 2" xfId="10556" xr:uid="{00000000-0005-0000-0000-00003F290000}"/>
    <cellStyle name="40% - Énfasis1 27 2 2" xfId="10557" xr:uid="{00000000-0005-0000-0000-000040290000}"/>
    <cellStyle name="40% - Énfasis1 27 2 2 2" xfId="10558" xr:uid="{00000000-0005-0000-0000-000041290000}"/>
    <cellStyle name="40% - Énfasis1 27 2 2 2 2" xfId="10559" xr:uid="{00000000-0005-0000-0000-000042290000}"/>
    <cellStyle name="40% - Énfasis1 27 2 2 3" xfId="10560" xr:uid="{00000000-0005-0000-0000-000043290000}"/>
    <cellStyle name="40% - Énfasis1 27 2 3" xfId="10561" xr:uid="{00000000-0005-0000-0000-000044290000}"/>
    <cellStyle name="40% - Énfasis1 27 2 3 2" xfId="10562" xr:uid="{00000000-0005-0000-0000-000045290000}"/>
    <cellStyle name="40% - Énfasis1 27 2 3 2 2" xfId="10563" xr:uid="{00000000-0005-0000-0000-000046290000}"/>
    <cellStyle name="40% - Énfasis1 27 2 3 3" xfId="10564" xr:uid="{00000000-0005-0000-0000-000047290000}"/>
    <cellStyle name="40% - Énfasis1 27 2 4" xfId="10565" xr:uid="{00000000-0005-0000-0000-000048290000}"/>
    <cellStyle name="40% - Énfasis1 27 2 4 2" xfId="10566" xr:uid="{00000000-0005-0000-0000-000049290000}"/>
    <cellStyle name="40% - Énfasis1 27 2 5" xfId="10567" xr:uid="{00000000-0005-0000-0000-00004A290000}"/>
    <cellStyle name="40% - Énfasis1 27 3" xfId="10568" xr:uid="{00000000-0005-0000-0000-00004B290000}"/>
    <cellStyle name="40% - Énfasis1 27 3 2" xfId="10569" xr:uid="{00000000-0005-0000-0000-00004C290000}"/>
    <cellStyle name="40% - Énfasis1 27 3 2 2" xfId="10570" xr:uid="{00000000-0005-0000-0000-00004D290000}"/>
    <cellStyle name="40% - Énfasis1 27 3 3" xfId="10571" xr:uid="{00000000-0005-0000-0000-00004E290000}"/>
    <cellStyle name="40% - Énfasis1 27 4" xfId="10572" xr:uid="{00000000-0005-0000-0000-00004F290000}"/>
    <cellStyle name="40% - Énfasis1 27 4 2" xfId="10573" xr:uid="{00000000-0005-0000-0000-000050290000}"/>
    <cellStyle name="40% - Énfasis1 27 4 2 2" xfId="10574" xr:uid="{00000000-0005-0000-0000-000051290000}"/>
    <cellStyle name="40% - Énfasis1 27 4 3" xfId="10575" xr:uid="{00000000-0005-0000-0000-000052290000}"/>
    <cellStyle name="40% - Énfasis1 27 5" xfId="10576" xr:uid="{00000000-0005-0000-0000-000053290000}"/>
    <cellStyle name="40% - Énfasis1 27 5 2" xfId="10577" xr:uid="{00000000-0005-0000-0000-000054290000}"/>
    <cellStyle name="40% - Énfasis1 27 6" xfId="10578" xr:uid="{00000000-0005-0000-0000-000055290000}"/>
    <cellStyle name="40% - Énfasis1 28" xfId="10579" xr:uid="{00000000-0005-0000-0000-000056290000}"/>
    <cellStyle name="40% - Énfasis1 28 2" xfId="10580" xr:uid="{00000000-0005-0000-0000-000057290000}"/>
    <cellStyle name="40% - Énfasis1 28 2 2" xfId="10581" xr:uid="{00000000-0005-0000-0000-000058290000}"/>
    <cellStyle name="40% - Énfasis1 28 2 2 2" xfId="10582" xr:uid="{00000000-0005-0000-0000-000059290000}"/>
    <cellStyle name="40% - Énfasis1 28 2 2 2 2" xfId="10583" xr:uid="{00000000-0005-0000-0000-00005A290000}"/>
    <cellStyle name="40% - Énfasis1 28 2 2 3" xfId="10584" xr:uid="{00000000-0005-0000-0000-00005B290000}"/>
    <cellStyle name="40% - Énfasis1 28 2 3" xfId="10585" xr:uid="{00000000-0005-0000-0000-00005C290000}"/>
    <cellStyle name="40% - Énfasis1 28 2 3 2" xfId="10586" xr:uid="{00000000-0005-0000-0000-00005D290000}"/>
    <cellStyle name="40% - Énfasis1 28 2 4" xfId="10587" xr:uid="{00000000-0005-0000-0000-00005E290000}"/>
    <cellStyle name="40% - Énfasis1 28 3" xfId="10588" xr:uid="{00000000-0005-0000-0000-00005F290000}"/>
    <cellStyle name="40% - Énfasis1 28 3 2" xfId="10589" xr:uid="{00000000-0005-0000-0000-000060290000}"/>
    <cellStyle name="40% - Énfasis1 28 3 2 2" xfId="10590" xr:uid="{00000000-0005-0000-0000-000061290000}"/>
    <cellStyle name="40% - Énfasis1 28 3 3" xfId="10591" xr:uid="{00000000-0005-0000-0000-000062290000}"/>
    <cellStyle name="40% - Énfasis1 28 4" xfId="10592" xr:uid="{00000000-0005-0000-0000-000063290000}"/>
    <cellStyle name="40% - Énfasis1 28 4 2" xfId="10593" xr:uid="{00000000-0005-0000-0000-000064290000}"/>
    <cellStyle name="40% - Énfasis1 28 5" xfId="10594" xr:uid="{00000000-0005-0000-0000-000065290000}"/>
    <cellStyle name="40% - Énfasis1 29" xfId="10595" xr:uid="{00000000-0005-0000-0000-000066290000}"/>
    <cellStyle name="40% - Énfasis1 29 2" xfId="10596" xr:uid="{00000000-0005-0000-0000-000067290000}"/>
    <cellStyle name="40% - Énfasis1 29 2 2" xfId="10597" xr:uid="{00000000-0005-0000-0000-000068290000}"/>
    <cellStyle name="40% - Énfasis1 29 2 2 2" xfId="10598" xr:uid="{00000000-0005-0000-0000-000069290000}"/>
    <cellStyle name="40% - Énfasis1 29 2 2 2 2" xfId="10599" xr:uid="{00000000-0005-0000-0000-00006A290000}"/>
    <cellStyle name="40% - Énfasis1 29 2 2 3" xfId="10600" xr:uid="{00000000-0005-0000-0000-00006B290000}"/>
    <cellStyle name="40% - Énfasis1 29 2 3" xfId="10601" xr:uid="{00000000-0005-0000-0000-00006C290000}"/>
    <cellStyle name="40% - Énfasis1 29 2 3 2" xfId="10602" xr:uid="{00000000-0005-0000-0000-00006D290000}"/>
    <cellStyle name="40% - Énfasis1 29 2 4" xfId="10603" xr:uid="{00000000-0005-0000-0000-00006E290000}"/>
    <cellStyle name="40% - Énfasis1 29 3" xfId="10604" xr:uid="{00000000-0005-0000-0000-00006F290000}"/>
    <cellStyle name="40% - Énfasis1 29 3 2" xfId="10605" xr:uid="{00000000-0005-0000-0000-000070290000}"/>
    <cellStyle name="40% - Énfasis1 29 3 2 2" xfId="10606" xr:uid="{00000000-0005-0000-0000-000071290000}"/>
    <cellStyle name="40% - Énfasis1 29 3 3" xfId="10607" xr:uid="{00000000-0005-0000-0000-000072290000}"/>
    <cellStyle name="40% - Énfasis1 29 4" xfId="10608" xr:uid="{00000000-0005-0000-0000-000073290000}"/>
    <cellStyle name="40% - Énfasis1 29 4 2" xfId="10609" xr:uid="{00000000-0005-0000-0000-000074290000}"/>
    <cellStyle name="40% - Énfasis1 29 5" xfId="10610" xr:uid="{00000000-0005-0000-0000-000075290000}"/>
    <cellStyle name="40% - Énfasis1 3" xfId="10611" xr:uid="{00000000-0005-0000-0000-000076290000}"/>
    <cellStyle name="40% - Énfasis1 3 2" xfId="10612" xr:uid="{00000000-0005-0000-0000-000077290000}"/>
    <cellStyle name="40% - Énfasis1 3 2 2" xfId="10613" xr:uid="{00000000-0005-0000-0000-000078290000}"/>
    <cellStyle name="40% - Énfasis1 3 2 2 2" xfId="10614" xr:uid="{00000000-0005-0000-0000-000079290000}"/>
    <cellStyle name="40% - Énfasis1 3 2 2 2 2" xfId="10615" xr:uid="{00000000-0005-0000-0000-00007A290000}"/>
    <cellStyle name="40% - Énfasis1 3 2 2 2 2 2" xfId="10616" xr:uid="{00000000-0005-0000-0000-00007B290000}"/>
    <cellStyle name="40% - Énfasis1 3 2 2 2 3" xfId="10617" xr:uid="{00000000-0005-0000-0000-00007C290000}"/>
    <cellStyle name="40% - Énfasis1 3 2 2 3" xfId="10618" xr:uid="{00000000-0005-0000-0000-00007D290000}"/>
    <cellStyle name="40% - Énfasis1 3 2 2 3 2" xfId="10619" xr:uid="{00000000-0005-0000-0000-00007E290000}"/>
    <cellStyle name="40% - Énfasis1 3 2 2 4" xfId="10620" xr:uid="{00000000-0005-0000-0000-00007F290000}"/>
    <cellStyle name="40% - Énfasis1 3 2 3" xfId="10621" xr:uid="{00000000-0005-0000-0000-000080290000}"/>
    <cellStyle name="40% - Énfasis1 3 2 3 2" xfId="10622" xr:uid="{00000000-0005-0000-0000-000081290000}"/>
    <cellStyle name="40% - Énfasis1 3 2 3 2 2" xfId="10623" xr:uid="{00000000-0005-0000-0000-000082290000}"/>
    <cellStyle name="40% - Énfasis1 3 2 3 3" xfId="10624" xr:uid="{00000000-0005-0000-0000-000083290000}"/>
    <cellStyle name="40% - Énfasis1 3 2 4" xfId="10625" xr:uid="{00000000-0005-0000-0000-000084290000}"/>
    <cellStyle name="40% - Énfasis1 3 2 4 2" xfId="10626" xr:uid="{00000000-0005-0000-0000-000085290000}"/>
    <cellStyle name="40% - Énfasis1 3 2 4 2 2" xfId="10627" xr:uid="{00000000-0005-0000-0000-000086290000}"/>
    <cellStyle name="40% - Énfasis1 3 2 4 3" xfId="10628" xr:uid="{00000000-0005-0000-0000-000087290000}"/>
    <cellStyle name="40% - Énfasis1 3 2 5" xfId="10629" xr:uid="{00000000-0005-0000-0000-000088290000}"/>
    <cellStyle name="40% - Énfasis1 3 2 5 2" xfId="10630" xr:uid="{00000000-0005-0000-0000-000089290000}"/>
    <cellStyle name="40% - Énfasis1 3 2 6" xfId="10631" xr:uid="{00000000-0005-0000-0000-00008A290000}"/>
    <cellStyle name="40% - Énfasis1 3 3" xfId="10632" xr:uid="{00000000-0005-0000-0000-00008B290000}"/>
    <cellStyle name="40% - Énfasis1 3 3 2" xfId="10633" xr:uid="{00000000-0005-0000-0000-00008C290000}"/>
    <cellStyle name="40% - Énfasis1 3 3 2 2" xfId="10634" xr:uid="{00000000-0005-0000-0000-00008D290000}"/>
    <cellStyle name="40% - Énfasis1 3 3 2 2 2" xfId="10635" xr:uid="{00000000-0005-0000-0000-00008E290000}"/>
    <cellStyle name="40% - Énfasis1 3 3 2 3" xfId="10636" xr:uid="{00000000-0005-0000-0000-00008F290000}"/>
    <cellStyle name="40% - Énfasis1 3 3 3" xfId="10637" xr:uid="{00000000-0005-0000-0000-000090290000}"/>
    <cellStyle name="40% - Énfasis1 3 3 3 2" xfId="10638" xr:uid="{00000000-0005-0000-0000-000091290000}"/>
    <cellStyle name="40% - Énfasis1 3 3 3 2 2" xfId="10639" xr:uid="{00000000-0005-0000-0000-000092290000}"/>
    <cellStyle name="40% - Énfasis1 3 3 3 3" xfId="10640" xr:uid="{00000000-0005-0000-0000-000093290000}"/>
    <cellStyle name="40% - Énfasis1 3 3 4" xfId="10641" xr:uid="{00000000-0005-0000-0000-000094290000}"/>
    <cellStyle name="40% - Énfasis1 3 3 4 2" xfId="10642" xr:uid="{00000000-0005-0000-0000-000095290000}"/>
    <cellStyle name="40% - Énfasis1 3 3 5" xfId="10643" xr:uid="{00000000-0005-0000-0000-000096290000}"/>
    <cellStyle name="40% - Énfasis1 3 4" xfId="10644" xr:uid="{00000000-0005-0000-0000-000097290000}"/>
    <cellStyle name="40% - Énfasis1 3 4 2" xfId="10645" xr:uid="{00000000-0005-0000-0000-000098290000}"/>
    <cellStyle name="40% - Énfasis1 3 4 2 2" xfId="10646" xr:uid="{00000000-0005-0000-0000-000099290000}"/>
    <cellStyle name="40% - Énfasis1 3 4 2 2 2" xfId="10647" xr:uid="{00000000-0005-0000-0000-00009A290000}"/>
    <cellStyle name="40% - Énfasis1 3 4 2 3" xfId="10648" xr:uid="{00000000-0005-0000-0000-00009B290000}"/>
    <cellStyle name="40% - Énfasis1 3 4 3" xfId="10649" xr:uid="{00000000-0005-0000-0000-00009C290000}"/>
    <cellStyle name="40% - Énfasis1 3 4 3 2" xfId="10650" xr:uid="{00000000-0005-0000-0000-00009D290000}"/>
    <cellStyle name="40% - Énfasis1 3 4 4" xfId="10651" xr:uid="{00000000-0005-0000-0000-00009E290000}"/>
    <cellStyle name="40% - Énfasis1 3 5" xfId="10652" xr:uid="{00000000-0005-0000-0000-00009F290000}"/>
    <cellStyle name="40% - Énfasis1 3 5 2" xfId="10653" xr:uid="{00000000-0005-0000-0000-0000A0290000}"/>
    <cellStyle name="40% - Énfasis1 3 5 2 2" xfId="10654" xr:uid="{00000000-0005-0000-0000-0000A1290000}"/>
    <cellStyle name="40% - Énfasis1 3 5 3" xfId="10655" xr:uid="{00000000-0005-0000-0000-0000A2290000}"/>
    <cellStyle name="40% - Énfasis1 3 6" xfId="10656" xr:uid="{00000000-0005-0000-0000-0000A3290000}"/>
    <cellStyle name="40% - Énfasis1 3 6 2" xfId="10657" xr:uid="{00000000-0005-0000-0000-0000A4290000}"/>
    <cellStyle name="40% - Énfasis1 3 6 2 2" xfId="10658" xr:uid="{00000000-0005-0000-0000-0000A5290000}"/>
    <cellStyle name="40% - Énfasis1 3 6 3" xfId="10659" xr:uid="{00000000-0005-0000-0000-0000A6290000}"/>
    <cellStyle name="40% - Énfasis1 3 7" xfId="10660" xr:uid="{00000000-0005-0000-0000-0000A7290000}"/>
    <cellStyle name="40% - Énfasis1 3 7 2" xfId="10661" xr:uid="{00000000-0005-0000-0000-0000A8290000}"/>
    <cellStyle name="40% - Énfasis1 3 8" xfId="10662" xr:uid="{00000000-0005-0000-0000-0000A9290000}"/>
    <cellStyle name="40% - Énfasis1 30" xfId="10663" xr:uid="{00000000-0005-0000-0000-0000AA290000}"/>
    <cellStyle name="40% - Énfasis1 30 2" xfId="10664" xr:uid="{00000000-0005-0000-0000-0000AB290000}"/>
    <cellStyle name="40% - Énfasis1 30 2 2" xfId="10665" xr:uid="{00000000-0005-0000-0000-0000AC290000}"/>
    <cellStyle name="40% - Énfasis1 30 2 2 2" xfId="10666" xr:uid="{00000000-0005-0000-0000-0000AD290000}"/>
    <cellStyle name="40% - Énfasis1 30 2 3" xfId="10667" xr:uid="{00000000-0005-0000-0000-0000AE290000}"/>
    <cellStyle name="40% - Énfasis1 30 3" xfId="10668" xr:uid="{00000000-0005-0000-0000-0000AF290000}"/>
    <cellStyle name="40% - Énfasis1 30 3 2" xfId="10669" xr:uid="{00000000-0005-0000-0000-0000B0290000}"/>
    <cellStyle name="40% - Énfasis1 30 3 2 2" xfId="10670" xr:uid="{00000000-0005-0000-0000-0000B1290000}"/>
    <cellStyle name="40% - Énfasis1 30 3 3" xfId="10671" xr:uid="{00000000-0005-0000-0000-0000B2290000}"/>
    <cellStyle name="40% - Énfasis1 30 4" xfId="10672" xr:uid="{00000000-0005-0000-0000-0000B3290000}"/>
    <cellStyle name="40% - Énfasis1 30 4 2" xfId="10673" xr:uid="{00000000-0005-0000-0000-0000B4290000}"/>
    <cellStyle name="40% - Énfasis1 30 5" xfId="10674" xr:uid="{00000000-0005-0000-0000-0000B5290000}"/>
    <cellStyle name="40% - Énfasis1 31" xfId="10675" xr:uid="{00000000-0005-0000-0000-0000B6290000}"/>
    <cellStyle name="40% - Énfasis1 31 2" xfId="10676" xr:uid="{00000000-0005-0000-0000-0000B7290000}"/>
    <cellStyle name="40% - Énfasis1 31 2 2" xfId="10677" xr:uid="{00000000-0005-0000-0000-0000B8290000}"/>
    <cellStyle name="40% - Énfasis1 31 2 2 2" xfId="10678" xr:uid="{00000000-0005-0000-0000-0000B9290000}"/>
    <cellStyle name="40% - Énfasis1 31 2 3" xfId="10679" xr:uid="{00000000-0005-0000-0000-0000BA290000}"/>
    <cellStyle name="40% - Énfasis1 31 3" xfId="10680" xr:uid="{00000000-0005-0000-0000-0000BB290000}"/>
    <cellStyle name="40% - Énfasis1 31 3 2" xfId="10681" xr:uid="{00000000-0005-0000-0000-0000BC290000}"/>
    <cellStyle name="40% - Énfasis1 31 3 2 2" xfId="10682" xr:uid="{00000000-0005-0000-0000-0000BD290000}"/>
    <cellStyle name="40% - Énfasis1 31 3 3" xfId="10683" xr:uid="{00000000-0005-0000-0000-0000BE290000}"/>
    <cellStyle name="40% - Énfasis1 31 4" xfId="10684" xr:uid="{00000000-0005-0000-0000-0000BF290000}"/>
    <cellStyle name="40% - Énfasis1 31 4 2" xfId="10685" xr:uid="{00000000-0005-0000-0000-0000C0290000}"/>
    <cellStyle name="40% - Énfasis1 31 5" xfId="10686" xr:uid="{00000000-0005-0000-0000-0000C1290000}"/>
    <cellStyle name="40% - Énfasis1 32" xfId="10687" xr:uid="{00000000-0005-0000-0000-0000C2290000}"/>
    <cellStyle name="40% - Énfasis1 32 2" xfId="10688" xr:uid="{00000000-0005-0000-0000-0000C3290000}"/>
    <cellStyle name="40% - Énfasis1 32 2 2" xfId="10689" xr:uid="{00000000-0005-0000-0000-0000C4290000}"/>
    <cellStyle name="40% - Énfasis1 32 2 2 2" xfId="10690" xr:uid="{00000000-0005-0000-0000-0000C5290000}"/>
    <cellStyle name="40% - Énfasis1 32 2 3" xfId="10691" xr:uid="{00000000-0005-0000-0000-0000C6290000}"/>
    <cellStyle name="40% - Énfasis1 32 3" xfId="10692" xr:uid="{00000000-0005-0000-0000-0000C7290000}"/>
    <cellStyle name="40% - Énfasis1 32 3 2" xfId="10693" xr:uid="{00000000-0005-0000-0000-0000C8290000}"/>
    <cellStyle name="40% - Énfasis1 32 3 2 2" xfId="10694" xr:uid="{00000000-0005-0000-0000-0000C9290000}"/>
    <cellStyle name="40% - Énfasis1 32 3 3" xfId="10695" xr:uid="{00000000-0005-0000-0000-0000CA290000}"/>
    <cellStyle name="40% - Énfasis1 32 4" xfId="10696" xr:uid="{00000000-0005-0000-0000-0000CB290000}"/>
    <cellStyle name="40% - Énfasis1 32 4 2" xfId="10697" xr:uid="{00000000-0005-0000-0000-0000CC290000}"/>
    <cellStyle name="40% - Énfasis1 32 5" xfId="10698" xr:uid="{00000000-0005-0000-0000-0000CD290000}"/>
    <cellStyle name="40% - Énfasis1 33" xfId="10699" xr:uid="{00000000-0005-0000-0000-0000CE290000}"/>
    <cellStyle name="40% - Énfasis1 33 2" xfId="10700" xr:uid="{00000000-0005-0000-0000-0000CF290000}"/>
    <cellStyle name="40% - Énfasis1 33 2 2" xfId="10701" xr:uid="{00000000-0005-0000-0000-0000D0290000}"/>
    <cellStyle name="40% - Énfasis1 33 2 2 2" xfId="10702" xr:uid="{00000000-0005-0000-0000-0000D1290000}"/>
    <cellStyle name="40% - Énfasis1 33 2 3" xfId="10703" xr:uid="{00000000-0005-0000-0000-0000D2290000}"/>
    <cellStyle name="40% - Énfasis1 33 3" xfId="10704" xr:uid="{00000000-0005-0000-0000-0000D3290000}"/>
    <cellStyle name="40% - Énfasis1 33 3 2" xfId="10705" xr:uid="{00000000-0005-0000-0000-0000D4290000}"/>
    <cellStyle name="40% - Énfasis1 33 4" xfId="10706" xr:uid="{00000000-0005-0000-0000-0000D5290000}"/>
    <cellStyle name="40% - Énfasis1 34" xfId="10707" xr:uid="{00000000-0005-0000-0000-0000D6290000}"/>
    <cellStyle name="40% - Énfasis1 34 2" xfId="10708" xr:uid="{00000000-0005-0000-0000-0000D7290000}"/>
    <cellStyle name="40% - Énfasis1 34 2 2" xfId="10709" xr:uid="{00000000-0005-0000-0000-0000D8290000}"/>
    <cellStyle name="40% - Énfasis1 34 2 2 2" xfId="10710" xr:uid="{00000000-0005-0000-0000-0000D9290000}"/>
    <cellStyle name="40% - Énfasis1 34 2 3" xfId="10711" xr:uid="{00000000-0005-0000-0000-0000DA290000}"/>
    <cellStyle name="40% - Énfasis1 34 3" xfId="10712" xr:uid="{00000000-0005-0000-0000-0000DB290000}"/>
    <cellStyle name="40% - Énfasis1 34 3 2" xfId="10713" xr:uid="{00000000-0005-0000-0000-0000DC290000}"/>
    <cellStyle name="40% - Énfasis1 34 4" xfId="10714" xr:uid="{00000000-0005-0000-0000-0000DD290000}"/>
    <cellStyle name="40% - Énfasis1 35" xfId="10715" xr:uid="{00000000-0005-0000-0000-0000DE290000}"/>
    <cellStyle name="40% - Énfasis1 35 2" xfId="10716" xr:uid="{00000000-0005-0000-0000-0000DF290000}"/>
    <cellStyle name="40% - Énfasis1 35 2 2" xfId="10717" xr:uid="{00000000-0005-0000-0000-0000E0290000}"/>
    <cellStyle name="40% - Énfasis1 35 2 2 2" xfId="10718" xr:uid="{00000000-0005-0000-0000-0000E1290000}"/>
    <cellStyle name="40% - Énfasis1 35 2 3" xfId="10719" xr:uid="{00000000-0005-0000-0000-0000E2290000}"/>
    <cellStyle name="40% - Énfasis1 35 3" xfId="10720" xr:uid="{00000000-0005-0000-0000-0000E3290000}"/>
    <cellStyle name="40% - Énfasis1 35 3 2" xfId="10721" xr:uid="{00000000-0005-0000-0000-0000E4290000}"/>
    <cellStyle name="40% - Énfasis1 35 4" xfId="10722" xr:uid="{00000000-0005-0000-0000-0000E5290000}"/>
    <cellStyle name="40% - Énfasis1 36" xfId="10723" xr:uid="{00000000-0005-0000-0000-0000E6290000}"/>
    <cellStyle name="40% - Énfasis1 36 2" xfId="10724" xr:uid="{00000000-0005-0000-0000-0000E7290000}"/>
    <cellStyle name="40% - Énfasis1 36 2 2" xfId="10725" xr:uid="{00000000-0005-0000-0000-0000E8290000}"/>
    <cellStyle name="40% - Énfasis1 36 2 2 2" xfId="10726" xr:uid="{00000000-0005-0000-0000-0000E9290000}"/>
    <cellStyle name="40% - Énfasis1 36 2 3" xfId="10727" xr:uid="{00000000-0005-0000-0000-0000EA290000}"/>
    <cellStyle name="40% - Énfasis1 36 3" xfId="10728" xr:uid="{00000000-0005-0000-0000-0000EB290000}"/>
    <cellStyle name="40% - Énfasis1 36 3 2" xfId="10729" xr:uid="{00000000-0005-0000-0000-0000EC290000}"/>
    <cellStyle name="40% - Énfasis1 36 4" xfId="10730" xr:uid="{00000000-0005-0000-0000-0000ED290000}"/>
    <cellStyle name="40% - Énfasis1 37" xfId="10731" xr:uid="{00000000-0005-0000-0000-0000EE290000}"/>
    <cellStyle name="40% - Énfasis1 37 2" xfId="10732" xr:uid="{00000000-0005-0000-0000-0000EF290000}"/>
    <cellStyle name="40% - Énfasis1 37 2 2" xfId="10733" xr:uid="{00000000-0005-0000-0000-0000F0290000}"/>
    <cellStyle name="40% - Énfasis1 37 2 2 2" xfId="10734" xr:uid="{00000000-0005-0000-0000-0000F1290000}"/>
    <cellStyle name="40% - Énfasis1 37 2 3" xfId="10735" xr:uid="{00000000-0005-0000-0000-0000F2290000}"/>
    <cellStyle name="40% - Énfasis1 37 3" xfId="10736" xr:uid="{00000000-0005-0000-0000-0000F3290000}"/>
    <cellStyle name="40% - Énfasis1 37 3 2" xfId="10737" xr:uid="{00000000-0005-0000-0000-0000F4290000}"/>
    <cellStyle name="40% - Énfasis1 37 4" xfId="10738" xr:uid="{00000000-0005-0000-0000-0000F5290000}"/>
    <cellStyle name="40% - Énfasis1 38" xfId="10739" xr:uid="{00000000-0005-0000-0000-0000F6290000}"/>
    <cellStyle name="40% - Énfasis1 38 2" xfId="10740" xr:uid="{00000000-0005-0000-0000-0000F7290000}"/>
    <cellStyle name="40% - Énfasis1 38 2 2" xfId="10741" xr:uid="{00000000-0005-0000-0000-0000F8290000}"/>
    <cellStyle name="40% - Énfasis1 38 3" xfId="10742" xr:uid="{00000000-0005-0000-0000-0000F9290000}"/>
    <cellStyle name="40% - Énfasis1 39" xfId="10743" xr:uid="{00000000-0005-0000-0000-0000FA290000}"/>
    <cellStyle name="40% - Énfasis1 39 2" xfId="10744" xr:uid="{00000000-0005-0000-0000-0000FB290000}"/>
    <cellStyle name="40% - Énfasis1 39 2 2" xfId="10745" xr:uid="{00000000-0005-0000-0000-0000FC290000}"/>
    <cellStyle name="40% - Énfasis1 39 3" xfId="10746" xr:uid="{00000000-0005-0000-0000-0000FD290000}"/>
    <cellStyle name="40% - Énfasis1 4" xfId="10747" xr:uid="{00000000-0005-0000-0000-0000FE290000}"/>
    <cellStyle name="40% - Énfasis1 4 2" xfId="10748" xr:uid="{00000000-0005-0000-0000-0000FF290000}"/>
    <cellStyle name="40% - Énfasis1 4 2 2" xfId="10749" xr:uid="{00000000-0005-0000-0000-0000002A0000}"/>
    <cellStyle name="40% - Énfasis1 4 2 2 2" xfId="10750" xr:uid="{00000000-0005-0000-0000-0000012A0000}"/>
    <cellStyle name="40% - Énfasis1 4 2 2 2 2" xfId="10751" xr:uid="{00000000-0005-0000-0000-0000022A0000}"/>
    <cellStyle name="40% - Énfasis1 4 2 2 2 2 2" xfId="10752" xr:uid="{00000000-0005-0000-0000-0000032A0000}"/>
    <cellStyle name="40% - Énfasis1 4 2 2 2 3" xfId="10753" xr:uid="{00000000-0005-0000-0000-0000042A0000}"/>
    <cellStyle name="40% - Énfasis1 4 2 2 3" xfId="10754" xr:uid="{00000000-0005-0000-0000-0000052A0000}"/>
    <cellStyle name="40% - Énfasis1 4 2 2 3 2" xfId="10755" xr:uid="{00000000-0005-0000-0000-0000062A0000}"/>
    <cellStyle name="40% - Énfasis1 4 2 2 4" xfId="10756" xr:uid="{00000000-0005-0000-0000-0000072A0000}"/>
    <cellStyle name="40% - Énfasis1 4 2 3" xfId="10757" xr:uid="{00000000-0005-0000-0000-0000082A0000}"/>
    <cellStyle name="40% - Énfasis1 4 2 3 2" xfId="10758" xr:uid="{00000000-0005-0000-0000-0000092A0000}"/>
    <cellStyle name="40% - Énfasis1 4 2 3 2 2" xfId="10759" xr:uid="{00000000-0005-0000-0000-00000A2A0000}"/>
    <cellStyle name="40% - Énfasis1 4 2 3 3" xfId="10760" xr:uid="{00000000-0005-0000-0000-00000B2A0000}"/>
    <cellStyle name="40% - Énfasis1 4 2 4" xfId="10761" xr:uid="{00000000-0005-0000-0000-00000C2A0000}"/>
    <cellStyle name="40% - Énfasis1 4 2 4 2" xfId="10762" xr:uid="{00000000-0005-0000-0000-00000D2A0000}"/>
    <cellStyle name="40% - Énfasis1 4 2 4 2 2" xfId="10763" xr:uid="{00000000-0005-0000-0000-00000E2A0000}"/>
    <cellStyle name="40% - Énfasis1 4 2 4 3" xfId="10764" xr:uid="{00000000-0005-0000-0000-00000F2A0000}"/>
    <cellStyle name="40% - Énfasis1 4 2 5" xfId="10765" xr:uid="{00000000-0005-0000-0000-0000102A0000}"/>
    <cellStyle name="40% - Énfasis1 4 2 5 2" xfId="10766" xr:uid="{00000000-0005-0000-0000-0000112A0000}"/>
    <cellStyle name="40% - Énfasis1 4 2 6" xfId="10767" xr:uid="{00000000-0005-0000-0000-0000122A0000}"/>
    <cellStyle name="40% - Énfasis1 4 3" xfId="10768" xr:uid="{00000000-0005-0000-0000-0000132A0000}"/>
    <cellStyle name="40% - Énfasis1 4 3 2" xfId="10769" xr:uid="{00000000-0005-0000-0000-0000142A0000}"/>
    <cellStyle name="40% - Énfasis1 4 3 2 2" xfId="10770" xr:uid="{00000000-0005-0000-0000-0000152A0000}"/>
    <cellStyle name="40% - Énfasis1 4 3 2 2 2" xfId="10771" xr:uid="{00000000-0005-0000-0000-0000162A0000}"/>
    <cellStyle name="40% - Énfasis1 4 3 2 3" xfId="10772" xr:uid="{00000000-0005-0000-0000-0000172A0000}"/>
    <cellStyle name="40% - Énfasis1 4 3 3" xfId="10773" xr:uid="{00000000-0005-0000-0000-0000182A0000}"/>
    <cellStyle name="40% - Énfasis1 4 3 3 2" xfId="10774" xr:uid="{00000000-0005-0000-0000-0000192A0000}"/>
    <cellStyle name="40% - Énfasis1 4 3 3 2 2" xfId="10775" xr:uid="{00000000-0005-0000-0000-00001A2A0000}"/>
    <cellStyle name="40% - Énfasis1 4 3 3 3" xfId="10776" xr:uid="{00000000-0005-0000-0000-00001B2A0000}"/>
    <cellStyle name="40% - Énfasis1 4 3 4" xfId="10777" xr:uid="{00000000-0005-0000-0000-00001C2A0000}"/>
    <cellStyle name="40% - Énfasis1 4 3 4 2" xfId="10778" xr:uid="{00000000-0005-0000-0000-00001D2A0000}"/>
    <cellStyle name="40% - Énfasis1 4 3 5" xfId="10779" xr:uid="{00000000-0005-0000-0000-00001E2A0000}"/>
    <cellStyle name="40% - Énfasis1 4 4" xfId="10780" xr:uid="{00000000-0005-0000-0000-00001F2A0000}"/>
    <cellStyle name="40% - Énfasis1 4 4 2" xfId="10781" xr:uid="{00000000-0005-0000-0000-0000202A0000}"/>
    <cellStyle name="40% - Énfasis1 4 4 2 2" xfId="10782" xr:uid="{00000000-0005-0000-0000-0000212A0000}"/>
    <cellStyle name="40% - Énfasis1 4 4 2 2 2" xfId="10783" xr:uid="{00000000-0005-0000-0000-0000222A0000}"/>
    <cellStyle name="40% - Énfasis1 4 4 2 3" xfId="10784" xr:uid="{00000000-0005-0000-0000-0000232A0000}"/>
    <cellStyle name="40% - Énfasis1 4 4 3" xfId="10785" xr:uid="{00000000-0005-0000-0000-0000242A0000}"/>
    <cellStyle name="40% - Énfasis1 4 4 3 2" xfId="10786" xr:uid="{00000000-0005-0000-0000-0000252A0000}"/>
    <cellStyle name="40% - Énfasis1 4 4 4" xfId="10787" xr:uid="{00000000-0005-0000-0000-0000262A0000}"/>
    <cellStyle name="40% - Énfasis1 4 5" xfId="10788" xr:uid="{00000000-0005-0000-0000-0000272A0000}"/>
    <cellStyle name="40% - Énfasis1 4 5 2" xfId="10789" xr:uid="{00000000-0005-0000-0000-0000282A0000}"/>
    <cellStyle name="40% - Énfasis1 4 5 2 2" xfId="10790" xr:uid="{00000000-0005-0000-0000-0000292A0000}"/>
    <cellStyle name="40% - Énfasis1 4 5 3" xfId="10791" xr:uid="{00000000-0005-0000-0000-00002A2A0000}"/>
    <cellStyle name="40% - Énfasis1 4 6" xfId="10792" xr:uid="{00000000-0005-0000-0000-00002B2A0000}"/>
    <cellStyle name="40% - Énfasis1 4 6 2" xfId="10793" xr:uid="{00000000-0005-0000-0000-00002C2A0000}"/>
    <cellStyle name="40% - Énfasis1 4 6 2 2" xfId="10794" xr:uid="{00000000-0005-0000-0000-00002D2A0000}"/>
    <cellStyle name="40% - Énfasis1 4 6 3" xfId="10795" xr:uid="{00000000-0005-0000-0000-00002E2A0000}"/>
    <cellStyle name="40% - Énfasis1 4 7" xfId="10796" xr:uid="{00000000-0005-0000-0000-00002F2A0000}"/>
    <cellStyle name="40% - Énfasis1 4 7 2" xfId="10797" xr:uid="{00000000-0005-0000-0000-0000302A0000}"/>
    <cellStyle name="40% - Énfasis1 4 8" xfId="10798" xr:uid="{00000000-0005-0000-0000-0000312A0000}"/>
    <cellStyle name="40% - Énfasis1 40" xfId="10799" xr:uid="{00000000-0005-0000-0000-0000322A0000}"/>
    <cellStyle name="40% - Énfasis1 40 2" xfId="10800" xr:uid="{00000000-0005-0000-0000-0000332A0000}"/>
    <cellStyle name="40% - Énfasis1 40 2 2" xfId="10801" xr:uid="{00000000-0005-0000-0000-0000342A0000}"/>
    <cellStyle name="40% - Énfasis1 40 3" xfId="10802" xr:uid="{00000000-0005-0000-0000-0000352A0000}"/>
    <cellStyle name="40% - Énfasis1 41" xfId="10803" xr:uid="{00000000-0005-0000-0000-0000362A0000}"/>
    <cellStyle name="40% - Énfasis1 41 2" xfId="10804" xr:uid="{00000000-0005-0000-0000-0000372A0000}"/>
    <cellStyle name="40% - Énfasis1 41 2 2" xfId="10805" xr:uid="{00000000-0005-0000-0000-0000382A0000}"/>
    <cellStyle name="40% - Énfasis1 41 3" xfId="10806" xr:uid="{00000000-0005-0000-0000-0000392A0000}"/>
    <cellStyle name="40% - Énfasis1 42" xfId="10807" xr:uid="{00000000-0005-0000-0000-00003A2A0000}"/>
    <cellStyle name="40% - Énfasis1 42 2" xfId="10808" xr:uid="{00000000-0005-0000-0000-00003B2A0000}"/>
    <cellStyle name="40% - Énfasis1 42 2 2" xfId="10809" xr:uid="{00000000-0005-0000-0000-00003C2A0000}"/>
    <cellStyle name="40% - Énfasis1 42 3" xfId="10810" xr:uid="{00000000-0005-0000-0000-00003D2A0000}"/>
    <cellStyle name="40% - Énfasis1 43" xfId="10811" xr:uid="{00000000-0005-0000-0000-00003E2A0000}"/>
    <cellStyle name="40% - Énfasis1 43 2" xfId="10812" xr:uid="{00000000-0005-0000-0000-00003F2A0000}"/>
    <cellStyle name="40% - Énfasis1 43 2 2" xfId="10813" xr:uid="{00000000-0005-0000-0000-0000402A0000}"/>
    <cellStyle name="40% - Énfasis1 43 3" xfId="10814" xr:uid="{00000000-0005-0000-0000-0000412A0000}"/>
    <cellStyle name="40% - Énfasis1 44" xfId="10815" xr:uid="{00000000-0005-0000-0000-0000422A0000}"/>
    <cellStyle name="40% - Énfasis1 44 2" xfId="10816" xr:uid="{00000000-0005-0000-0000-0000432A0000}"/>
    <cellStyle name="40% - Énfasis1 44 2 2" xfId="10817" xr:uid="{00000000-0005-0000-0000-0000442A0000}"/>
    <cellStyle name="40% - Énfasis1 44 3" xfId="10818" xr:uid="{00000000-0005-0000-0000-0000452A0000}"/>
    <cellStyle name="40% - Énfasis1 45" xfId="10819" xr:uid="{00000000-0005-0000-0000-0000462A0000}"/>
    <cellStyle name="40% - Énfasis1 45 2" xfId="10820" xr:uid="{00000000-0005-0000-0000-0000472A0000}"/>
    <cellStyle name="40% - Énfasis1 45 2 2" xfId="10821" xr:uid="{00000000-0005-0000-0000-0000482A0000}"/>
    <cellStyle name="40% - Énfasis1 45 3" xfId="10822" xr:uid="{00000000-0005-0000-0000-0000492A0000}"/>
    <cellStyle name="40% - Énfasis1 46" xfId="10823" xr:uid="{00000000-0005-0000-0000-00004A2A0000}"/>
    <cellStyle name="40% - Énfasis1 46 2" xfId="10824" xr:uid="{00000000-0005-0000-0000-00004B2A0000}"/>
    <cellStyle name="40% - Énfasis1 47" xfId="10825" xr:uid="{00000000-0005-0000-0000-00004C2A0000}"/>
    <cellStyle name="40% - Énfasis1 47 2" xfId="10826" xr:uid="{00000000-0005-0000-0000-00004D2A0000}"/>
    <cellStyle name="40% - Énfasis1 48" xfId="10827" xr:uid="{00000000-0005-0000-0000-00004E2A0000}"/>
    <cellStyle name="40% - Énfasis1 48 2" xfId="10828" xr:uid="{00000000-0005-0000-0000-00004F2A0000}"/>
    <cellStyle name="40% - Énfasis1 49" xfId="10829" xr:uid="{00000000-0005-0000-0000-0000502A0000}"/>
    <cellStyle name="40% - Énfasis1 49 2" xfId="10830" xr:uid="{00000000-0005-0000-0000-0000512A0000}"/>
    <cellStyle name="40% - Énfasis1 5" xfId="10831" xr:uid="{00000000-0005-0000-0000-0000522A0000}"/>
    <cellStyle name="40% - Énfasis1 5 2" xfId="10832" xr:uid="{00000000-0005-0000-0000-0000532A0000}"/>
    <cellStyle name="40% - Énfasis1 5 2 2" xfId="10833" xr:uid="{00000000-0005-0000-0000-0000542A0000}"/>
    <cellStyle name="40% - Énfasis1 5 2 2 2" xfId="10834" xr:uid="{00000000-0005-0000-0000-0000552A0000}"/>
    <cellStyle name="40% - Énfasis1 5 2 2 2 2" xfId="10835" xr:uid="{00000000-0005-0000-0000-0000562A0000}"/>
    <cellStyle name="40% - Énfasis1 5 2 2 2 2 2" xfId="10836" xr:uid="{00000000-0005-0000-0000-0000572A0000}"/>
    <cellStyle name="40% - Énfasis1 5 2 2 2 3" xfId="10837" xr:uid="{00000000-0005-0000-0000-0000582A0000}"/>
    <cellStyle name="40% - Énfasis1 5 2 2 3" xfId="10838" xr:uid="{00000000-0005-0000-0000-0000592A0000}"/>
    <cellStyle name="40% - Énfasis1 5 2 2 3 2" xfId="10839" xr:uid="{00000000-0005-0000-0000-00005A2A0000}"/>
    <cellStyle name="40% - Énfasis1 5 2 2 4" xfId="10840" xr:uid="{00000000-0005-0000-0000-00005B2A0000}"/>
    <cellStyle name="40% - Énfasis1 5 2 3" xfId="10841" xr:uid="{00000000-0005-0000-0000-00005C2A0000}"/>
    <cellStyle name="40% - Énfasis1 5 2 3 2" xfId="10842" xr:uid="{00000000-0005-0000-0000-00005D2A0000}"/>
    <cellStyle name="40% - Énfasis1 5 2 3 2 2" xfId="10843" xr:uid="{00000000-0005-0000-0000-00005E2A0000}"/>
    <cellStyle name="40% - Énfasis1 5 2 3 3" xfId="10844" xr:uid="{00000000-0005-0000-0000-00005F2A0000}"/>
    <cellStyle name="40% - Énfasis1 5 2 4" xfId="10845" xr:uid="{00000000-0005-0000-0000-0000602A0000}"/>
    <cellStyle name="40% - Énfasis1 5 2 4 2" xfId="10846" xr:uid="{00000000-0005-0000-0000-0000612A0000}"/>
    <cellStyle name="40% - Énfasis1 5 2 4 2 2" xfId="10847" xr:uid="{00000000-0005-0000-0000-0000622A0000}"/>
    <cellStyle name="40% - Énfasis1 5 2 4 3" xfId="10848" xr:uid="{00000000-0005-0000-0000-0000632A0000}"/>
    <cellStyle name="40% - Énfasis1 5 2 5" xfId="10849" xr:uid="{00000000-0005-0000-0000-0000642A0000}"/>
    <cellStyle name="40% - Énfasis1 5 2 5 2" xfId="10850" xr:uid="{00000000-0005-0000-0000-0000652A0000}"/>
    <cellStyle name="40% - Énfasis1 5 2 6" xfId="10851" xr:uid="{00000000-0005-0000-0000-0000662A0000}"/>
    <cellStyle name="40% - Énfasis1 5 3" xfId="10852" xr:uid="{00000000-0005-0000-0000-0000672A0000}"/>
    <cellStyle name="40% - Énfasis1 5 3 2" xfId="10853" xr:uid="{00000000-0005-0000-0000-0000682A0000}"/>
    <cellStyle name="40% - Énfasis1 5 3 2 2" xfId="10854" xr:uid="{00000000-0005-0000-0000-0000692A0000}"/>
    <cellStyle name="40% - Énfasis1 5 3 2 2 2" xfId="10855" xr:uid="{00000000-0005-0000-0000-00006A2A0000}"/>
    <cellStyle name="40% - Énfasis1 5 3 2 3" xfId="10856" xr:uid="{00000000-0005-0000-0000-00006B2A0000}"/>
    <cellStyle name="40% - Énfasis1 5 3 3" xfId="10857" xr:uid="{00000000-0005-0000-0000-00006C2A0000}"/>
    <cellStyle name="40% - Énfasis1 5 3 3 2" xfId="10858" xr:uid="{00000000-0005-0000-0000-00006D2A0000}"/>
    <cellStyle name="40% - Énfasis1 5 3 3 2 2" xfId="10859" xr:uid="{00000000-0005-0000-0000-00006E2A0000}"/>
    <cellStyle name="40% - Énfasis1 5 3 3 3" xfId="10860" xr:uid="{00000000-0005-0000-0000-00006F2A0000}"/>
    <cellStyle name="40% - Énfasis1 5 3 4" xfId="10861" xr:uid="{00000000-0005-0000-0000-0000702A0000}"/>
    <cellStyle name="40% - Énfasis1 5 3 4 2" xfId="10862" xr:uid="{00000000-0005-0000-0000-0000712A0000}"/>
    <cellStyle name="40% - Énfasis1 5 3 5" xfId="10863" xr:uid="{00000000-0005-0000-0000-0000722A0000}"/>
    <cellStyle name="40% - Énfasis1 5 4" xfId="10864" xr:uid="{00000000-0005-0000-0000-0000732A0000}"/>
    <cellStyle name="40% - Énfasis1 5 4 2" xfId="10865" xr:uid="{00000000-0005-0000-0000-0000742A0000}"/>
    <cellStyle name="40% - Énfasis1 5 4 2 2" xfId="10866" xr:uid="{00000000-0005-0000-0000-0000752A0000}"/>
    <cellStyle name="40% - Énfasis1 5 4 2 2 2" xfId="10867" xr:uid="{00000000-0005-0000-0000-0000762A0000}"/>
    <cellStyle name="40% - Énfasis1 5 4 2 3" xfId="10868" xr:uid="{00000000-0005-0000-0000-0000772A0000}"/>
    <cellStyle name="40% - Énfasis1 5 4 3" xfId="10869" xr:uid="{00000000-0005-0000-0000-0000782A0000}"/>
    <cellStyle name="40% - Énfasis1 5 4 3 2" xfId="10870" xr:uid="{00000000-0005-0000-0000-0000792A0000}"/>
    <cellStyle name="40% - Énfasis1 5 4 4" xfId="10871" xr:uid="{00000000-0005-0000-0000-00007A2A0000}"/>
    <cellStyle name="40% - Énfasis1 5 5" xfId="10872" xr:uid="{00000000-0005-0000-0000-00007B2A0000}"/>
    <cellStyle name="40% - Énfasis1 5 5 2" xfId="10873" xr:uid="{00000000-0005-0000-0000-00007C2A0000}"/>
    <cellStyle name="40% - Énfasis1 5 5 2 2" xfId="10874" xr:uid="{00000000-0005-0000-0000-00007D2A0000}"/>
    <cellStyle name="40% - Énfasis1 5 5 3" xfId="10875" xr:uid="{00000000-0005-0000-0000-00007E2A0000}"/>
    <cellStyle name="40% - Énfasis1 5 6" xfId="10876" xr:uid="{00000000-0005-0000-0000-00007F2A0000}"/>
    <cellStyle name="40% - Énfasis1 5 6 2" xfId="10877" xr:uid="{00000000-0005-0000-0000-0000802A0000}"/>
    <cellStyle name="40% - Énfasis1 5 6 2 2" xfId="10878" xr:uid="{00000000-0005-0000-0000-0000812A0000}"/>
    <cellStyle name="40% - Énfasis1 5 6 3" xfId="10879" xr:uid="{00000000-0005-0000-0000-0000822A0000}"/>
    <cellStyle name="40% - Énfasis1 5 7" xfId="10880" xr:uid="{00000000-0005-0000-0000-0000832A0000}"/>
    <cellStyle name="40% - Énfasis1 5 7 2" xfId="10881" xr:uid="{00000000-0005-0000-0000-0000842A0000}"/>
    <cellStyle name="40% - Énfasis1 5 8" xfId="10882" xr:uid="{00000000-0005-0000-0000-0000852A0000}"/>
    <cellStyle name="40% - Énfasis1 50" xfId="10883" xr:uid="{00000000-0005-0000-0000-0000862A0000}"/>
    <cellStyle name="40% - Énfasis1 50 2" xfId="10884" xr:uid="{00000000-0005-0000-0000-0000872A0000}"/>
    <cellStyle name="40% - Énfasis1 51" xfId="10885" xr:uid="{00000000-0005-0000-0000-0000882A0000}"/>
    <cellStyle name="40% - Énfasis1 51 2" xfId="10886" xr:uid="{00000000-0005-0000-0000-0000892A0000}"/>
    <cellStyle name="40% - Énfasis1 52" xfId="10887" xr:uid="{00000000-0005-0000-0000-00008A2A0000}"/>
    <cellStyle name="40% - Énfasis1 52 2" xfId="10888" xr:uid="{00000000-0005-0000-0000-00008B2A0000}"/>
    <cellStyle name="40% - Énfasis1 53" xfId="10889" xr:uid="{00000000-0005-0000-0000-00008C2A0000}"/>
    <cellStyle name="40% - Énfasis1 53 2" xfId="10890" xr:uid="{00000000-0005-0000-0000-00008D2A0000}"/>
    <cellStyle name="40% - Énfasis1 54" xfId="10891" xr:uid="{00000000-0005-0000-0000-00008E2A0000}"/>
    <cellStyle name="40% - Énfasis1 54 2" xfId="10892" xr:uid="{00000000-0005-0000-0000-00008F2A0000}"/>
    <cellStyle name="40% - Énfasis1 55" xfId="10893" xr:uid="{00000000-0005-0000-0000-0000902A0000}"/>
    <cellStyle name="40% - Énfasis1 55 2" xfId="10894" xr:uid="{00000000-0005-0000-0000-0000912A0000}"/>
    <cellStyle name="40% - Énfasis1 56" xfId="10895" xr:uid="{00000000-0005-0000-0000-0000922A0000}"/>
    <cellStyle name="40% - Énfasis1 56 2" xfId="10896" xr:uid="{00000000-0005-0000-0000-0000932A0000}"/>
    <cellStyle name="40% - Énfasis1 57" xfId="10897" xr:uid="{00000000-0005-0000-0000-0000942A0000}"/>
    <cellStyle name="40% - Énfasis1 57 2" xfId="10898" xr:uid="{00000000-0005-0000-0000-0000952A0000}"/>
    <cellStyle name="40% - Énfasis1 58" xfId="10899" xr:uid="{00000000-0005-0000-0000-0000962A0000}"/>
    <cellStyle name="40% - Énfasis1 58 2" xfId="10900" xr:uid="{00000000-0005-0000-0000-0000972A0000}"/>
    <cellStyle name="40% - Énfasis1 59" xfId="10901" xr:uid="{00000000-0005-0000-0000-0000982A0000}"/>
    <cellStyle name="40% - Énfasis1 59 2" xfId="10902" xr:uid="{00000000-0005-0000-0000-0000992A0000}"/>
    <cellStyle name="40% - Énfasis1 6" xfId="10903" xr:uid="{00000000-0005-0000-0000-00009A2A0000}"/>
    <cellStyle name="40% - Énfasis1 6 2" xfId="10904" xr:uid="{00000000-0005-0000-0000-00009B2A0000}"/>
    <cellStyle name="40% - Énfasis1 6 2 2" xfId="10905" xr:uid="{00000000-0005-0000-0000-00009C2A0000}"/>
    <cellStyle name="40% - Énfasis1 6 2 2 2" xfId="10906" xr:uid="{00000000-0005-0000-0000-00009D2A0000}"/>
    <cellStyle name="40% - Énfasis1 6 2 2 2 2" xfId="10907" xr:uid="{00000000-0005-0000-0000-00009E2A0000}"/>
    <cellStyle name="40% - Énfasis1 6 2 2 2 2 2" xfId="10908" xr:uid="{00000000-0005-0000-0000-00009F2A0000}"/>
    <cellStyle name="40% - Énfasis1 6 2 2 2 3" xfId="10909" xr:uid="{00000000-0005-0000-0000-0000A02A0000}"/>
    <cellStyle name="40% - Énfasis1 6 2 2 3" xfId="10910" xr:uid="{00000000-0005-0000-0000-0000A12A0000}"/>
    <cellStyle name="40% - Énfasis1 6 2 2 3 2" xfId="10911" xr:uid="{00000000-0005-0000-0000-0000A22A0000}"/>
    <cellStyle name="40% - Énfasis1 6 2 2 4" xfId="10912" xr:uid="{00000000-0005-0000-0000-0000A32A0000}"/>
    <cellStyle name="40% - Énfasis1 6 2 3" xfId="10913" xr:uid="{00000000-0005-0000-0000-0000A42A0000}"/>
    <cellStyle name="40% - Énfasis1 6 2 3 2" xfId="10914" xr:uid="{00000000-0005-0000-0000-0000A52A0000}"/>
    <cellStyle name="40% - Énfasis1 6 2 3 2 2" xfId="10915" xr:uid="{00000000-0005-0000-0000-0000A62A0000}"/>
    <cellStyle name="40% - Énfasis1 6 2 3 3" xfId="10916" xr:uid="{00000000-0005-0000-0000-0000A72A0000}"/>
    <cellStyle name="40% - Énfasis1 6 2 4" xfId="10917" xr:uid="{00000000-0005-0000-0000-0000A82A0000}"/>
    <cellStyle name="40% - Énfasis1 6 2 4 2" xfId="10918" xr:uid="{00000000-0005-0000-0000-0000A92A0000}"/>
    <cellStyle name="40% - Énfasis1 6 2 4 2 2" xfId="10919" xr:uid="{00000000-0005-0000-0000-0000AA2A0000}"/>
    <cellStyle name="40% - Énfasis1 6 2 4 3" xfId="10920" xr:uid="{00000000-0005-0000-0000-0000AB2A0000}"/>
    <cellStyle name="40% - Énfasis1 6 2 5" xfId="10921" xr:uid="{00000000-0005-0000-0000-0000AC2A0000}"/>
    <cellStyle name="40% - Énfasis1 6 2 5 2" xfId="10922" xr:uid="{00000000-0005-0000-0000-0000AD2A0000}"/>
    <cellStyle name="40% - Énfasis1 6 2 6" xfId="10923" xr:uid="{00000000-0005-0000-0000-0000AE2A0000}"/>
    <cellStyle name="40% - Énfasis1 6 3" xfId="10924" xr:uid="{00000000-0005-0000-0000-0000AF2A0000}"/>
    <cellStyle name="40% - Énfasis1 6 3 2" xfId="10925" xr:uid="{00000000-0005-0000-0000-0000B02A0000}"/>
    <cellStyle name="40% - Énfasis1 6 3 2 2" xfId="10926" xr:uid="{00000000-0005-0000-0000-0000B12A0000}"/>
    <cellStyle name="40% - Énfasis1 6 3 2 2 2" xfId="10927" xr:uid="{00000000-0005-0000-0000-0000B22A0000}"/>
    <cellStyle name="40% - Énfasis1 6 3 2 3" xfId="10928" xr:uid="{00000000-0005-0000-0000-0000B32A0000}"/>
    <cellStyle name="40% - Énfasis1 6 3 3" xfId="10929" xr:uid="{00000000-0005-0000-0000-0000B42A0000}"/>
    <cellStyle name="40% - Énfasis1 6 3 3 2" xfId="10930" xr:uid="{00000000-0005-0000-0000-0000B52A0000}"/>
    <cellStyle name="40% - Énfasis1 6 3 3 2 2" xfId="10931" xr:uid="{00000000-0005-0000-0000-0000B62A0000}"/>
    <cellStyle name="40% - Énfasis1 6 3 3 3" xfId="10932" xr:uid="{00000000-0005-0000-0000-0000B72A0000}"/>
    <cellStyle name="40% - Énfasis1 6 3 4" xfId="10933" xr:uid="{00000000-0005-0000-0000-0000B82A0000}"/>
    <cellStyle name="40% - Énfasis1 6 3 4 2" xfId="10934" xr:uid="{00000000-0005-0000-0000-0000B92A0000}"/>
    <cellStyle name="40% - Énfasis1 6 3 5" xfId="10935" xr:uid="{00000000-0005-0000-0000-0000BA2A0000}"/>
    <cellStyle name="40% - Énfasis1 6 4" xfId="10936" xr:uid="{00000000-0005-0000-0000-0000BB2A0000}"/>
    <cellStyle name="40% - Énfasis1 6 4 2" xfId="10937" xr:uid="{00000000-0005-0000-0000-0000BC2A0000}"/>
    <cellStyle name="40% - Énfasis1 6 4 2 2" xfId="10938" xr:uid="{00000000-0005-0000-0000-0000BD2A0000}"/>
    <cellStyle name="40% - Énfasis1 6 4 2 2 2" xfId="10939" xr:uid="{00000000-0005-0000-0000-0000BE2A0000}"/>
    <cellStyle name="40% - Énfasis1 6 4 2 3" xfId="10940" xr:uid="{00000000-0005-0000-0000-0000BF2A0000}"/>
    <cellStyle name="40% - Énfasis1 6 4 3" xfId="10941" xr:uid="{00000000-0005-0000-0000-0000C02A0000}"/>
    <cellStyle name="40% - Énfasis1 6 4 3 2" xfId="10942" xr:uid="{00000000-0005-0000-0000-0000C12A0000}"/>
    <cellStyle name="40% - Énfasis1 6 4 4" xfId="10943" xr:uid="{00000000-0005-0000-0000-0000C22A0000}"/>
    <cellStyle name="40% - Énfasis1 6 5" xfId="10944" xr:uid="{00000000-0005-0000-0000-0000C32A0000}"/>
    <cellStyle name="40% - Énfasis1 6 5 2" xfId="10945" xr:uid="{00000000-0005-0000-0000-0000C42A0000}"/>
    <cellStyle name="40% - Énfasis1 6 5 2 2" xfId="10946" xr:uid="{00000000-0005-0000-0000-0000C52A0000}"/>
    <cellStyle name="40% - Énfasis1 6 5 3" xfId="10947" xr:uid="{00000000-0005-0000-0000-0000C62A0000}"/>
    <cellStyle name="40% - Énfasis1 6 6" xfId="10948" xr:uid="{00000000-0005-0000-0000-0000C72A0000}"/>
    <cellStyle name="40% - Énfasis1 6 6 2" xfId="10949" xr:uid="{00000000-0005-0000-0000-0000C82A0000}"/>
    <cellStyle name="40% - Énfasis1 6 6 2 2" xfId="10950" xr:uid="{00000000-0005-0000-0000-0000C92A0000}"/>
    <cellStyle name="40% - Énfasis1 6 6 3" xfId="10951" xr:uid="{00000000-0005-0000-0000-0000CA2A0000}"/>
    <cellStyle name="40% - Énfasis1 6 7" xfId="10952" xr:uid="{00000000-0005-0000-0000-0000CB2A0000}"/>
    <cellStyle name="40% - Énfasis1 6 7 2" xfId="10953" xr:uid="{00000000-0005-0000-0000-0000CC2A0000}"/>
    <cellStyle name="40% - Énfasis1 6 8" xfId="10954" xr:uid="{00000000-0005-0000-0000-0000CD2A0000}"/>
    <cellStyle name="40% - Énfasis1 60" xfId="10955" xr:uid="{00000000-0005-0000-0000-0000CE2A0000}"/>
    <cellStyle name="40% - Énfasis1 60 2" xfId="10956" xr:uid="{00000000-0005-0000-0000-0000CF2A0000}"/>
    <cellStyle name="40% - Énfasis1 61" xfId="10957" xr:uid="{00000000-0005-0000-0000-0000D02A0000}"/>
    <cellStyle name="40% - Énfasis1 61 2" xfId="10958" xr:uid="{00000000-0005-0000-0000-0000D12A0000}"/>
    <cellStyle name="40% - Énfasis1 62" xfId="10959" xr:uid="{00000000-0005-0000-0000-0000D22A0000}"/>
    <cellStyle name="40% - Énfasis1 62 2" xfId="10960" xr:uid="{00000000-0005-0000-0000-0000D32A0000}"/>
    <cellStyle name="40% - Énfasis1 63" xfId="10961" xr:uid="{00000000-0005-0000-0000-0000D42A0000}"/>
    <cellStyle name="40% - Énfasis1 63 2" xfId="10962" xr:uid="{00000000-0005-0000-0000-0000D52A0000}"/>
    <cellStyle name="40% - Énfasis1 64" xfId="10963" xr:uid="{00000000-0005-0000-0000-0000D62A0000}"/>
    <cellStyle name="40% - Énfasis1 64 2" xfId="10964" xr:uid="{00000000-0005-0000-0000-0000D72A0000}"/>
    <cellStyle name="40% - Énfasis1 7" xfId="10965" xr:uid="{00000000-0005-0000-0000-0000D82A0000}"/>
    <cellStyle name="40% - Énfasis1 7 2" xfId="10966" xr:uid="{00000000-0005-0000-0000-0000D92A0000}"/>
    <cellStyle name="40% - Énfasis1 7 2 2" xfId="10967" xr:uid="{00000000-0005-0000-0000-0000DA2A0000}"/>
    <cellStyle name="40% - Énfasis1 7 2 2 2" xfId="10968" xr:uid="{00000000-0005-0000-0000-0000DB2A0000}"/>
    <cellStyle name="40% - Énfasis1 7 2 2 2 2" xfId="10969" xr:uid="{00000000-0005-0000-0000-0000DC2A0000}"/>
    <cellStyle name="40% - Énfasis1 7 2 2 2 2 2" xfId="10970" xr:uid="{00000000-0005-0000-0000-0000DD2A0000}"/>
    <cellStyle name="40% - Énfasis1 7 2 2 2 3" xfId="10971" xr:uid="{00000000-0005-0000-0000-0000DE2A0000}"/>
    <cellStyle name="40% - Énfasis1 7 2 2 3" xfId="10972" xr:uid="{00000000-0005-0000-0000-0000DF2A0000}"/>
    <cellStyle name="40% - Énfasis1 7 2 2 3 2" xfId="10973" xr:uid="{00000000-0005-0000-0000-0000E02A0000}"/>
    <cellStyle name="40% - Énfasis1 7 2 2 4" xfId="10974" xr:uid="{00000000-0005-0000-0000-0000E12A0000}"/>
    <cellStyle name="40% - Énfasis1 7 2 3" xfId="10975" xr:uid="{00000000-0005-0000-0000-0000E22A0000}"/>
    <cellStyle name="40% - Énfasis1 7 2 3 2" xfId="10976" xr:uid="{00000000-0005-0000-0000-0000E32A0000}"/>
    <cellStyle name="40% - Énfasis1 7 2 3 2 2" xfId="10977" xr:uid="{00000000-0005-0000-0000-0000E42A0000}"/>
    <cellStyle name="40% - Énfasis1 7 2 3 3" xfId="10978" xr:uid="{00000000-0005-0000-0000-0000E52A0000}"/>
    <cellStyle name="40% - Énfasis1 7 2 4" xfId="10979" xr:uid="{00000000-0005-0000-0000-0000E62A0000}"/>
    <cellStyle name="40% - Énfasis1 7 2 4 2" xfId="10980" xr:uid="{00000000-0005-0000-0000-0000E72A0000}"/>
    <cellStyle name="40% - Énfasis1 7 2 4 2 2" xfId="10981" xr:uid="{00000000-0005-0000-0000-0000E82A0000}"/>
    <cellStyle name="40% - Énfasis1 7 2 4 3" xfId="10982" xr:uid="{00000000-0005-0000-0000-0000E92A0000}"/>
    <cellStyle name="40% - Énfasis1 7 2 5" xfId="10983" xr:uid="{00000000-0005-0000-0000-0000EA2A0000}"/>
    <cellStyle name="40% - Énfasis1 7 2 5 2" xfId="10984" xr:uid="{00000000-0005-0000-0000-0000EB2A0000}"/>
    <cellStyle name="40% - Énfasis1 7 2 6" xfId="10985" xr:uid="{00000000-0005-0000-0000-0000EC2A0000}"/>
    <cellStyle name="40% - Énfasis1 7 3" xfId="10986" xr:uid="{00000000-0005-0000-0000-0000ED2A0000}"/>
    <cellStyle name="40% - Énfasis1 7 3 2" xfId="10987" xr:uid="{00000000-0005-0000-0000-0000EE2A0000}"/>
    <cellStyle name="40% - Énfasis1 7 3 2 2" xfId="10988" xr:uid="{00000000-0005-0000-0000-0000EF2A0000}"/>
    <cellStyle name="40% - Énfasis1 7 3 2 2 2" xfId="10989" xr:uid="{00000000-0005-0000-0000-0000F02A0000}"/>
    <cellStyle name="40% - Énfasis1 7 3 2 3" xfId="10990" xr:uid="{00000000-0005-0000-0000-0000F12A0000}"/>
    <cellStyle name="40% - Énfasis1 7 3 3" xfId="10991" xr:uid="{00000000-0005-0000-0000-0000F22A0000}"/>
    <cellStyle name="40% - Énfasis1 7 3 3 2" xfId="10992" xr:uid="{00000000-0005-0000-0000-0000F32A0000}"/>
    <cellStyle name="40% - Énfasis1 7 3 3 2 2" xfId="10993" xr:uid="{00000000-0005-0000-0000-0000F42A0000}"/>
    <cellStyle name="40% - Énfasis1 7 3 3 3" xfId="10994" xr:uid="{00000000-0005-0000-0000-0000F52A0000}"/>
    <cellStyle name="40% - Énfasis1 7 3 4" xfId="10995" xr:uid="{00000000-0005-0000-0000-0000F62A0000}"/>
    <cellStyle name="40% - Énfasis1 7 3 4 2" xfId="10996" xr:uid="{00000000-0005-0000-0000-0000F72A0000}"/>
    <cellStyle name="40% - Énfasis1 7 3 5" xfId="10997" xr:uid="{00000000-0005-0000-0000-0000F82A0000}"/>
    <cellStyle name="40% - Énfasis1 7 4" xfId="10998" xr:uid="{00000000-0005-0000-0000-0000F92A0000}"/>
    <cellStyle name="40% - Énfasis1 7 4 2" xfId="10999" xr:uid="{00000000-0005-0000-0000-0000FA2A0000}"/>
    <cellStyle name="40% - Énfasis1 7 4 2 2" xfId="11000" xr:uid="{00000000-0005-0000-0000-0000FB2A0000}"/>
    <cellStyle name="40% - Énfasis1 7 4 2 2 2" xfId="11001" xr:uid="{00000000-0005-0000-0000-0000FC2A0000}"/>
    <cellStyle name="40% - Énfasis1 7 4 2 3" xfId="11002" xr:uid="{00000000-0005-0000-0000-0000FD2A0000}"/>
    <cellStyle name="40% - Énfasis1 7 4 3" xfId="11003" xr:uid="{00000000-0005-0000-0000-0000FE2A0000}"/>
    <cellStyle name="40% - Énfasis1 7 4 3 2" xfId="11004" xr:uid="{00000000-0005-0000-0000-0000FF2A0000}"/>
    <cellStyle name="40% - Énfasis1 7 4 4" xfId="11005" xr:uid="{00000000-0005-0000-0000-0000002B0000}"/>
    <cellStyle name="40% - Énfasis1 7 5" xfId="11006" xr:uid="{00000000-0005-0000-0000-0000012B0000}"/>
    <cellStyle name="40% - Énfasis1 7 5 2" xfId="11007" xr:uid="{00000000-0005-0000-0000-0000022B0000}"/>
    <cellStyle name="40% - Énfasis1 7 5 2 2" xfId="11008" xr:uid="{00000000-0005-0000-0000-0000032B0000}"/>
    <cellStyle name="40% - Énfasis1 7 5 3" xfId="11009" xr:uid="{00000000-0005-0000-0000-0000042B0000}"/>
    <cellStyle name="40% - Énfasis1 7 6" xfId="11010" xr:uid="{00000000-0005-0000-0000-0000052B0000}"/>
    <cellStyle name="40% - Énfasis1 7 6 2" xfId="11011" xr:uid="{00000000-0005-0000-0000-0000062B0000}"/>
    <cellStyle name="40% - Énfasis1 7 6 2 2" xfId="11012" xr:uid="{00000000-0005-0000-0000-0000072B0000}"/>
    <cellStyle name="40% - Énfasis1 7 6 3" xfId="11013" xr:uid="{00000000-0005-0000-0000-0000082B0000}"/>
    <cellStyle name="40% - Énfasis1 7 7" xfId="11014" xr:uid="{00000000-0005-0000-0000-0000092B0000}"/>
    <cellStyle name="40% - Énfasis1 7 7 2" xfId="11015" xr:uid="{00000000-0005-0000-0000-00000A2B0000}"/>
    <cellStyle name="40% - Énfasis1 7 8" xfId="11016" xr:uid="{00000000-0005-0000-0000-00000B2B0000}"/>
    <cellStyle name="40% - Énfasis1 8" xfId="11017" xr:uid="{00000000-0005-0000-0000-00000C2B0000}"/>
    <cellStyle name="40% - Énfasis1 8 2" xfId="11018" xr:uid="{00000000-0005-0000-0000-00000D2B0000}"/>
    <cellStyle name="40% - Énfasis1 8 2 2" xfId="11019" xr:uid="{00000000-0005-0000-0000-00000E2B0000}"/>
    <cellStyle name="40% - Énfasis1 8 2 2 2" xfId="11020" xr:uid="{00000000-0005-0000-0000-00000F2B0000}"/>
    <cellStyle name="40% - Énfasis1 8 2 2 2 2" xfId="11021" xr:uid="{00000000-0005-0000-0000-0000102B0000}"/>
    <cellStyle name="40% - Énfasis1 8 2 2 2 2 2" xfId="11022" xr:uid="{00000000-0005-0000-0000-0000112B0000}"/>
    <cellStyle name="40% - Énfasis1 8 2 2 2 3" xfId="11023" xr:uid="{00000000-0005-0000-0000-0000122B0000}"/>
    <cellStyle name="40% - Énfasis1 8 2 2 3" xfId="11024" xr:uid="{00000000-0005-0000-0000-0000132B0000}"/>
    <cellStyle name="40% - Énfasis1 8 2 2 3 2" xfId="11025" xr:uid="{00000000-0005-0000-0000-0000142B0000}"/>
    <cellStyle name="40% - Énfasis1 8 2 2 4" xfId="11026" xr:uid="{00000000-0005-0000-0000-0000152B0000}"/>
    <cellStyle name="40% - Énfasis1 8 2 3" xfId="11027" xr:uid="{00000000-0005-0000-0000-0000162B0000}"/>
    <cellStyle name="40% - Énfasis1 8 2 3 2" xfId="11028" xr:uid="{00000000-0005-0000-0000-0000172B0000}"/>
    <cellStyle name="40% - Énfasis1 8 2 3 2 2" xfId="11029" xr:uid="{00000000-0005-0000-0000-0000182B0000}"/>
    <cellStyle name="40% - Énfasis1 8 2 3 3" xfId="11030" xr:uid="{00000000-0005-0000-0000-0000192B0000}"/>
    <cellStyle name="40% - Énfasis1 8 2 4" xfId="11031" xr:uid="{00000000-0005-0000-0000-00001A2B0000}"/>
    <cellStyle name="40% - Énfasis1 8 2 4 2" xfId="11032" xr:uid="{00000000-0005-0000-0000-00001B2B0000}"/>
    <cellStyle name="40% - Énfasis1 8 2 4 2 2" xfId="11033" xr:uid="{00000000-0005-0000-0000-00001C2B0000}"/>
    <cellStyle name="40% - Énfasis1 8 2 4 3" xfId="11034" xr:uid="{00000000-0005-0000-0000-00001D2B0000}"/>
    <cellStyle name="40% - Énfasis1 8 2 5" xfId="11035" xr:uid="{00000000-0005-0000-0000-00001E2B0000}"/>
    <cellStyle name="40% - Énfasis1 8 2 5 2" xfId="11036" xr:uid="{00000000-0005-0000-0000-00001F2B0000}"/>
    <cellStyle name="40% - Énfasis1 8 2 6" xfId="11037" xr:uid="{00000000-0005-0000-0000-0000202B0000}"/>
    <cellStyle name="40% - Énfasis1 8 3" xfId="11038" xr:uid="{00000000-0005-0000-0000-0000212B0000}"/>
    <cellStyle name="40% - Énfasis1 8 3 2" xfId="11039" xr:uid="{00000000-0005-0000-0000-0000222B0000}"/>
    <cellStyle name="40% - Énfasis1 8 3 2 2" xfId="11040" xr:uid="{00000000-0005-0000-0000-0000232B0000}"/>
    <cellStyle name="40% - Énfasis1 8 3 2 2 2" xfId="11041" xr:uid="{00000000-0005-0000-0000-0000242B0000}"/>
    <cellStyle name="40% - Énfasis1 8 3 2 3" xfId="11042" xr:uid="{00000000-0005-0000-0000-0000252B0000}"/>
    <cellStyle name="40% - Énfasis1 8 3 3" xfId="11043" xr:uid="{00000000-0005-0000-0000-0000262B0000}"/>
    <cellStyle name="40% - Énfasis1 8 3 3 2" xfId="11044" xr:uid="{00000000-0005-0000-0000-0000272B0000}"/>
    <cellStyle name="40% - Énfasis1 8 3 3 2 2" xfId="11045" xr:uid="{00000000-0005-0000-0000-0000282B0000}"/>
    <cellStyle name="40% - Énfasis1 8 3 3 3" xfId="11046" xr:uid="{00000000-0005-0000-0000-0000292B0000}"/>
    <cellStyle name="40% - Énfasis1 8 3 4" xfId="11047" xr:uid="{00000000-0005-0000-0000-00002A2B0000}"/>
    <cellStyle name="40% - Énfasis1 8 3 4 2" xfId="11048" xr:uid="{00000000-0005-0000-0000-00002B2B0000}"/>
    <cellStyle name="40% - Énfasis1 8 3 5" xfId="11049" xr:uid="{00000000-0005-0000-0000-00002C2B0000}"/>
    <cellStyle name="40% - Énfasis1 8 4" xfId="11050" xr:uid="{00000000-0005-0000-0000-00002D2B0000}"/>
    <cellStyle name="40% - Énfasis1 8 4 2" xfId="11051" xr:uid="{00000000-0005-0000-0000-00002E2B0000}"/>
    <cellStyle name="40% - Énfasis1 8 4 2 2" xfId="11052" xr:uid="{00000000-0005-0000-0000-00002F2B0000}"/>
    <cellStyle name="40% - Énfasis1 8 4 2 2 2" xfId="11053" xr:uid="{00000000-0005-0000-0000-0000302B0000}"/>
    <cellStyle name="40% - Énfasis1 8 4 2 3" xfId="11054" xr:uid="{00000000-0005-0000-0000-0000312B0000}"/>
    <cellStyle name="40% - Énfasis1 8 4 3" xfId="11055" xr:uid="{00000000-0005-0000-0000-0000322B0000}"/>
    <cellStyle name="40% - Énfasis1 8 4 3 2" xfId="11056" xr:uid="{00000000-0005-0000-0000-0000332B0000}"/>
    <cellStyle name="40% - Énfasis1 8 4 4" xfId="11057" xr:uid="{00000000-0005-0000-0000-0000342B0000}"/>
    <cellStyle name="40% - Énfasis1 8 5" xfId="11058" xr:uid="{00000000-0005-0000-0000-0000352B0000}"/>
    <cellStyle name="40% - Énfasis1 8 5 2" xfId="11059" xr:uid="{00000000-0005-0000-0000-0000362B0000}"/>
    <cellStyle name="40% - Énfasis1 8 5 2 2" xfId="11060" xr:uid="{00000000-0005-0000-0000-0000372B0000}"/>
    <cellStyle name="40% - Énfasis1 8 5 3" xfId="11061" xr:uid="{00000000-0005-0000-0000-0000382B0000}"/>
    <cellStyle name="40% - Énfasis1 8 6" xfId="11062" xr:uid="{00000000-0005-0000-0000-0000392B0000}"/>
    <cellStyle name="40% - Énfasis1 8 6 2" xfId="11063" xr:uid="{00000000-0005-0000-0000-00003A2B0000}"/>
    <cellStyle name="40% - Énfasis1 8 6 2 2" xfId="11064" xr:uid="{00000000-0005-0000-0000-00003B2B0000}"/>
    <cellStyle name="40% - Énfasis1 8 6 3" xfId="11065" xr:uid="{00000000-0005-0000-0000-00003C2B0000}"/>
    <cellStyle name="40% - Énfasis1 8 7" xfId="11066" xr:uid="{00000000-0005-0000-0000-00003D2B0000}"/>
    <cellStyle name="40% - Énfasis1 8 7 2" xfId="11067" xr:uid="{00000000-0005-0000-0000-00003E2B0000}"/>
    <cellStyle name="40% - Énfasis1 8 8" xfId="11068" xr:uid="{00000000-0005-0000-0000-00003F2B0000}"/>
    <cellStyle name="40% - Énfasis1 9" xfId="11069" xr:uid="{00000000-0005-0000-0000-0000402B0000}"/>
    <cellStyle name="40% - Énfasis1 9 2" xfId="11070" xr:uid="{00000000-0005-0000-0000-0000412B0000}"/>
    <cellStyle name="40% - Énfasis1 9 2 2" xfId="11071" xr:uid="{00000000-0005-0000-0000-0000422B0000}"/>
    <cellStyle name="40% - Énfasis1 9 2 2 2" xfId="11072" xr:uid="{00000000-0005-0000-0000-0000432B0000}"/>
    <cellStyle name="40% - Énfasis1 9 2 2 2 2" xfId="11073" xr:uid="{00000000-0005-0000-0000-0000442B0000}"/>
    <cellStyle name="40% - Énfasis1 9 2 2 2 2 2" xfId="11074" xr:uid="{00000000-0005-0000-0000-0000452B0000}"/>
    <cellStyle name="40% - Énfasis1 9 2 2 2 3" xfId="11075" xr:uid="{00000000-0005-0000-0000-0000462B0000}"/>
    <cellStyle name="40% - Énfasis1 9 2 2 3" xfId="11076" xr:uid="{00000000-0005-0000-0000-0000472B0000}"/>
    <cellStyle name="40% - Énfasis1 9 2 2 3 2" xfId="11077" xr:uid="{00000000-0005-0000-0000-0000482B0000}"/>
    <cellStyle name="40% - Énfasis1 9 2 2 4" xfId="11078" xr:uid="{00000000-0005-0000-0000-0000492B0000}"/>
    <cellStyle name="40% - Énfasis1 9 2 3" xfId="11079" xr:uid="{00000000-0005-0000-0000-00004A2B0000}"/>
    <cellStyle name="40% - Énfasis1 9 2 3 2" xfId="11080" xr:uid="{00000000-0005-0000-0000-00004B2B0000}"/>
    <cellStyle name="40% - Énfasis1 9 2 3 2 2" xfId="11081" xr:uid="{00000000-0005-0000-0000-00004C2B0000}"/>
    <cellStyle name="40% - Énfasis1 9 2 3 3" xfId="11082" xr:uid="{00000000-0005-0000-0000-00004D2B0000}"/>
    <cellStyle name="40% - Énfasis1 9 2 4" xfId="11083" xr:uid="{00000000-0005-0000-0000-00004E2B0000}"/>
    <cellStyle name="40% - Énfasis1 9 2 4 2" xfId="11084" xr:uid="{00000000-0005-0000-0000-00004F2B0000}"/>
    <cellStyle name="40% - Énfasis1 9 2 4 2 2" xfId="11085" xr:uid="{00000000-0005-0000-0000-0000502B0000}"/>
    <cellStyle name="40% - Énfasis1 9 2 4 3" xfId="11086" xr:uid="{00000000-0005-0000-0000-0000512B0000}"/>
    <cellStyle name="40% - Énfasis1 9 2 5" xfId="11087" xr:uid="{00000000-0005-0000-0000-0000522B0000}"/>
    <cellStyle name="40% - Énfasis1 9 2 5 2" xfId="11088" xr:uid="{00000000-0005-0000-0000-0000532B0000}"/>
    <cellStyle name="40% - Énfasis1 9 2 6" xfId="11089" xr:uid="{00000000-0005-0000-0000-0000542B0000}"/>
    <cellStyle name="40% - Énfasis1 9 3" xfId="11090" xr:uid="{00000000-0005-0000-0000-0000552B0000}"/>
    <cellStyle name="40% - Énfasis1 9 3 2" xfId="11091" xr:uid="{00000000-0005-0000-0000-0000562B0000}"/>
    <cellStyle name="40% - Énfasis1 9 3 2 2" xfId="11092" xr:uid="{00000000-0005-0000-0000-0000572B0000}"/>
    <cellStyle name="40% - Énfasis1 9 3 2 2 2" xfId="11093" xr:uid="{00000000-0005-0000-0000-0000582B0000}"/>
    <cellStyle name="40% - Énfasis1 9 3 2 3" xfId="11094" xr:uid="{00000000-0005-0000-0000-0000592B0000}"/>
    <cellStyle name="40% - Énfasis1 9 3 3" xfId="11095" xr:uid="{00000000-0005-0000-0000-00005A2B0000}"/>
    <cellStyle name="40% - Énfasis1 9 3 3 2" xfId="11096" xr:uid="{00000000-0005-0000-0000-00005B2B0000}"/>
    <cellStyle name="40% - Énfasis1 9 3 3 2 2" xfId="11097" xr:uid="{00000000-0005-0000-0000-00005C2B0000}"/>
    <cellStyle name="40% - Énfasis1 9 3 3 3" xfId="11098" xr:uid="{00000000-0005-0000-0000-00005D2B0000}"/>
    <cellStyle name="40% - Énfasis1 9 3 4" xfId="11099" xr:uid="{00000000-0005-0000-0000-00005E2B0000}"/>
    <cellStyle name="40% - Énfasis1 9 3 4 2" xfId="11100" xr:uid="{00000000-0005-0000-0000-00005F2B0000}"/>
    <cellStyle name="40% - Énfasis1 9 3 5" xfId="11101" xr:uid="{00000000-0005-0000-0000-0000602B0000}"/>
    <cellStyle name="40% - Énfasis1 9 4" xfId="11102" xr:uid="{00000000-0005-0000-0000-0000612B0000}"/>
    <cellStyle name="40% - Énfasis1 9 4 2" xfId="11103" xr:uid="{00000000-0005-0000-0000-0000622B0000}"/>
    <cellStyle name="40% - Énfasis1 9 4 2 2" xfId="11104" xr:uid="{00000000-0005-0000-0000-0000632B0000}"/>
    <cellStyle name="40% - Énfasis1 9 4 2 2 2" xfId="11105" xr:uid="{00000000-0005-0000-0000-0000642B0000}"/>
    <cellStyle name="40% - Énfasis1 9 4 2 3" xfId="11106" xr:uid="{00000000-0005-0000-0000-0000652B0000}"/>
    <cellStyle name="40% - Énfasis1 9 4 3" xfId="11107" xr:uid="{00000000-0005-0000-0000-0000662B0000}"/>
    <cellStyle name="40% - Énfasis1 9 4 3 2" xfId="11108" xr:uid="{00000000-0005-0000-0000-0000672B0000}"/>
    <cellStyle name="40% - Énfasis1 9 4 4" xfId="11109" xr:uid="{00000000-0005-0000-0000-0000682B0000}"/>
    <cellStyle name="40% - Énfasis1 9 5" xfId="11110" xr:uid="{00000000-0005-0000-0000-0000692B0000}"/>
    <cellStyle name="40% - Énfasis1 9 5 2" xfId="11111" xr:uid="{00000000-0005-0000-0000-00006A2B0000}"/>
    <cellStyle name="40% - Énfasis1 9 5 2 2" xfId="11112" xr:uid="{00000000-0005-0000-0000-00006B2B0000}"/>
    <cellStyle name="40% - Énfasis1 9 5 3" xfId="11113" xr:uid="{00000000-0005-0000-0000-00006C2B0000}"/>
    <cellStyle name="40% - Énfasis1 9 6" xfId="11114" xr:uid="{00000000-0005-0000-0000-00006D2B0000}"/>
    <cellStyle name="40% - Énfasis1 9 6 2" xfId="11115" xr:uid="{00000000-0005-0000-0000-00006E2B0000}"/>
    <cellStyle name="40% - Énfasis1 9 6 2 2" xfId="11116" xr:uid="{00000000-0005-0000-0000-00006F2B0000}"/>
    <cellStyle name="40% - Énfasis1 9 6 3" xfId="11117" xr:uid="{00000000-0005-0000-0000-0000702B0000}"/>
    <cellStyle name="40% - Énfasis1 9 7" xfId="11118" xr:uid="{00000000-0005-0000-0000-0000712B0000}"/>
    <cellStyle name="40% - Énfasis1 9 7 2" xfId="11119" xr:uid="{00000000-0005-0000-0000-0000722B0000}"/>
    <cellStyle name="40% - Énfasis1 9 8" xfId="11120" xr:uid="{00000000-0005-0000-0000-0000732B0000}"/>
    <cellStyle name="40% - Énfasis2 10" xfId="11121" xr:uid="{00000000-0005-0000-0000-0000742B0000}"/>
    <cellStyle name="40% - Énfasis2 10 2" xfId="11122" xr:uid="{00000000-0005-0000-0000-0000752B0000}"/>
    <cellStyle name="40% - Énfasis2 10 2 2" xfId="11123" xr:uid="{00000000-0005-0000-0000-0000762B0000}"/>
    <cellStyle name="40% - Énfasis2 10 2 2 2" xfId="11124" xr:uid="{00000000-0005-0000-0000-0000772B0000}"/>
    <cellStyle name="40% - Énfasis2 10 2 2 2 2" xfId="11125" xr:uid="{00000000-0005-0000-0000-0000782B0000}"/>
    <cellStyle name="40% - Énfasis2 10 2 2 2 2 2" xfId="11126" xr:uid="{00000000-0005-0000-0000-0000792B0000}"/>
    <cellStyle name="40% - Énfasis2 10 2 2 2 3" xfId="11127" xr:uid="{00000000-0005-0000-0000-00007A2B0000}"/>
    <cellStyle name="40% - Énfasis2 10 2 2 3" xfId="11128" xr:uid="{00000000-0005-0000-0000-00007B2B0000}"/>
    <cellStyle name="40% - Énfasis2 10 2 2 3 2" xfId="11129" xr:uid="{00000000-0005-0000-0000-00007C2B0000}"/>
    <cellStyle name="40% - Énfasis2 10 2 2 4" xfId="11130" xr:uid="{00000000-0005-0000-0000-00007D2B0000}"/>
    <cellStyle name="40% - Énfasis2 10 2 3" xfId="11131" xr:uid="{00000000-0005-0000-0000-00007E2B0000}"/>
    <cellStyle name="40% - Énfasis2 10 2 3 2" xfId="11132" xr:uid="{00000000-0005-0000-0000-00007F2B0000}"/>
    <cellStyle name="40% - Énfasis2 10 2 3 2 2" xfId="11133" xr:uid="{00000000-0005-0000-0000-0000802B0000}"/>
    <cellStyle name="40% - Énfasis2 10 2 3 3" xfId="11134" xr:uid="{00000000-0005-0000-0000-0000812B0000}"/>
    <cellStyle name="40% - Énfasis2 10 2 4" xfId="11135" xr:uid="{00000000-0005-0000-0000-0000822B0000}"/>
    <cellStyle name="40% - Énfasis2 10 2 4 2" xfId="11136" xr:uid="{00000000-0005-0000-0000-0000832B0000}"/>
    <cellStyle name="40% - Énfasis2 10 2 4 2 2" xfId="11137" xr:uid="{00000000-0005-0000-0000-0000842B0000}"/>
    <cellStyle name="40% - Énfasis2 10 2 4 3" xfId="11138" xr:uid="{00000000-0005-0000-0000-0000852B0000}"/>
    <cellStyle name="40% - Énfasis2 10 2 5" xfId="11139" xr:uid="{00000000-0005-0000-0000-0000862B0000}"/>
    <cellStyle name="40% - Énfasis2 10 2 5 2" xfId="11140" xr:uid="{00000000-0005-0000-0000-0000872B0000}"/>
    <cellStyle name="40% - Énfasis2 10 2 6" xfId="11141" xr:uid="{00000000-0005-0000-0000-0000882B0000}"/>
    <cellStyle name="40% - Énfasis2 10 3" xfId="11142" xr:uid="{00000000-0005-0000-0000-0000892B0000}"/>
    <cellStyle name="40% - Énfasis2 10 3 2" xfId="11143" xr:uid="{00000000-0005-0000-0000-00008A2B0000}"/>
    <cellStyle name="40% - Énfasis2 10 3 2 2" xfId="11144" xr:uid="{00000000-0005-0000-0000-00008B2B0000}"/>
    <cellStyle name="40% - Énfasis2 10 3 2 2 2" xfId="11145" xr:uid="{00000000-0005-0000-0000-00008C2B0000}"/>
    <cellStyle name="40% - Énfasis2 10 3 2 3" xfId="11146" xr:uid="{00000000-0005-0000-0000-00008D2B0000}"/>
    <cellStyle name="40% - Énfasis2 10 3 3" xfId="11147" xr:uid="{00000000-0005-0000-0000-00008E2B0000}"/>
    <cellStyle name="40% - Énfasis2 10 3 3 2" xfId="11148" xr:uid="{00000000-0005-0000-0000-00008F2B0000}"/>
    <cellStyle name="40% - Énfasis2 10 3 3 2 2" xfId="11149" xr:uid="{00000000-0005-0000-0000-0000902B0000}"/>
    <cellStyle name="40% - Énfasis2 10 3 3 3" xfId="11150" xr:uid="{00000000-0005-0000-0000-0000912B0000}"/>
    <cellStyle name="40% - Énfasis2 10 3 4" xfId="11151" xr:uid="{00000000-0005-0000-0000-0000922B0000}"/>
    <cellStyle name="40% - Énfasis2 10 3 4 2" xfId="11152" xr:uid="{00000000-0005-0000-0000-0000932B0000}"/>
    <cellStyle name="40% - Énfasis2 10 3 5" xfId="11153" xr:uid="{00000000-0005-0000-0000-0000942B0000}"/>
    <cellStyle name="40% - Énfasis2 10 4" xfId="11154" xr:uid="{00000000-0005-0000-0000-0000952B0000}"/>
    <cellStyle name="40% - Énfasis2 10 4 2" xfId="11155" xr:uid="{00000000-0005-0000-0000-0000962B0000}"/>
    <cellStyle name="40% - Énfasis2 10 4 2 2" xfId="11156" xr:uid="{00000000-0005-0000-0000-0000972B0000}"/>
    <cellStyle name="40% - Énfasis2 10 4 2 2 2" xfId="11157" xr:uid="{00000000-0005-0000-0000-0000982B0000}"/>
    <cellStyle name="40% - Énfasis2 10 4 2 3" xfId="11158" xr:uid="{00000000-0005-0000-0000-0000992B0000}"/>
    <cellStyle name="40% - Énfasis2 10 4 3" xfId="11159" xr:uid="{00000000-0005-0000-0000-00009A2B0000}"/>
    <cellStyle name="40% - Énfasis2 10 4 3 2" xfId="11160" xr:uid="{00000000-0005-0000-0000-00009B2B0000}"/>
    <cellStyle name="40% - Énfasis2 10 4 4" xfId="11161" xr:uid="{00000000-0005-0000-0000-00009C2B0000}"/>
    <cellStyle name="40% - Énfasis2 10 5" xfId="11162" xr:uid="{00000000-0005-0000-0000-00009D2B0000}"/>
    <cellStyle name="40% - Énfasis2 10 5 2" xfId="11163" xr:uid="{00000000-0005-0000-0000-00009E2B0000}"/>
    <cellStyle name="40% - Énfasis2 10 5 2 2" xfId="11164" xr:uid="{00000000-0005-0000-0000-00009F2B0000}"/>
    <cellStyle name="40% - Énfasis2 10 5 3" xfId="11165" xr:uid="{00000000-0005-0000-0000-0000A02B0000}"/>
    <cellStyle name="40% - Énfasis2 10 6" xfId="11166" xr:uid="{00000000-0005-0000-0000-0000A12B0000}"/>
    <cellStyle name="40% - Énfasis2 10 6 2" xfId="11167" xr:uid="{00000000-0005-0000-0000-0000A22B0000}"/>
    <cellStyle name="40% - Énfasis2 10 6 2 2" xfId="11168" xr:uid="{00000000-0005-0000-0000-0000A32B0000}"/>
    <cellStyle name="40% - Énfasis2 10 6 3" xfId="11169" xr:uid="{00000000-0005-0000-0000-0000A42B0000}"/>
    <cellStyle name="40% - Énfasis2 10 7" xfId="11170" xr:uid="{00000000-0005-0000-0000-0000A52B0000}"/>
    <cellStyle name="40% - Énfasis2 10 7 2" xfId="11171" xr:uid="{00000000-0005-0000-0000-0000A62B0000}"/>
    <cellStyle name="40% - Énfasis2 10 8" xfId="11172" xr:uid="{00000000-0005-0000-0000-0000A72B0000}"/>
    <cellStyle name="40% - Énfasis2 11" xfId="11173" xr:uid="{00000000-0005-0000-0000-0000A82B0000}"/>
    <cellStyle name="40% - Énfasis2 11 2" xfId="11174" xr:uid="{00000000-0005-0000-0000-0000A92B0000}"/>
    <cellStyle name="40% - Énfasis2 11 2 2" xfId="11175" xr:uid="{00000000-0005-0000-0000-0000AA2B0000}"/>
    <cellStyle name="40% - Énfasis2 11 2 2 2" xfId="11176" xr:uid="{00000000-0005-0000-0000-0000AB2B0000}"/>
    <cellStyle name="40% - Énfasis2 11 2 2 2 2" xfId="11177" xr:uid="{00000000-0005-0000-0000-0000AC2B0000}"/>
    <cellStyle name="40% - Énfasis2 11 2 2 2 2 2" xfId="11178" xr:uid="{00000000-0005-0000-0000-0000AD2B0000}"/>
    <cellStyle name="40% - Énfasis2 11 2 2 2 3" xfId="11179" xr:uid="{00000000-0005-0000-0000-0000AE2B0000}"/>
    <cellStyle name="40% - Énfasis2 11 2 2 3" xfId="11180" xr:uid="{00000000-0005-0000-0000-0000AF2B0000}"/>
    <cellStyle name="40% - Énfasis2 11 2 2 3 2" xfId="11181" xr:uid="{00000000-0005-0000-0000-0000B02B0000}"/>
    <cellStyle name="40% - Énfasis2 11 2 2 4" xfId="11182" xr:uid="{00000000-0005-0000-0000-0000B12B0000}"/>
    <cellStyle name="40% - Énfasis2 11 2 3" xfId="11183" xr:uid="{00000000-0005-0000-0000-0000B22B0000}"/>
    <cellStyle name="40% - Énfasis2 11 2 3 2" xfId="11184" xr:uid="{00000000-0005-0000-0000-0000B32B0000}"/>
    <cellStyle name="40% - Énfasis2 11 2 3 2 2" xfId="11185" xr:uid="{00000000-0005-0000-0000-0000B42B0000}"/>
    <cellStyle name="40% - Énfasis2 11 2 3 3" xfId="11186" xr:uid="{00000000-0005-0000-0000-0000B52B0000}"/>
    <cellStyle name="40% - Énfasis2 11 2 4" xfId="11187" xr:uid="{00000000-0005-0000-0000-0000B62B0000}"/>
    <cellStyle name="40% - Énfasis2 11 2 4 2" xfId="11188" xr:uid="{00000000-0005-0000-0000-0000B72B0000}"/>
    <cellStyle name="40% - Énfasis2 11 2 4 2 2" xfId="11189" xr:uid="{00000000-0005-0000-0000-0000B82B0000}"/>
    <cellStyle name="40% - Énfasis2 11 2 4 3" xfId="11190" xr:uid="{00000000-0005-0000-0000-0000B92B0000}"/>
    <cellStyle name="40% - Énfasis2 11 2 5" xfId="11191" xr:uid="{00000000-0005-0000-0000-0000BA2B0000}"/>
    <cellStyle name="40% - Énfasis2 11 2 5 2" xfId="11192" xr:uid="{00000000-0005-0000-0000-0000BB2B0000}"/>
    <cellStyle name="40% - Énfasis2 11 2 6" xfId="11193" xr:uid="{00000000-0005-0000-0000-0000BC2B0000}"/>
    <cellStyle name="40% - Énfasis2 11 3" xfId="11194" xr:uid="{00000000-0005-0000-0000-0000BD2B0000}"/>
    <cellStyle name="40% - Énfasis2 11 3 2" xfId="11195" xr:uid="{00000000-0005-0000-0000-0000BE2B0000}"/>
    <cellStyle name="40% - Énfasis2 11 3 2 2" xfId="11196" xr:uid="{00000000-0005-0000-0000-0000BF2B0000}"/>
    <cellStyle name="40% - Énfasis2 11 3 2 2 2" xfId="11197" xr:uid="{00000000-0005-0000-0000-0000C02B0000}"/>
    <cellStyle name="40% - Énfasis2 11 3 2 3" xfId="11198" xr:uid="{00000000-0005-0000-0000-0000C12B0000}"/>
    <cellStyle name="40% - Énfasis2 11 3 3" xfId="11199" xr:uid="{00000000-0005-0000-0000-0000C22B0000}"/>
    <cellStyle name="40% - Énfasis2 11 3 3 2" xfId="11200" xr:uid="{00000000-0005-0000-0000-0000C32B0000}"/>
    <cellStyle name="40% - Énfasis2 11 3 3 2 2" xfId="11201" xr:uid="{00000000-0005-0000-0000-0000C42B0000}"/>
    <cellStyle name="40% - Énfasis2 11 3 3 3" xfId="11202" xr:uid="{00000000-0005-0000-0000-0000C52B0000}"/>
    <cellStyle name="40% - Énfasis2 11 3 4" xfId="11203" xr:uid="{00000000-0005-0000-0000-0000C62B0000}"/>
    <cellStyle name="40% - Énfasis2 11 3 4 2" xfId="11204" xr:uid="{00000000-0005-0000-0000-0000C72B0000}"/>
    <cellStyle name="40% - Énfasis2 11 3 5" xfId="11205" xr:uid="{00000000-0005-0000-0000-0000C82B0000}"/>
    <cellStyle name="40% - Énfasis2 11 4" xfId="11206" xr:uid="{00000000-0005-0000-0000-0000C92B0000}"/>
    <cellStyle name="40% - Énfasis2 11 4 2" xfId="11207" xr:uid="{00000000-0005-0000-0000-0000CA2B0000}"/>
    <cellStyle name="40% - Énfasis2 11 4 2 2" xfId="11208" xr:uid="{00000000-0005-0000-0000-0000CB2B0000}"/>
    <cellStyle name="40% - Énfasis2 11 4 2 2 2" xfId="11209" xr:uid="{00000000-0005-0000-0000-0000CC2B0000}"/>
    <cellStyle name="40% - Énfasis2 11 4 2 3" xfId="11210" xr:uid="{00000000-0005-0000-0000-0000CD2B0000}"/>
    <cellStyle name="40% - Énfasis2 11 4 3" xfId="11211" xr:uid="{00000000-0005-0000-0000-0000CE2B0000}"/>
    <cellStyle name="40% - Énfasis2 11 4 3 2" xfId="11212" xr:uid="{00000000-0005-0000-0000-0000CF2B0000}"/>
    <cellStyle name="40% - Énfasis2 11 4 4" xfId="11213" xr:uid="{00000000-0005-0000-0000-0000D02B0000}"/>
    <cellStyle name="40% - Énfasis2 11 5" xfId="11214" xr:uid="{00000000-0005-0000-0000-0000D12B0000}"/>
    <cellStyle name="40% - Énfasis2 11 5 2" xfId="11215" xr:uid="{00000000-0005-0000-0000-0000D22B0000}"/>
    <cellStyle name="40% - Énfasis2 11 5 2 2" xfId="11216" xr:uid="{00000000-0005-0000-0000-0000D32B0000}"/>
    <cellStyle name="40% - Énfasis2 11 5 3" xfId="11217" xr:uid="{00000000-0005-0000-0000-0000D42B0000}"/>
    <cellStyle name="40% - Énfasis2 11 6" xfId="11218" xr:uid="{00000000-0005-0000-0000-0000D52B0000}"/>
    <cellStyle name="40% - Énfasis2 11 6 2" xfId="11219" xr:uid="{00000000-0005-0000-0000-0000D62B0000}"/>
    <cellStyle name="40% - Énfasis2 11 6 2 2" xfId="11220" xr:uid="{00000000-0005-0000-0000-0000D72B0000}"/>
    <cellStyle name="40% - Énfasis2 11 6 3" xfId="11221" xr:uid="{00000000-0005-0000-0000-0000D82B0000}"/>
    <cellStyle name="40% - Énfasis2 11 7" xfId="11222" xr:uid="{00000000-0005-0000-0000-0000D92B0000}"/>
    <cellStyle name="40% - Énfasis2 11 7 2" xfId="11223" xr:uid="{00000000-0005-0000-0000-0000DA2B0000}"/>
    <cellStyle name="40% - Énfasis2 11 8" xfId="11224" xr:uid="{00000000-0005-0000-0000-0000DB2B0000}"/>
    <cellStyle name="40% - Énfasis2 12" xfId="11225" xr:uid="{00000000-0005-0000-0000-0000DC2B0000}"/>
    <cellStyle name="40% - Énfasis2 12 2" xfId="11226" xr:uid="{00000000-0005-0000-0000-0000DD2B0000}"/>
    <cellStyle name="40% - Énfasis2 12 2 2" xfId="11227" xr:uid="{00000000-0005-0000-0000-0000DE2B0000}"/>
    <cellStyle name="40% - Énfasis2 12 2 2 2" xfId="11228" xr:uid="{00000000-0005-0000-0000-0000DF2B0000}"/>
    <cellStyle name="40% - Énfasis2 12 2 2 2 2" xfId="11229" xr:uid="{00000000-0005-0000-0000-0000E02B0000}"/>
    <cellStyle name="40% - Énfasis2 12 2 2 2 2 2" xfId="11230" xr:uid="{00000000-0005-0000-0000-0000E12B0000}"/>
    <cellStyle name="40% - Énfasis2 12 2 2 2 3" xfId="11231" xr:uid="{00000000-0005-0000-0000-0000E22B0000}"/>
    <cellStyle name="40% - Énfasis2 12 2 2 3" xfId="11232" xr:uid="{00000000-0005-0000-0000-0000E32B0000}"/>
    <cellStyle name="40% - Énfasis2 12 2 2 3 2" xfId="11233" xr:uid="{00000000-0005-0000-0000-0000E42B0000}"/>
    <cellStyle name="40% - Énfasis2 12 2 2 4" xfId="11234" xr:uid="{00000000-0005-0000-0000-0000E52B0000}"/>
    <cellStyle name="40% - Énfasis2 12 2 3" xfId="11235" xr:uid="{00000000-0005-0000-0000-0000E62B0000}"/>
    <cellStyle name="40% - Énfasis2 12 2 3 2" xfId="11236" xr:uid="{00000000-0005-0000-0000-0000E72B0000}"/>
    <cellStyle name="40% - Énfasis2 12 2 3 2 2" xfId="11237" xr:uid="{00000000-0005-0000-0000-0000E82B0000}"/>
    <cellStyle name="40% - Énfasis2 12 2 3 3" xfId="11238" xr:uid="{00000000-0005-0000-0000-0000E92B0000}"/>
    <cellStyle name="40% - Énfasis2 12 2 4" xfId="11239" xr:uid="{00000000-0005-0000-0000-0000EA2B0000}"/>
    <cellStyle name="40% - Énfasis2 12 2 4 2" xfId="11240" xr:uid="{00000000-0005-0000-0000-0000EB2B0000}"/>
    <cellStyle name="40% - Énfasis2 12 2 4 2 2" xfId="11241" xr:uid="{00000000-0005-0000-0000-0000EC2B0000}"/>
    <cellStyle name="40% - Énfasis2 12 2 4 3" xfId="11242" xr:uid="{00000000-0005-0000-0000-0000ED2B0000}"/>
    <cellStyle name="40% - Énfasis2 12 2 5" xfId="11243" xr:uid="{00000000-0005-0000-0000-0000EE2B0000}"/>
    <cellStyle name="40% - Énfasis2 12 2 5 2" xfId="11244" xr:uid="{00000000-0005-0000-0000-0000EF2B0000}"/>
    <cellStyle name="40% - Énfasis2 12 2 6" xfId="11245" xr:uid="{00000000-0005-0000-0000-0000F02B0000}"/>
    <cellStyle name="40% - Énfasis2 12 3" xfId="11246" xr:uid="{00000000-0005-0000-0000-0000F12B0000}"/>
    <cellStyle name="40% - Énfasis2 12 3 2" xfId="11247" xr:uid="{00000000-0005-0000-0000-0000F22B0000}"/>
    <cellStyle name="40% - Énfasis2 12 3 2 2" xfId="11248" xr:uid="{00000000-0005-0000-0000-0000F32B0000}"/>
    <cellStyle name="40% - Énfasis2 12 3 2 2 2" xfId="11249" xr:uid="{00000000-0005-0000-0000-0000F42B0000}"/>
    <cellStyle name="40% - Énfasis2 12 3 2 3" xfId="11250" xr:uid="{00000000-0005-0000-0000-0000F52B0000}"/>
    <cellStyle name="40% - Énfasis2 12 3 3" xfId="11251" xr:uid="{00000000-0005-0000-0000-0000F62B0000}"/>
    <cellStyle name="40% - Énfasis2 12 3 3 2" xfId="11252" xr:uid="{00000000-0005-0000-0000-0000F72B0000}"/>
    <cellStyle name="40% - Énfasis2 12 3 3 2 2" xfId="11253" xr:uid="{00000000-0005-0000-0000-0000F82B0000}"/>
    <cellStyle name="40% - Énfasis2 12 3 3 3" xfId="11254" xr:uid="{00000000-0005-0000-0000-0000F92B0000}"/>
    <cellStyle name="40% - Énfasis2 12 3 4" xfId="11255" xr:uid="{00000000-0005-0000-0000-0000FA2B0000}"/>
    <cellStyle name="40% - Énfasis2 12 3 4 2" xfId="11256" xr:uid="{00000000-0005-0000-0000-0000FB2B0000}"/>
    <cellStyle name="40% - Énfasis2 12 3 5" xfId="11257" xr:uid="{00000000-0005-0000-0000-0000FC2B0000}"/>
    <cellStyle name="40% - Énfasis2 12 4" xfId="11258" xr:uid="{00000000-0005-0000-0000-0000FD2B0000}"/>
    <cellStyle name="40% - Énfasis2 12 4 2" xfId="11259" xr:uid="{00000000-0005-0000-0000-0000FE2B0000}"/>
    <cellStyle name="40% - Énfasis2 12 4 2 2" xfId="11260" xr:uid="{00000000-0005-0000-0000-0000FF2B0000}"/>
    <cellStyle name="40% - Énfasis2 12 4 2 2 2" xfId="11261" xr:uid="{00000000-0005-0000-0000-0000002C0000}"/>
    <cellStyle name="40% - Énfasis2 12 4 2 3" xfId="11262" xr:uid="{00000000-0005-0000-0000-0000012C0000}"/>
    <cellStyle name="40% - Énfasis2 12 4 3" xfId="11263" xr:uid="{00000000-0005-0000-0000-0000022C0000}"/>
    <cellStyle name="40% - Énfasis2 12 4 3 2" xfId="11264" xr:uid="{00000000-0005-0000-0000-0000032C0000}"/>
    <cellStyle name="40% - Énfasis2 12 4 4" xfId="11265" xr:uid="{00000000-0005-0000-0000-0000042C0000}"/>
    <cellStyle name="40% - Énfasis2 12 5" xfId="11266" xr:uid="{00000000-0005-0000-0000-0000052C0000}"/>
    <cellStyle name="40% - Énfasis2 12 5 2" xfId="11267" xr:uid="{00000000-0005-0000-0000-0000062C0000}"/>
    <cellStyle name="40% - Énfasis2 12 5 2 2" xfId="11268" xr:uid="{00000000-0005-0000-0000-0000072C0000}"/>
    <cellStyle name="40% - Énfasis2 12 5 3" xfId="11269" xr:uid="{00000000-0005-0000-0000-0000082C0000}"/>
    <cellStyle name="40% - Énfasis2 12 6" xfId="11270" xr:uid="{00000000-0005-0000-0000-0000092C0000}"/>
    <cellStyle name="40% - Énfasis2 12 6 2" xfId="11271" xr:uid="{00000000-0005-0000-0000-00000A2C0000}"/>
    <cellStyle name="40% - Énfasis2 12 6 2 2" xfId="11272" xr:uid="{00000000-0005-0000-0000-00000B2C0000}"/>
    <cellStyle name="40% - Énfasis2 12 6 3" xfId="11273" xr:uid="{00000000-0005-0000-0000-00000C2C0000}"/>
    <cellStyle name="40% - Énfasis2 12 7" xfId="11274" xr:uid="{00000000-0005-0000-0000-00000D2C0000}"/>
    <cellStyle name="40% - Énfasis2 12 7 2" xfId="11275" xr:uid="{00000000-0005-0000-0000-00000E2C0000}"/>
    <cellStyle name="40% - Énfasis2 12 8" xfId="11276" xr:uid="{00000000-0005-0000-0000-00000F2C0000}"/>
    <cellStyle name="40% - Énfasis2 13" xfId="11277" xr:uid="{00000000-0005-0000-0000-0000102C0000}"/>
    <cellStyle name="40% - Énfasis2 13 2" xfId="11278" xr:uid="{00000000-0005-0000-0000-0000112C0000}"/>
    <cellStyle name="40% - Énfasis2 13 2 2" xfId="11279" xr:uid="{00000000-0005-0000-0000-0000122C0000}"/>
    <cellStyle name="40% - Énfasis2 13 2 2 2" xfId="11280" xr:uid="{00000000-0005-0000-0000-0000132C0000}"/>
    <cellStyle name="40% - Énfasis2 13 2 2 2 2" xfId="11281" xr:uid="{00000000-0005-0000-0000-0000142C0000}"/>
    <cellStyle name="40% - Énfasis2 13 2 2 2 2 2" xfId="11282" xr:uid="{00000000-0005-0000-0000-0000152C0000}"/>
    <cellStyle name="40% - Énfasis2 13 2 2 2 3" xfId="11283" xr:uid="{00000000-0005-0000-0000-0000162C0000}"/>
    <cellStyle name="40% - Énfasis2 13 2 2 3" xfId="11284" xr:uid="{00000000-0005-0000-0000-0000172C0000}"/>
    <cellStyle name="40% - Énfasis2 13 2 2 3 2" xfId="11285" xr:uid="{00000000-0005-0000-0000-0000182C0000}"/>
    <cellStyle name="40% - Énfasis2 13 2 2 4" xfId="11286" xr:uid="{00000000-0005-0000-0000-0000192C0000}"/>
    <cellStyle name="40% - Énfasis2 13 2 3" xfId="11287" xr:uid="{00000000-0005-0000-0000-00001A2C0000}"/>
    <cellStyle name="40% - Énfasis2 13 2 3 2" xfId="11288" xr:uid="{00000000-0005-0000-0000-00001B2C0000}"/>
    <cellStyle name="40% - Énfasis2 13 2 3 2 2" xfId="11289" xr:uid="{00000000-0005-0000-0000-00001C2C0000}"/>
    <cellStyle name="40% - Énfasis2 13 2 3 3" xfId="11290" xr:uid="{00000000-0005-0000-0000-00001D2C0000}"/>
    <cellStyle name="40% - Énfasis2 13 2 4" xfId="11291" xr:uid="{00000000-0005-0000-0000-00001E2C0000}"/>
    <cellStyle name="40% - Énfasis2 13 2 4 2" xfId="11292" xr:uid="{00000000-0005-0000-0000-00001F2C0000}"/>
    <cellStyle name="40% - Énfasis2 13 2 4 2 2" xfId="11293" xr:uid="{00000000-0005-0000-0000-0000202C0000}"/>
    <cellStyle name="40% - Énfasis2 13 2 4 3" xfId="11294" xr:uid="{00000000-0005-0000-0000-0000212C0000}"/>
    <cellStyle name="40% - Énfasis2 13 2 5" xfId="11295" xr:uid="{00000000-0005-0000-0000-0000222C0000}"/>
    <cellStyle name="40% - Énfasis2 13 2 5 2" xfId="11296" xr:uid="{00000000-0005-0000-0000-0000232C0000}"/>
    <cellStyle name="40% - Énfasis2 13 2 6" xfId="11297" xr:uid="{00000000-0005-0000-0000-0000242C0000}"/>
    <cellStyle name="40% - Énfasis2 13 3" xfId="11298" xr:uid="{00000000-0005-0000-0000-0000252C0000}"/>
    <cellStyle name="40% - Énfasis2 13 3 2" xfId="11299" xr:uid="{00000000-0005-0000-0000-0000262C0000}"/>
    <cellStyle name="40% - Énfasis2 13 3 2 2" xfId="11300" xr:uid="{00000000-0005-0000-0000-0000272C0000}"/>
    <cellStyle name="40% - Énfasis2 13 3 2 2 2" xfId="11301" xr:uid="{00000000-0005-0000-0000-0000282C0000}"/>
    <cellStyle name="40% - Énfasis2 13 3 2 3" xfId="11302" xr:uid="{00000000-0005-0000-0000-0000292C0000}"/>
    <cellStyle name="40% - Énfasis2 13 3 3" xfId="11303" xr:uid="{00000000-0005-0000-0000-00002A2C0000}"/>
    <cellStyle name="40% - Énfasis2 13 3 3 2" xfId="11304" xr:uid="{00000000-0005-0000-0000-00002B2C0000}"/>
    <cellStyle name="40% - Énfasis2 13 3 3 2 2" xfId="11305" xr:uid="{00000000-0005-0000-0000-00002C2C0000}"/>
    <cellStyle name="40% - Énfasis2 13 3 3 3" xfId="11306" xr:uid="{00000000-0005-0000-0000-00002D2C0000}"/>
    <cellStyle name="40% - Énfasis2 13 3 4" xfId="11307" xr:uid="{00000000-0005-0000-0000-00002E2C0000}"/>
    <cellStyle name="40% - Énfasis2 13 3 4 2" xfId="11308" xr:uid="{00000000-0005-0000-0000-00002F2C0000}"/>
    <cellStyle name="40% - Énfasis2 13 3 5" xfId="11309" xr:uid="{00000000-0005-0000-0000-0000302C0000}"/>
    <cellStyle name="40% - Énfasis2 13 4" xfId="11310" xr:uid="{00000000-0005-0000-0000-0000312C0000}"/>
    <cellStyle name="40% - Énfasis2 13 4 2" xfId="11311" xr:uid="{00000000-0005-0000-0000-0000322C0000}"/>
    <cellStyle name="40% - Énfasis2 13 4 2 2" xfId="11312" xr:uid="{00000000-0005-0000-0000-0000332C0000}"/>
    <cellStyle name="40% - Énfasis2 13 4 2 2 2" xfId="11313" xr:uid="{00000000-0005-0000-0000-0000342C0000}"/>
    <cellStyle name="40% - Énfasis2 13 4 2 3" xfId="11314" xr:uid="{00000000-0005-0000-0000-0000352C0000}"/>
    <cellStyle name="40% - Énfasis2 13 4 3" xfId="11315" xr:uid="{00000000-0005-0000-0000-0000362C0000}"/>
    <cellStyle name="40% - Énfasis2 13 4 3 2" xfId="11316" xr:uid="{00000000-0005-0000-0000-0000372C0000}"/>
    <cellStyle name="40% - Énfasis2 13 4 4" xfId="11317" xr:uid="{00000000-0005-0000-0000-0000382C0000}"/>
    <cellStyle name="40% - Énfasis2 13 5" xfId="11318" xr:uid="{00000000-0005-0000-0000-0000392C0000}"/>
    <cellStyle name="40% - Énfasis2 13 5 2" xfId="11319" xr:uid="{00000000-0005-0000-0000-00003A2C0000}"/>
    <cellStyle name="40% - Énfasis2 13 5 2 2" xfId="11320" xr:uid="{00000000-0005-0000-0000-00003B2C0000}"/>
    <cellStyle name="40% - Énfasis2 13 5 3" xfId="11321" xr:uid="{00000000-0005-0000-0000-00003C2C0000}"/>
    <cellStyle name="40% - Énfasis2 13 6" xfId="11322" xr:uid="{00000000-0005-0000-0000-00003D2C0000}"/>
    <cellStyle name="40% - Énfasis2 13 6 2" xfId="11323" xr:uid="{00000000-0005-0000-0000-00003E2C0000}"/>
    <cellStyle name="40% - Énfasis2 13 6 2 2" xfId="11324" xr:uid="{00000000-0005-0000-0000-00003F2C0000}"/>
    <cellStyle name="40% - Énfasis2 13 6 3" xfId="11325" xr:uid="{00000000-0005-0000-0000-0000402C0000}"/>
    <cellStyle name="40% - Énfasis2 13 7" xfId="11326" xr:uid="{00000000-0005-0000-0000-0000412C0000}"/>
    <cellStyle name="40% - Énfasis2 13 7 2" xfId="11327" xr:uid="{00000000-0005-0000-0000-0000422C0000}"/>
    <cellStyle name="40% - Énfasis2 13 8" xfId="11328" xr:uid="{00000000-0005-0000-0000-0000432C0000}"/>
    <cellStyle name="40% - Énfasis2 14" xfId="11329" xr:uid="{00000000-0005-0000-0000-0000442C0000}"/>
    <cellStyle name="40% - Énfasis2 14 2" xfId="11330" xr:uid="{00000000-0005-0000-0000-0000452C0000}"/>
    <cellStyle name="40% - Énfasis2 14 2 2" xfId="11331" xr:uid="{00000000-0005-0000-0000-0000462C0000}"/>
    <cellStyle name="40% - Énfasis2 14 2 2 2" xfId="11332" xr:uid="{00000000-0005-0000-0000-0000472C0000}"/>
    <cellStyle name="40% - Énfasis2 14 2 2 2 2" xfId="11333" xr:uid="{00000000-0005-0000-0000-0000482C0000}"/>
    <cellStyle name="40% - Énfasis2 14 2 2 2 2 2" xfId="11334" xr:uid="{00000000-0005-0000-0000-0000492C0000}"/>
    <cellStyle name="40% - Énfasis2 14 2 2 2 3" xfId="11335" xr:uid="{00000000-0005-0000-0000-00004A2C0000}"/>
    <cellStyle name="40% - Énfasis2 14 2 2 3" xfId="11336" xr:uid="{00000000-0005-0000-0000-00004B2C0000}"/>
    <cellStyle name="40% - Énfasis2 14 2 2 3 2" xfId="11337" xr:uid="{00000000-0005-0000-0000-00004C2C0000}"/>
    <cellStyle name="40% - Énfasis2 14 2 2 4" xfId="11338" xr:uid="{00000000-0005-0000-0000-00004D2C0000}"/>
    <cellStyle name="40% - Énfasis2 14 2 3" xfId="11339" xr:uid="{00000000-0005-0000-0000-00004E2C0000}"/>
    <cellStyle name="40% - Énfasis2 14 2 3 2" xfId="11340" xr:uid="{00000000-0005-0000-0000-00004F2C0000}"/>
    <cellStyle name="40% - Énfasis2 14 2 3 2 2" xfId="11341" xr:uid="{00000000-0005-0000-0000-0000502C0000}"/>
    <cellStyle name="40% - Énfasis2 14 2 3 3" xfId="11342" xr:uid="{00000000-0005-0000-0000-0000512C0000}"/>
    <cellStyle name="40% - Énfasis2 14 2 4" xfId="11343" xr:uid="{00000000-0005-0000-0000-0000522C0000}"/>
    <cellStyle name="40% - Énfasis2 14 2 4 2" xfId="11344" xr:uid="{00000000-0005-0000-0000-0000532C0000}"/>
    <cellStyle name="40% - Énfasis2 14 2 4 2 2" xfId="11345" xr:uid="{00000000-0005-0000-0000-0000542C0000}"/>
    <cellStyle name="40% - Énfasis2 14 2 4 3" xfId="11346" xr:uid="{00000000-0005-0000-0000-0000552C0000}"/>
    <cellStyle name="40% - Énfasis2 14 2 5" xfId="11347" xr:uid="{00000000-0005-0000-0000-0000562C0000}"/>
    <cellStyle name="40% - Énfasis2 14 2 5 2" xfId="11348" xr:uid="{00000000-0005-0000-0000-0000572C0000}"/>
    <cellStyle name="40% - Énfasis2 14 2 6" xfId="11349" xr:uid="{00000000-0005-0000-0000-0000582C0000}"/>
    <cellStyle name="40% - Énfasis2 14 3" xfId="11350" xr:uid="{00000000-0005-0000-0000-0000592C0000}"/>
    <cellStyle name="40% - Énfasis2 14 3 2" xfId="11351" xr:uid="{00000000-0005-0000-0000-00005A2C0000}"/>
    <cellStyle name="40% - Énfasis2 14 3 2 2" xfId="11352" xr:uid="{00000000-0005-0000-0000-00005B2C0000}"/>
    <cellStyle name="40% - Énfasis2 14 3 2 2 2" xfId="11353" xr:uid="{00000000-0005-0000-0000-00005C2C0000}"/>
    <cellStyle name="40% - Énfasis2 14 3 2 3" xfId="11354" xr:uid="{00000000-0005-0000-0000-00005D2C0000}"/>
    <cellStyle name="40% - Énfasis2 14 3 3" xfId="11355" xr:uid="{00000000-0005-0000-0000-00005E2C0000}"/>
    <cellStyle name="40% - Énfasis2 14 3 3 2" xfId="11356" xr:uid="{00000000-0005-0000-0000-00005F2C0000}"/>
    <cellStyle name="40% - Énfasis2 14 3 3 2 2" xfId="11357" xr:uid="{00000000-0005-0000-0000-0000602C0000}"/>
    <cellStyle name="40% - Énfasis2 14 3 3 3" xfId="11358" xr:uid="{00000000-0005-0000-0000-0000612C0000}"/>
    <cellStyle name="40% - Énfasis2 14 3 4" xfId="11359" xr:uid="{00000000-0005-0000-0000-0000622C0000}"/>
    <cellStyle name="40% - Énfasis2 14 3 4 2" xfId="11360" xr:uid="{00000000-0005-0000-0000-0000632C0000}"/>
    <cellStyle name="40% - Énfasis2 14 3 5" xfId="11361" xr:uid="{00000000-0005-0000-0000-0000642C0000}"/>
    <cellStyle name="40% - Énfasis2 14 4" xfId="11362" xr:uid="{00000000-0005-0000-0000-0000652C0000}"/>
    <cellStyle name="40% - Énfasis2 14 4 2" xfId="11363" xr:uid="{00000000-0005-0000-0000-0000662C0000}"/>
    <cellStyle name="40% - Énfasis2 14 4 2 2" xfId="11364" xr:uid="{00000000-0005-0000-0000-0000672C0000}"/>
    <cellStyle name="40% - Énfasis2 14 4 2 2 2" xfId="11365" xr:uid="{00000000-0005-0000-0000-0000682C0000}"/>
    <cellStyle name="40% - Énfasis2 14 4 2 3" xfId="11366" xr:uid="{00000000-0005-0000-0000-0000692C0000}"/>
    <cellStyle name="40% - Énfasis2 14 4 3" xfId="11367" xr:uid="{00000000-0005-0000-0000-00006A2C0000}"/>
    <cellStyle name="40% - Énfasis2 14 4 3 2" xfId="11368" xr:uid="{00000000-0005-0000-0000-00006B2C0000}"/>
    <cellStyle name="40% - Énfasis2 14 4 4" xfId="11369" xr:uid="{00000000-0005-0000-0000-00006C2C0000}"/>
    <cellStyle name="40% - Énfasis2 14 5" xfId="11370" xr:uid="{00000000-0005-0000-0000-00006D2C0000}"/>
    <cellStyle name="40% - Énfasis2 14 5 2" xfId="11371" xr:uid="{00000000-0005-0000-0000-00006E2C0000}"/>
    <cellStyle name="40% - Énfasis2 14 5 2 2" xfId="11372" xr:uid="{00000000-0005-0000-0000-00006F2C0000}"/>
    <cellStyle name="40% - Énfasis2 14 5 3" xfId="11373" xr:uid="{00000000-0005-0000-0000-0000702C0000}"/>
    <cellStyle name="40% - Énfasis2 14 6" xfId="11374" xr:uid="{00000000-0005-0000-0000-0000712C0000}"/>
    <cellStyle name="40% - Énfasis2 14 6 2" xfId="11375" xr:uid="{00000000-0005-0000-0000-0000722C0000}"/>
    <cellStyle name="40% - Énfasis2 14 6 2 2" xfId="11376" xr:uid="{00000000-0005-0000-0000-0000732C0000}"/>
    <cellStyle name="40% - Énfasis2 14 6 3" xfId="11377" xr:uid="{00000000-0005-0000-0000-0000742C0000}"/>
    <cellStyle name="40% - Énfasis2 14 7" xfId="11378" xr:uid="{00000000-0005-0000-0000-0000752C0000}"/>
    <cellStyle name="40% - Énfasis2 14 7 2" xfId="11379" xr:uid="{00000000-0005-0000-0000-0000762C0000}"/>
    <cellStyle name="40% - Énfasis2 14 8" xfId="11380" xr:uid="{00000000-0005-0000-0000-0000772C0000}"/>
    <cellStyle name="40% - Énfasis2 15" xfId="11381" xr:uid="{00000000-0005-0000-0000-0000782C0000}"/>
    <cellStyle name="40% - Énfasis2 15 2" xfId="11382" xr:uid="{00000000-0005-0000-0000-0000792C0000}"/>
    <cellStyle name="40% - Énfasis2 15 2 2" xfId="11383" xr:uid="{00000000-0005-0000-0000-00007A2C0000}"/>
    <cellStyle name="40% - Énfasis2 15 2 2 2" xfId="11384" xr:uid="{00000000-0005-0000-0000-00007B2C0000}"/>
    <cellStyle name="40% - Énfasis2 15 2 2 2 2" xfId="11385" xr:uid="{00000000-0005-0000-0000-00007C2C0000}"/>
    <cellStyle name="40% - Énfasis2 15 2 2 2 2 2" xfId="11386" xr:uid="{00000000-0005-0000-0000-00007D2C0000}"/>
    <cellStyle name="40% - Énfasis2 15 2 2 2 3" xfId="11387" xr:uid="{00000000-0005-0000-0000-00007E2C0000}"/>
    <cellStyle name="40% - Énfasis2 15 2 2 3" xfId="11388" xr:uid="{00000000-0005-0000-0000-00007F2C0000}"/>
    <cellStyle name="40% - Énfasis2 15 2 2 3 2" xfId="11389" xr:uid="{00000000-0005-0000-0000-0000802C0000}"/>
    <cellStyle name="40% - Énfasis2 15 2 2 4" xfId="11390" xr:uid="{00000000-0005-0000-0000-0000812C0000}"/>
    <cellStyle name="40% - Énfasis2 15 2 3" xfId="11391" xr:uid="{00000000-0005-0000-0000-0000822C0000}"/>
    <cellStyle name="40% - Énfasis2 15 2 3 2" xfId="11392" xr:uid="{00000000-0005-0000-0000-0000832C0000}"/>
    <cellStyle name="40% - Énfasis2 15 2 3 2 2" xfId="11393" xr:uid="{00000000-0005-0000-0000-0000842C0000}"/>
    <cellStyle name="40% - Énfasis2 15 2 3 3" xfId="11394" xr:uid="{00000000-0005-0000-0000-0000852C0000}"/>
    <cellStyle name="40% - Énfasis2 15 2 4" xfId="11395" xr:uid="{00000000-0005-0000-0000-0000862C0000}"/>
    <cellStyle name="40% - Énfasis2 15 2 4 2" xfId="11396" xr:uid="{00000000-0005-0000-0000-0000872C0000}"/>
    <cellStyle name="40% - Énfasis2 15 2 4 2 2" xfId="11397" xr:uid="{00000000-0005-0000-0000-0000882C0000}"/>
    <cellStyle name="40% - Énfasis2 15 2 4 3" xfId="11398" xr:uid="{00000000-0005-0000-0000-0000892C0000}"/>
    <cellStyle name="40% - Énfasis2 15 2 5" xfId="11399" xr:uid="{00000000-0005-0000-0000-00008A2C0000}"/>
    <cellStyle name="40% - Énfasis2 15 2 5 2" xfId="11400" xr:uid="{00000000-0005-0000-0000-00008B2C0000}"/>
    <cellStyle name="40% - Énfasis2 15 2 6" xfId="11401" xr:uid="{00000000-0005-0000-0000-00008C2C0000}"/>
    <cellStyle name="40% - Énfasis2 15 3" xfId="11402" xr:uid="{00000000-0005-0000-0000-00008D2C0000}"/>
    <cellStyle name="40% - Énfasis2 15 3 2" xfId="11403" xr:uid="{00000000-0005-0000-0000-00008E2C0000}"/>
    <cellStyle name="40% - Énfasis2 15 3 2 2" xfId="11404" xr:uid="{00000000-0005-0000-0000-00008F2C0000}"/>
    <cellStyle name="40% - Énfasis2 15 3 2 2 2" xfId="11405" xr:uid="{00000000-0005-0000-0000-0000902C0000}"/>
    <cellStyle name="40% - Énfasis2 15 3 2 3" xfId="11406" xr:uid="{00000000-0005-0000-0000-0000912C0000}"/>
    <cellStyle name="40% - Énfasis2 15 3 3" xfId="11407" xr:uid="{00000000-0005-0000-0000-0000922C0000}"/>
    <cellStyle name="40% - Énfasis2 15 3 3 2" xfId="11408" xr:uid="{00000000-0005-0000-0000-0000932C0000}"/>
    <cellStyle name="40% - Énfasis2 15 3 3 2 2" xfId="11409" xr:uid="{00000000-0005-0000-0000-0000942C0000}"/>
    <cellStyle name="40% - Énfasis2 15 3 3 3" xfId="11410" xr:uid="{00000000-0005-0000-0000-0000952C0000}"/>
    <cellStyle name="40% - Énfasis2 15 3 4" xfId="11411" xr:uid="{00000000-0005-0000-0000-0000962C0000}"/>
    <cellStyle name="40% - Énfasis2 15 3 4 2" xfId="11412" xr:uid="{00000000-0005-0000-0000-0000972C0000}"/>
    <cellStyle name="40% - Énfasis2 15 3 5" xfId="11413" xr:uid="{00000000-0005-0000-0000-0000982C0000}"/>
    <cellStyle name="40% - Énfasis2 15 4" xfId="11414" xr:uid="{00000000-0005-0000-0000-0000992C0000}"/>
    <cellStyle name="40% - Énfasis2 15 4 2" xfId="11415" xr:uid="{00000000-0005-0000-0000-00009A2C0000}"/>
    <cellStyle name="40% - Énfasis2 15 4 2 2" xfId="11416" xr:uid="{00000000-0005-0000-0000-00009B2C0000}"/>
    <cellStyle name="40% - Énfasis2 15 4 2 2 2" xfId="11417" xr:uid="{00000000-0005-0000-0000-00009C2C0000}"/>
    <cellStyle name="40% - Énfasis2 15 4 2 3" xfId="11418" xr:uid="{00000000-0005-0000-0000-00009D2C0000}"/>
    <cellStyle name="40% - Énfasis2 15 4 3" xfId="11419" xr:uid="{00000000-0005-0000-0000-00009E2C0000}"/>
    <cellStyle name="40% - Énfasis2 15 4 3 2" xfId="11420" xr:uid="{00000000-0005-0000-0000-00009F2C0000}"/>
    <cellStyle name="40% - Énfasis2 15 4 4" xfId="11421" xr:uid="{00000000-0005-0000-0000-0000A02C0000}"/>
    <cellStyle name="40% - Énfasis2 15 5" xfId="11422" xr:uid="{00000000-0005-0000-0000-0000A12C0000}"/>
    <cellStyle name="40% - Énfasis2 15 5 2" xfId="11423" xr:uid="{00000000-0005-0000-0000-0000A22C0000}"/>
    <cellStyle name="40% - Énfasis2 15 5 2 2" xfId="11424" xr:uid="{00000000-0005-0000-0000-0000A32C0000}"/>
    <cellStyle name="40% - Énfasis2 15 5 3" xfId="11425" xr:uid="{00000000-0005-0000-0000-0000A42C0000}"/>
    <cellStyle name="40% - Énfasis2 15 6" xfId="11426" xr:uid="{00000000-0005-0000-0000-0000A52C0000}"/>
    <cellStyle name="40% - Énfasis2 15 6 2" xfId="11427" xr:uid="{00000000-0005-0000-0000-0000A62C0000}"/>
    <cellStyle name="40% - Énfasis2 15 6 2 2" xfId="11428" xr:uid="{00000000-0005-0000-0000-0000A72C0000}"/>
    <cellStyle name="40% - Énfasis2 15 6 3" xfId="11429" xr:uid="{00000000-0005-0000-0000-0000A82C0000}"/>
    <cellStyle name="40% - Énfasis2 15 7" xfId="11430" xr:uid="{00000000-0005-0000-0000-0000A92C0000}"/>
    <cellStyle name="40% - Énfasis2 15 7 2" xfId="11431" xr:uid="{00000000-0005-0000-0000-0000AA2C0000}"/>
    <cellStyle name="40% - Énfasis2 15 8" xfId="11432" xr:uid="{00000000-0005-0000-0000-0000AB2C0000}"/>
    <cellStyle name="40% - Énfasis2 16" xfId="11433" xr:uid="{00000000-0005-0000-0000-0000AC2C0000}"/>
    <cellStyle name="40% - Énfasis2 16 2" xfId="11434" xr:uid="{00000000-0005-0000-0000-0000AD2C0000}"/>
    <cellStyle name="40% - Énfasis2 16 2 2" xfId="11435" xr:uid="{00000000-0005-0000-0000-0000AE2C0000}"/>
    <cellStyle name="40% - Énfasis2 16 2 2 2" xfId="11436" xr:uid="{00000000-0005-0000-0000-0000AF2C0000}"/>
    <cellStyle name="40% - Énfasis2 16 2 2 2 2" xfId="11437" xr:uid="{00000000-0005-0000-0000-0000B02C0000}"/>
    <cellStyle name="40% - Énfasis2 16 2 2 3" xfId="11438" xr:uid="{00000000-0005-0000-0000-0000B12C0000}"/>
    <cellStyle name="40% - Énfasis2 16 2 3" xfId="11439" xr:uid="{00000000-0005-0000-0000-0000B22C0000}"/>
    <cellStyle name="40% - Énfasis2 16 2 3 2" xfId="11440" xr:uid="{00000000-0005-0000-0000-0000B32C0000}"/>
    <cellStyle name="40% - Énfasis2 16 2 3 2 2" xfId="11441" xr:uid="{00000000-0005-0000-0000-0000B42C0000}"/>
    <cellStyle name="40% - Énfasis2 16 2 3 3" xfId="11442" xr:uid="{00000000-0005-0000-0000-0000B52C0000}"/>
    <cellStyle name="40% - Énfasis2 16 2 4" xfId="11443" xr:uid="{00000000-0005-0000-0000-0000B62C0000}"/>
    <cellStyle name="40% - Énfasis2 16 2 4 2" xfId="11444" xr:uid="{00000000-0005-0000-0000-0000B72C0000}"/>
    <cellStyle name="40% - Énfasis2 16 2 5" xfId="11445" xr:uid="{00000000-0005-0000-0000-0000B82C0000}"/>
    <cellStyle name="40% - Énfasis2 16 3" xfId="11446" xr:uid="{00000000-0005-0000-0000-0000B92C0000}"/>
    <cellStyle name="40% - Énfasis2 16 3 2" xfId="11447" xr:uid="{00000000-0005-0000-0000-0000BA2C0000}"/>
    <cellStyle name="40% - Énfasis2 16 3 2 2" xfId="11448" xr:uid="{00000000-0005-0000-0000-0000BB2C0000}"/>
    <cellStyle name="40% - Énfasis2 16 3 2 2 2" xfId="11449" xr:uid="{00000000-0005-0000-0000-0000BC2C0000}"/>
    <cellStyle name="40% - Énfasis2 16 3 2 3" xfId="11450" xr:uid="{00000000-0005-0000-0000-0000BD2C0000}"/>
    <cellStyle name="40% - Énfasis2 16 3 3" xfId="11451" xr:uid="{00000000-0005-0000-0000-0000BE2C0000}"/>
    <cellStyle name="40% - Énfasis2 16 3 3 2" xfId="11452" xr:uid="{00000000-0005-0000-0000-0000BF2C0000}"/>
    <cellStyle name="40% - Énfasis2 16 3 4" xfId="11453" xr:uid="{00000000-0005-0000-0000-0000C02C0000}"/>
    <cellStyle name="40% - Énfasis2 16 4" xfId="11454" xr:uid="{00000000-0005-0000-0000-0000C12C0000}"/>
    <cellStyle name="40% - Énfasis2 16 4 2" xfId="11455" xr:uid="{00000000-0005-0000-0000-0000C22C0000}"/>
    <cellStyle name="40% - Énfasis2 16 4 2 2" xfId="11456" xr:uid="{00000000-0005-0000-0000-0000C32C0000}"/>
    <cellStyle name="40% - Énfasis2 16 4 3" xfId="11457" xr:uid="{00000000-0005-0000-0000-0000C42C0000}"/>
    <cellStyle name="40% - Énfasis2 16 5" xfId="11458" xr:uid="{00000000-0005-0000-0000-0000C52C0000}"/>
    <cellStyle name="40% - Énfasis2 16 5 2" xfId="11459" xr:uid="{00000000-0005-0000-0000-0000C62C0000}"/>
    <cellStyle name="40% - Énfasis2 16 5 2 2" xfId="11460" xr:uid="{00000000-0005-0000-0000-0000C72C0000}"/>
    <cellStyle name="40% - Énfasis2 16 5 3" xfId="11461" xr:uid="{00000000-0005-0000-0000-0000C82C0000}"/>
    <cellStyle name="40% - Énfasis2 16 6" xfId="11462" xr:uid="{00000000-0005-0000-0000-0000C92C0000}"/>
    <cellStyle name="40% - Énfasis2 16 6 2" xfId="11463" xr:uid="{00000000-0005-0000-0000-0000CA2C0000}"/>
    <cellStyle name="40% - Énfasis2 16 7" xfId="11464" xr:uid="{00000000-0005-0000-0000-0000CB2C0000}"/>
    <cellStyle name="40% - Énfasis2 17" xfId="11465" xr:uid="{00000000-0005-0000-0000-0000CC2C0000}"/>
    <cellStyle name="40% - Énfasis2 17 2" xfId="11466" xr:uid="{00000000-0005-0000-0000-0000CD2C0000}"/>
    <cellStyle name="40% - Énfasis2 17 2 2" xfId="11467" xr:uid="{00000000-0005-0000-0000-0000CE2C0000}"/>
    <cellStyle name="40% - Énfasis2 17 2 2 2" xfId="11468" xr:uid="{00000000-0005-0000-0000-0000CF2C0000}"/>
    <cellStyle name="40% - Énfasis2 17 2 2 2 2" xfId="11469" xr:uid="{00000000-0005-0000-0000-0000D02C0000}"/>
    <cellStyle name="40% - Énfasis2 17 2 2 3" xfId="11470" xr:uid="{00000000-0005-0000-0000-0000D12C0000}"/>
    <cellStyle name="40% - Énfasis2 17 2 3" xfId="11471" xr:uid="{00000000-0005-0000-0000-0000D22C0000}"/>
    <cellStyle name="40% - Énfasis2 17 2 3 2" xfId="11472" xr:uid="{00000000-0005-0000-0000-0000D32C0000}"/>
    <cellStyle name="40% - Énfasis2 17 2 3 2 2" xfId="11473" xr:uid="{00000000-0005-0000-0000-0000D42C0000}"/>
    <cellStyle name="40% - Énfasis2 17 2 3 3" xfId="11474" xr:uid="{00000000-0005-0000-0000-0000D52C0000}"/>
    <cellStyle name="40% - Énfasis2 17 2 4" xfId="11475" xr:uid="{00000000-0005-0000-0000-0000D62C0000}"/>
    <cellStyle name="40% - Énfasis2 17 2 4 2" xfId="11476" xr:uid="{00000000-0005-0000-0000-0000D72C0000}"/>
    <cellStyle name="40% - Énfasis2 17 2 5" xfId="11477" xr:uid="{00000000-0005-0000-0000-0000D82C0000}"/>
    <cellStyle name="40% - Énfasis2 17 3" xfId="11478" xr:uid="{00000000-0005-0000-0000-0000D92C0000}"/>
    <cellStyle name="40% - Énfasis2 17 3 2" xfId="11479" xr:uid="{00000000-0005-0000-0000-0000DA2C0000}"/>
    <cellStyle name="40% - Énfasis2 17 3 2 2" xfId="11480" xr:uid="{00000000-0005-0000-0000-0000DB2C0000}"/>
    <cellStyle name="40% - Énfasis2 17 3 2 2 2" xfId="11481" xr:uid="{00000000-0005-0000-0000-0000DC2C0000}"/>
    <cellStyle name="40% - Énfasis2 17 3 2 3" xfId="11482" xr:uid="{00000000-0005-0000-0000-0000DD2C0000}"/>
    <cellStyle name="40% - Énfasis2 17 3 3" xfId="11483" xr:uid="{00000000-0005-0000-0000-0000DE2C0000}"/>
    <cellStyle name="40% - Énfasis2 17 3 3 2" xfId="11484" xr:uid="{00000000-0005-0000-0000-0000DF2C0000}"/>
    <cellStyle name="40% - Énfasis2 17 3 4" xfId="11485" xr:uid="{00000000-0005-0000-0000-0000E02C0000}"/>
    <cellStyle name="40% - Énfasis2 17 4" xfId="11486" xr:uid="{00000000-0005-0000-0000-0000E12C0000}"/>
    <cellStyle name="40% - Énfasis2 17 4 2" xfId="11487" xr:uid="{00000000-0005-0000-0000-0000E22C0000}"/>
    <cellStyle name="40% - Énfasis2 17 4 2 2" xfId="11488" xr:uid="{00000000-0005-0000-0000-0000E32C0000}"/>
    <cellStyle name="40% - Énfasis2 17 4 3" xfId="11489" xr:uid="{00000000-0005-0000-0000-0000E42C0000}"/>
    <cellStyle name="40% - Énfasis2 17 5" xfId="11490" xr:uid="{00000000-0005-0000-0000-0000E52C0000}"/>
    <cellStyle name="40% - Énfasis2 17 5 2" xfId="11491" xr:uid="{00000000-0005-0000-0000-0000E62C0000}"/>
    <cellStyle name="40% - Énfasis2 17 5 2 2" xfId="11492" xr:uid="{00000000-0005-0000-0000-0000E72C0000}"/>
    <cellStyle name="40% - Énfasis2 17 5 3" xfId="11493" xr:uid="{00000000-0005-0000-0000-0000E82C0000}"/>
    <cellStyle name="40% - Énfasis2 17 6" xfId="11494" xr:uid="{00000000-0005-0000-0000-0000E92C0000}"/>
    <cellStyle name="40% - Énfasis2 17 6 2" xfId="11495" xr:uid="{00000000-0005-0000-0000-0000EA2C0000}"/>
    <cellStyle name="40% - Énfasis2 17 7" xfId="11496" xr:uid="{00000000-0005-0000-0000-0000EB2C0000}"/>
    <cellStyle name="40% - Énfasis2 18" xfId="11497" xr:uid="{00000000-0005-0000-0000-0000EC2C0000}"/>
    <cellStyle name="40% - Énfasis2 18 2" xfId="11498" xr:uid="{00000000-0005-0000-0000-0000ED2C0000}"/>
    <cellStyle name="40% - Énfasis2 18 2 2" xfId="11499" xr:uid="{00000000-0005-0000-0000-0000EE2C0000}"/>
    <cellStyle name="40% - Énfasis2 18 2 2 2" xfId="11500" xr:uid="{00000000-0005-0000-0000-0000EF2C0000}"/>
    <cellStyle name="40% - Énfasis2 18 2 2 2 2" xfId="11501" xr:uid="{00000000-0005-0000-0000-0000F02C0000}"/>
    <cellStyle name="40% - Énfasis2 18 2 2 3" xfId="11502" xr:uid="{00000000-0005-0000-0000-0000F12C0000}"/>
    <cellStyle name="40% - Énfasis2 18 2 3" xfId="11503" xr:uid="{00000000-0005-0000-0000-0000F22C0000}"/>
    <cellStyle name="40% - Énfasis2 18 2 3 2" xfId="11504" xr:uid="{00000000-0005-0000-0000-0000F32C0000}"/>
    <cellStyle name="40% - Énfasis2 18 2 3 2 2" xfId="11505" xr:uid="{00000000-0005-0000-0000-0000F42C0000}"/>
    <cellStyle name="40% - Énfasis2 18 2 3 3" xfId="11506" xr:uid="{00000000-0005-0000-0000-0000F52C0000}"/>
    <cellStyle name="40% - Énfasis2 18 2 4" xfId="11507" xr:uid="{00000000-0005-0000-0000-0000F62C0000}"/>
    <cellStyle name="40% - Énfasis2 18 2 4 2" xfId="11508" xr:uid="{00000000-0005-0000-0000-0000F72C0000}"/>
    <cellStyle name="40% - Énfasis2 18 2 5" xfId="11509" xr:uid="{00000000-0005-0000-0000-0000F82C0000}"/>
    <cellStyle name="40% - Énfasis2 18 3" xfId="11510" xr:uid="{00000000-0005-0000-0000-0000F92C0000}"/>
    <cellStyle name="40% - Énfasis2 18 3 2" xfId="11511" xr:uid="{00000000-0005-0000-0000-0000FA2C0000}"/>
    <cellStyle name="40% - Énfasis2 18 3 2 2" xfId="11512" xr:uid="{00000000-0005-0000-0000-0000FB2C0000}"/>
    <cellStyle name="40% - Énfasis2 18 3 2 2 2" xfId="11513" xr:uid="{00000000-0005-0000-0000-0000FC2C0000}"/>
    <cellStyle name="40% - Énfasis2 18 3 2 3" xfId="11514" xr:uid="{00000000-0005-0000-0000-0000FD2C0000}"/>
    <cellStyle name="40% - Énfasis2 18 3 3" xfId="11515" xr:uid="{00000000-0005-0000-0000-0000FE2C0000}"/>
    <cellStyle name="40% - Énfasis2 18 3 3 2" xfId="11516" xr:uid="{00000000-0005-0000-0000-0000FF2C0000}"/>
    <cellStyle name="40% - Énfasis2 18 3 4" xfId="11517" xr:uid="{00000000-0005-0000-0000-0000002D0000}"/>
    <cellStyle name="40% - Énfasis2 18 4" xfId="11518" xr:uid="{00000000-0005-0000-0000-0000012D0000}"/>
    <cellStyle name="40% - Énfasis2 18 4 2" xfId="11519" xr:uid="{00000000-0005-0000-0000-0000022D0000}"/>
    <cellStyle name="40% - Énfasis2 18 4 2 2" xfId="11520" xr:uid="{00000000-0005-0000-0000-0000032D0000}"/>
    <cellStyle name="40% - Énfasis2 18 4 3" xfId="11521" xr:uid="{00000000-0005-0000-0000-0000042D0000}"/>
    <cellStyle name="40% - Énfasis2 18 5" xfId="11522" xr:uid="{00000000-0005-0000-0000-0000052D0000}"/>
    <cellStyle name="40% - Énfasis2 18 5 2" xfId="11523" xr:uid="{00000000-0005-0000-0000-0000062D0000}"/>
    <cellStyle name="40% - Énfasis2 18 5 2 2" xfId="11524" xr:uid="{00000000-0005-0000-0000-0000072D0000}"/>
    <cellStyle name="40% - Énfasis2 18 5 3" xfId="11525" xr:uid="{00000000-0005-0000-0000-0000082D0000}"/>
    <cellStyle name="40% - Énfasis2 18 6" xfId="11526" xr:uid="{00000000-0005-0000-0000-0000092D0000}"/>
    <cellStyle name="40% - Énfasis2 18 6 2" xfId="11527" xr:uid="{00000000-0005-0000-0000-00000A2D0000}"/>
    <cellStyle name="40% - Énfasis2 18 7" xfId="11528" xr:uid="{00000000-0005-0000-0000-00000B2D0000}"/>
    <cellStyle name="40% - Énfasis2 19" xfId="11529" xr:uid="{00000000-0005-0000-0000-00000C2D0000}"/>
    <cellStyle name="40% - Énfasis2 19 2" xfId="11530" xr:uid="{00000000-0005-0000-0000-00000D2D0000}"/>
    <cellStyle name="40% - Énfasis2 19 2 2" xfId="11531" xr:uid="{00000000-0005-0000-0000-00000E2D0000}"/>
    <cellStyle name="40% - Énfasis2 19 2 2 2" xfId="11532" xr:uid="{00000000-0005-0000-0000-00000F2D0000}"/>
    <cellStyle name="40% - Énfasis2 19 2 2 2 2" xfId="11533" xr:uid="{00000000-0005-0000-0000-0000102D0000}"/>
    <cellStyle name="40% - Énfasis2 19 2 2 3" xfId="11534" xr:uid="{00000000-0005-0000-0000-0000112D0000}"/>
    <cellStyle name="40% - Énfasis2 19 2 3" xfId="11535" xr:uid="{00000000-0005-0000-0000-0000122D0000}"/>
    <cellStyle name="40% - Énfasis2 19 2 3 2" xfId="11536" xr:uid="{00000000-0005-0000-0000-0000132D0000}"/>
    <cellStyle name="40% - Énfasis2 19 2 3 2 2" xfId="11537" xr:uid="{00000000-0005-0000-0000-0000142D0000}"/>
    <cellStyle name="40% - Énfasis2 19 2 3 3" xfId="11538" xr:uid="{00000000-0005-0000-0000-0000152D0000}"/>
    <cellStyle name="40% - Énfasis2 19 2 4" xfId="11539" xr:uid="{00000000-0005-0000-0000-0000162D0000}"/>
    <cellStyle name="40% - Énfasis2 19 2 4 2" xfId="11540" xr:uid="{00000000-0005-0000-0000-0000172D0000}"/>
    <cellStyle name="40% - Énfasis2 19 2 5" xfId="11541" xr:uid="{00000000-0005-0000-0000-0000182D0000}"/>
    <cellStyle name="40% - Énfasis2 19 3" xfId="11542" xr:uid="{00000000-0005-0000-0000-0000192D0000}"/>
    <cellStyle name="40% - Énfasis2 19 3 2" xfId="11543" xr:uid="{00000000-0005-0000-0000-00001A2D0000}"/>
    <cellStyle name="40% - Énfasis2 19 3 2 2" xfId="11544" xr:uid="{00000000-0005-0000-0000-00001B2D0000}"/>
    <cellStyle name="40% - Énfasis2 19 3 2 2 2" xfId="11545" xr:uid="{00000000-0005-0000-0000-00001C2D0000}"/>
    <cellStyle name="40% - Énfasis2 19 3 2 3" xfId="11546" xr:uid="{00000000-0005-0000-0000-00001D2D0000}"/>
    <cellStyle name="40% - Énfasis2 19 3 3" xfId="11547" xr:uid="{00000000-0005-0000-0000-00001E2D0000}"/>
    <cellStyle name="40% - Énfasis2 19 3 3 2" xfId="11548" xr:uid="{00000000-0005-0000-0000-00001F2D0000}"/>
    <cellStyle name="40% - Énfasis2 19 3 4" xfId="11549" xr:uid="{00000000-0005-0000-0000-0000202D0000}"/>
    <cellStyle name="40% - Énfasis2 19 4" xfId="11550" xr:uid="{00000000-0005-0000-0000-0000212D0000}"/>
    <cellStyle name="40% - Énfasis2 19 4 2" xfId="11551" xr:uid="{00000000-0005-0000-0000-0000222D0000}"/>
    <cellStyle name="40% - Énfasis2 19 4 2 2" xfId="11552" xr:uid="{00000000-0005-0000-0000-0000232D0000}"/>
    <cellStyle name="40% - Énfasis2 19 4 3" xfId="11553" xr:uid="{00000000-0005-0000-0000-0000242D0000}"/>
    <cellStyle name="40% - Énfasis2 19 5" xfId="11554" xr:uid="{00000000-0005-0000-0000-0000252D0000}"/>
    <cellStyle name="40% - Énfasis2 19 5 2" xfId="11555" xr:uid="{00000000-0005-0000-0000-0000262D0000}"/>
    <cellStyle name="40% - Énfasis2 19 5 2 2" xfId="11556" xr:uid="{00000000-0005-0000-0000-0000272D0000}"/>
    <cellStyle name="40% - Énfasis2 19 5 3" xfId="11557" xr:uid="{00000000-0005-0000-0000-0000282D0000}"/>
    <cellStyle name="40% - Énfasis2 19 6" xfId="11558" xr:uid="{00000000-0005-0000-0000-0000292D0000}"/>
    <cellStyle name="40% - Énfasis2 19 6 2" xfId="11559" xr:uid="{00000000-0005-0000-0000-00002A2D0000}"/>
    <cellStyle name="40% - Énfasis2 19 7" xfId="11560" xr:uid="{00000000-0005-0000-0000-00002B2D0000}"/>
    <cellStyle name="40% - Énfasis2 2" xfId="11561" xr:uid="{00000000-0005-0000-0000-00002C2D0000}"/>
    <cellStyle name="40% - Énfasis2 2 2" xfId="11562" xr:uid="{00000000-0005-0000-0000-00002D2D0000}"/>
    <cellStyle name="40% - Énfasis2 2 2 2" xfId="11563" xr:uid="{00000000-0005-0000-0000-00002E2D0000}"/>
    <cellStyle name="40% - Énfasis2 2 2 2 2" xfId="11564" xr:uid="{00000000-0005-0000-0000-00002F2D0000}"/>
    <cellStyle name="40% - Énfasis2 2 2 2 2 2" xfId="11565" xr:uid="{00000000-0005-0000-0000-0000302D0000}"/>
    <cellStyle name="40% - Énfasis2 2 2 2 2 2 2" xfId="11566" xr:uid="{00000000-0005-0000-0000-0000312D0000}"/>
    <cellStyle name="40% - Énfasis2 2 2 2 2 3" xfId="11567" xr:uid="{00000000-0005-0000-0000-0000322D0000}"/>
    <cellStyle name="40% - Énfasis2 2 2 2 3" xfId="11568" xr:uid="{00000000-0005-0000-0000-0000332D0000}"/>
    <cellStyle name="40% - Énfasis2 2 2 2 3 2" xfId="11569" xr:uid="{00000000-0005-0000-0000-0000342D0000}"/>
    <cellStyle name="40% - Énfasis2 2 2 2 4" xfId="11570" xr:uid="{00000000-0005-0000-0000-0000352D0000}"/>
    <cellStyle name="40% - Énfasis2 2 2 3" xfId="11571" xr:uid="{00000000-0005-0000-0000-0000362D0000}"/>
    <cellStyle name="40% - Énfasis2 2 2 3 2" xfId="11572" xr:uid="{00000000-0005-0000-0000-0000372D0000}"/>
    <cellStyle name="40% - Énfasis2 2 2 3 2 2" xfId="11573" xr:uid="{00000000-0005-0000-0000-0000382D0000}"/>
    <cellStyle name="40% - Énfasis2 2 2 3 3" xfId="11574" xr:uid="{00000000-0005-0000-0000-0000392D0000}"/>
    <cellStyle name="40% - Énfasis2 2 2 4" xfId="11575" xr:uid="{00000000-0005-0000-0000-00003A2D0000}"/>
    <cellStyle name="40% - Énfasis2 2 2 4 2" xfId="11576" xr:uid="{00000000-0005-0000-0000-00003B2D0000}"/>
    <cellStyle name="40% - Énfasis2 2 2 4 2 2" xfId="11577" xr:uid="{00000000-0005-0000-0000-00003C2D0000}"/>
    <cellStyle name="40% - Énfasis2 2 2 4 3" xfId="11578" xr:uid="{00000000-0005-0000-0000-00003D2D0000}"/>
    <cellStyle name="40% - Énfasis2 2 2 5" xfId="11579" xr:uid="{00000000-0005-0000-0000-00003E2D0000}"/>
    <cellStyle name="40% - Énfasis2 2 2 5 2" xfId="11580" xr:uid="{00000000-0005-0000-0000-00003F2D0000}"/>
    <cellStyle name="40% - Énfasis2 2 2 6" xfId="11581" xr:uid="{00000000-0005-0000-0000-0000402D0000}"/>
    <cellStyle name="40% - Énfasis2 2 3" xfId="11582" xr:uid="{00000000-0005-0000-0000-0000412D0000}"/>
    <cellStyle name="40% - Énfasis2 2 3 2" xfId="11583" xr:uid="{00000000-0005-0000-0000-0000422D0000}"/>
    <cellStyle name="40% - Énfasis2 2 3 2 2" xfId="11584" xr:uid="{00000000-0005-0000-0000-0000432D0000}"/>
    <cellStyle name="40% - Énfasis2 2 3 2 2 2" xfId="11585" xr:uid="{00000000-0005-0000-0000-0000442D0000}"/>
    <cellStyle name="40% - Énfasis2 2 3 2 3" xfId="11586" xr:uid="{00000000-0005-0000-0000-0000452D0000}"/>
    <cellStyle name="40% - Énfasis2 2 3 3" xfId="11587" xr:uid="{00000000-0005-0000-0000-0000462D0000}"/>
    <cellStyle name="40% - Énfasis2 2 3 3 2" xfId="11588" xr:uid="{00000000-0005-0000-0000-0000472D0000}"/>
    <cellStyle name="40% - Énfasis2 2 3 3 2 2" xfId="11589" xr:uid="{00000000-0005-0000-0000-0000482D0000}"/>
    <cellStyle name="40% - Énfasis2 2 3 3 3" xfId="11590" xr:uid="{00000000-0005-0000-0000-0000492D0000}"/>
    <cellStyle name="40% - Énfasis2 2 3 4" xfId="11591" xr:uid="{00000000-0005-0000-0000-00004A2D0000}"/>
    <cellStyle name="40% - Énfasis2 2 3 4 2" xfId="11592" xr:uid="{00000000-0005-0000-0000-00004B2D0000}"/>
    <cellStyle name="40% - Énfasis2 2 3 5" xfId="11593" xr:uid="{00000000-0005-0000-0000-00004C2D0000}"/>
    <cellStyle name="40% - Énfasis2 2 4" xfId="11594" xr:uid="{00000000-0005-0000-0000-00004D2D0000}"/>
    <cellStyle name="40% - Énfasis2 2 4 2" xfId="11595" xr:uid="{00000000-0005-0000-0000-00004E2D0000}"/>
    <cellStyle name="40% - Énfasis2 2 4 2 2" xfId="11596" xr:uid="{00000000-0005-0000-0000-00004F2D0000}"/>
    <cellStyle name="40% - Énfasis2 2 4 2 2 2" xfId="11597" xr:uid="{00000000-0005-0000-0000-0000502D0000}"/>
    <cellStyle name="40% - Énfasis2 2 4 2 3" xfId="11598" xr:uid="{00000000-0005-0000-0000-0000512D0000}"/>
    <cellStyle name="40% - Énfasis2 2 4 3" xfId="11599" xr:uid="{00000000-0005-0000-0000-0000522D0000}"/>
    <cellStyle name="40% - Énfasis2 2 4 3 2" xfId="11600" xr:uid="{00000000-0005-0000-0000-0000532D0000}"/>
    <cellStyle name="40% - Énfasis2 2 4 4" xfId="11601" xr:uid="{00000000-0005-0000-0000-0000542D0000}"/>
    <cellStyle name="40% - Énfasis2 2 5" xfId="11602" xr:uid="{00000000-0005-0000-0000-0000552D0000}"/>
    <cellStyle name="40% - Énfasis2 2 5 2" xfId="11603" xr:uid="{00000000-0005-0000-0000-0000562D0000}"/>
    <cellStyle name="40% - Énfasis2 2 5 2 2" xfId="11604" xr:uid="{00000000-0005-0000-0000-0000572D0000}"/>
    <cellStyle name="40% - Énfasis2 2 5 3" xfId="11605" xr:uid="{00000000-0005-0000-0000-0000582D0000}"/>
    <cellStyle name="40% - Énfasis2 2 6" xfId="11606" xr:uid="{00000000-0005-0000-0000-0000592D0000}"/>
    <cellStyle name="40% - Énfasis2 2 6 2" xfId="11607" xr:uid="{00000000-0005-0000-0000-00005A2D0000}"/>
    <cellStyle name="40% - Énfasis2 2 6 2 2" xfId="11608" xr:uid="{00000000-0005-0000-0000-00005B2D0000}"/>
    <cellStyle name="40% - Énfasis2 2 6 3" xfId="11609" xr:uid="{00000000-0005-0000-0000-00005C2D0000}"/>
    <cellStyle name="40% - Énfasis2 2 7" xfId="11610" xr:uid="{00000000-0005-0000-0000-00005D2D0000}"/>
    <cellStyle name="40% - Énfasis2 2 7 2" xfId="11611" xr:uid="{00000000-0005-0000-0000-00005E2D0000}"/>
    <cellStyle name="40% - Énfasis2 2 8" xfId="11612" xr:uid="{00000000-0005-0000-0000-00005F2D0000}"/>
    <cellStyle name="40% - Énfasis2 20" xfId="11613" xr:uid="{00000000-0005-0000-0000-0000602D0000}"/>
    <cellStyle name="40% - Énfasis2 20 2" xfId="11614" xr:uid="{00000000-0005-0000-0000-0000612D0000}"/>
    <cellStyle name="40% - Énfasis2 20 2 2" xfId="11615" xr:uid="{00000000-0005-0000-0000-0000622D0000}"/>
    <cellStyle name="40% - Énfasis2 20 2 2 2" xfId="11616" xr:uid="{00000000-0005-0000-0000-0000632D0000}"/>
    <cellStyle name="40% - Énfasis2 20 2 2 2 2" xfId="11617" xr:uid="{00000000-0005-0000-0000-0000642D0000}"/>
    <cellStyle name="40% - Énfasis2 20 2 2 3" xfId="11618" xr:uid="{00000000-0005-0000-0000-0000652D0000}"/>
    <cellStyle name="40% - Énfasis2 20 2 3" xfId="11619" xr:uid="{00000000-0005-0000-0000-0000662D0000}"/>
    <cellStyle name="40% - Énfasis2 20 2 3 2" xfId="11620" xr:uid="{00000000-0005-0000-0000-0000672D0000}"/>
    <cellStyle name="40% - Énfasis2 20 2 3 2 2" xfId="11621" xr:uid="{00000000-0005-0000-0000-0000682D0000}"/>
    <cellStyle name="40% - Énfasis2 20 2 3 3" xfId="11622" xr:uid="{00000000-0005-0000-0000-0000692D0000}"/>
    <cellStyle name="40% - Énfasis2 20 2 4" xfId="11623" xr:uid="{00000000-0005-0000-0000-00006A2D0000}"/>
    <cellStyle name="40% - Énfasis2 20 2 4 2" xfId="11624" xr:uid="{00000000-0005-0000-0000-00006B2D0000}"/>
    <cellStyle name="40% - Énfasis2 20 2 5" xfId="11625" xr:uid="{00000000-0005-0000-0000-00006C2D0000}"/>
    <cellStyle name="40% - Énfasis2 20 3" xfId="11626" xr:uid="{00000000-0005-0000-0000-00006D2D0000}"/>
    <cellStyle name="40% - Énfasis2 20 3 2" xfId="11627" xr:uid="{00000000-0005-0000-0000-00006E2D0000}"/>
    <cellStyle name="40% - Énfasis2 20 3 2 2" xfId="11628" xr:uid="{00000000-0005-0000-0000-00006F2D0000}"/>
    <cellStyle name="40% - Énfasis2 20 3 2 2 2" xfId="11629" xr:uid="{00000000-0005-0000-0000-0000702D0000}"/>
    <cellStyle name="40% - Énfasis2 20 3 2 3" xfId="11630" xr:uid="{00000000-0005-0000-0000-0000712D0000}"/>
    <cellStyle name="40% - Énfasis2 20 3 3" xfId="11631" xr:uid="{00000000-0005-0000-0000-0000722D0000}"/>
    <cellStyle name="40% - Énfasis2 20 3 3 2" xfId="11632" xr:uid="{00000000-0005-0000-0000-0000732D0000}"/>
    <cellStyle name="40% - Énfasis2 20 3 4" xfId="11633" xr:uid="{00000000-0005-0000-0000-0000742D0000}"/>
    <cellStyle name="40% - Énfasis2 20 4" xfId="11634" xr:uid="{00000000-0005-0000-0000-0000752D0000}"/>
    <cellStyle name="40% - Énfasis2 20 4 2" xfId="11635" xr:uid="{00000000-0005-0000-0000-0000762D0000}"/>
    <cellStyle name="40% - Énfasis2 20 4 2 2" xfId="11636" xr:uid="{00000000-0005-0000-0000-0000772D0000}"/>
    <cellStyle name="40% - Énfasis2 20 4 3" xfId="11637" xr:uid="{00000000-0005-0000-0000-0000782D0000}"/>
    <cellStyle name="40% - Énfasis2 20 5" xfId="11638" xr:uid="{00000000-0005-0000-0000-0000792D0000}"/>
    <cellStyle name="40% - Énfasis2 20 5 2" xfId="11639" xr:uid="{00000000-0005-0000-0000-00007A2D0000}"/>
    <cellStyle name="40% - Énfasis2 20 5 2 2" xfId="11640" xr:uid="{00000000-0005-0000-0000-00007B2D0000}"/>
    <cellStyle name="40% - Énfasis2 20 5 3" xfId="11641" xr:uid="{00000000-0005-0000-0000-00007C2D0000}"/>
    <cellStyle name="40% - Énfasis2 20 6" xfId="11642" xr:uid="{00000000-0005-0000-0000-00007D2D0000}"/>
    <cellStyle name="40% - Énfasis2 20 6 2" xfId="11643" xr:uid="{00000000-0005-0000-0000-00007E2D0000}"/>
    <cellStyle name="40% - Énfasis2 20 7" xfId="11644" xr:uid="{00000000-0005-0000-0000-00007F2D0000}"/>
    <cellStyle name="40% - Énfasis2 21" xfId="11645" xr:uid="{00000000-0005-0000-0000-0000802D0000}"/>
    <cellStyle name="40% - Énfasis2 21 2" xfId="11646" xr:uid="{00000000-0005-0000-0000-0000812D0000}"/>
    <cellStyle name="40% - Énfasis2 21 2 2" xfId="11647" xr:uid="{00000000-0005-0000-0000-0000822D0000}"/>
    <cellStyle name="40% - Énfasis2 21 2 2 2" xfId="11648" xr:uid="{00000000-0005-0000-0000-0000832D0000}"/>
    <cellStyle name="40% - Énfasis2 21 2 2 2 2" xfId="11649" xr:uid="{00000000-0005-0000-0000-0000842D0000}"/>
    <cellStyle name="40% - Énfasis2 21 2 2 3" xfId="11650" xr:uid="{00000000-0005-0000-0000-0000852D0000}"/>
    <cellStyle name="40% - Énfasis2 21 2 3" xfId="11651" xr:uid="{00000000-0005-0000-0000-0000862D0000}"/>
    <cellStyle name="40% - Énfasis2 21 2 3 2" xfId="11652" xr:uid="{00000000-0005-0000-0000-0000872D0000}"/>
    <cellStyle name="40% - Énfasis2 21 2 3 2 2" xfId="11653" xr:uid="{00000000-0005-0000-0000-0000882D0000}"/>
    <cellStyle name="40% - Énfasis2 21 2 3 3" xfId="11654" xr:uid="{00000000-0005-0000-0000-0000892D0000}"/>
    <cellStyle name="40% - Énfasis2 21 2 4" xfId="11655" xr:uid="{00000000-0005-0000-0000-00008A2D0000}"/>
    <cellStyle name="40% - Énfasis2 21 2 4 2" xfId="11656" xr:uid="{00000000-0005-0000-0000-00008B2D0000}"/>
    <cellStyle name="40% - Énfasis2 21 2 5" xfId="11657" xr:uid="{00000000-0005-0000-0000-00008C2D0000}"/>
    <cellStyle name="40% - Énfasis2 21 3" xfId="11658" xr:uid="{00000000-0005-0000-0000-00008D2D0000}"/>
    <cellStyle name="40% - Énfasis2 21 3 2" xfId="11659" xr:uid="{00000000-0005-0000-0000-00008E2D0000}"/>
    <cellStyle name="40% - Énfasis2 21 3 2 2" xfId="11660" xr:uid="{00000000-0005-0000-0000-00008F2D0000}"/>
    <cellStyle name="40% - Énfasis2 21 3 2 2 2" xfId="11661" xr:uid="{00000000-0005-0000-0000-0000902D0000}"/>
    <cellStyle name="40% - Énfasis2 21 3 2 3" xfId="11662" xr:uid="{00000000-0005-0000-0000-0000912D0000}"/>
    <cellStyle name="40% - Énfasis2 21 3 3" xfId="11663" xr:uid="{00000000-0005-0000-0000-0000922D0000}"/>
    <cellStyle name="40% - Énfasis2 21 3 3 2" xfId="11664" xr:uid="{00000000-0005-0000-0000-0000932D0000}"/>
    <cellStyle name="40% - Énfasis2 21 3 4" xfId="11665" xr:uid="{00000000-0005-0000-0000-0000942D0000}"/>
    <cellStyle name="40% - Énfasis2 21 4" xfId="11666" xr:uid="{00000000-0005-0000-0000-0000952D0000}"/>
    <cellStyle name="40% - Énfasis2 21 4 2" xfId="11667" xr:uid="{00000000-0005-0000-0000-0000962D0000}"/>
    <cellStyle name="40% - Énfasis2 21 4 2 2" xfId="11668" xr:uid="{00000000-0005-0000-0000-0000972D0000}"/>
    <cellStyle name="40% - Énfasis2 21 4 3" xfId="11669" xr:uid="{00000000-0005-0000-0000-0000982D0000}"/>
    <cellStyle name="40% - Énfasis2 21 5" xfId="11670" xr:uid="{00000000-0005-0000-0000-0000992D0000}"/>
    <cellStyle name="40% - Énfasis2 21 5 2" xfId="11671" xr:uid="{00000000-0005-0000-0000-00009A2D0000}"/>
    <cellStyle name="40% - Énfasis2 21 5 2 2" xfId="11672" xr:uid="{00000000-0005-0000-0000-00009B2D0000}"/>
    <cellStyle name="40% - Énfasis2 21 5 3" xfId="11673" xr:uid="{00000000-0005-0000-0000-00009C2D0000}"/>
    <cellStyle name="40% - Énfasis2 21 6" xfId="11674" xr:uid="{00000000-0005-0000-0000-00009D2D0000}"/>
    <cellStyle name="40% - Énfasis2 21 6 2" xfId="11675" xr:uid="{00000000-0005-0000-0000-00009E2D0000}"/>
    <cellStyle name="40% - Énfasis2 21 7" xfId="11676" xr:uid="{00000000-0005-0000-0000-00009F2D0000}"/>
    <cellStyle name="40% - Énfasis2 22" xfId="11677" xr:uid="{00000000-0005-0000-0000-0000A02D0000}"/>
    <cellStyle name="40% - Énfasis2 22 2" xfId="11678" xr:uid="{00000000-0005-0000-0000-0000A12D0000}"/>
    <cellStyle name="40% - Énfasis2 22 2 2" xfId="11679" xr:uid="{00000000-0005-0000-0000-0000A22D0000}"/>
    <cellStyle name="40% - Énfasis2 22 2 2 2" xfId="11680" xr:uid="{00000000-0005-0000-0000-0000A32D0000}"/>
    <cellStyle name="40% - Énfasis2 22 2 2 2 2" xfId="11681" xr:uid="{00000000-0005-0000-0000-0000A42D0000}"/>
    <cellStyle name="40% - Énfasis2 22 2 2 3" xfId="11682" xr:uid="{00000000-0005-0000-0000-0000A52D0000}"/>
    <cellStyle name="40% - Énfasis2 22 2 3" xfId="11683" xr:uid="{00000000-0005-0000-0000-0000A62D0000}"/>
    <cellStyle name="40% - Énfasis2 22 2 3 2" xfId="11684" xr:uid="{00000000-0005-0000-0000-0000A72D0000}"/>
    <cellStyle name="40% - Énfasis2 22 2 3 2 2" xfId="11685" xr:uid="{00000000-0005-0000-0000-0000A82D0000}"/>
    <cellStyle name="40% - Énfasis2 22 2 3 3" xfId="11686" xr:uid="{00000000-0005-0000-0000-0000A92D0000}"/>
    <cellStyle name="40% - Énfasis2 22 2 4" xfId="11687" xr:uid="{00000000-0005-0000-0000-0000AA2D0000}"/>
    <cellStyle name="40% - Énfasis2 22 2 4 2" xfId="11688" xr:uid="{00000000-0005-0000-0000-0000AB2D0000}"/>
    <cellStyle name="40% - Énfasis2 22 2 5" xfId="11689" xr:uid="{00000000-0005-0000-0000-0000AC2D0000}"/>
    <cellStyle name="40% - Énfasis2 22 3" xfId="11690" xr:uid="{00000000-0005-0000-0000-0000AD2D0000}"/>
    <cellStyle name="40% - Énfasis2 22 3 2" xfId="11691" xr:uid="{00000000-0005-0000-0000-0000AE2D0000}"/>
    <cellStyle name="40% - Énfasis2 22 3 2 2" xfId="11692" xr:uid="{00000000-0005-0000-0000-0000AF2D0000}"/>
    <cellStyle name="40% - Énfasis2 22 3 2 2 2" xfId="11693" xr:uid="{00000000-0005-0000-0000-0000B02D0000}"/>
    <cellStyle name="40% - Énfasis2 22 3 2 3" xfId="11694" xr:uid="{00000000-0005-0000-0000-0000B12D0000}"/>
    <cellStyle name="40% - Énfasis2 22 3 3" xfId="11695" xr:uid="{00000000-0005-0000-0000-0000B22D0000}"/>
    <cellStyle name="40% - Énfasis2 22 3 3 2" xfId="11696" xr:uid="{00000000-0005-0000-0000-0000B32D0000}"/>
    <cellStyle name="40% - Énfasis2 22 3 4" xfId="11697" xr:uid="{00000000-0005-0000-0000-0000B42D0000}"/>
    <cellStyle name="40% - Énfasis2 22 4" xfId="11698" xr:uid="{00000000-0005-0000-0000-0000B52D0000}"/>
    <cellStyle name="40% - Énfasis2 22 4 2" xfId="11699" xr:uid="{00000000-0005-0000-0000-0000B62D0000}"/>
    <cellStyle name="40% - Énfasis2 22 4 2 2" xfId="11700" xr:uid="{00000000-0005-0000-0000-0000B72D0000}"/>
    <cellStyle name="40% - Énfasis2 22 4 3" xfId="11701" xr:uid="{00000000-0005-0000-0000-0000B82D0000}"/>
    <cellStyle name="40% - Énfasis2 22 5" xfId="11702" xr:uid="{00000000-0005-0000-0000-0000B92D0000}"/>
    <cellStyle name="40% - Énfasis2 22 5 2" xfId="11703" xr:uid="{00000000-0005-0000-0000-0000BA2D0000}"/>
    <cellStyle name="40% - Énfasis2 22 5 2 2" xfId="11704" xr:uid="{00000000-0005-0000-0000-0000BB2D0000}"/>
    <cellStyle name="40% - Énfasis2 22 5 3" xfId="11705" xr:uid="{00000000-0005-0000-0000-0000BC2D0000}"/>
    <cellStyle name="40% - Énfasis2 22 6" xfId="11706" xr:uid="{00000000-0005-0000-0000-0000BD2D0000}"/>
    <cellStyle name="40% - Énfasis2 22 6 2" xfId="11707" xr:uid="{00000000-0005-0000-0000-0000BE2D0000}"/>
    <cellStyle name="40% - Énfasis2 22 7" xfId="11708" xr:uid="{00000000-0005-0000-0000-0000BF2D0000}"/>
    <cellStyle name="40% - Énfasis2 23" xfId="11709" xr:uid="{00000000-0005-0000-0000-0000C02D0000}"/>
    <cellStyle name="40% - Énfasis2 23 2" xfId="11710" xr:uid="{00000000-0005-0000-0000-0000C12D0000}"/>
    <cellStyle name="40% - Énfasis2 23 2 2" xfId="11711" xr:uid="{00000000-0005-0000-0000-0000C22D0000}"/>
    <cellStyle name="40% - Énfasis2 23 2 2 2" xfId="11712" xr:uid="{00000000-0005-0000-0000-0000C32D0000}"/>
    <cellStyle name="40% - Énfasis2 23 2 2 2 2" xfId="11713" xr:uid="{00000000-0005-0000-0000-0000C42D0000}"/>
    <cellStyle name="40% - Énfasis2 23 2 2 3" xfId="11714" xr:uid="{00000000-0005-0000-0000-0000C52D0000}"/>
    <cellStyle name="40% - Énfasis2 23 2 3" xfId="11715" xr:uid="{00000000-0005-0000-0000-0000C62D0000}"/>
    <cellStyle name="40% - Énfasis2 23 2 3 2" xfId="11716" xr:uid="{00000000-0005-0000-0000-0000C72D0000}"/>
    <cellStyle name="40% - Énfasis2 23 2 3 2 2" xfId="11717" xr:uid="{00000000-0005-0000-0000-0000C82D0000}"/>
    <cellStyle name="40% - Énfasis2 23 2 3 3" xfId="11718" xr:uid="{00000000-0005-0000-0000-0000C92D0000}"/>
    <cellStyle name="40% - Énfasis2 23 2 4" xfId="11719" xr:uid="{00000000-0005-0000-0000-0000CA2D0000}"/>
    <cellStyle name="40% - Énfasis2 23 2 4 2" xfId="11720" xr:uid="{00000000-0005-0000-0000-0000CB2D0000}"/>
    <cellStyle name="40% - Énfasis2 23 2 5" xfId="11721" xr:uid="{00000000-0005-0000-0000-0000CC2D0000}"/>
    <cellStyle name="40% - Énfasis2 23 3" xfId="11722" xr:uid="{00000000-0005-0000-0000-0000CD2D0000}"/>
    <cellStyle name="40% - Énfasis2 23 3 2" xfId="11723" xr:uid="{00000000-0005-0000-0000-0000CE2D0000}"/>
    <cellStyle name="40% - Énfasis2 23 3 2 2" xfId="11724" xr:uid="{00000000-0005-0000-0000-0000CF2D0000}"/>
    <cellStyle name="40% - Énfasis2 23 3 2 2 2" xfId="11725" xr:uid="{00000000-0005-0000-0000-0000D02D0000}"/>
    <cellStyle name="40% - Énfasis2 23 3 2 3" xfId="11726" xr:uid="{00000000-0005-0000-0000-0000D12D0000}"/>
    <cellStyle name="40% - Énfasis2 23 3 3" xfId="11727" xr:uid="{00000000-0005-0000-0000-0000D22D0000}"/>
    <cellStyle name="40% - Énfasis2 23 3 3 2" xfId="11728" xr:uid="{00000000-0005-0000-0000-0000D32D0000}"/>
    <cellStyle name="40% - Énfasis2 23 3 4" xfId="11729" xr:uid="{00000000-0005-0000-0000-0000D42D0000}"/>
    <cellStyle name="40% - Énfasis2 23 4" xfId="11730" xr:uid="{00000000-0005-0000-0000-0000D52D0000}"/>
    <cellStyle name="40% - Énfasis2 23 4 2" xfId="11731" xr:uid="{00000000-0005-0000-0000-0000D62D0000}"/>
    <cellStyle name="40% - Énfasis2 23 4 2 2" xfId="11732" xr:uid="{00000000-0005-0000-0000-0000D72D0000}"/>
    <cellStyle name="40% - Énfasis2 23 4 3" xfId="11733" xr:uid="{00000000-0005-0000-0000-0000D82D0000}"/>
    <cellStyle name="40% - Énfasis2 23 5" xfId="11734" xr:uid="{00000000-0005-0000-0000-0000D92D0000}"/>
    <cellStyle name="40% - Énfasis2 23 5 2" xfId="11735" xr:uid="{00000000-0005-0000-0000-0000DA2D0000}"/>
    <cellStyle name="40% - Énfasis2 23 5 2 2" xfId="11736" xr:uid="{00000000-0005-0000-0000-0000DB2D0000}"/>
    <cellStyle name="40% - Énfasis2 23 5 3" xfId="11737" xr:uid="{00000000-0005-0000-0000-0000DC2D0000}"/>
    <cellStyle name="40% - Énfasis2 23 6" xfId="11738" xr:uid="{00000000-0005-0000-0000-0000DD2D0000}"/>
    <cellStyle name="40% - Énfasis2 23 6 2" xfId="11739" xr:uid="{00000000-0005-0000-0000-0000DE2D0000}"/>
    <cellStyle name="40% - Énfasis2 23 7" xfId="11740" xr:uid="{00000000-0005-0000-0000-0000DF2D0000}"/>
    <cellStyle name="40% - Énfasis2 24" xfId="11741" xr:uid="{00000000-0005-0000-0000-0000E02D0000}"/>
    <cellStyle name="40% - Énfasis2 24 2" xfId="11742" xr:uid="{00000000-0005-0000-0000-0000E12D0000}"/>
    <cellStyle name="40% - Énfasis2 24 2 2" xfId="11743" xr:uid="{00000000-0005-0000-0000-0000E22D0000}"/>
    <cellStyle name="40% - Énfasis2 24 2 2 2" xfId="11744" xr:uid="{00000000-0005-0000-0000-0000E32D0000}"/>
    <cellStyle name="40% - Énfasis2 24 2 2 2 2" xfId="11745" xr:uid="{00000000-0005-0000-0000-0000E42D0000}"/>
    <cellStyle name="40% - Énfasis2 24 2 2 3" xfId="11746" xr:uid="{00000000-0005-0000-0000-0000E52D0000}"/>
    <cellStyle name="40% - Énfasis2 24 2 3" xfId="11747" xr:uid="{00000000-0005-0000-0000-0000E62D0000}"/>
    <cellStyle name="40% - Énfasis2 24 2 3 2" xfId="11748" xr:uid="{00000000-0005-0000-0000-0000E72D0000}"/>
    <cellStyle name="40% - Énfasis2 24 2 3 2 2" xfId="11749" xr:uid="{00000000-0005-0000-0000-0000E82D0000}"/>
    <cellStyle name="40% - Énfasis2 24 2 3 3" xfId="11750" xr:uid="{00000000-0005-0000-0000-0000E92D0000}"/>
    <cellStyle name="40% - Énfasis2 24 2 4" xfId="11751" xr:uid="{00000000-0005-0000-0000-0000EA2D0000}"/>
    <cellStyle name="40% - Énfasis2 24 2 4 2" xfId="11752" xr:uid="{00000000-0005-0000-0000-0000EB2D0000}"/>
    <cellStyle name="40% - Énfasis2 24 2 5" xfId="11753" xr:uid="{00000000-0005-0000-0000-0000EC2D0000}"/>
    <cellStyle name="40% - Énfasis2 24 3" xfId="11754" xr:uid="{00000000-0005-0000-0000-0000ED2D0000}"/>
    <cellStyle name="40% - Énfasis2 24 3 2" xfId="11755" xr:uid="{00000000-0005-0000-0000-0000EE2D0000}"/>
    <cellStyle name="40% - Énfasis2 24 3 2 2" xfId="11756" xr:uid="{00000000-0005-0000-0000-0000EF2D0000}"/>
    <cellStyle name="40% - Énfasis2 24 3 2 2 2" xfId="11757" xr:uid="{00000000-0005-0000-0000-0000F02D0000}"/>
    <cellStyle name="40% - Énfasis2 24 3 2 3" xfId="11758" xr:uid="{00000000-0005-0000-0000-0000F12D0000}"/>
    <cellStyle name="40% - Énfasis2 24 3 3" xfId="11759" xr:uid="{00000000-0005-0000-0000-0000F22D0000}"/>
    <cellStyle name="40% - Énfasis2 24 3 3 2" xfId="11760" xr:uid="{00000000-0005-0000-0000-0000F32D0000}"/>
    <cellStyle name="40% - Énfasis2 24 3 4" xfId="11761" xr:uid="{00000000-0005-0000-0000-0000F42D0000}"/>
    <cellStyle name="40% - Énfasis2 24 4" xfId="11762" xr:uid="{00000000-0005-0000-0000-0000F52D0000}"/>
    <cellStyle name="40% - Énfasis2 24 4 2" xfId="11763" xr:uid="{00000000-0005-0000-0000-0000F62D0000}"/>
    <cellStyle name="40% - Énfasis2 24 4 2 2" xfId="11764" xr:uid="{00000000-0005-0000-0000-0000F72D0000}"/>
    <cellStyle name="40% - Énfasis2 24 4 3" xfId="11765" xr:uid="{00000000-0005-0000-0000-0000F82D0000}"/>
    <cellStyle name="40% - Énfasis2 24 5" xfId="11766" xr:uid="{00000000-0005-0000-0000-0000F92D0000}"/>
    <cellStyle name="40% - Énfasis2 24 5 2" xfId="11767" xr:uid="{00000000-0005-0000-0000-0000FA2D0000}"/>
    <cellStyle name="40% - Énfasis2 24 5 2 2" xfId="11768" xr:uid="{00000000-0005-0000-0000-0000FB2D0000}"/>
    <cellStyle name="40% - Énfasis2 24 5 3" xfId="11769" xr:uid="{00000000-0005-0000-0000-0000FC2D0000}"/>
    <cellStyle name="40% - Énfasis2 24 6" xfId="11770" xr:uid="{00000000-0005-0000-0000-0000FD2D0000}"/>
    <cellStyle name="40% - Énfasis2 24 6 2" xfId="11771" xr:uid="{00000000-0005-0000-0000-0000FE2D0000}"/>
    <cellStyle name="40% - Énfasis2 24 7" xfId="11772" xr:uid="{00000000-0005-0000-0000-0000FF2D0000}"/>
    <cellStyle name="40% - Énfasis2 25" xfId="11773" xr:uid="{00000000-0005-0000-0000-0000002E0000}"/>
    <cellStyle name="40% - Énfasis2 25 2" xfId="11774" xr:uid="{00000000-0005-0000-0000-0000012E0000}"/>
    <cellStyle name="40% - Énfasis2 25 2 2" xfId="11775" xr:uid="{00000000-0005-0000-0000-0000022E0000}"/>
    <cellStyle name="40% - Énfasis2 25 2 2 2" xfId="11776" xr:uid="{00000000-0005-0000-0000-0000032E0000}"/>
    <cellStyle name="40% - Énfasis2 25 2 2 2 2" xfId="11777" xr:uid="{00000000-0005-0000-0000-0000042E0000}"/>
    <cellStyle name="40% - Énfasis2 25 2 2 3" xfId="11778" xr:uid="{00000000-0005-0000-0000-0000052E0000}"/>
    <cellStyle name="40% - Énfasis2 25 2 3" xfId="11779" xr:uid="{00000000-0005-0000-0000-0000062E0000}"/>
    <cellStyle name="40% - Énfasis2 25 2 3 2" xfId="11780" xr:uid="{00000000-0005-0000-0000-0000072E0000}"/>
    <cellStyle name="40% - Énfasis2 25 2 3 2 2" xfId="11781" xr:uid="{00000000-0005-0000-0000-0000082E0000}"/>
    <cellStyle name="40% - Énfasis2 25 2 3 3" xfId="11782" xr:uid="{00000000-0005-0000-0000-0000092E0000}"/>
    <cellStyle name="40% - Énfasis2 25 2 4" xfId="11783" xr:uid="{00000000-0005-0000-0000-00000A2E0000}"/>
    <cellStyle name="40% - Énfasis2 25 2 4 2" xfId="11784" xr:uid="{00000000-0005-0000-0000-00000B2E0000}"/>
    <cellStyle name="40% - Énfasis2 25 2 5" xfId="11785" xr:uid="{00000000-0005-0000-0000-00000C2E0000}"/>
    <cellStyle name="40% - Énfasis2 25 3" xfId="11786" xr:uid="{00000000-0005-0000-0000-00000D2E0000}"/>
    <cellStyle name="40% - Énfasis2 25 3 2" xfId="11787" xr:uid="{00000000-0005-0000-0000-00000E2E0000}"/>
    <cellStyle name="40% - Énfasis2 25 3 2 2" xfId="11788" xr:uid="{00000000-0005-0000-0000-00000F2E0000}"/>
    <cellStyle name="40% - Énfasis2 25 3 2 2 2" xfId="11789" xr:uid="{00000000-0005-0000-0000-0000102E0000}"/>
    <cellStyle name="40% - Énfasis2 25 3 2 3" xfId="11790" xr:uid="{00000000-0005-0000-0000-0000112E0000}"/>
    <cellStyle name="40% - Énfasis2 25 3 3" xfId="11791" xr:uid="{00000000-0005-0000-0000-0000122E0000}"/>
    <cellStyle name="40% - Énfasis2 25 3 3 2" xfId="11792" xr:uid="{00000000-0005-0000-0000-0000132E0000}"/>
    <cellStyle name="40% - Énfasis2 25 3 4" xfId="11793" xr:uid="{00000000-0005-0000-0000-0000142E0000}"/>
    <cellStyle name="40% - Énfasis2 25 4" xfId="11794" xr:uid="{00000000-0005-0000-0000-0000152E0000}"/>
    <cellStyle name="40% - Énfasis2 25 4 2" xfId="11795" xr:uid="{00000000-0005-0000-0000-0000162E0000}"/>
    <cellStyle name="40% - Énfasis2 25 4 2 2" xfId="11796" xr:uid="{00000000-0005-0000-0000-0000172E0000}"/>
    <cellStyle name="40% - Énfasis2 25 4 3" xfId="11797" xr:uid="{00000000-0005-0000-0000-0000182E0000}"/>
    <cellStyle name="40% - Énfasis2 25 5" xfId="11798" xr:uid="{00000000-0005-0000-0000-0000192E0000}"/>
    <cellStyle name="40% - Énfasis2 25 5 2" xfId="11799" xr:uid="{00000000-0005-0000-0000-00001A2E0000}"/>
    <cellStyle name="40% - Énfasis2 25 5 2 2" xfId="11800" xr:uid="{00000000-0005-0000-0000-00001B2E0000}"/>
    <cellStyle name="40% - Énfasis2 25 5 3" xfId="11801" xr:uid="{00000000-0005-0000-0000-00001C2E0000}"/>
    <cellStyle name="40% - Énfasis2 25 6" xfId="11802" xr:uid="{00000000-0005-0000-0000-00001D2E0000}"/>
    <cellStyle name="40% - Énfasis2 25 6 2" xfId="11803" xr:uid="{00000000-0005-0000-0000-00001E2E0000}"/>
    <cellStyle name="40% - Énfasis2 25 7" xfId="11804" xr:uid="{00000000-0005-0000-0000-00001F2E0000}"/>
    <cellStyle name="40% - Énfasis2 26" xfId="11805" xr:uid="{00000000-0005-0000-0000-0000202E0000}"/>
    <cellStyle name="40% - Énfasis2 26 2" xfId="11806" xr:uid="{00000000-0005-0000-0000-0000212E0000}"/>
    <cellStyle name="40% - Énfasis2 26 2 2" xfId="11807" xr:uid="{00000000-0005-0000-0000-0000222E0000}"/>
    <cellStyle name="40% - Énfasis2 26 2 2 2" xfId="11808" xr:uid="{00000000-0005-0000-0000-0000232E0000}"/>
    <cellStyle name="40% - Énfasis2 26 2 2 2 2" xfId="11809" xr:uid="{00000000-0005-0000-0000-0000242E0000}"/>
    <cellStyle name="40% - Énfasis2 26 2 2 3" xfId="11810" xr:uid="{00000000-0005-0000-0000-0000252E0000}"/>
    <cellStyle name="40% - Énfasis2 26 2 3" xfId="11811" xr:uid="{00000000-0005-0000-0000-0000262E0000}"/>
    <cellStyle name="40% - Énfasis2 26 2 3 2" xfId="11812" xr:uid="{00000000-0005-0000-0000-0000272E0000}"/>
    <cellStyle name="40% - Énfasis2 26 2 3 2 2" xfId="11813" xr:uid="{00000000-0005-0000-0000-0000282E0000}"/>
    <cellStyle name="40% - Énfasis2 26 2 3 3" xfId="11814" xr:uid="{00000000-0005-0000-0000-0000292E0000}"/>
    <cellStyle name="40% - Énfasis2 26 2 4" xfId="11815" xr:uid="{00000000-0005-0000-0000-00002A2E0000}"/>
    <cellStyle name="40% - Énfasis2 26 2 4 2" xfId="11816" xr:uid="{00000000-0005-0000-0000-00002B2E0000}"/>
    <cellStyle name="40% - Énfasis2 26 2 5" xfId="11817" xr:uid="{00000000-0005-0000-0000-00002C2E0000}"/>
    <cellStyle name="40% - Énfasis2 26 3" xfId="11818" xr:uid="{00000000-0005-0000-0000-00002D2E0000}"/>
    <cellStyle name="40% - Énfasis2 26 3 2" xfId="11819" xr:uid="{00000000-0005-0000-0000-00002E2E0000}"/>
    <cellStyle name="40% - Énfasis2 26 3 2 2" xfId="11820" xr:uid="{00000000-0005-0000-0000-00002F2E0000}"/>
    <cellStyle name="40% - Énfasis2 26 3 2 2 2" xfId="11821" xr:uid="{00000000-0005-0000-0000-0000302E0000}"/>
    <cellStyle name="40% - Énfasis2 26 3 2 3" xfId="11822" xr:uid="{00000000-0005-0000-0000-0000312E0000}"/>
    <cellStyle name="40% - Énfasis2 26 3 3" xfId="11823" xr:uid="{00000000-0005-0000-0000-0000322E0000}"/>
    <cellStyle name="40% - Énfasis2 26 3 3 2" xfId="11824" xr:uid="{00000000-0005-0000-0000-0000332E0000}"/>
    <cellStyle name="40% - Énfasis2 26 3 4" xfId="11825" xr:uid="{00000000-0005-0000-0000-0000342E0000}"/>
    <cellStyle name="40% - Énfasis2 26 4" xfId="11826" xr:uid="{00000000-0005-0000-0000-0000352E0000}"/>
    <cellStyle name="40% - Énfasis2 26 4 2" xfId="11827" xr:uid="{00000000-0005-0000-0000-0000362E0000}"/>
    <cellStyle name="40% - Énfasis2 26 4 2 2" xfId="11828" xr:uid="{00000000-0005-0000-0000-0000372E0000}"/>
    <cellStyle name="40% - Énfasis2 26 4 3" xfId="11829" xr:uid="{00000000-0005-0000-0000-0000382E0000}"/>
    <cellStyle name="40% - Énfasis2 26 5" xfId="11830" xr:uid="{00000000-0005-0000-0000-0000392E0000}"/>
    <cellStyle name="40% - Énfasis2 26 5 2" xfId="11831" xr:uid="{00000000-0005-0000-0000-00003A2E0000}"/>
    <cellStyle name="40% - Énfasis2 26 5 2 2" xfId="11832" xr:uid="{00000000-0005-0000-0000-00003B2E0000}"/>
    <cellStyle name="40% - Énfasis2 26 5 3" xfId="11833" xr:uid="{00000000-0005-0000-0000-00003C2E0000}"/>
    <cellStyle name="40% - Énfasis2 26 6" xfId="11834" xr:uid="{00000000-0005-0000-0000-00003D2E0000}"/>
    <cellStyle name="40% - Énfasis2 26 6 2" xfId="11835" xr:uid="{00000000-0005-0000-0000-00003E2E0000}"/>
    <cellStyle name="40% - Énfasis2 26 7" xfId="11836" xr:uid="{00000000-0005-0000-0000-00003F2E0000}"/>
    <cellStyle name="40% - Énfasis2 27" xfId="11837" xr:uid="{00000000-0005-0000-0000-0000402E0000}"/>
    <cellStyle name="40% - Énfasis2 27 2" xfId="11838" xr:uid="{00000000-0005-0000-0000-0000412E0000}"/>
    <cellStyle name="40% - Énfasis2 27 2 2" xfId="11839" xr:uid="{00000000-0005-0000-0000-0000422E0000}"/>
    <cellStyle name="40% - Énfasis2 27 2 2 2" xfId="11840" xr:uid="{00000000-0005-0000-0000-0000432E0000}"/>
    <cellStyle name="40% - Énfasis2 27 2 2 2 2" xfId="11841" xr:uid="{00000000-0005-0000-0000-0000442E0000}"/>
    <cellStyle name="40% - Énfasis2 27 2 2 3" xfId="11842" xr:uid="{00000000-0005-0000-0000-0000452E0000}"/>
    <cellStyle name="40% - Énfasis2 27 2 3" xfId="11843" xr:uid="{00000000-0005-0000-0000-0000462E0000}"/>
    <cellStyle name="40% - Énfasis2 27 2 3 2" xfId="11844" xr:uid="{00000000-0005-0000-0000-0000472E0000}"/>
    <cellStyle name="40% - Énfasis2 27 2 3 2 2" xfId="11845" xr:uid="{00000000-0005-0000-0000-0000482E0000}"/>
    <cellStyle name="40% - Énfasis2 27 2 3 3" xfId="11846" xr:uid="{00000000-0005-0000-0000-0000492E0000}"/>
    <cellStyle name="40% - Énfasis2 27 2 4" xfId="11847" xr:uid="{00000000-0005-0000-0000-00004A2E0000}"/>
    <cellStyle name="40% - Énfasis2 27 2 4 2" xfId="11848" xr:uid="{00000000-0005-0000-0000-00004B2E0000}"/>
    <cellStyle name="40% - Énfasis2 27 2 5" xfId="11849" xr:uid="{00000000-0005-0000-0000-00004C2E0000}"/>
    <cellStyle name="40% - Énfasis2 27 3" xfId="11850" xr:uid="{00000000-0005-0000-0000-00004D2E0000}"/>
    <cellStyle name="40% - Énfasis2 27 3 2" xfId="11851" xr:uid="{00000000-0005-0000-0000-00004E2E0000}"/>
    <cellStyle name="40% - Énfasis2 27 3 2 2" xfId="11852" xr:uid="{00000000-0005-0000-0000-00004F2E0000}"/>
    <cellStyle name="40% - Énfasis2 27 3 3" xfId="11853" xr:uid="{00000000-0005-0000-0000-0000502E0000}"/>
    <cellStyle name="40% - Énfasis2 27 4" xfId="11854" xr:uid="{00000000-0005-0000-0000-0000512E0000}"/>
    <cellStyle name="40% - Énfasis2 27 4 2" xfId="11855" xr:uid="{00000000-0005-0000-0000-0000522E0000}"/>
    <cellStyle name="40% - Énfasis2 27 4 2 2" xfId="11856" xr:uid="{00000000-0005-0000-0000-0000532E0000}"/>
    <cellStyle name="40% - Énfasis2 27 4 3" xfId="11857" xr:uid="{00000000-0005-0000-0000-0000542E0000}"/>
    <cellStyle name="40% - Énfasis2 27 5" xfId="11858" xr:uid="{00000000-0005-0000-0000-0000552E0000}"/>
    <cellStyle name="40% - Énfasis2 27 5 2" xfId="11859" xr:uid="{00000000-0005-0000-0000-0000562E0000}"/>
    <cellStyle name="40% - Énfasis2 27 6" xfId="11860" xr:uid="{00000000-0005-0000-0000-0000572E0000}"/>
    <cellStyle name="40% - Énfasis2 28" xfId="11861" xr:uid="{00000000-0005-0000-0000-0000582E0000}"/>
    <cellStyle name="40% - Énfasis2 28 2" xfId="11862" xr:uid="{00000000-0005-0000-0000-0000592E0000}"/>
    <cellStyle name="40% - Énfasis2 28 2 2" xfId="11863" xr:uid="{00000000-0005-0000-0000-00005A2E0000}"/>
    <cellStyle name="40% - Énfasis2 28 2 2 2" xfId="11864" xr:uid="{00000000-0005-0000-0000-00005B2E0000}"/>
    <cellStyle name="40% - Énfasis2 28 2 2 2 2" xfId="11865" xr:uid="{00000000-0005-0000-0000-00005C2E0000}"/>
    <cellStyle name="40% - Énfasis2 28 2 2 3" xfId="11866" xr:uid="{00000000-0005-0000-0000-00005D2E0000}"/>
    <cellStyle name="40% - Énfasis2 28 2 3" xfId="11867" xr:uid="{00000000-0005-0000-0000-00005E2E0000}"/>
    <cellStyle name="40% - Énfasis2 28 2 3 2" xfId="11868" xr:uid="{00000000-0005-0000-0000-00005F2E0000}"/>
    <cellStyle name="40% - Énfasis2 28 2 4" xfId="11869" xr:uid="{00000000-0005-0000-0000-0000602E0000}"/>
    <cellStyle name="40% - Énfasis2 28 3" xfId="11870" xr:uid="{00000000-0005-0000-0000-0000612E0000}"/>
    <cellStyle name="40% - Énfasis2 28 3 2" xfId="11871" xr:uid="{00000000-0005-0000-0000-0000622E0000}"/>
    <cellStyle name="40% - Énfasis2 28 3 2 2" xfId="11872" xr:uid="{00000000-0005-0000-0000-0000632E0000}"/>
    <cellStyle name="40% - Énfasis2 28 3 3" xfId="11873" xr:uid="{00000000-0005-0000-0000-0000642E0000}"/>
    <cellStyle name="40% - Énfasis2 28 4" xfId="11874" xr:uid="{00000000-0005-0000-0000-0000652E0000}"/>
    <cellStyle name="40% - Énfasis2 28 4 2" xfId="11875" xr:uid="{00000000-0005-0000-0000-0000662E0000}"/>
    <cellStyle name="40% - Énfasis2 28 5" xfId="11876" xr:uid="{00000000-0005-0000-0000-0000672E0000}"/>
    <cellStyle name="40% - Énfasis2 29" xfId="11877" xr:uid="{00000000-0005-0000-0000-0000682E0000}"/>
    <cellStyle name="40% - Énfasis2 29 2" xfId="11878" xr:uid="{00000000-0005-0000-0000-0000692E0000}"/>
    <cellStyle name="40% - Énfasis2 29 2 2" xfId="11879" xr:uid="{00000000-0005-0000-0000-00006A2E0000}"/>
    <cellStyle name="40% - Énfasis2 29 2 2 2" xfId="11880" xr:uid="{00000000-0005-0000-0000-00006B2E0000}"/>
    <cellStyle name="40% - Énfasis2 29 2 2 2 2" xfId="11881" xr:uid="{00000000-0005-0000-0000-00006C2E0000}"/>
    <cellStyle name="40% - Énfasis2 29 2 2 3" xfId="11882" xr:uid="{00000000-0005-0000-0000-00006D2E0000}"/>
    <cellStyle name="40% - Énfasis2 29 2 3" xfId="11883" xr:uid="{00000000-0005-0000-0000-00006E2E0000}"/>
    <cellStyle name="40% - Énfasis2 29 2 3 2" xfId="11884" xr:uid="{00000000-0005-0000-0000-00006F2E0000}"/>
    <cellStyle name="40% - Énfasis2 29 2 4" xfId="11885" xr:uid="{00000000-0005-0000-0000-0000702E0000}"/>
    <cellStyle name="40% - Énfasis2 29 3" xfId="11886" xr:uid="{00000000-0005-0000-0000-0000712E0000}"/>
    <cellStyle name="40% - Énfasis2 29 3 2" xfId="11887" xr:uid="{00000000-0005-0000-0000-0000722E0000}"/>
    <cellStyle name="40% - Énfasis2 29 3 2 2" xfId="11888" xr:uid="{00000000-0005-0000-0000-0000732E0000}"/>
    <cellStyle name="40% - Énfasis2 29 3 3" xfId="11889" xr:uid="{00000000-0005-0000-0000-0000742E0000}"/>
    <cellStyle name="40% - Énfasis2 29 4" xfId="11890" xr:uid="{00000000-0005-0000-0000-0000752E0000}"/>
    <cellStyle name="40% - Énfasis2 29 4 2" xfId="11891" xr:uid="{00000000-0005-0000-0000-0000762E0000}"/>
    <cellStyle name="40% - Énfasis2 29 5" xfId="11892" xr:uid="{00000000-0005-0000-0000-0000772E0000}"/>
    <cellStyle name="40% - Énfasis2 3" xfId="11893" xr:uid="{00000000-0005-0000-0000-0000782E0000}"/>
    <cellStyle name="40% - Énfasis2 3 2" xfId="11894" xr:uid="{00000000-0005-0000-0000-0000792E0000}"/>
    <cellStyle name="40% - Énfasis2 3 2 2" xfId="11895" xr:uid="{00000000-0005-0000-0000-00007A2E0000}"/>
    <cellStyle name="40% - Énfasis2 3 2 2 2" xfId="11896" xr:uid="{00000000-0005-0000-0000-00007B2E0000}"/>
    <cellStyle name="40% - Énfasis2 3 2 2 2 2" xfId="11897" xr:uid="{00000000-0005-0000-0000-00007C2E0000}"/>
    <cellStyle name="40% - Énfasis2 3 2 2 2 2 2" xfId="11898" xr:uid="{00000000-0005-0000-0000-00007D2E0000}"/>
    <cellStyle name="40% - Énfasis2 3 2 2 2 3" xfId="11899" xr:uid="{00000000-0005-0000-0000-00007E2E0000}"/>
    <cellStyle name="40% - Énfasis2 3 2 2 3" xfId="11900" xr:uid="{00000000-0005-0000-0000-00007F2E0000}"/>
    <cellStyle name="40% - Énfasis2 3 2 2 3 2" xfId="11901" xr:uid="{00000000-0005-0000-0000-0000802E0000}"/>
    <cellStyle name="40% - Énfasis2 3 2 2 4" xfId="11902" xr:uid="{00000000-0005-0000-0000-0000812E0000}"/>
    <cellStyle name="40% - Énfasis2 3 2 3" xfId="11903" xr:uid="{00000000-0005-0000-0000-0000822E0000}"/>
    <cellStyle name="40% - Énfasis2 3 2 3 2" xfId="11904" xr:uid="{00000000-0005-0000-0000-0000832E0000}"/>
    <cellStyle name="40% - Énfasis2 3 2 3 2 2" xfId="11905" xr:uid="{00000000-0005-0000-0000-0000842E0000}"/>
    <cellStyle name="40% - Énfasis2 3 2 3 3" xfId="11906" xr:uid="{00000000-0005-0000-0000-0000852E0000}"/>
    <cellStyle name="40% - Énfasis2 3 2 4" xfId="11907" xr:uid="{00000000-0005-0000-0000-0000862E0000}"/>
    <cellStyle name="40% - Énfasis2 3 2 4 2" xfId="11908" xr:uid="{00000000-0005-0000-0000-0000872E0000}"/>
    <cellStyle name="40% - Énfasis2 3 2 4 2 2" xfId="11909" xr:uid="{00000000-0005-0000-0000-0000882E0000}"/>
    <cellStyle name="40% - Énfasis2 3 2 4 3" xfId="11910" xr:uid="{00000000-0005-0000-0000-0000892E0000}"/>
    <cellStyle name="40% - Énfasis2 3 2 5" xfId="11911" xr:uid="{00000000-0005-0000-0000-00008A2E0000}"/>
    <cellStyle name="40% - Énfasis2 3 2 5 2" xfId="11912" xr:uid="{00000000-0005-0000-0000-00008B2E0000}"/>
    <cellStyle name="40% - Énfasis2 3 2 6" xfId="11913" xr:uid="{00000000-0005-0000-0000-00008C2E0000}"/>
    <cellStyle name="40% - Énfasis2 3 3" xfId="11914" xr:uid="{00000000-0005-0000-0000-00008D2E0000}"/>
    <cellStyle name="40% - Énfasis2 3 3 2" xfId="11915" xr:uid="{00000000-0005-0000-0000-00008E2E0000}"/>
    <cellStyle name="40% - Énfasis2 3 3 2 2" xfId="11916" xr:uid="{00000000-0005-0000-0000-00008F2E0000}"/>
    <cellStyle name="40% - Énfasis2 3 3 2 2 2" xfId="11917" xr:uid="{00000000-0005-0000-0000-0000902E0000}"/>
    <cellStyle name="40% - Énfasis2 3 3 2 3" xfId="11918" xr:uid="{00000000-0005-0000-0000-0000912E0000}"/>
    <cellStyle name="40% - Énfasis2 3 3 3" xfId="11919" xr:uid="{00000000-0005-0000-0000-0000922E0000}"/>
    <cellStyle name="40% - Énfasis2 3 3 3 2" xfId="11920" xr:uid="{00000000-0005-0000-0000-0000932E0000}"/>
    <cellStyle name="40% - Énfasis2 3 3 3 2 2" xfId="11921" xr:uid="{00000000-0005-0000-0000-0000942E0000}"/>
    <cellStyle name="40% - Énfasis2 3 3 3 3" xfId="11922" xr:uid="{00000000-0005-0000-0000-0000952E0000}"/>
    <cellStyle name="40% - Énfasis2 3 3 4" xfId="11923" xr:uid="{00000000-0005-0000-0000-0000962E0000}"/>
    <cellStyle name="40% - Énfasis2 3 3 4 2" xfId="11924" xr:uid="{00000000-0005-0000-0000-0000972E0000}"/>
    <cellStyle name="40% - Énfasis2 3 3 5" xfId="11925" xr:uid="{00000000-0005-0000-0000-0000982E0000}"/>
    <cellStyle name="40% - Énfasis2 3 4" xfId="11926" xr:uid="{00000000-0005-0000-0000-0000992E0000}"/>
    <cellStyle name="40% - Énfasis2 3 4 2" xfId="11927" xr:uid="{00000000-0005-0000-0000-00009A2E0000}"/>
    <cellStyle name="40% - Énfasis2 3 4 2 2" xfId="11928" xr:uid="{00000000-0005-0000-0000-00009B2E0000}"/>
    <cellStyle name="40% - Énfasis2 3 4 2 2 2" xfId="11929" xr:uid="{00000000-0005-0000-0000-00009C2E0000}"/>
    <cellStyle name="40% - Énfasis2 3 4 2 3" xfId="11930" xr:uid="{00000000-0005-0000-0000-00009D2E0000}"/>
    <cellStyle name="40% - Énfasis2 3 4 3" xfId="11931" xr:uid="{00000000-0005-0000-0000-00009E2E0000}"/>
    <cellStyle name="40% - Énfasis2 3 4 3 2" xfId="11932" xr:uid="{00000000-0005-0000-0000-00009F2E0000}"/>
    <cellStyle name="40% - Énfasis2 3 4 4" xfId="11933" xr:uid="{00000000-0005-0000-0000-0000A02E0000}"/>
    <cellStyle name="40% - Énfasis2 3 5" xfId="11934" xr:uid="{00000000-0005-0000-0000-0000A12E0000}"/>
    <cellStyle name="40% - Énfasis2 3 5 2" xfId="11935" xr:uid="{00000000-0005-0000-0000-0000A22E0000}"/>
    <cellStyle name="40% - Énfasis2 3 5 2 2" xfId="11936" xr:uid="{00000000-0005-0000-0000-0000A32E0000}"/>
    <cellStyle name="40% - Énfasis2 3 5 3" xfId="11937" xr:uid="{00000000-0005-0000-0000-0000A42E0000}"/>
    <cellStyle name="40% - Énfasis2 3 6" xfId="11938" xr:uid="{00000000-0005-0000-0000-0000A52E0000}"/>
    <cellStyle name="40% - Énfasis2 3 6 2" xfId="11939" xr:uid="{00000000-0005-0000-0000-0000A62E0000}"/>
    <cellStyle name="40% - Énfasis2 3 6 2 2" xfId="11940" xr:uid="{00000000-0005-0000-0000-0000A72E0000}"/>
    <cellStyle name="40% - Énfasis2 3 6 3" xfId="11941" xr:uid="{00000000-0005-0000-0000-0000A82E0000}"/>
    <cellStyle name="40% - Énfasis2 3 7" xfId="11942" xr:uid="{00000000-0005-0000-0000-0000A92E0000}"/>
    <cellStyle name="40% - Énfasis2 3 7 2" xfId="11943" xr:uid="{00000000-0005-0000-0000-0000AA2E0000}"/>
    <cellStyle name="40% - Énfasis2 3 8" xfId="11944" xr:uid="{00000000-0005-0000-0000-0000AB2E0000}"/>
    <cellStyle name="40% - Énfasis2 30" xfId="11945" xr:uid="{00000000-0005-0000-0000-0000AC2E0000}"/>
    <cellStyle name="40% - Énfasis2 30 2" xfId="11946" xr:uid="{00000000-0005-0000-0000-0000AD2E0000}"/>
    <cellStyle name="40% - Énfasis2 30 2 2" xfId="11947" xr:uid="{00000000-0005-0000-0000-0000AE2E0000}"/>
    <cellStyle name="40% - Énfasis2 30 2 2 2" xfId="11948" xr:uid="{00000000-0005-0000-0000-0000AF2E0000}"/>
    <cellStyle name="40% - Énfasis2 30 2 3" xfId="11949" xr:uid="{00000000-0005-0000-0000-0000B02E0000}"/>
    <cellStyle name="40% - Énfasis2 30 3" xfId="11950" xr:uid="{00000000-0005-0000-0000-0000B12E0000}"/>
    <cellStyle name="40% - Énfasis2 30 3 2" xfId="11951" xr:uid="{00000000-0005-0000-0000-0000B22E0000}"/>
    <cellStyle name="40% - Énfasis2 30 3 2 2" xfId="11952" xr:uid="{00000000-0005-0000-0000-0000B32E0000}"/>
    <cellStyle name="40% - Énfasis2 30 3 3" xfId="11953" xr:uid="{00000000-0005-0000-0000-0000B42E0000}"/>
    <cellStyle name="40% - Énfasis2 30 4" xfId="11954" xr:uid="{00000000-0005-0000-0000-0000B52E0000}"/>
    <cellStyle name="40% - Énfasis2 30 4 2" xfId="11955" xr:uid="{00000000-0005-0000-0000-0000B62E0000}"/>
    <cellStyle name="40% - Énfasis2 30 5" xfId="11956" xr:uid="{00000000-0005-0000-0000-0000B72E0000}"/>
    <cellStyle name="40% - Énfasis2 31" xfId="11957" xr:uid="{00000000-0005-0000-0000-0000B82E0000}"/>
    <cellStyle name="40% - Énfasis2 31 2" xfId="11958" xr:uid="{00000000-0005-0000-0000-0000B92E0000}"/>
    <cellStyle name="40% - Énfasis2 31 2 2" xfId="11959" xr:uid="{00000000-0005-0000-0000-0000BA2E0000}"/>
    <cellStyle name="40% - Énfasis2 31 2 2 2" xfId="11960" xr:uid="{00000000-0005-0000-0000-0000BB2E0000}"/>
    <cellStyle name="40% - Énfasis2 31 2 3" xfId="11961" xr:uid="{00000000-0005-0000-0000-0000BC2E0000}"/>
    <cellStyle name="40% - Énfasis2 31 3" xfId="11962" xr:uid="{00000000-0005-0000-0000-0000BD2E0000}"/>
    <cellStyle name="40% - Énfasis2 31 3 2" xfId="11963" xr:uid="{00000000-0005-0000-0000-0000BE2E0000}"/>
    <cellStyle name="40% - Énfasis2 31 3 2 2" xfId="11964" xr:uid="{00000000-0005-0000-0000-0000BF2E0000}"/>
    <cellStyle name="40% - Énfasis2 31 3 3" xfId="11965" xr:uid="{00000000-0005-0000-0000-0000C02E0000}"/>
    <cellStyle name="40% - Énfasis2 31 4" xfId="11966" xr:uid="{00000000-0005-0000-0000-0000C12E0000}"/>
    <cellStyle name="40% - Énfasis2 31 4 2" xfId="11967" xr:uid="{00000000-0005-0000-0000-0000C22E0000}"/>
    <cellStyle name="40% - Énfasis2 31 5" xfId="11968" xr:uid="{00000000-0005-0000-0000-0000C32E0000}"/>
    <cellStyle name="40% - Énfasis2 32" xfId="11969" xr:uid="{00000000-0005-0000-0000-0000C42E0000}"/>
    <cellStyle name="40% - Énfasis2 32 2" xfId="11970" xr:uid="{00000000-0005-0000-0000-0000C52E0000}"/>
    <cellStyle name="40% - Énfasis2 32 2 2" xfId="11971" xr:uid="{00000000-0005-0000-0000-0000C62E0000}"/>
    <cellStyle name="40% - Énfasis2 32 2 2 2" xfId="11972" xr:uid="{00000000-0005-0000-0000-0000C72E0000}"/>
    <cellStyle name="40% - Énfasis2 32 2 3" xfId="11973" xr:uid="{00000000-0005-0000-0000-0000C82E0000}"/>
    <cellStyle name="40% - Énfasis2 32 3" xfId="11974" xr:uid="{00000000-0005-0000-0000-0000C92E0000}"/>
    <cellStyle name="40% - Énfasis2 32 3 2" xfId="11975" xr:uid="{00000000-0005-0000-0000-0000CA2E0000}"/>
    <cellStyle name="40% - Énfasis2 32 3 2 2" xfId="11976" xr:uid="{00000000-0005-0000-0000-0000CB2E0000}"/>
    <cellStyle name="40% - Énfasis2 32 3 3" xfId="11977" xr:uid="{00000000-0005-0000-0000-0000CC2E0000}"/>
    <cellStyle name="40% - Énfasis2 32 4" xfId="11978" xr:uid="{00000000-0005-0000-0000-0000CD2E0000}"/>
    <cellStyle name="40% - Énfasis2 32 4 2" xfId="11979" xr:uid="{00000000-0005-0000-0000-0000CE2E0000}"/>
    <cellStyle name="40% - Énfasis2 32 5" xfId="11980" xr:uid="{00000000-0005-0000-0000-0000CF2E0000}"/>
    <cellStyle name="40% - Énfasis2 33" xfId="11981" xr:uid="{00000000-0005-0000-0000-0000D02E0000}"/>
    <cellStyle name="40% - Énfasis2 33 2" xfId="11982" xr:uid="{00000000-0005-0000-0000-0000D12E0000}"/>
    <cellStyle name="40% - Énfasis2 33 2 2" xfId="11983" xr:uid="{00000000-0005-0000-0000-0000D22E0000}"/>
    <cellStyle name="40% - Énfasis2 33 2 2 2" xfId="11984" xr:uid="{00000000-0005-0000-0000-0000D32E0000}"/>
    <cellStyle name="40% - Énfasis2 33 2 3" xfId="11985" xr:uid="{00000000-0005-0000-0000-0000D42E0000}"/>
    <cellStyle name="40% - Énfasis2 33 3" xfId="11986" xr:uid="{00000000-0005-0000-0000-0000D52E0000}"/>
    <cellStyle name="40% - Énfasis2 33 3 2" xfId="11987" xr:uid="{00000000-0005-0000-0000-0000D62E0000}"/>
    <cellStyle name="40% - Énfasis2 33 4" xfId="11988" xr:uid="{00000000-0005-0000-0000-0000D72E0000}"/>
    <cellStyle name="40% - Énfasis2 34" xfId="11989" xr:uid="{00000000-0005-0000-0000-0000D82E0000}"/>
    <cellStyle name="40% - Énfasis2 34 2" xfId="11990" xr:uid="{00000000-0005-0000-0000-0000D92E0000}"/>
    <cellStyle name="40% - Énfasis2 34 2 2" xfId="11991" xr:uid="{00000000-0005-0000-0000-0000DA2E0000}"/>
    <cellStyle name="40% - Énfasis2 34 2 2 2" xfId="11992" xr:uid="{00000000-0005-0000-0000-0000DB2E0000}"/>
    <cellStyle name="40% - Énfasis2 34 2 3" xfId="11993" xr:uid="{00000000-0005-0000-0000-0000DC2E0000}"/>
    <cellStyle name="40% - Énfasis2 34 3" xfId="11994" xr:uid="{00000000-0005-0000-0000-0000DD2E0000}"/>
    <cellStyle name="40% - Énfasis2 34 3 2" xfId="11995" xr:uid="{00000000-0005-0000-0000-0000DE2E0000}"/>
    <cellStyle name="40% - Énfasis2 34 4" xfId="11996" xr:uid="{00000000-0005-0000-0000-0000DF2E0000}"/>
    <cellStyle name="40% - Énfasis2 35" xfId="11997" xr:uid="{00000000-0005-0000-0000-0000E02E0000}"/>
    <cellStyle name="40% - Énfasis2 35 2" xfId="11998" xr:uid="{00000000-0005-0000-0000-0000E12E0000}"/>
    <cellStyle name="40% - Énfasis2 35 2 2" xfId="11999" xr:uid="{00000000-0005-0000-0000-0000E22E0000}"/>
    <cellStyle name="40% - Énfasis2 35 2 2 2" xfId="12000" xr:uid="{00000000-0005-0000-0000-0000E32E0000}"/>
    <cellStyle name="40% - Énfasis2 35 2 3" xfId="12001" xr:uid="{00000000-0005-0000-0000-0000E42E0000}"/>
    <cellStyle name="40% - Énfasis2 35 3" xfId="12002" xr:uid="{00000000-0005-0000-0000-0000E52E0000}"/>
    <cellStyle name="40% - Énfasis2 35 3 2" xfId="12003" xr:uid="{00000000-0005-0000-0000-0000E62E0000}"/>
    <cellStyle name="40% - Énfasis2 35 4" xfId="12004" xr:uid="{00000000-0005-0000-0000-0000E72E0000}"/>
    <cellStyle name="40% - Énfasis2 36" xfId="12005" xr:uid="{00000000-0005-0000-0000-0000E82E0000}"/>
    <cellStyle name="40% - Énfasis2 36 2" xfId="12006" xr:uid="{00000000-0005-0000-0000-0000E92E0000}"/>
    <cellStyle name="40% - Énfasis2 36 2 2" xfId="12007" xr:uid="{00000000-0005-0000-0000-0000EA2E0000}"/>
    <cellStyle name="40% - Énfasis2 36 2 2 2" xfId="12008" xr:uid="{00000000-0005-0000-0000-0000EB2E0000}"/>
    <cellStyle name="40% - Énfasis2 36 2 3" xfId="12009" xr:uid="{00000000-0005-0000-0000-0000EC2E0000}"/>
    <cellStyle name="40% - Énfasis2 36 3" xfId="12010" xr:uid="{00000000-0005-0000-0000-0000ED2E0000}"/>
    <cellStyle name="40% - Énfasis2 36 3 2" xfId="12011" xr:uid="{00000000-0005-0000-0000-0000EE2E0000}"/>
    <cellStyle name="40% - Énfasis2 36 4" xfId="12012" xr:uid="{00000000-0005-0000-0000-0000EF2E0000}"/>
    <cellStyle name="40% - Énfasis2 37" xfId="12013" xr:uid="{00000000-0005-0000-0000-0000F02E0000}"/>
    <cellStyle name="40% - Énfasis2 37 2" xfId="12014" xr:uid="{00000000-0005-0000-0000-0000F12E0000}"/>
    <cellStyle name="40% - Énfasis2 37 2 2" xfId="12015" xr:uid="{00000000-0005-0000-0000-0000F22E0000}"/>
    <cellStyle name="40% - Énfasis2 37 2 2 2" xfId="12016" xr:uid="{00000000-0005-0000-0000-0000F32E0000}"/>
    <cellStyle name="40% - Énfasis2 37 2 3" xfId="12017" xr:uid="{00000000-0005-0000-0000-0000F42E0000}"/>
    <cellStyle name="40% - Énfasis2 37 3" xfId="12018" xr:uid="{00000000-0005-0000-0000-0000F52E0000}"/>
    <cellStyle name="40% - Énfasis2 37 3 2" xfId="12019" xr:uid="{00000000-0005-0000-0000-0000F62E0000}"/>
    <cellStyle name="40% - Énfasis2 37 4" xfId="12020" xr:uid="{00000000-0005-0000-0000-0000F72E0000}"/>
    <cellStyle name="40% - Énfasis2 38" xfId="12021" xr:uid="{00000000-0005-0000-0000-0000F82E0000}"/>
    <cellStyle name="40% - Énfasis2 38 2" xfId="12022" xr:uid="{00000000-0005-0000-0000-0000F92E0000}"/>
    <cellStyle name="40% - Énfasis2 38 2 2" xfId="12023" xr:uid="{00000000-0005-0000-0000-0000FA2E0000}"/>
    <cellStyle name="40% - Énfasis2 38 3" xfId="12024" xr:uid="{00000000-0005-0000-0000-0000FB2E0000}"/>
    <cellStyle name="40% - Énfasis2 39" xfId="12025" xr:uid="{00000000-0005-0000-0000-0000FC2E0000}"/>
    <cellStyle name="40% - Énfasis2 39 2" xfId="12026" xr:uid="{00000000-0005-0000-0000-0000FD2E0000}"/>
    <cellStyle name="40% - Énfasis2 39 2 2" xfId="12027" xr:uid="{00000000-0005-0000-0000-0000FE2E0000}"/>
    <cellStyle name="40% - Énfasis2 39 3" xfId="12028" xr:uid="{00000000-0005-0000-0000-0000FF2E0000}"/>
    <cellStyle name="40% - Énfasis2 4" xfId="12029" xr:uid="{00000000-0005-0000-0000-0000002F0000}"/>
    <cellStyle name="40% - Énfasis2 4 2" xfId="12030" xr:uid="{00000000-0005-0000-0000-0000012F0000}"/>
    <cellStyle name="40% - Énfasis2 4 2 2" xfId="12031" xr:uid="{00000000-0005-0000-0000-0000022F0000}"/>
    <cellStyle name="40% - Énfasis2 4 2 2 2" xfId="12032" xr:uid="{00000000-0005-0000-0000-0000032F0000}"/>
    <cellStyle name="40% - Énfasis2 4 2 2 2 2" xfId="12033" xr:uid="{00000000-0005-0000-0000-0000042F0000}"/>
    <cellStyle name="40% - Énfasis2 4 2 2 2 2 2" xfId="12034" xr:uid="{00000000-0005-0000-0000-0000052F0000}"/>
    <cellStyle name="40% - Énfasis2 4 2 2 2 3" xfId="12035" xr:uid="{00000000-0005-0000-0000-0000062F0000}"/>
    <cellStyle name="40% - Énfasis2 4 2 2 3" xfId="12036" xr:uid="{00000000-0005-0000-0000-0000072F0000}"/>
    <cellStyle name="40% - Énfasis2 4 2 2 3 2" xfId="12037" xr:uid="{00000000-0005-0000-0000-0000082F0000}"/>
    <cellStyle name="40% - Énfasis2 4 2 2 4" xfId="12038" xr:uid="{00000000-0005-0000-0000-0000092F0000}"/>
    <cellStyle name="40% - Énfasis2 4 2 3" xfId="12039" xr:uid="{00000000-0005-0000-0000-00000A2F0000}"/>
    <cellStyle name="40% - Énfasis2 4 2 3 2" xfId="12040" xr:uid="{00000000-0005-0000-0000-00000B2F0000}"/>
    <cellStyle name="40% - Énfasis2 4 2 3 2 2" xfId="12041" xr:uid="{00000000-0005-0000-0000-00000C2F0000}"/>
    <cellStyle name="40% - Énfasis2 4 2 3 3" xfId="12042" xr:uid="{00000000-0005-0000-0000-00000D2F0000}"/>
    <cellStyle name="40% - Énfasis2 4 2 4" xfId="12043" xr:uid="{00000000-0005-0000-0000-00000E2F0000}"/>
    <cellStyle name="40% - Énfasis2 4 2 4 2" xfId="12044" xr:uid="{00000000-0005-0000-0000-00000F2F0000}"/>
    <cellStyle name="40% - Énfasis2 4 2 4 2 2" xfId="12045" xr:uid="{00000000-0005-0000-0000-0000102F0000}"/>
    <cellStyle name="40% - Énfasis2 4 2 4 3" xfId="12046" xr:uid="{00000000-0005-0000-0000-0000112F0000}"/>
    <cellStyle name="40% - Énfasis2 4 2 5" xfId="12047" xr:uid="{00000000-0005-0000-0000-0000122F0000}"/>
    <cellStyle name="40% - Énfasis2 4 2 5 2" xfId="12048" xr:uid="{00000000-0005-0000-0000-0000132F0000}"/>
    <cellStyle name="40% - Énfasis2 4 2 6" xfId="12049" xr:uid="{00000000-0005-0000-0000-0000142F0000}"/>
    <cellStyle name="40% - Énfasis2 4 3" xfId="12050" xr:uid="{00000000-0005-0000-0000-0000152F0000}"/>
    <cellStyle name="40% - Énfasis2 4 3 2" xfId="12051" xr:uid="{00000000-0005-0000-0000-0000162F0000}"/>
    <cellStyle name="40% - Énfasis2 4 3 2 2" xfId="12052" xr:uid="{00000000-0005-0000-0000-0000172F0000}"/>
    <cellStyle name="40% - Énfasis2 4 3 2 2 2" xfId="12053" xr:uid="{00000000-0005-0000-0000-0000182F0000}"/>
    <cellStyle name="40% - Énfasis2 4 3 2 3" xfId="12054" xr:uid="{00000000-0005-0000-0000-0000192F0000}"/>
    <cellStyle name="40% - Énfasis2 4 3 3" xfId="12055" xr:uid="{00000000-0005-0000-0000-00001A2F0000}"/>
    <cellStyle name="40% - Énfasis2 4 3 3 2" xfId="12056" xr:uid="{00000000-0005-0000-0000-00001B2F0000}"/>
    <cellStyle name="40% - Énfasis2 4 3 3 2 2" xfId="12057" xr:uid="{00000000-0005-0000-0000-00001C2F0000}"/>
    <cellStyle name="40% - Énfasis2 4 3 3 3" xfId="12058" xr:uid="{00000000-0005-0000-0000-00001D2F0000}"/>
    <cellStyle name="40% - Énfasis2 4 3 4" xfId="12059" xr:uid="{00000000-0005-0000-0000-00001E2F0000}"/>
    <cellStyle name="40% - Énfasis2 4 3 4 2" xfId="12060" xr:uid="{00000000-0005-0000-0000-00001F2F0000}"/>
    <cellStyle name="40% - Énfasis2 4 3 5" xfId="12061" xr:uid="{00000000-0005-0000-0000-0000202F0000}"/>
    <cellStyle name="40% - Énfasis2 4 4" xfId="12062" xr:uid="{00000000-0005-0000-0000-0000212F0000}"/>
    <cellStyle name="40% - Énfasis2 4 4 2" xfId="12063" xr:uid="{00000000-0005-0000-0000-0000222F0000}"/>
    <cellStyle name="40% - Énfasis2 4 4 2 2" xfId="12064" xr:uid="{00000000-0005-0000-0000-0000232F0000}"/>
    <cellStyle name="40% - Énfasis2 4 4 2 2 2" xfId="12065" xr:uid="{00000000-0005-0000-0000-0000242F0000}"/>
    <cellStyle name="40% - Énfasis2 4 4 2 3" xfId="12066" xr:uid="{00000000-0005-0000-0000-0000252F0000}"/>
    <cellStyle name="40% - Énfasis2 4 4 3" xfId="12067" xr:uid="{00000000-0005-0000-0000-0000262F0000}"/>
    <cellStyle name="40% - Énfasis2 4 4 3 2" xfId="12068" xr:uid="{00000000-0005-0000-0000-0000272F0000}"/>
    <cellStyle name="40% - Énfasis2 4 4 4" xfId="12069" xr:uid="{00000000-0005-0000-0000-0000282F0000}"/>
    <cellStyle name="40% - Énfasis2 4 5" xfId="12070" xr:uid="{00000000-0005-0000-0000-0000292F0000}"/>
    <cellStyle name="40% - Énfasis2 4 5 2" xfId="12071" xr:uid="{00000000-0005-0000-0000-00002A2F0000}"/>
    <cellStyle name="40% - Énfasis2 4 5 2 2" xfId="12072" xr:uid="{00000000-0005-0000-0000-00002B2F0000}"/>
    <cellStyle name="40% - Énfasis2 4 5 3" xfId="12073" xr:uid="{00000000-0005-0000-0000-00002C2F0000}"/>
    <cellStyle name="40% - Énfasis2 4 6" xfId="12074" xr:uid="{00000000-0005-0000-0000-00002D2F0000}"/>
    <cellStyle name="40% - Énfasis2 4 6 2" xfId="12075" xr:uid="{00000000-0005-0000-0000-00002E2F0000}"/>
    <cellStyle name="40% - Énfasis2 4 6 2 2" xfId="12076" xr:uid="{00000000-0005-0000-0000-00002F2F0000}"/>
    <cellStyle name="40% - Énfasis2 4 6 3" xfId="12077" xr:uid="{00000000-0005-0000-0000-0000302F0000}"/>
    <cellStyle name="40% - Énfasis2 4 7" xfId="12078" xr:uid="{00000000-0005-0000-0000-0000312F0000}"/>
    <cellStyle name="40% - Énfasis2 4 7 2" xfId="12079" xr:uid="{00000000-0005-0000-0000-0000322F0000}"/>
    <cellStyle name="40% - Énfasis2 4 8" xfId="12080" xr:uid="{00000000-0005-0000-0000-0000332F0000}"/>
    <cellStyle name="40% - Énfasis2 40" xfId="12081" xr:uid="{00000000-0005-0000-0000-0000342F0000}"/>
    <cellStyle name="40% - Énfasis2 40 2" xfId="12082" xr:uid="{00000000-0005-0000-0000-0000352F0000}"/>
    <cellStyle name="40% - Énfasis2 40 2 2" xfId="12083" xr:uid="{00000000-0005-0000-0000-0000362F0000}"/>
    <cellStyle name="40% - Énfasis2 40 3" xfId="12084" xr:uid="{00000000-0005-0000-0000-0000372F0000}"/>
    <cellStyle name="40% - Énfasis2 41" xfId="12085" xr:uid="{00000000-0005-0000-0000-0000382F0000}"/>
    <cellStyle name="40% - Énfasis2 41 2" xfId="12086" xr:uid="{00000000-0005-0000-0000-0000392F0000}"/>
    <cellStyle name="40% - Énfasis2 41 2 2" xfId="12087" xr:uid="{00000000-0005-0000-0000-00003A2F0000}"/>
    <cellStyle name="40% - Énfasis2 41 3" xfId="12088" xr:uid="{00000000-0005-0000-0000-00003B2F0000}"/>
    <cellStyle name="40% - Énfasis2 42" xfId="12089" xr:uid="{00000000-0005-0000-0000-00003C2F0000}"/>
    <cellStyle name="40% - Énfasis2 42 2" xfId="12090" xr:uid="{00000000-0005-0000-0000-00003D2F0000}"/>
    <cellStyle name="40% - Énfasis2 42 2 2" xfId="12091" xr:uid="{00000000-0005-0000-0000-00003E2F0000}"/>
    <cellStyle name="40% - Énfasis2 42 3" xfId="12092" xr:uid="{00000000-0005-0000-0000-00003F2F0000}"/>
    <cellStyle name="40% - Énfasis2 43" xfId="12093" xr:uid="{00000000-0005-0000-0000-0000402F0000}"/>
    <cellStyle name="40% - Énfasis2 43 2" xfId="12094" xr:uid="{00000000-0005-0000-0000-0000412F0000}"/>
    <cellStyle name="40% - Énfasis2 43 2 2" xfId="12095" xr:uid="{00000000-0005-0000-0000-0000422F0000}"/>
    <cellStyle name="40% - Énfasis2 43 3" xfId="12096" xr:uid="{00000000-0005-0000-0000-0000432F0000}"/>
    <cellStyle name="40% - Énfasis2 44" xfId="12097" xr:uid="{00000000-0005-0000-0000-0000442F0000}"/>
    <cellStyle name="40% - Énfasis2 44 2" xfId="12098" xr:uid="{00000000-0005-0000-0000-0000452F0000}"/>
    <cellStyle name="40% - Énfasis2 44 2 2" xfId="12099" xr:uid="{00000000-0005-0000-0000-0000462F0000}"/>
    <cellStyle name="40% - Énfasis2 44 3" xfId="12100" xr:uid="{00000000-0005-0000-0000-0000472F0000}"/>
    <cellStyle name="40% - Énfasis2 45" xfId="12101" xr:uid="{00000000-0005-0000-0000-0000482F0000}"/>
    <cellStyle name="40% - Énfasis2 45 2" xfId="12102" xr:uid="{00000000-0005-0000-0000-0000492F0000}"/>
    <cellStyle name="40% - Énfasis2 45 2 2" xfId="12103" xr:uid="{00000000-0005-0000-0000-00004A2F0000}"/>
    <cellStyle name="40% - Énfasis2 45 3" xfId="12104" xr:uid="{00000000-0005-0000-0000-00004B2F0000}"/>
    <cellStyle name="40% - Énfasis2 46" xfId="12105" xr:uid="{00000000-0005-0000-0000-00004C2F0000}"/>
    <cellStyle name="40% - Énfasis2 46 2" xfId="12106" xr:uid="{00000000-0005-0000-0000-00004D2F0000}"/>
    <cellStyle name="40% - Énfasis2 47" xfId="12107" xr:uid="{00000000-0005-0000-0000-00004E2F0000}"/>
    <cellStyle name="40% - Énfasis2 47 2" xfId="12108" xr:uid="{00000000-0005-0000-0000-00004F2F0000}"/>
    <cellStyle name="40% - Énfasis2 48" xfId="12109" xr:uid="{00000000-0005-0000-0000-0000502F0000}"/>
    <cellStyle name="40% - Énfasis2 48 2" xfId="12110" xr:uid="{00000000-0005-0000-0000-0000512F0000}"/>
    <cellStyle name="40% - Énfasis2 49" xfId="12111" xr:uid="{00000000-0005-0000-0000-0000522F0000}"/>
    <cellStyle name="40% - Énfasis2 49 2" xfId="12112" xr:uid="{00000000-0005-0000-0000-0000532F0000}"/>
    <cellStyle name="40% - Énfasis2 5" xfId="12113" xr:uid="{00000000-0005-0000-0000-0000542F0000}"/>
    <cellStyle name="40% - Énfasis2 5 2" xfId="12114" xr:uid="{00000000-0005-0000-0000-0000552F0000}"/>
    <cellStyle name="40% - Énfasis2 5 2 2" xfId="12115" xr:uid="{00000000-0005-0000-0000-0000562F0000}"/>
    <cellStyle name="40% - Énfasis2 5 2 2 2" xfId="12116" xr:uid="{00000000-0005-0000-0000-0000572F0000}"/>
    <cellStyle name="40% - Énfasis2 5 2 2 2 2" xfId="12117" xr:uid="{00000000-0005-0000-0000-0000582F0000}"/>
    <cellStyle name="40% - Énfasis2 5 2 2 2 2 2" xfId="12118" xr:uid="{00000000-0005-0000-0000-0000592F0000}"/>
    <cellStyle name="40% - Énfasis2 5 2 2 2 3" xfId="12119" xr:uid="{00000000-0005-0000-0000-00005A2F0000}"/>
    <cellStyle name="40% - Énfasis2 5 2 2 3" xfId="12120" xr:uid="{00000000-0005-0000-0000-00005B2F0000}"/>
    <cellStyle name="40% - Énfasis2 5 2 2 3 2" xfId="12121" xr:uid="{00000000-0005-0000-0000-00005C2F0000}"/>
    <cellStyle name="40% - Énfasis2 5 2 2 4" xfId="12122" xr:uid="{00000000-0005-0000-0000-00005D2F0000}"/>
    <cellStyle name="40% - Énfasis2 5 2 3" xfId="12123" xr:uid="{00000000-0005-0000-0000-00005E2F0000}"/>
    <cellStyle name="40% - Énfasis2 5 2 3 2" xfId="12124" xr:uid="{00000000-0005-0000-0000-00005F2F0000}"/>
    <cellStyle name="40% - Énfasis2 5 2 3 2 2" xfId="12125" xr:uid="{00000000-0005-0000-0000-0000602F0000}"/>
    <cellStyle name="40% - Énfasis2 5 2 3 3" xfId="12126" xr:uid="{00000000-0005-0000-0000-0000612F0000}"/>
    <cellStyle name="40% - Énfasis2 5 2 4" xfId="12127" xr:uid="{00000000-0005-0000-0000-0000622F0000}"/>
    <cellStyle name="40% - Énfasis2 5 2 4 2" xfId="12128" xr:uid="{00000000-0005-0000-0000-0000632F0000}"/>
    <cellStyle name="40% - Énfasis2 5 2 4 2 2" xfId="12129" xr:uid="{00000000-0005-0000-0000-0000642F0000}"/>
    <cellStyle name="40% - Énfasis2 5 2 4 3" xfId="12130" xr:uid="{00000000-0005-0000-0000-0000652F0000}"/>
    <cellStyle name="40% - Énfasis2 5 2 5" xfId="12131" xr:uid="{00000000-0005-0000-0000-0000662F0000}"/>
    <cellStyle name="40% - Énfasis2 5 2 5 2" xfId="12132" xr:uid="{00000000-0005-0000-0000-0000672F0000}"/>
    <cellStyle name="40% - Énfasis2 5 2 6" xfId="12133" xr:uid="{00000000-0005-0000-0000-0000682F0000}"/>
    <cellStyle name="40% - Énfasis2 5 3" xfId="12134" xr:uid="{00000000-0005-0000-0000-0000692F0000}"/>
    <cellStyle name="40% - Énfasis2 5 3 2" xfId="12135" xr:uid="{00000000-0005-0000-0000-00006A2F0000}"/>
    <cellStyle name="40% - Énfasis2 5 3 2 2" xfId="12136" xr:uid="{00000000-0005-0000-0000-00006B2F0000}"/>
    <cellStyle name="40% - Énfasis2 5 3 2 2 2" xfId="12137" xr:uid="{00000000-0005-0000-0000-00006C2F0000}"/>
    <cellStyle name="40% - Énfasis2 5 3 2 3" xfId="12138" xr:uid="{00000000-0005-0000-0000-00006D2F0000}"/>
    <cellStyle name="40% - Énfasis2 5 3 3" xfId="12139" xr:uid="{00000000-0005-0000-0000-00006E2F0000}"/>
    <cellStyle name="40% - Énfasis2 5 3 3 2" xfId="12140" xr:uid="{00000000-0005-0000-0000-00006F2F0000}"/>
    <cellStyle name="40% - Énfasis2 5 3 3 2 2" xfId="12141" xr:uid="{00000000-0005-0000-0000-0000702F0000}"/>
    <cellStyle name="40% - Énfasis2 5 3 3 3" xfId="12142" xr:uid="{00000000-0005-0000-0000-0000712F0000}"/>
    <cellStyle name="40% - Énfasis2 5 3 4" xfId="12143" xr:uid="{00000000-0005-0000-0000-0000722F0000}"/>
    <cellStyle name="40% - Énfasis2 5 3 4 2" xfId="12144" xr:uid="{00000000-0005-0000-0000-0000732F0000}"/>
    <cellStyle name="40% - Énfasis2 5 3 5" xfId="12145" xr:uid="{00000000-0005-0000-0000-0000742F0000}"/>
    <cellStyle name="40% - Énfasis2 5 4" xfId="12146" xr:uid="{00000000-0005-0000-0000-0000752F0000}"/>
    <cellStyle name="40% - Énfasis2 5 4 2" xfId="12147" xr:uid="{00000000-0005-0000-0000-0000762F0000}"/>
    <cellStyle name="40% - Énfasis2 5 4 2 2" xfId="12148" xr:uid="{00000000-0005-0000-0000-0000772F0000}"/>
    <cellStyle name="40% - Énfasis2 5 4 2 2 2" xfId="12149" xr:uid="{00000000-0005-0000-0000-0000782F0000}"/>
    <cellStyle name="40% - Énfasis2 5 4 2 3" xfId="12150" xr:uid="{00000000-0005-0000-0000-0000792F0000}"/>
    <cellStyle name="40% - Énfasis2 5 4 3" xfId="12151" xr:uid="{00000000-0005-0000-0000-00007A2F0000}"/>
    <cellStyle name="40% - Énfasis2 5 4 3 2" xfId="12152" xr:uid="{00000000-0005-0000-0000-00007B2F0000}"/>
    <cellStyle name="40% - Énfasis2 5 4 4" xfId="12153" xr:uid="{00000000-0005-0000-0000-00007C2F0000}"/>
    <cellStyle name="40% - Énfasis2 5 5" xfId="12154" xr:uid="{00000000-0005-0000-0000-00007D2F0000}"/>
    <cellStyle name="40% - Énfasis2 5 5 2" xfId="12155" xr:uid="{00000000-0005-0000-0000-00007E2F0000}"/>
    <cellStyle name="40% - Énfasis2 5 5 2 2" xfId="12156" xr:uid="{00000000-0005-0000-0000-00007F2F0000}"/>
    <cellStyle name="40% - Énfasis2 5 5 3" xfId="12157" xr:uid="{00000000-0005-0000-0000-0000802F0000}"/>
    <cellStyle name="40% - Énfasis2 5 6" xfId="12158" xr:uid="{00000000-0005-0000-0000-0000812F0000}"/>
    <cellStyle name="40% - Énfasis2 5 6 2" xfId="12159" xr:uid="{00000000-0005-0000-0000-0000822F0000}"/>
    <cellStyle name="40% - Énfasis2 5 6 2 2" xfId="12160" xr:uid="{00000000-0005-0000-0000-0000832F0000}"/>
    <cellStyle name="40% - Énfasis2 5 6 3" xfId="12161" xr:uid="{00000000-0005-0000-0000-0000842F0000}"/>
    <cellStyle name="40% - Énfasis2 5 7" xfId="12162" xr:uid="{00000000-0005-0000-0000-0000852F0000}"/>
    <cellStyle name="40% - Énfasis2 5 7 2" xfId="12163" xr:uid="{00000000-0005-0000-0000-0000862F0000}"/>
    <cellStyle name="40% - Énfasis2 5 8" xfId="12164" xr:uid="{00000000-0005-0000-0000-0000872F0000}"/>
    <cellStyle name="40% - Énfasis2 50" xfId="12165" xr:uid="{00000000-0005-0000-0000-0000882F0000}"/>
    <cellStyle name="40% - Énfasis2 50 2" xfId="12166" xr:uid="{00000000-0005-0000-0000-0000892F0000}"/>
    <cellStyle name="40% - Énfasis2 51" xfId="12167" xr:uid="{00000000-0005-0000-0000-00008A2F0000}"/>
    <cellStyle name="40% - Énfasis2 51 2" xfId="12168" xr:uid="{00000000-0005-0000-0000-00008B2F0000}"/>
    <cellStyle name="40% - Énfasis2 52" xfId="12169" xr:uid="{00000000-0005-0000-0000-00008C2F0000}"/>
    <cellStyle name="40% - Énfasis2 52 2" xfId="12170" xr:uid="{00000000-0005-0000-0000-00008D2F0000}"/>
    <cellStyle name="40% - Énfasis2 53" xfId="12171" xr:uid="{00000000-0005-0000-0000-00008E2F0000}"/>
    <cellStyle name="40% - Énfasis2 53 2" xfId="12172" xr:uid="{00000000-0005-0000-0000-00008F2F0000}"/>
    <cellStyle name="40% - Énfasis2 54" xfId="12173" xr:uid="{00000000-0005-0000-0000-0000902F0000}"/>
    <cellStyle name="40% - Énfasis2 54 2" xfId="12174" xr:uid="{00000000-0005-0000-0000-0000912F0000}"/>
    <cellStyle name="40% - Énfasis2 55" xfId="12175" xr:uid="{00000000-0005-0000-0000-0000922F0000}"/>
    <cellStyle name="40% - Énfasis2 55 2" xfId="12176" xr:uid="{00000000-0005-0000-0000-0000932F0000}"/>
    <cellStyle name="40% - Énfasis2 56" xfId="12177" xr:uid="{00000000-0005-0000-0000-0000942F0000}"/>
    <cellStyle name="40% - Énfasis2 56 2" xfId="12178" xr:uid="{00000000-0005-0000-0000-0000952F0000}"/>
    <cellStyle name="40% - Énfasis2 57" xfId="12179" xr:uid="{00000000-0005-0000-0000-0000962F0000}"/>
    <cellStyle name="40% - Énfasis2 57 2" xfId="12180" xr:uid="{00000000-0005-0000-0000-0000972F0000}"/>
    <cellStyle name="40% - Énfasis2 58" xfId="12181" xr:uid="{00000000-0005-0000-0000-0000982F0000}"/>
    <cellStyle name="40% - Énfasis2 58 2" xfId="12182" xr:uid="{00000000-0005-0000-0000-0000992F0000}"/>
    <cellStyle name="40% - Énfasis2 59" xfId="12183" xr:uid="{00000000-0005-0000-0000-00009A2F0000}"/>
    <cellStyle name="40% - Énfasis2 59 2" xfId="12184" xr:uid="{00000000-0005-0000-0000-00009B2F0000}"/>
    <cellStyle name="40% - Énfasis2 6" xfId="12185" xr:uid="{00000000-0005-0000-0000-00009C2F0000}"/>
    <cellStyle name="40% - Énfasis2 6 2" xfId="12186" xr:uid="{00000000-0005-0000-0000-00009D2F0000}"/>
    <cellStyle name="40% - Énfasis2 6 2 2" xfId="12187" xr:uid="{00000000-0005-0000-0000-00009E2F0000}"/>
    <cellStyle name="40% - Énfasis2 6 2 2 2" xfId="12188" xr:uid="{00000000-0005-0000-0000-00009F2F0000}"/>
    <cellStyle name="40% - Énfasis2 6 2 2 2 2" xfId="12189" xr:uid="{00000000-0005-0000-0000-0000A02F0000}"/>
    <cellStyle name="40% - Énfasis2 6 2 2 2 2 2" xfId="12190" xr:uid="{00000000-0005-0000-0000-0000A12F0000}"/>
    <cellStyle name="40% - Énfasis2 6 2 2 2 3" xfId="12191" xr:uid="{00000000-0005-0000-0000-0000A22F0000}"/>
    <cellStyle name="40% - Énfasis2 6 2 2 3" xfId="12192" xr:uid="{00000000-0005-0000-0000-0000A32F0000}"/>
    <cellStyle name="40% - Énfasis2 6 2 2 3 2" xfId="12193" xr:uid="{00000000-0005-0000-0000-0000A42F0000}"/>
    <cellStyle name="40% - Énfasis2 6 2 2 4" xfId="12194" xr:uid="{00000000-0005-0000-0000-0000A52F0000}"/>
    <cellStyle name="40% - Énfasis2 6 2 3" xfId="12195" xr:uid="{00000000-0005-0000-0000-0000A62F0000}"/>
    <cellStyle name="40% - Énfasis2 6 2 3 2" xfId="12196" xr:uid="{00000000-0005-0000-0000-0000A72F0000}"/>
    <cellStyle name="40% - Énfasis2 6 2 3 2 2" xfId="12197" xr:uid="{00000000-0005-0000-0000-0000A82F0000}"/>
    <cellStyle name="40% - Énfasis2 6 2 3 3" xfId="12198" xr:uid="{00000000-0005-0000-0000-0000A92F0000}"/>
    <cellStyle name="40% - Énfasis2 6 2 4" xfId="12199" xr:uid="{00000000-0005-0000-0000-0000AA2F0000}"/>
    <cellStyle name="40% - Énfasis2 6 2 4 2" xfId="12200" xr:uid="{00000000-0005-0000-0000-0000AB2F0000}"/>
    <cellStyle name="40% - Énfasis2 6 2 4 2 2" xfId="12201" xr:uid="{00000000-0005-0000-0000-0000AC2F0000}"/>
    <cellStyle name="40% - Énfasis2 6 2 4 3" xfId="12202" xr:uid="{00000000-0005-0000-0000-0000AD2F0000}"/>
    <cellStyle name="40% - Énfasis2 6 2 5" xfId="12203" xr:uid="{00000000-0005-0000-0000-0000AE2F0000}"/>
    <cellStyle name="40% - Énfasis2 6 2 5 2" xfId="12204" xr:uid="{00000000-0005-0000-0000-0000AF2F0000}"/>
    <cellStyle name="40% - Énfasis2 6 2 6" xfId="12205" xr:uid="{00000000-0005-0000-0000-0000B02F0000}"/>
    <cellStyle name="40% - Énfasis2 6 3" xfId="12206" xr:uid="{00000000-0005-0000-0000-0000B12F0000}"/>
    <cellStyle name="40% - Énfasis2 6 3 2" xfId="12207" xr:uid="{00000000-0005-0000-0000-0000B22F0000}"/>
    <cellStyle name="40% - Énfasis2 6 3 2 2" xfId="12208" xr:uid="{00000000-0005-0000-0000-0000B32F0000}"/>
    <cellStyle name="40% - Énfasis2 6 3 2 2 2" xfId="12209" xr:uid="{00000000-0005-0000-0000-0000B42F0000}"/>
    <cellStyle name="40% - Énfasis2 6 3 2 3" xfId="12210" xr:uid="{00000000-0005-0000-0000-0000B52F0000}"/>
    <cellStyle name="40% - Énfasis2 6 3 3" xfId="12211" xr:uid="{00000000-0005-0000-0000-0000B62F0000}"/>
    <cellStyle name="40% - Énfasis2 6 3 3 2" xfId="12212" xr:uid="{00000000-0005-0000-0000-0000B72F0000}"/>
    <cellStyle name="40% - Énfasis2 6 3 3 2 2" xfId="12213" xr:uid="{00000000-0005-0000-0000-0000B82F0000}"/>
    <cellStyle name="40% - Énfasis2 6 3 3 3" xfId="12214" xr:uid="{00000000-0005-0000-0000-0000B92F0000}"/>
    <cellStyle name="40% - Énfasis2 6 3 4" xfId="12215" xr:uid="{00000000-0005-0000-0000-0000BA2F0000}"/>
    <cellStyle name="40% - Énfasis2 6 3 4 2" xfId="12216" xr:uid="{00000000-0005-0000-0000-0000BB2F0000}"/>
    <cellStyle name="40% - Énfasis2 6 3 5" xfId="12217" xr:uid="{00000000-0005-0000-0000-0000BC2F0000}"/>
    <cellStyle name="40% - Énfasis2 6 4" xfId="12218" xr:uid="{00000000-0005-0000-0000-0000BD2F0000}"/>
    <cellStyle name="40% - Énfasis2 6 4 2" xfId="12219" xr:uid="{00000000-0005-0000-0000-0000BE2F0000}"/>
    <cellStyle name="40% - Énfasis2 6 4 2 2" xfId="12220" xr:uid="{00000000-0005-0000-0000-0000BF2F0000}"/>
    <cellStyle name="40% - Énfasis2 6 4 2 2 2" xfId="12221" xr:uid="{00000000-0005-0000-0000-0000C02F0000}"/>
    <cellStyle name="40% - Énfasis2 6 4 2 3" xfId="12222" xr:uid="{00000000-0005-0000-0000-0000C12F0000}"/>
    <cellStyle name="40% - Énfasis2 6 4 3" xfId="12223" xr:uid="{00000000-0005-0000-0000-0000C22F0000}"/>
    <cellStyle name="40% - Énfasis2 6 4 3 2" xfId="12224" xr:uid="{00000000-0005-0000-0000-0000C32F0000}"/>
    <cellStyle name="40% - Énfasis2 6 4 4" xfId="12225" xr:uid="{00000000-0005-0000-0000-0000C42F0000}"/>
    <cellStyle name="40% - Énfasis2 6 5" xfId="12226" xr:uid="{00000000-0005-0000-0000-0000C52F0000}"/>
    <cellStyle name="40% - Énfasis2 6 5 2" xfId="12227" xr:uid="{00000000-0005-0000-0000-0000C62F0000}"/>
    <cellStyle name="40% - Énfasis2 6 5 2 2" xfId="12228" xr:uid="{00000000-0005-0000-0000-0000C72F0000}"/>
    <cellStyle name="40% - Énfasis2 6 5 3" xfId="12229" xr:uid="{00000000-0005-0000-0000-0000C82F0000}"/>
    <cellStyle name="40% - Énfasis2 6 6" xfId="12230" xr:uid="{00000000-0005-0000-0000-0000C92F0000}"/>
    <cellStyle name="40% - Énfasis2 6 6 2" xfId="12231" xr:uid="{00000000-0005-0000-0000-0000CA2F0000}"/>
    <cellStyle name="40% - Énfasis2 6 6 2 2" xfId="12232" xr:uid="{00000000-0005-0000-0000-0000CB2F0000}"/>
    <cellStyle name="40% - Énfasis2 6 6 3" xfId="12233" xr:uid="{00000000-0005-0000-0000-0000CC2F0000}"/>
    <cellStyle name="40% - Énfasis2 6 7" xfId="12234" xr:uid="{00000000-0005-0000-0000-0000CD2F0000}"/>
    <cellStyle name="40% - Énfasis2 6 7 2" xfId="12235" xr:uid="{00000000-0005-0000-0000-0000CE2F0000}"/>
    <cellStyle name="40% - Énfasis2 6 8" xfId="12236" xr:uid="{00000000-0005-0000-0000-0000CF2F0000}"/>
    <cellStyle name="40% - Énfasis2 60" xfId="12237" xr:uid="{00000000-0005-0000-0000-0000D02F0000}"/>
    <cellStyle name="40% - Énfasis2 60 2" xfId="12238" xr:uid="{00000000-0005-0000-0000-0000D12F0000}"/>
    <cellStyle name="40% - Énfasis2 61" xfId="12239" xr:uid="{00000000-0005-0000-0000-0000D22F0000}"/>
    <cellStyle name="40% - Énfasis2 61 2" xfId="12240" xr:uid="{00000000-0005-0000-0000-0000D32F0000}"/>
    <cellStyle name="40% - Énfasis2 62" xfId="12241" xr:uid="{00000000-0005-0000-0000-0000D42F0000}"/>
    <cellStyle name="40% - Énfasis2 62 2" xfId="12242" xr:uid="{00000000-0005-0000-0000-0000D52F0000}"/>
    <cellStyle name="40% - Énfasis2 63" xfId="12243" xr:uid="{00000000-0005-0000-0000-0000D62F0000}"/>
    <cellStyle name="40% - Énfasis2 63 2" xfId="12244" xr:uid="{00000000-0005-0000-0000-0000D72F0000}"/>
    <cellStyle name="40% - Énfasis2 64" xfId="12245" xr:uid="{00000000-0005-0000-0000-0000D82F0000}"/>
    <cellStyle name="40% - Énfasis2 64 2" xfId="12246" xr:uid="{00000000-0005-0000-0000-0000D92F0000}"/>
    <cellStyle name="40% - Énfasis2 7" xfId="12247" xr:uid="{00000000-0005-0000-0000-0000DA2F0000}"/>
    <cellStyle name="40% - Énfasis2 7 2" xfId="12248" xr:uid="{00000000-0005-0000-0000-0000DB2F0000}"/>
    <cellStyle name="40% - Énfasis2 7 2 2" xfId="12249" xr:uid="{00000000-0005-0000-0000-0000DC2F0000}"/>
    <cellStyle name="40% - Énfasis2 7 2 2 2" xfId="12250" xr:uid="{00000000-0005-0000-0000-0000DD2F0000}"/>
    <cellStyle name="40% - Énfasis2 7 2 2 2 2" xfId="12251" xr:uid="{00000000-0005-0000-0000-0000DE2F0000}"/>
    <cellStyle name="40% - Énfasis2 7 2 2 2 2 2" xfId="12252" xr:uid="{00000000-0005-0000-0000-0000DF2F0000}"/>
    <cellStyle name="40% - Énfasis2 7 2 2 2 3" xfId="12253" xr:uid="{00000000-0005-0000-0000-0000E02F0000}"/>
    <cellStyle name="40% - Énfasis2 7 2 2 3" xfId="12254" xr:uid="{00000000-0005-0000-0000-0000E12F0000}"/>
    <cellStyle name="40% - Énfasis2 7 2 2 3 2" xfId="12255" xr:uid="{00000000-0005-0000-0000-0000E22F0000}"/>
    <cellStyle name="40% - Énfasis2 7 2 2 4" xfId="12256" xr:uid="{00000000-0005-0000-0000-0000E32F0000}"/>
    <cellStyle name="40% - Énfasis2 7 2 3" xfId="12257" xr:uid="{00000000-0005-0000-0000-0000E42F0000}"/>
    <cellStyle name="40% - Énfasis2 7 2 3 2" xfId="12258" xr:uid="{00000000-0005-0000-0000-0000E52F0000}"/>
    <cellStyle name="40% - Énfasis2 7 2 3 2 2" xfId="12259" xr:uid="{00000000-0005-0000-0000-0000E62F0000}"/>
    <cellStyle name="40% - Énfasis2 7 2 3 3" xfId="12260" xr:uid="{00000000-0005-0000-0000-0000E72F0000}"/>
    <cellStyle name="40% - Énfasis2 7 2 4" xfId="12261" xr:uid="{00000000-0005-0000-0000-0000E82F0000}"/>
    <cellStyle name="40% - Énfasis2 7 2 4 2" xfId="12262" xr:uid="{00000000-0005-0000-0000-0000E92F0000}"/>
    <cellStyle name="40% - Énfasis2 7 2 4 2 2" xfId="12263" xr:uid="{00000000-0005-0000-0000-0000EA2F0000}"/>
    <cellStyle name="40% - Énfasis2 7 2 4 3" xfId="12264" xr:uid="{00000000-0005-0000-0000-0000EB2F0000}"/>
    <cellStyle name="40% - Énfasis2 7 2 5" xfId="12265" xr:uid="{00000000-0005-0000-0000-0000EC2F0000}"/>
    <cellStyle name="40% - Énfasis2 7 2 5 2" xfId="12266" xr:uid="{00000000-0005-0000-0000-0000ED2F0000}"/>
    <cellStyle name="40% - Énfasis2 7 2 6" xfId="12267" xr:uid="{00000000-0005-0000-0000-0000EE2F0000}"/>
    <cellStyle name="40% - Énfasis2 7 3" xfId="12268" xr:uid="{00000000-0005-0000-0000-0000EF2F0000}"/>
    <cellStyle name="40% - Énfasis2 7 3 2" xfId="12269" xr:uid="{00000000-0005-0000-0000-0000F02F0000}"/>
    <cellStyle name="40% - Énfasis2 7 3 2 2" xfId="12270" xr:uid="{00000000-0005-0000-0000-0000F12F0000}"/>
    <cellStyle name="40% - Énfasis2 7 3 2 2 2" xfId="12271" xr:uid="{00000000-0005-0000-0000-0000F22F0000}"/>
    <cellStyle name="40% - Énfasis2 7 3 2 3" xfId="12272" xr:uid="{00000000-0005-0000-0000-0000F32F0000}"/>
    <cellStyle name="40% - Énfasis2 7 3 3" xfId="12273" xr:uid="{00000000-0005-0000-0000-0000F42F0000}"/>
    <cellStyle name="40% - Énfasis2 7 3 3 2" xfId="12274" xr:uid="{00000000-0005-0000-0000-0000F52F0000}"/>
    <cellStyle name="40% - Énfasis2 7 3 3 2 2" xfId="12275" xr:uid="{00000000-0005-0000-0000-0000F62F0000}"/>
    <cellStyle name="40% - Énfasis2 7 3 3 3" xfId="12276" xr:uid="{00000000-0005-0000-0000-0000F72F0000}"/>
    <cellStyle name="40% - Énfasis2 7 3 4" xfId="12277" xr:uid="{00000000-0005-0000-0000-0000F82F0000}"/>
    <cellStyle name="40% - Énfasis2 7 3 4 2" xfId="12278" xr:uid="{00000000-0005-0000-0000-0000F92F0000}"/>
    <cellStyle name="40% - Énfasis2 7 3 5" xfId="12279" xr:uid="{00000000-0005-0000-0000-0000FA2F0000}"/>
    <cellStyle name="40% - Énfasis2 7 4" xfId="12280" xr:uid="{00000000-0005-0000-0000-0000FB2F0000}"/>
    <cellStyle name="40% - Énfasis2 7 4 2" xfId="12281" xr:uid="{00000000-0005-0000-0000-0000FC2F0000}"/>
    <cellStyle name="40% - Énfasis2 7 4 2 2" xfId="12282" xr:uid="{00000000-0005-0000-0000-0000FD2F0000}"/>
    <cellStyle name="40% - Énfasis2 7 4 2 2 2" xfId="12283" xr:uid="{00000000-0005-0000-0000-0000FE2F0000}"/>
    <cellStyle name="40% - Énfasis2 7 4 2 3" xfId="12284" xr:uid="{00000000-0005-0000-0000-0000FF2F0000}"/>
    <cellStyle name="40% - Énfasis2 7 4 3" xfId="12285" xr:uid="{00000000-0005-0000-0000-000000300000}"/>
    <cellStyle name="40% - Énfasis2 7 4 3 2" xfId="12286" xr:uid="{00000000-0005-0000-0000-000001300000}"/>
    <cellStyle name="40% - Énfasis2 7 4 4" xfId="12287" xr:uid="{00000000-0005-0000-0000-000002300000}"/>
    <cellStyle name="40% - Énfasis2 7 5" xfId="12288" xr:uid="{00000000-0005-0000-0000-000003300000}"/>
    <cellStyle name="40% - Énfasis2 7 5 2" xfId="12289" xr:uid="{00000000-0005-0000-0000-000004300000}"/>
    <cellStyle name="40% - Énfasis2 7 5 2 2" xfId="12290" xr:uid="{00000000-0005-0000-0000-000005300000}"/>
    <cellStyle name="40% - Énfasis2 7 5 3" xfId="12291" xr:uid="{00000000-0005-0000-0000-000006300000}"/>
    <cellStyle name="40% - Énfasis2 7 6" xfId="12292" xr:uid="{00000000-0005-0000-0000-000007300000}"/>
    <cellStyle name="40% - Énfasis2 7 6 2" xfId="12293" xr:uid="{00000000-0005-0000-0000-000008300000}"/>
    <cellStyle name="40% - Énfasis2 7 6 2 2" xfId="12294" xr:uid="{00000000-0005-0000-0000-000009300000}"/>
    <cellStyle name="40% - Énfasis2 7 6 3" xfId="12295" xr:uid="{00000000-0005-0000-0000-00000A300000}"/>
    <cellStyle name="40% - Énfasis2 7 7" xfId="12296" xr:uid="{00000000-0005-0000-0000-00000B300000}"/>
    <cellStyle name="40% - Énfasis2 7 7 2" xfId="12297" xr:uid="{00000000-0005-0000-0000-00000C300000}"/>
    <cellStyle name="40% - Énfasis2 7 8" xfId="12298" xr:uid="{00000000-0005-0000-0000-00000D300000}"/>
    <cellStyle name="40% - Énfasis2 8" xfId="12299" xr:uid="{00000000-0005-0000-0000-00000E300000}"/>
    <cellStyle name="40% - Énfasis2 8 2" xfId="12300" xr:uid="{00000000-0005-0000-0000-00000F300000}"/>
    <cellStyle name="40% - Énfasis2 8 2 2" xfId="12301" xr:uid="{00000000-0005-0000-0000-000010300000}"/>
    <cellStyle name="40% - Énfasis2 8 2 2 2" xfId="12302" xr:uid="{00000000-0005-0000-0000-000011300000}"/>
    <cellStyle name="40% - Énfasis2 8 2 2 2 2" xfId="12303" xr:uid="{00000000-0005-0000-0000-000012300000}"/>
    <cellStyle name="40% - Énfasis2 8 2 2 2 2 2" xfId="12304" xr:uid="{00000000-0005-0000-0000-000013300000}"/>
    <cellStyle name="40% - Énfasis2 8 2 2 2 3" xfId="12305" xr:uid="{00000000-0005-0000-0000-000014300000}"/>
    <cellStyle name="40% - Énfasis2 8 2 2 3" xfId="12306" xr:uid="{00000000-0005-0000-0000-000015300000}"/>
    <cellStyle name="40% - Énfasis2 8 2 2 3 2" xfId="12307" xr:uid="{00000000-0005-0000-0000-000016300000}"/>
    <cellStyle name="40% - Énfasis2 8 2 2 4" xfId="12308" xr:uid="{00000000-0005-0000-0000-000017300000}"/>
    <cellStyle name="40% - Énfasis2 8 2 3" xfId="12309" xr:uid="{00000000-0005-0000-0000-000018300000}"/>
    <cellStyle name="40% - Énfasis2 8 2 3 2" xfId="12310" xr:uid="{00000000-0005-0000-0000-000019300000}"/>
    <cellStyle name="40% - Énfasis2 8 2 3 2 2" xfId="12311" xr:uid="{00000000-0005-0000-0000-00001A300000}"/>
    <cellStyle name="40% - Énfasis2 8 2 3 3" xfId="12312" xr:uid="{00000000-0005-0000-0000-00001B300000}"/>
    <cellStyle name="40% - Énfasis2 8 2 4" xfId="12313" xr:uid="{00000000-0005-0000-0000-00001C300000}"/>
    <cellStyle name="40% - Énfasis2 8 2 4 2" xfId="12314" xr:uid="{00000000-0005-0000-0000-00001D300000}"/>
    <cellStyle name="40% - Énfasis2 8 2 4 2 2" xfId="12315" xr:uid="{00000000-0005-0000-0000-00001E300000}"/>
    <cellStyle name="40% - Énfasis2 8 2 4 3" xfId="12316" xr:uid="{00000000-0005-0000-0000-00001F300000}"/>
    <cellStyle name="40% - Énfasis2 8 2 5" xfId="12317" xr:uid="{00000000-0005-0000-0000-000020300000}"/>
    <cellStyle name="40% - Énfasis2 8 2 5 2" xfId="12318" xr:uid="{00000000-0005-0000-0000-000021300000}"/>
    <cellStyle name="40% - Énfasis2 8 2 6" xfId="12319" xr:uid="{00000000-0005-0000-0000-000022300000}"/>
    <cellStyle name="40% - Énfasis2 8 3" xfId="12320" xr:uid="{00000000-0005-0000-0000-000023300000}"/>
    <cellStyle name="40% - Énfasis2 8 3 2" xfId="12321" xr:uid="{00000000-0005-0000-0000-000024300000}"/>
    <cellStyle name="40% - Énfasis2 8 3 2 2" xfId="12322" xr:uid="{00000000-0005-0000-0000-000025300000}"/>
    <cellStyle name="40% - Énfasis2 8 3 2 2 2" xfId="12323" xr:uid="{00000000-0005-0000-0000-000026300000}"/>
    <cellStyle name="40% - Énfasis2 8 3 2 3" xfId="12324" xr:uid="{00000000-0005-0000-0000-000027300000}"/>
    <cellStyle name="40% - Énfasis2 8 3 3" xfId="12325" xr:uid="{00000000-0005-0000-0000-000028300000}"/>
    <cellStyle name="40% - Énfasis2 8 3 3 2" xfId="12326" xr:uid="{00000000-0005-0000-0000-000029300000}"/>
    <cellStyle name="40% - Énfasis2 8 3 3 2 2" xfId="12327" xr:uid="{00000000-0005-0000-0000-00002A300000}"/>
    <cellStyle name="40% - Énfasis2 8 3 3 3" xfId="12328" xr:uid="{00000000-0005-0000-0000-00002B300000}"/>
    <cellStyle name="40% - Énfasis2 8 3 4" xfId="12329" xr:uid="{00000000-0005-0000-0000-00002C300000}"/>
    <cellStyle name="40% - Énfasis2 8 3 4 2" xfId="12330" xr:uid="{00000000-0005-0000-0000-00002D300000}"/>
    <cellStyle name="40% - Énfasis2 8 3 5" xfId="12331" xr:uid="{00000000-0005-0000-0000-00002E300000}"/>
    <cellStyle name="40% - Énfasis2 8 4" xfId="12332" xr:uid="{00000000-0005-0000-0000-00002F300000}"/>
    <cellStyle name="40% - Énfasis2 8 4 2" xfId="12333" xr:uid="{00000000-0005-0000-0000-000030300000}"/>
    <cellStyle name="40% - Énfasis2 8 4 2 2" xfId="12334" xr:uid="{00000000-0005-0000-0000-000031300000}"/>
    <cellStyle name="40% - Énfasis2 8 4 2 2 2" xfId="12335" xr:uid="{00000000-0005-0000-0000-000032300000}"/>
    <cellStyle name="40% - Énfasis2 8 4 2 3" xfId="12336" xr:uid="{00000000-0005-0000-0000-000033300000}"/>
    <cellStyle name="40% - Énfasis2 8 4 3" xfId="12337" xr:uid="{00000000-0005-0000-0000-000034300000}"/>
    <cellStyle name="40% - Énfasis2 8 4 3 2" xfId="12338" xr:uid="{00000000-0005-0000-0000-000035300000}"/>
    <cellStyle name="40% - Énfasis2 8 4 4" xfId="12339" xr:uid="{00000000-0005-0000-0000-000036300000}"/>
    <cellStyle name="40% - Énfasis2 8 5" xfId="12340" xr:uid="{00000000-0005-0000-0000-000037300000}"/>
    <cellStyle name="40% - Énfasis2 8 5 2" xfId="12341" xr:uid="{00000000-0005-0000-0000-000038300000}"/>
    <cellStyle name="40% - Énfasis2 8 5 2 2" xfId="12342" xr:uid="{00000000-0005-0000-0000-000039300000}"/>
    <cellStyle name="40% - Énfasis2 8 5 3" xfId="12343" xr:uid="{00000000-0005-0000-0000-00003A300000}"/>
    <cellStyle name="40% - Énfasis2 8 6" xfId="12344" xr:uid="{00000000-0005-0000-0000-00003B300000}"/>
    <cellStyle name="40% - Énfasis2 8 6 2" xfId="12345" xr:uid="{00000000-0005-0000-0000-00003C300000}"/>
    <cellStyle name="40% - Énfasis2 8 6 2 2" xfId="12346" xr:uid="{00000000-0005-0000-0000-00003D300000}"/>
    <cellStyle name="40% - Énfasis2 8 6 3" xfId="12347" xr:uid="{00000000-0005-0000-0000-00003E300000}"/>
    <cellStyle name="40% - Énfasis2 8 7" xfId="12348" xr:uid="{00000000-0005-0000-0000-00003F300000}"/>
    <cellStyle name="40% - Énfasis2 8 7 2" xfId="12349" xr:uid="{00000000-0005-0000-0000-000040300000}"/>
    <cellStyle name="40% - Énfasis2 8 8" xfId="12350" xr:uid="{00000000-0005-0000-0000-000041300000}"/>
    <cellStyle name="40% - Énfasis2 9" xfId="12351" xr:uid="{00000000-0005-0000-0000-000042300000}"/>
    <cellStyle name="40% - Énfasis2 9 2" xfId="12352" xr:uid="{00000000-0005-0000-0000-000043300000}"/>
    <cellStyle name="40% - Énfasis2 9 2 2" xfId="12353" xr:uid="{00000000-0005-0000-0000-000044300000}"/>
    <cellStyle name="40% - Énfasis2 9 2 2 2" xfId="12354" xr:uid="{00000000-0005-0000-0000-000045300000}"/>
    <cellStyle name="40% - Énfasis2 9 2 2 2 2" xfId="12355" xr:uid="{00000000-0005-0000-0000-000046300000}"/>
    <cellStyle name="40% - Énfasis2 9 2 2 2 2 2" xfId="12356" xr:uid="{00000000-0005-0000-0000-000047300000}"/>
    <cellStyle name="40% - Énfasis2 9 2 2 2 3" xfId="12357" xr:uid="{00000000-0005-0000-0000-000048300000}"/>
    <cellStyle name="40% - Énfasis2 9 2 2 3" xfId="12358" xr:uid="{00000000-0005-0000-0000-000049300000}"/>
    <cellStyle name="40% - Énfasis2 9 2 2 3 2" xfId="12359" xr:uid="{00000000-0005-0000-0000-00004A300000}"/>
    <cellStyle name="40% - Énfasis2 9 2 2 4" xfId="12360" xr:uid="{00000000-0005-0000-0000-00004B300000}"/>
    <cellStyle name="40% - Énfasis2 9 2 3" xfId="12361" xr:uid="{00000000-0005-0000-0000-00004C300000}"/>
    <cellStyle name="40% - Énfasis2 9 2 3 2" xfId="12362" xr:uid="{00000000-0005-0000-0000-00004D300000}"/>
    <cellStyle name="40% - Énfasis2 9 2 3 2 2" xfId="12363" xr:uid="{00000000-0005-0000-0000-00004E300000}"/>
    <cellStyle name="40% - Énfasis2 9 2 3 3" xfId="12364" xr:uid="{00000000-0005-0000-0000-00004F300000}"/>
    <cellStyle name="40% - Énfasis2 9 2 4" xfId="12365" xr:uid="{00000000-0005-0000-0000-000050300000}"/>
    <cellStyle name="40% - Énfasis2 9 2 4 2" xfId="12366" xr:uid="{00000000-0005-0000-0000-000051300000}"/>
    <cellStyle name="40% - Énfasis2 9 2 4 2 2" xfId="12367" xr:uid="{00000000-0005-0000-0000-000052300000}"/>
    <cellStyle name="40% - Énfasis2 9 2 4 3" xfId="12368" xr:uid="{00000000-0005-0000-0000-000053300000}"/>
    <cellStyle name="40% - Énfasis2 9 2 5" xfId="12369" xr:uid="{00000000-0005-0000-0000-000054300000}"/>
    <cellStyle name="40% - Énfasis2 9 2 5 2" xfId="12370" xr:uid="{00000000-0005-0000-0000-000055300000}"/>
    <cellStyle name="40% - Énfasis2 9 2 6" xfId="12371" xr:uid="{00000000-0005-0000-0000-000056300000}"/>
    <cellStyle name="40% - Énfasis2 9 3" xfId="12372" xr:uid="{00000000-0005-0000-0000-000057300000}"/>
    <cellStyle name="40% - Énfasis2 9 3 2" xfId="12373" xr:uid="{00000000-0005-0000-0000-000058300000}"/>
    <cellStyle name="40% - Énfasis2 9 3 2 2" xfId="12374" xr:uid="{00000000-0005-0000-0000-000059300000}"/>
    <cellStyle name="40% - Énfasis2 9 3 2 2 2" xfId="12375" xr:uid="{00000000-0005-0000-0000-00005A300000}"/>
    <cellStyle name="40% - Énfasis2 9 3 2 3" xfId="12376" xr:uid="{00000000-0005-0000-0000-00005B300000}"/>
    <cellStyle name="40% - Énfasis2 9 3 3" xfId="12377" xr:uid="{00000000-0005-0000-0000-00005C300000}"/>
    <cellStyle name="40% - Énfasis2 9 3 3 2" xfId="12378" xr:uid="{00000000-0005-0000-0000-00005D300000}"/>
    <cellStyle name="40% - Énfasis2 9 3 3 2 2" xfId="12379" xr:uid="{00000000-0005-0000-0000-00005E300000}"/>
    <cellStyle name="40% - Énfasis2 9 3 3 3" xfId="12380" xr:uid="{00000000-0005-0000-0000-00005F300000}"/>
    <cellStyle name="40% - Énfasis2 9 3 4" xfId="12381" xr:uid="{00000000-0005-0000-0000-000060300000}"/>
    <cellStyle name="40% - Énfasis2 9 3 4 2" xfId="12382" xr:uid="{00000000-0005-0000-0000-000061300000}"/>
    <cellStyle name="40% - Énfasis2 9 3 5" xfId="12383" xr:uid="{00000000-0005-0000-0000-000062300000}"/>
    <cellStyle name="40% - Énfasis2 9 4" xfId="12384" xr:uid="{00000000-0005-0000-0000-000063300000}"/>
    <cellStyle name="40% - Énfasis2 9 4 2" xfId="12385" xr:uid="{00000000-0005-0000-0000-000064300000}"/>
    <cellStyle name="40% - Énfasis2 9 4 2 2" xfId="12386" xr:uid="{00000000-0005-0000-0000-000065300000}"/>
    <cellStyle name="40% - Énfasis2 9 4 2 2 2" xfId="12387" xr:uid="{00000000-0005-0000-0000-000066300000}"/>
    <cellStyle name="40% - Énfasis2 9 4 2 3" xfId="12388" xr:uid="{00000000-0005-0000-0000-000067300000}"/>
    <cellStyle name="40% - Énfasis2 9 4 3" xfId="12389" xr:uid="{00000000-0005-0000-0000-000068300000}"/>
    <cellStyle name="40% - Énfasis2 9 4 3 2" xfId="12390" xr:uid="{00000000-0005-0000-0000-000069300000}"/>
    <cellStyle name="40% - Énfasis2 9 4 4" xfId="12391" xr:uid="{00000000-0005-0000-0000-00006A300000}"/>
    <cellStyle name="40% - Énfasis2 9 5" xfId="12392" xr:uid="{00000000-0005-0000-0000-00006B300000}"/>
    <cellStyle name="40% - Énfasis2 9 5 2" xfId="12393" xr:uid="{00000000-0005-0000-0000-00006C300000}"/>
    <cellStyle name="40% - Énfasis2 9 5 2 2" xfId="12394" xr:uid="{00000000-0005-0000-0000-00006D300000}"/>
    <cellStyle name="40% - Énfasis2 9 5 3" xfId="12395" xr:uid="{00000000-0005-0000-0000-00006E300000}"/>
    <cellStyle name="40% - Énfasis2 9 6" xfId="12396" xr:uid="{00000000-0005-0000-0000-00006F300000}"/>
    <cellStyle name="40% - Énfasis2 9 6 2" xfId="12397" xr:uid="{00000000-0005-0000-0000-000070300000}"/>
    <cellStyle name="40% - Énfasis2 9 6 2 2" xfId="12398" xr:uid="{00000000-0005-0000-0000-000071300000}"/>
    <cellStyle name="40% - Énfasis2 9 6 3" xfId="12399" xr:uid="{00000000-0005-0000-0000-000072300000}"/>
    <cellStyle name="40% - Énfasis2 9 7" xfId="12400" xr:uid="{00000000-0005-0000-0000-000073300000}"/>
    <cellStyle name="40% - Énfasis2 9 7 2" xfId="12401" xr:uid="{00000000-0005-0000-0000-000074300000}"/>
    <cellStyle name="40% - Énfasis2 9 8" xfId="12402" xr:uid="{00000000-0005-0000-0000-000075300000}"/>
    <cellStyle name="40% - Énfasis3 10" xfId="12403" xr:uid="{00000000-0005-0000-0000-000076300000}"/>
    <cellStyle name="40% - Énfasis3 10 2" xfId="12404" xr:uid="{00000000-0005-0000-0000-000077300000}"/>
    <cellStyle name="40% - Énfasis3 10 2 2" xfId="12405" xr:uid="{00000000-0005-0000-0000-000078300000}"/>
    <cellStyle name="40% - Énfasis3 10 2 2 2" xfId="12406" xr:uid="{00000000-0005-0000-0000-000079300000}"/>
    <cellStyle name="40% - Énfasis3 10 2 2 2 2" xfId="12407" xr:uid="{00000000-0005-0000-0000-00007A300000}"/>
    <cellStyle name="40% - Énfasis3 10 2 2 2 2 2" xfId="12408" xr:uid="{00000000-0005-0000-0000-00007B300000}"/>
    <cellStyle name="40% - Énfasis3 10 2 2 2 3" xfId="12409" xr:uid="{00000000-0005-0000-0000-00007C300000}"/>
    <cellStyle name="40% - Énfasis3 10 2 2 3" xfId="12410" xr:uid="{00000000-0005-0000-0000-00007D300000}"/>
    <cellStyle name="40% - Énfasis3 10 2 2 3 2" xfId="12411" xr:uid="{00000000-0005-0000-0000-00007E300000}"/>
    <cellStyle name="40% - Énfasis3 10 2 2 4" xfId="12412" xr:uid="{00000000-0005-0000-0000-00007F300000}"/>
    <cellStyle name="40% - Énfasis3 10 2 3" xfId="12413" xr:uid="{00000000-0005-0000-0000-000080300000}"/>
    <cellStyle name="40% - Énfasis3 10 2 3 2" xfId="12414" xr:uid="{00000000-0005-0000-0000-000081300000}"/>
    <cellStyle name="40% - Énfasis3 10 2 3 2 2" xfId="12415" xr:uid="{00000000-0005-0000-0000-000082300000}"/>
    <cellStyle name="40% - Énfasis3 10 2 3 3" xfId="12416" xr:uid="{00000000-0005-0000-0000-000083300000}"/>
    <cellStyle name="40% - Énfasis3 10 2 4" xfId="12417" xr:uid="{00000000-0005-0000-0000-000084300000}"/>
    <cellStyle name="40% - Énfasis3 10 2 4 2" xfId="12418" xr:uid="{00000000-0005-0000-0000-000085300000}"/>
    <cellStyle name="40% - Énfasis3 10 2 4 2 2" xfId="12419" xr:uid="{00000000-0005-0000-0000-000086300000}"/>
    <cellStyle name="40% - Énfasis3 10 2 4 3" xfId="12420" xr:uid="{00000000-0005-0000-0000-000087300000}"/>
    <cellStyle name="40% - Énfasis3 10 2 5" xfId="12421" xr:uid="{00000000-0005-0000-0000-000088300000}"/>
    <cellStyle name="40% - Énfasis3 10 2 5 2" xfId="12422" xr:uid="{00000000-0005-0000-0000-000089300000}"/>
    <cellStyle name="40% - Énfasis3 10 2 6" xfId="12423" xr:uid="{00000000-0005-0000-0000-00008A300000}"/>
    <cellStyle name="40% - Énfasis3 10 3" xfId="12424" xr:uid="{00000000-0005-0000-0000-00008B300000}"/>
    <cellStyle name="40% - Énfasis3 10 3 2" xfId="12425" xr:uid="{00000000-0005-0000-0000-00008C300000}"/>
    <cellStyle name="40% - Énfasis3 10 3 2 2" xfId="12426" xr:uid="{00000000-0005-0000-0000-00008D300000}"/>
    <cellStyle name="40% - Énfasis3 10 3 2 2 2" xfId="12427" xr:uid="{00000000-0005-0000-0000-00008E300000}"/>
    <cellStyle name="40% - Énfasis3 10 3 2 3" xfId="12428" xr:uid="{00000000-0005-0000-0000-00008F300000}"/>
    <cellStyle name="40% - Énfasis3 10 3 3" xfId="12429" xr:uid="{00000000-0005-0000-0000-000090300000}"/>
    <cellStyle name="40% - Énfasis3 10 3 3 2" xfId="12430" xr:uid="{00000000-0005-0000-0000-000091300000}"/>
    <cellStyle name="40% - Énfasis3 10 3 3 2 2" xfId="12431" xr:uid="{00000000-0005-0000-0000-000092300000}"/>
    <cellStyle name="40% - Énfasis3 10 3 3 3" xfId="12432" xr:uid="{00000000-0005-0000-0000-000093300000}"/>
    <cellStyle name="40% - Énfasis3 10 3 4" xfId="12433" xr:uid="{00000000-0005-0000-0000-000094300000}"/>
    <cellStyle name="40% - Énfasis3 10 3 4 2" xfId="12434" xr:uid="{00000000-0005-0000-0000-000095300000}"/>
    <cellStyle name="40% - Énfasis3 10 3 5" xfId="12435" xr:uid="{00000000-0005-0000-0000-000096300000}"/>
    <cellStyle name="40% - Énfasis3 10 4" xfId="12436" xr:uid="{00000000-0005-0000-0000-000097300000}"/>
    <cellStyle name="40% - Énfasis3 10 4 2" xfId="12437" xr:uid="{00000000-0005-0000-0000-000098300000}"/>
    <cellStyle name="40% - Énfasis3 10 4 2 2" xfId="12438" xr:uid="{00000000-0005-0000-0000-000099300000}"/>
    <cellStyle name="40% - Énfasis3 10 4 2 2 2" xfId="12439" xr:uid="{00000000-0005-0000-0000-00009A300000}"/>
    <cellStyle name="40% - Énfasis3 10 4 2 3" xfId="12440" xr:uid="{00000000-0005-0000-0000-00009B300000}"/>
    <cellStyle name="40% - Énfasis3 10 4 3" xfId="12441" xr:uid="{00000000-0005-0000-0000-00009C300000}"/>
    <cellStyle name="40% - Énfasis3 10 4 3 2" xfId="12442" xr:uid="{00000000-0005-0000-0000-00009D300000}"/>
    <cellStyle name="40% - Énfasis3 10 4 4" xfId="12443" xr:uid="{00000000-0005-0000-0000-00009E300000}"/>
    <cellStyle name="40% - Énfasis3 10 5" xfId="12444" xr:uid="{00000000-0005-0000-0000-00009F300000}"/>
    <cellStyle name="40% - Énfasis3 10 5 2" xfId="12445" xr:uid="{00000000-0005-0000-0000-0000A0300000}"/>
    <cellStyle name="40% - Énfasis3 10 5 2 2" xfId="12446" xr:uid="{00000000-0005-0000-0000-0000A1300000}"/>
    <cellStyle name="40% - Énfasis3 10 5 3" xfId="12447" xr:uid="{00000000-0005-0000-0000-0000A2300000}"/>
    <cellStyle name="40% - Énfasis3 10 6" xfId="12448" xr:uid="{00000000-0005-0000-0000-0000A3300000}"/>
    <cellStyle name="40% - Énfasis3 10 6 2" xfId="12449" xr:uid="{00000000-0005-0000-0000-0000A4300000}"/>
    <cellStyle name="40% - Énfasis3 10 6 2 2" xfId="12450" xr:uid="{00000000-0005-0000-0000-0000A5300000}"/>
    <cellStyle name="40% - Énfasis3 10 6 3" xfId="12451" xr:uid="{00000000-0005-0000-0000-0000A6300000}"/>
    <cellStyle name="40% - Énfasis3 10 7" xfId="12452" xr:uid="{00000000-0005-0000-0000-0000A7300000}"/>
    <cellStyle name="40% - Énfasis3 10 7 2" xfId="12453" xr:uid="{00000000-0005-0000-0000-0000A8300000}"/>
    <cellStyle name="40% - Énfasis3 10 8" xfId="12454" xr:uid="{00000000-0005-0000-0000-0000A9300000}"/>
    <cellStyle name="40% - Énfasis3 11" xfId="12455" xr:uid="{00000000-0005-0000-0000-0000AA300000}"/>
    <cellStyle name="40% - Énfasis3 11 2" xfId="12456" xr:uid="{00000000-0005-0000-0000-0000AB300000}"/>
    <cellStyle name="40% - Énfasis3 11 2 2" xfId="12457" xr:uid="{00000000-0005-0000-0000-0000AC300000}"/>
    <cellStyle name="40% - Énfasis3 11 2 2 2" xfId="12458" xr:uid="{00000000-0005-0000-0000-0000AD300000}"/>
    <cellStyle name="40% - Énfasis3 11 2 2 2 2" xfId="12459" xr:uid="{00000000-0005-0000-0000-0000AE300000}"/>
    <cellStyle name="40% - Énfasis3 11 2 2 2 2 2" xfId="12460" xr:uid="{00000000-0005-0000-0000-0000AF300000}"/>
    <cellStyle name="40% - Énfasis3 11 2 2 2 3" xfId="12461" xr:uid="{00000000-0005-0000-0000-0000B0300000}"/>
    <cellStyle name="40% - Énfasis3 11 2 2 3" xfId="12462" xr:uid="{00000000-0005-0000-0000-0000B1300000}"/>
    <cellStyle name="40% - Énfasis3 11 2 2 3 2" xfId="12463" xr:uid="{00000000-0005-0000-0000-0000B2300000}"/>
    <cellStyle name="40% - Énfasis3 11 2 2 4" xfId="12464" xr:uid="{00000000-0005-0000-0000-0000B3300000}"/>
    <cellStyle name="40% - Énfasis3 11 2 3" xfId="12465" xr:uid="{00000000-0005-0000-0000-0000B4300000}"/>
    <cellStyle name="40% - Énfasis3 11 2 3 2" xfId="12466" xr:uid="{00000000-0005-0000-0000-0000B5300000}"/>
    <cellStyle name="40% - Énfasis3 11 2 3 2 2" xfId="12467" xr:uid="{00000000-0005-0000-0000-0000B6300000}"/>
    <cellStyle name="40% - Énfasis3 11 2 3 3" xfId="12468" xr:uid="{00000000-0005-0000-0000-0000B7300000}"/>
    <cellStyle name="40% - Énfasis3 11 2 4" xfId="12469" xr:uid="{00000000-0005-0000-0000-0000B8300000}"/>
    <cellStyle name="40% - Énfasis3 11 2 4 2" xfId="12470" xr:uid="{00000000-0005-0000-0000-0000B9300000}"/>
    <cellStyle name="40% - Énfasis3 11 2 4 2 2" xfId="12471" xr:uid="{00000000-0005-0000-0000-0000BA300000}"/>
    <cellStyle name="40% - Énfasis3 11 2 4 3" xfId="12472" xr:uid="{00000000-0005-0000-0000-0000BB300000}"/>
    <cellStyle name="40% - Énfasis3 11 2 5" xfId="12473" xr:uid="{00000000-0005-0000-0000-0000BC300000}"/>
    <cellStyle name="40% - Énfasis3 11 2 5 2" xfId="12474" xr:uid="{00000000-0005-0000-0000-0000BD300000}"/>
    <cellStyle name="40% - Énfasis3 11 2 6" xfId="12475" xr:uid="{00000000-0005-0000-0000-0000BE300000}"/>
    <cellStyle name="40% - Énfasis3 11 3" xfId="12476" xr:uid="{00000000-0005-0000-0000-0000BF300000}"/>
    <cellStyle name="40% - Énfasis3 11 3 2" xfId="12477" xr:uid="{00000000-0005-0000-0000-0000C0300000}"/>
    <cellStyle name="40% - Énfasis3 11 3 2 2" xfId="12478" xr:uid="{00000000-0005-0000-0000-0000C1300000}"/>
    <cellStyle name="40% - Énfasis3 11 3 2 2 2" xfId="12479" xr:uid="{00000000-0005-0000-0000-0000C2300000}"/>
    <cellStyle name="40% - Énfasis3 11 3 2 3" xfId="12480" xr:uid="{00000000-0005-0000-0000-0000C3300000}"/>
    <cellStyle name="40% - Énfasis3 11 3 3" xfId="12481" xr:uid="{00000000-0005-0000-0000-0000C4300000}"/>
    <cellStyle name="40% - Énfasis3 11 3 3 2" xfId="12482" xr:uid="{00000000-0005-0000-0000-0000C5300000}"/>
    <cellStyle name="40% - Énfasis3 11 3 3 2 2" xfId="12483" xr:uid="{00000000-0005-0000-0000-0000C6300000}"/>
    <cellStyle name="40% - Énfasis3 11 3 3 3" xfId="12484" xr:uid="{00000000-0005-0000-0000-0000C7300000}"/>
    <cellStyle name="40% - Énfasis3 11 3 4" xfId="12485" xr:uid="{00000000-0005-0000-0000-0000C8300000}"/>
    <cellStyle name="40% - Énfasis3 11 3 4 2" xfId="12486" xr:uid="{00000000-0005-0000-0000-0000C9300000}"/>
    <cellStyle name="40% - Énfasis3 11 3 5" xfId="12487" xr:uid="{00000000-0005-0000-0000-0000CA300000}"/>
    <cellStyle name="40% - Énfasis3 11 4" xfId="12488" xr:uid="{00000000-0005-0000-0000-0000CB300000}"/>
    <cellStyle name="40% - Énfasis3 11 4 2" xfId="12489" xr:uid="{00000000-0005-0000-0000-0000CC300000}"/>
    <cellStyle name="40% - Énfasis3 11 4 2 2" xfId="12490" xr:uid="{00000000-0005-0000-0000-0000CD300000}"/>
    <cellStyle name="40% - Énfasis3 11 4 2 2 2" xfId="12491" xr:uid="{00000000-0005-0000-0000-0000CE300000}"/>
    <cellStyle name="40% - Énfasis3 11 4 2 3" xfId="12492" xr:uid="{00000000-0005-0000-0000-0000CF300000}"/>
    <cellStyle name="40% - Énfasis3 11 4 3" xfId="12493" xr:uid="{00000000-0005-0000-0000-0000D0300000}"/>
    <cellStyle name="40% - Énfasis3 11 4 3 2" xfId="12494" xr:uid="{00000000-0005-0000-0000-0000D1300000}"/>
    <cellStyle name="40% - Énfasis3 11 4 4" xfId="12495" xr:uid="{00000000-0005-0000-0000-0000D2300000}"/>
    <cellStyle name="40% - Énfasis3 11 5" xfId="12496" xr:uid="{00000000-0005-0000-0000-0000D3300000}"/>
    <cellStyle name="40% - Énfasis3 11 5 2" xfId="12497" xr:uid="{00000000-0005-0000-0000-0000D4300000}"/>
    <cellStyle name="40% - Énfasis3 11 5 2 2" xfId="12498" xr:uid="{00000000-0005-0000-0000-0000D5300000}"/>
    <cellStyle name="40% - Énfasis3 11 5 3" xfId="12499" xr:uid="{00000000-0005-0000-0000-0000D6300000}"/>
    <cellStyle name="40% - Énfasis3 11 6" xfId="12500" xr:uid="{00000000-0005-0000-0000-0000D7300000}"/>
    <cellStyle name="40% - Énfasis3 11 6 2" xfId="12501" xr:uid="{00000000-0005-0000-0000-0000D8300000}"/>
    <cellStyle name="40% - Énfasis3 11 6 2 2" xfId="12502" xr:uid="{00000000-0005-0000-0000-0000D9300000}"/>
    <cellStyle name="40% - Énfasis3 11 6 3" xfId="12503" xr:uid="{00000000-0005-0000-0000-0000DA300000}"/>
    <cellStyle name="40% - Énfasis3 11 7" xfId="12504" xr:uid="{00000000-0005-0000-0000-0000DB300000}"/>
    <cellStyle name="40% - Énfasis3 11 7 2" xfId="12505" xr:uid="{00000000-0005-0000-0000-0000DC300000}"/>
    <cellStyle name="40% - Énfasis3 11 8" xfId="12506" xr:uid="{00000000-0005-0000-0000-0000DD300000}"/>
    <cellStyle name="40% - Énfasis3 12" xfId="12507" xr:uid="{00000000-0005-0000-0000-0000DE300000}"/>
    <cellStyle name="40% - Énfasis3 12 2" xfId="12508" xr:uid="{00000000-0005-0000-0000-0000DF300000}"/>
    <cellStyle name="40% - Énfasis3 12 2 2" xfId="12509" xr:uid="{00000000-0005-0000-0000-0000E0300000}"/>
    <cellStyle name="40% - Énfasis3 12 2 2 2" xfId="12510" xr:uid="{00000000-0005-0000-0000-0000E1300000}"/>
    <cellStyle name="40% - Énfasis3 12 2 2 2 2" xfId="12511" xr:uid="{00000000-0005-0000-0000-0000E2300000}"/>
    <cellStyle name="40% - Énfasis3 12 2 2 2 2 2" xfId="12512" xr:uid="{00000000-0005-0000-0000-0000E3300000}"/>
    <cellStyle name="40% - Énfasis3 12 2 2 2 3" xfId="12513" xr:uid="{00000000-0005-0000-0000-0000E4300000}"/>
    <cellStyle name="40% - Énfasis3 12 2 2 3" xfId="12514" xr:uid="{00000000-0005-0000-0000-0000E5300000}"/>
    <cellStyle name="40% - Énfasis3 12 2 2 3 2" xfId="12515" xr:uid="{00000000-0005-0000-0000-0000E6300000}"/>
    <cellStyle name="40% - Énfasis3 12 2 2 4" xfId="12516" xr:uid="{00000000-0005-0000-0000-0000E7300000}"/>
    <cellStyle name="40% - Énfasis3 12 2 3" xfId="12517" xr:uid="{00000000-0005-0000-0000-0000E8300000}"/>
    <cellStyle name="40% - Énfasis3 12 2 3 2" xfId="12518" xr:uid="{00000000-0005-0000-0000-0000E9300000}"/>
    <cellStyle name="40% - Énfasis3 12 2 3 2 2" xfId="12519" xr:uid="{00000000-0005-0000-0000-0000EA300000}"/>
    <cellStyle name="40% - Énfasis3 12 2 3 3" xfId="12520" xr:uid="{00000000-0005-0000-0000-0000EB300000}"/>
    <cellStyle name="40% - Énfasis3 12 2 4" xfId="12521" xr:uid="{00000000-0005-0000-0000-0000EC300000}"/>
    <cellStyle name="40% - Énfasis3 12 2 4 2" xfId="12522" xr:uid="{00000000-0005-0000-0000-0000ED300000}"/>
    <cellStyle name="40% - Énfasis3 12 2 4 2 2" xfId="12523" xr:uid="{00000000-0005-0000-0000-0000EE300000}"/>
    <cellStyle name="40% - Énfasis3 12 2 4 3" xfId="12524" xr:uid="{00000000-0005-0000-0000-0000EF300000}"/>
    <cellStyle name="40% - Énfasis3 12 2 5" xfId="12525" xr:uid="{00000000-0005-0000-0000-0000F0300000}"/>
    <cellStyle name="40% - Énfasis3 12 2 5 2" xfId="12526" xr:uid="{00000000-0005-0000-0000-0000F1300000}"/>
    <cellStyle name="40% - Énfasis3 12 2 6" xfId="12527" xr:uid="{00000000-0005-0000-0000-0000F2300000}"/>
    <cellStyle name="40% - Énfasis3 12 3" xfId="12528" xr:uid="{00000000-0005-0000-0000-0000F3300000}"/>
    <cellStyle name="40% - Énfasis3 12 3 2" xfId="12529" xr:uid="{00000000-0005-0000-0000-0000F4300000}"/>
    <cellStyle name="40% - Énfasis3 12 3 2 2" xfId="12530" xr:uid="{00000000-0005-0000-0000-0000F5300000}"/>
    <cellStyle name="40% - Énfasis3 12 3 2 2 2" xfId="12531" xr:uid="{00000000-0005-0000-0000-0000F6300000}"/>
    <cellStyle name="40% - Énfasis3 12 3 2 3" xfId="12532" xr:uid="{00000000-0005-0000-0000-0000F7300000}"/>
    <cellStyle name="40% - Énfasis3 12 3 3" xfId="12533" xr:uid="{00000000-0005-0000-0000-0000F8300000}"/>
    <cellStyle name="40% - Énfasis3 12 3 3 2" xfId="12534" xr:uid="{00000000-0005-0000-0000-0000F9300000}"/>
    <cellStyle name="40% - Énfasis3 12 3 3 2 2" xfId="12535" xr:uid="{00000000-0005-0000-0000-0000FA300000}"/>
    <cellStyle name="40% - Énfasis3 12 3 3 3" xfId="12536" xr:uid="{00000000-0005-0000-0000-0000FB300000}"/>
    <cellStyle name="40% - Énfasis3 12 3 4" xfId="12537" xr:uid="{00000000-0005-0000-0000-0000FC300000}"/>
    <cellStyle name="40% - Énfasis3 12 3 4 2" xfId="12538" xr:uid="{00000000-0005-0000-0000-0000FD300000}"/>
    <cellStyle name="40% - Énfasis3 12 3 5" xfId="12539" xr:uid="{00000000-0005-0000-0000-0000FE300000}"/>
    <cellStyle name="40% - Énfasis3 12 4" xfId="12540" xr:uid="{00000000-0005-0000-0000-0000FF300000}"/>
    <cellStyle name="40% - Énfasis3 12 4 2" xfId="12541" xr:uid="{00000000-0005-0000-0000-000000310000}"/>
    <cellStyle name="40% - Énfasis3 12 4 2 2" xfId="12542" xr:uid="{00000000-0005-0000-0000-000001310000}"/>
    <cellStyle name="40% - Énfasis3 12 4 2 2 2" xfId="12543" xr:uid="{00000000-0005-0000-0000-000002310000}"/>
    <cellStyle name="40% - Énfasis3 12 4 2 3" xfId="12544" xr:uid="{00000000-0005-0000-0000-000003310000}"/>
    <cellStyle name="40% - Énfasis3 12 4 3" xfId="12545" xr:uid="{00000000-0005-0000-0000-000004310000}"/>
    <cellStyle name="40% - Énfasis3 12 4 3 2" xfId="12546" xr:uid="{00000000-0005-0000-0000-000005310000}"/>
    <cellStyle name="40% - Énfasis3 12 4 4" xfId="12547" xr:uid="{00000000-0005-0000-0000-000006310000}"/>
    <cellStyle name="40% - Énfasis3 12 5" xfId="12548" xr:uid="{00000000-0005-0000-0000-000007310000}"/>
    <cellStyle name="40% - Énfasis3 12 5 2" xfId="12549" xr:uid="{00000000-0005-0000-0000-000008310000}"/>
    <cellStyle name="40% - Énfasis3 12 5 2 2" xfId="12550" xr:uid="{00000000-0005-0000-0000-000009310000}"/>
    <cellStyle name="40% - Énfasis3 12 5 3" xfId="12551" xr:uid="{00000000-0005-0000-0000-00000A310000}"/>
    <cellStyle name="40% - Énfasis3 12 6" xfId="12552" xr:uid="{00000000-0005-0000-0000-00000B310000}"/>
    <cellStyle name="40% - Énfasis3 12 6 2" xfId="12553" xr:uid="{00000000-0005-0000-0000-00000C310000}"/>
    <cellStyle name="40% - Énfasis3 12 6 2 2" xfId="12554" xr:uid="{00000000-0005-0000-0000-00000D310000}"/>
    <cellStyle name="40% - Énfasis3 12 6 3" xfId="12555" xr:uid="{00000000-0005-0000-0000-00000E310000}"/>
    <cellStyle name="40% - Énfasis3 12 7" xfId="12556" xr:uid="{00000000-0005-0000-0000-00000F310000}"/>
    <cellStyle name="40% - Énfasis3 12 7 2" xfId="12557" xr:uid="{00000000-0005-0000-0000-000010310000}"/>
    <cellStyle name="40% - Énfasis3 12 8" xfId="12558" xr:uid="{00000000-0005-0000-0000-000011310000}"/>
    <cellStyle name="40% - Énfasis3 13" xfId="12559" xr:uid="{00000000-0005-0000-0000-000012310000}"/>
    <cellStyle name="40% - Énfasis3 13 2" xfId="12560" xr:uid="{00000000-0005-0000-0000-000013310000}"/>
    <cellStyle name="40% - Énfasis3 13 2 2" xfId="12561" xr:uid="{00000000-0005-0000-0000-000014310000}"/>
    <cellStyle name="40% - Énfasis3 13 2 2 2" xfId="12562" xr:uid="{00000000-0005-0000-0000-000015310000}"/>
    <cellStyle name="40% - Énfasis3 13 2 2 2 2" xfId="12563" xr:uid="{00000000-0005-0000-0000-000016310000}"/>
    <cellStyle name="40% - Énfasis3 13 2 2 2 2 2" xfId="12564" xr:uid="{00000000-0005-0000-0000-000017310000}"/>
    <cellStyle name="40% - Énfasis3 13 2 2 2 3" xfId="12565" xr:uid="{00000000-0005-0000-0000-000018310000}"/>
    <cellStyle name="40% - Énfasis3 13 2 2 3" xfId="12566" xr:uid="{00000000-0005-0000-0000-000019310000}"/>
    <cellStyle name="40% - Énfasis3 13 2 2 3 2" xfId="12567" xr:uid="{00000000-0005-0000-0000-00001A310000}"/>
    <cellStyle name="40% - Énfasis3 13 2 2 4" xfId="12568" xr:uid="{00000000-0005-0000-0000-00001B310000}"/>
    <cellStyle name="40% - Énfasis3 13 2 3" xfId="12569" xr:uid="{00000000-0005-0000-0000-00001C310000}"/>
    <cellStyle name="40% - Énfasis3 13 2 3 2" xfId="12570" xr:uid="{00000000-0005-0000-0000-00001D310000}"/>
    <cellStyle name="40% - Énfasis3 13 2 3 2 2" xfId="12571" xr:uid="{00000000-0005-0000-0000-00001E310000}"/>
    <cellStyle name="40% - Énfasis3 13 2 3 3" xfId="12572" xr:uid="{00000000-0005-0000-0000-00001F310000}"/>
    <cellStyle name="40% - Énfasis3 13 2 4" xfId="12573" xr:uid="{00000000-0005-0000-0000-000020310000}"/>
    <cellStyle name="40% - Énfasis3 13 2 4 2" xfId="12574" xr:uid="{00000000-0005-0000-0000-000021310000}"/>
    <cellStyle name="40% - Énfasis3 13 2 4 2 2" xfId="12575" xr:uid="{00000000-0005-0000-0000-000022310000}"/>
    <cellStyle name="40% - Énfasis3 13 2 4 3" xfId="12576" xr:uid="{00000000-0005-0000-0000-000023310000}"/>
    <cellStyle name="40% - Énfasis3 13 2 5" xfId="12577" xr:uid="{00000000-0005-0000-0000-000024310000}"/>
    <cellStyle name="40% - Énfasis3 13 2 5 2" xfId="12578" xr:uid="{00000000-0005-0000-0000-000025310000}"/>
    <cellStyle name="40% - Énfasis3 13 2 6" xfId="12579" xr:uid="{00000000-0005-0000-0000-000026310000}"/>
    <cellStyle name="40% - Énfasis3 13 3" xfId="12580" xr:uid="{00000000-0005-0000-0000-000027310000}"/>
    <cellStyle name="40% - Énfasis3 13 3 2" xfId="12581" xr:uid="{00000000-0005-0000-0000-000028310000}"/>
    <cellStyle name="40% - Énfasis3 13 3 2 2" xfId="12582" xr:uid="{00000000-0005-0000-0000-000029310000}"/>
    <cellStyle name="40% - Énfasis3 13 3 2 2 2" xfId="12583" xr:uid="{00000000-0005-0000-0000-00002A310000}"/>
    <cellStyle name="40% - Énfasis3 13 3 2 3" xfId="12584" xr:uid="{00000000-0005-0000-0000-00002B310000}"/>
    <cellStyle name="40% - Énfasis3 13 3 3" xfId="12585" xr:uid="{00000000-0005-0000-0000-00002C310000}"/>
    <cellStyle name="40% - Énfasis3 13 3 3 2" xfId="12586" xr:uid="{00000000-0005-0000-0000-00002D310000}"/>
    <cellStyle name="40% - Énfasis3 13 3 3 2 2" xfId="12587" xr:uid="{00000000-0005-0000-0000-00002E310000}"/>
    <cellStyle name="40% - Énfasis3 13 3 3 3" xfId="12588" xr:uid="{00000000-0005-0000-0000-00002F310000}"/>
    <cellStyle name="40% - Énfasis3 13 3 4" xfId="12589" xr:uid="{00000000-0005-0000-0000-000030310000}"/>
    <cellStyle name="40% - Énfasis3 13 3 4 2" xfId="12590" xr:uid="{00000000-0005-0000-0000-000031310000}"/>
    <cellStyle name="40% - Énfasis3 13 3 5" xfId="12591" xr:uid="{00000000-0005-0000-0000-000032310000}"/>
    <cellStyle name="40% - Énfasis3 13 4" xfId="12592" xr:uid="{00000000-0005-0000-0000-000033310000}"/>
    <cellStyle name="40% - Énfasis3 13 4 2" xfId="12593" xr:uid="{00000000-0005-0000-0000-000034310000}"/>
    <cellStyle name="40% - Énfasis3 13 4 2 2" xfId="12594" xr:uid="{00000000-0005-0000-0000-000035310000}"/>
    <cellStyle name="40% - Énfasis3 13 4 2 2 2" xfId="12595" xr:uid="{00000000-0005-0000-0000-000036310000}"/>
    <cellStyle name="40% - Énfasis3 13 4 2 3" xfId="12596" xr:uid="{00000000-0005-0000-0000-000037310000}"/>
    <cellStyle name="40% - Énfasis3 13 4 3" xfId="12597" xr:uid="{00000000-0005-0000-0000-000038310000}"/>
    <cellStyle name="40% - Énfasis3 13 4 3 2" xfId="12598" xr:uid="{00000000-0005-0000-0000-000039310000}"/>
    <cellStyle name="40% - Énfasis3 13 4 4" xfId="12599" xr:uid="{00000000-0005-0000-0000-00003A310000}"/>
    <cellStyle name="40% - Énfasis3 13 5" xfId="12600" xr:uid="{00000000-0005-0000-0000-00003B310000}"/>
    <cellStyle name="40% - Énfasis3 13 5 2" xfId="12601" xr:uid="{00000000-0005-0000-0000-00003C310000}"/>
    <cellStyle name="40% - Énfasis3 13 5 2 2" xfId="12602" xr:uid="{00000000-0005-0000-0000-00003D310000}"/>
    <cellStyle name="40% - Énfasis3 13 5 3" xfId="12603" xr:uid="{00000000-0005-0000-0000-00003E310000}"/>
    <cellStyle name="40% - Énfasis3 13 6" xfId="12604" xr:uid="{00000000-0005-0000-0000-00003F310000}"/>
    <cellStyle name="40% - Énfasis3 13 6 2" xfId="12605" xr:uid="{00000000-0005-0000-0000-000040310000}"/>
    <cellStyle name="40% - Énfasis3 13 6 2 2" xfId="12606" xr:uid="{00000000-0005-0000-0000-000041310000}"/>
    <cellStyle name="40% - Énfasis3 13 6 3" xfId="12607" xr:uid="{00000000-0005-0000-0000-000042310000}"/>
    <cellStyle name="40% - Énfasis3 13 7" xfId="12608" xr:uid="{00000000-0005-0000-0000-000043310000}"/>
    <cellStyle name="40% - Énfasis3 13 7 2" xfId="12609" xr:uid="{00000000-0005-0000-0000-000044310000}"/>
    <cellStyle name="40% - Énfasis3 13 8" xfId="12610" xr:uid="{00000000-0005-0000-0000-000045310000}"/>
    <cellStyle name="40% - Énfasis3 14" xfId="12611" xr:uid="{00000000-0005-0000-0000-000046310000}"/>
    <cellStyle name="40% - Énfasis3 14 2" xfId="12612" xr:uid="{00000000-0005-0000-0000-000047310000}"/>
    <cellStyle name="40% - Énfasis3 14 2 2" xfId="12613" xr:uid="{00000000-0005-0000-0000-000048310000}"/>
    <cellStyle name="40% - Énfasis3 14 2 2 2" xfId="12614" xr:uid="{00000000-0005-0000-0000-000049310000}"/>
    <cellStyle name="40% - Énfasis3 14 2 2 2 2" xfId="12615" xr:uid="{00000000-0005-0000-0000-00004A310000}"/>
    <cellStyle name="40% - Énfasis3 14 2 2 2 2 2" xfId="12616" xr:uid="{00000000-0005-0000-0000-00004B310000}"/>
    <cellStyle name="40% - Énfasis3 14 2 2 2 3" xfId="12617" xr:uid="{00000000-0005-0000-0000-00004C310000}"/>
    <cellStyle name="40% - Énfasis3 14 2 2 3" xfId="12618" xr:uid="{00000000-0005-0000-0000-00004D310000}"/>
    <cellStyle name="40% - Énfasis3 14 2 2 3 2" xfId="12619" xr:uid="{00000000-0005-0000-0000-00004E310000}"/>
    <cellStyle name="40% - Énfasis3 14 2 2 4" xfId="12620" xr:uid="{00000000-0005-0000-0000-00004F310000}"/>
    <cellStyle name="40% - Énfasis3 14 2 3" xfId="12621" xr:uid="{00000000-0005-0000-0000-000050310000}"/>
    <cellStyle name="40% - Énfasis3 14 2 3 2" xfId="12622" xr:uid="{00000000-0005-0000-0000-000051310000}"/>
    <cellStyle name="40% - Énfasis3 14 2 3 2 2" xfId="12623" xr:uid="{00000000-0005-0000-0000-000052310000}"/>
    <cellStyle name="40% - Énfasis3 14 2 3 3" xfId="12624" xr:uid="{00000000-0005-0000-0000-000053310000}"/>
    <cellStyle name="40% - Énfasis3 14 2 4" xfId="12625" xr:uid="{00000000-0005-0000-0000-000054310000}"/>
    <cellStyle name="40% - Énfasis3 14 2 4 2" xfId="12626" xr:uid="{00000000-0005-0000-0000-000055310000}"/>
    <cellStyle name="40% - Énfasis3 14 2 4 2 2" xfId="12627" xr:uid="{00000000-0005-0000-0000-000056310000}"/>
    <cellStyle name="40% - Énfasis3 14 2 4 3" xfId="12628" xr:uid="{00000000-0005-0000-0000-000057310000}"/>
    <cellStyle name="40% - Énfasis3 14 2 5" xfId="12629" xr:uid="{00000000-0005-0000-0000-000058310000}"/>
    <cellStyle name="40% - Énfasis3 14 2 5 2" xfId="12630" xr:uid="{00000000-0005-0000-0000-000059310000}"/>
    <cellStyle name="40% - Énfasis3 14 2 6" xfId="12631" xr:uid="{00000000-0005-0000-0000-00005A310000}"/>
    <cellStyle name="40% - Énfasis3 14 3" xfId="12632" xr:uid="{00000000-0005-0000-0000-00005B310000}"/>
    <cellStyle name="40% - Énfasis3 14 3 2" xfId="12633" xr:uid="{00000000-0005-0000-0000-00005C310000}"/>
    <cellStyle name="40% - Énfasis3 14 3 2 2" xfId="12634" xr:uid="{00000000-0005-0000-0000-00005D310000}"/>
    <cellStyle name="40% - Énfasis3 14 3 2 2 2" xfId="12635" xr:uid="{00000000-0005-0000-0000-00005E310000}"/>
    <cellStyle name="40% - Énfasis3 14 3 2 3" xfId="12636" xr:uid="{00000000-0005-0000-0000-00005F310000}"/>
    <cellStyle name="40% - Énfasis3 14 3 3" xfId="12637" xr:uid="{00000000-0005-0000-0000-000060310000}"/>
    <cellStyle name="40% - Énfasis3 14 3 3 2" xfId="12638" xr:uid="{00000000-0005-0000-0000-000061310000}"/>
    <cellStyle name="40% - Énfasis3 14 3 3 2 2" xfId="12639" xr:uid="{00000000-0005-0000-0000-000062310000}"/>
    <cellStyle name="40% - Énfasis3 14 3 3 3" xfId="12640" xr:uid="{00000000-0005-0000-0000-000063310000}"/>
    <cellStyle name="40% - Énfasis3 14 3 4" xfId="12641" xr:uid="{00000000-0005-0000-0000-000064310000}"/>
    <cellStyle name="40% - Énfasis3 14 3 4 2" xfId="12642" xr:uid="{00000000-0005-0000-0000-000065310000}"/>
    <cellStyle name="40% - Énfasis3 14 3 5" xfId="12643" xr:uid="{00000000-0005-0000-0000-000066310000}"/>
    <cellStyle name="40% - Énfasis3 14 4" xfId="12644" xr:uid="{00000000-0005-0000-0000-000067310000}"/>
    <cellStyle name="40% - Énfasis3 14 4 2" xfId="12645" xr:uid="{00000000-0005-0000-0000-000068310000}"/>
    <cellStyle name="40% - Énfasis3 14 4 2 2" xfId="12646" xr:uid="{00000000-0005-0000-0000-000069310000}"/>
    <cellStyle name="40% - Énfasis3 14 4 2 2 2" xfId="12647" xr:uid="{00000000-0005-0000-0000-00006A310000}"/>
    <cellStyle name="40% - Énfasis3 14 4 2 3" xfId="12648" xr:uid="{00000000-0005-0000-0000-00006B310000}"/>
    <cellStyle name="40% - Énfasis3 14 4 3" xfId="12649" xr:uid="{00000000-0005-0000-0000-00006C310000}"/>
    <cellStyle name="40% - Énfasis3 14 4 3 2" xfId="12650" xr:uid="{00000000-0005-0000-0000-00006D310000}"/>
    <cellStyle name="40% - Énfasis3 14 4 4" xfId="12651" xr:uid="{00000000-0005-0000-0000-00006E310000}"/>
    <cellStyle name="40% - Énfasis3 14 5" xfId="12652" xr:uid="{00000000-0005-0000-0000-00006F310000}"/>
    <cellStyle name="40% - Énfasis3 14 5 2" xfId="12653" xr:uid="{00000000-0005-0000-0000-000070310000}"/>
    <cellStyle name="40% - Énfasis3 14 5 2 2" xfId="12654" xr:uid="{00000000-0005-0000-0000-000071310000}"/>
    <cellStyle name="40% - Énfasis3 14 5 3" xfId="12655" xr:uid="{00000000-0005-0000-0000-000072310000}"/>
    <cellStyle name="40% - Énfasis3 14 6" xfId="12656" xr:uid="{00000000-0005-0000-0000-000073310000}"/>
    <cellStyle name="40% - Énfasis3 14 6 2" xfId="12657" xr:uid="{00000000-0005-0000-0000-000074310000}"/>
    <cellStyle name="40% - Énfasis3 14 6 2 2" xfId="12658" xr:uid="{00000000-0005-0000-0000-000075310000}"/>
    <cellStyle name="40% - Énfasis3 14 6 3" xfId="12659" xr:uid="{00000000-0005-0000-0000-000076310000}"/>
    <cellStyle name="40% - Énfasis3 14 7" xfId="12660" xr:uid="{00000000-0005-0000-0000-000077310000}"/>
    <cellStyle name="40% - Énfasis3 14 7 2" xfId="12661" xr:uid="{00000000-0005-0000-0000-000078310000}"/>
    <cellStyle name="40% - Énfasis3 14 8" xfId="12662" xr:uid="{00000000-0005-0000-0000-000079310000}"/>
    <cellStyle name="40% - Énfasis3 15" xfId="12663" xr:uid="{00000000-0005-0000-0000-00007A310000}"/>
    <cellStyle name="40% - Énfasis3 15 2" xfId="12664" xr:uid="{00000000-0005-0000-0000-00007B310000}"/>
    <cellStyle name="40% - Énfasis3 15 2 2" xfId="12665" xr:uid="{00000000-0005-0000-0000-00007C310000}"/>
    <cellStyle name="40% - Énfasis3 15 2 2 2" xfId="12666" xr:uid="{00000000-0005-0000-0000-00007D310000}"/>
    <cellStyle name="40% - Énfasis3 15 2 2 2 2" xfId="12667" xr:uid="{00000000-0005-0000-0000-00007E310000}"/>
    <cellStyle name="40% - Énfasis3 15 2 2 2 2 2" xfId="12668" xr:uid="{00000000-0005-0000-0000-00007F310000}"/>
    <cellStyle name="40% - Énfasis3 15 2 2 2 3" xfId="12669" xr:uid="{00000000-0005-0000-0000-000080310000}"/>
    <cellStyle name="40% - Énfasis3 15 2 2 3" xfId="12670" xr:uid="{00000000-0005-0000-0000-000081310000}"/>
    <cellStyle name="40% - Énfasis3 15 2 2 3 2" xfId="12671" xr:uid="{00000000-0005-0000-0000-000082310000}"/>
    <cellStyle name="40% - Énfasis3 15 2 2 4" xfId="12672" xr:uid="{00000000-0005-0000-0000-000083310000}"/>
    <cellStyle name="40% - Énfasis3 15 2 3" xfId="12673" xr:uid="{00000000-0005-0000-0000-000084310000}"/>
    <cellStyle name="40% - Énfasis3 15 2 3 2" xfId="12674" xr:uid="{00000000-0005-0000-0000-000085310000}"/>
    <cellStyle name="40% - Énfasis3 15 2 3 2 2" xfId="12675" xr:uid="{00000000-0005-0000-0000-000086310000}"/>
    <cellStyle name="40% - Énfasis3 15 2 3 3" xfId="12676" xr:uid="{00000000-0005-0000-0000-000087310000}"/>
    <cellStyle name="40% - Énfasis3 15 2 4" xfId="12677" xr:uid="{00000000-0005-0000-0000-000088310000}"/>
    <cellStyle name="40% - Énfasis3 15 2 4 2" xfId="12678" xr:uid="{00000000-0005-0000-0000-000089310000}"/>
    <cellStyle name="40% - Énfasis3 15 2 4 2 2" xfId="12679" xr:uid="{00000000-0005-0000-0000-00008A310000}"/>
    <cellStyle name="40% - Énfasis3 15 2 4 3" xfId="12680" xr:uid="{00000000-0005-0000-0000-00008B310000}"/>
    <cellStyle name="40% - Énfasis3 15 2 5" xfId="12681" xr:uid="{00000000-0005-0000-0000-00008C310000}"/>
    <cellStyle name="40% - Énfasis3 15 2 5 2" xfId="12682" xr:uid="{00000000-0005-0000-0000-00008D310000}"/>
    <cellStyle name="40% - Énfasis3 15 2 6" xfId="12683" xr:uid="{00000000-0005-0000-0000-00008E310000}"/>
    <cellStyle name="40% - Énfasis3 15 3" xfId="12684" xr:uid="{00000000-0005-0000-0000-00008F310000}"/>
    <cellStyle name="40% - Énfasis3 15 3 2" xfId="12685" xr:uid="{00000000-0005-0000-0000-000090310000}"/>
    <cellStyle name="40% - Énfasis3 15 3 2 2" xfId="12686" xr:uid="{00000000-0005-0000-0000-000091310000}"/>
    <cellStyle name="40% - Énfasis3 15 3 2 2 2" xfId="12687" xr:uid="{00000000-0005-0000-0000-000092310000}"/>
    <cellStyle name="40% - Énfasis3 15 3 2 3" xfId="12688" xr:uid="{00000000-0005-0000-0000-000093310000}"/>
    <cellStyle name="40% - Énfasis3 15 3 3" xfId="12689" xr:uid="{00000000-0005-0000-0000-000094310000}"/>
    <cellStyle name="40% - Énfasis3 15 3 3 2" xfId="12690" xr:uid="{00000000-0005-0000-0000-000095310000}"/>
    <cellStyle name="40% - Énfasis3 15 3 3 2 2" xfId="12691" xr:uid="{00000000-0005-0000-0000-000096310000}"/>
    <cellStyle name="40% - Énfasis3 15 3 3 3" xfId="12692" xr:uid="{00000000-0005-0000-0000-000097310000}"/>
    <cellStyle name="40% - Énfasis3 15 3 4" xfId="12693" xr:uid="{00000000-0005-0000-0000-000098310000}"/>
    <cellStyle name="40% - Énfasis3 15 3 4 2" xfId="12694" xr:uid="{00000000-0005-0000-0000-000099310000}"/>
    <cellStyle name="40% - Énfasis3 15 3 5" xfId="12695" xr:uid="{00000000-0005-0000-0000-00009A310000}"/>
    <cellStyle name="40% - Énfasis3 15 4" xfId="12696" xr:uid="{00000000-0005-0000-0000-00009B310000}"/>
    <cellStyle name="40% - Énfasis3 15 4 2" xfId="12697" xr:uid="{00000000-0005-0000-0000-00009C310000}"/>
    <cellStyle name="40% - Énfasis3 15 4 2 2" xfId="12698" xr:uid="{00000000-0005-0000-0000-00009D310000}"/>
    <cellStyle name="40% - Énfasis3 15 4 2 2 2" xfId="12699" xr:uid="{00000000-0005-0000-0000-00009E310000}"/>
    <cellStyle name="40% - Énfasis3 15 4 2 3" xfId="12700" xr:uid="{00000000-0005-0000-0000-00009F310000}"/>
    <cellStyle name="40% - Énfasis3 15 4 3" xfId="12701" xr:uid="{00000000-0005-0000-0000-0000A0310000}"/>
    <cellStyle name="40% - Énfasis3 15 4 3 2" xfId="12702" xr:uid="{00000000-0005-0000-0000-0000A1310000}"/>
    <cellStyle name="40% - Énfasis3 15 4 4" xfId="12703" xr:uid="{00000000-0005-0000-0000-0000A2310000}"/>
    <cellStyle name="40% - Énfasis3 15 5" xfId="12704" xr:uid="{00000000-0005-0000-0000-0000A3310000}"/>
    <cellStyle name="40% - Énfasis3 15 5 2" xfId="12705" xr:uid="{00000000-0005-0000-0000-0000A4310000}"/>
    <cellStyle name="40% - Énfasis3 15 5 2 2" xfId="12706" xr:uid="{00000000-0005-0000-0000-0000A5310000}"/>
    <cellStyle name="40% - Énfasis3 15 5 3" xfId="12707" xr:uid="{00000000-0005-0000-0000-0000A6310000}"/>
    <cellStyle name="40% - Énfasis3 15 6" xfId="12708" xr:uid="{00000000-0005-0000-0000-0000A7310000}"/>
    <cellStyle name="40% - Énfasis3 15 6 2" xfId="12709" xr:uid="{00000000-0005-0000-0000-0000A8310000}"/>
    <cellStyle name="40% - Énfasis3 15 6 2 2" xfId="12710" xr:uid="{00000000-0005-0000-0000-0000A9310000}"/>
    <cellStyle name="40% - Énfasis3 15 6 3" xfId="12711" xr:uid="{00000000-0005-0000-0000-0000AA310000}"/>
    <cellStyle name="40% - Énfasis3 15 7" xfId="12712" xr:uid="{00000000-0005-0000-0000-0000AB310000}"/>
    <cellStyle name="40% - Énfasis3 15 7 2" xfId="12713" xr:uid="{00000000-0005-0000-0000-0000AC310000}"/>
    <cellStyle name="40% - Énfasis3 15 8" xfId="12714" xr:uid="{00000000-0005-0000-0000-0000AD310000}"/>
    <cellStyle name="40% - Énfasis3 16" xfId="12715" xr:uid="{00000000-0005-0000-0000-0000AE310000}"/>
    <cellStyle name="40% - Énfasis3 16 2" xfId="12716" xr:uid="{00000000-0005-0000-0000-0000AF310000}"/>
    <cellStyle name="40% - Énfasis3 16 2 2" xfId="12717" xr:uid="{00000000-0005-0000-0000-0000B0310000}"/>
    <cellStyle name="40% - Énfasis3 16 2 2 2" xfId="12718" xr:uid="{00000000-0005-0000-0000-0000B1310000}"/>
    <cellStyle name="40% - Énfasis3 16 2 2 2 2" xfId="12719" xr:uid="{00000000-0005-0000-0000-0000B2310000}"/>
    <cellStyle name="40% - Énfasis3 16 2 2 2 2 2" xfId="12720" xr:uid="{00000000-0005-0000-0000-0000B3310000}"/>
    <cellStyle name="40% - Énfasis3 16 2 2 2 3" xfId="12721" xr:uid="{00000000-0005-0000-0000-0000B4310000}"/>
    <cellStyle name="40% - Énfasis3 16 2 2 3" xfId="12722" xr:uid="{00000000-0005-0000-0000-0000B5310000}"/>
    <cellStyle name="40% - Énfasis3 16 2 2 3 2" xfId="12723" xr:uid="{00000000-0005-0000-0000-0000B6310000}"/>
    <cellStyle name="40% - Énfasis3 16 2 2 4" xfId="12724" xr:uid="{00000000-0005-0000-0000-0000B7310000}"/>
    <cellStyle name="40% - Énfasis3 16 2 3" xfId="12725" xr:uid="{00000000-0005-0000-0000-0000B8310000}"/>
    <cellStyle name="40% - Énfasis3 16 2 3 2" xfId="12726" xr:uid="{00000000-0005-0000-0000-0000B9310000}"/>
    <cellStyle name="40% - Énfasis3 16 2 3 2 2" xfId="12727" xr:uid="{00000000-0005-0000-0000-0000BA310000}"/>
    <cellStyle name="40% - Énfasis3 16 2 3 3" xfId="12728" xr:uid="{00000000-0005-0000-0000-0000BB310000}"/>
    <cellStyle name="40% - Énfasis3 16 2 4" xfId="12729" xr:uid="{00000000-0005-0000-0000-0000BC310000}"/>
    <cellStyle name="40% - Énfasis3 16 2 4 2" xfId="12730" xr:uid="{00000000-0005-0000-0000-0000BD310000}"/>
    <cellStyle name="40% - Énfasis3 16 2 4 2 2" xfId="12731" xr:uid="{00000000-0005-0000-0000-0000BE310000}"/>
    <cellStyle name="40% - Énfasis3 16 2 4 3" xfId="12732" xr:uid="{00000000-0005-0000-0000-0000BF310000}"/>
    <cellStyle name="40% - Énfasis3 16 2 5" xfId="12733" xr:uid="{00000000-0005-0000-0000-0000C0310000}"/>
    <cellStyle name="40% - Énfasis3 16 2 5 2" xfId="12734" xr:uid="{00000000-0005-0000-0000-0000C1310000}"/>
    <cellStyle name="40% - Énfasis3 16 2 6" xfId="12735" xr:uid="{00000000-0005-0000-0000-0000C2310000}"/>
    <cellStyle name="40% - Énfasis3 16 3" xfId="12736" xr:uid="{00000000-0005-0000-0000-0000C3310000}"/>
    <cellStyle name="40% - Énfasis3 16 3 2" xfId="12737" xr:uid="{00000000-0005-0000-0000-0000C4310000}"/>
    <cellStyle name="40% - Énfasis3 16 3 2 2" xfId="12738" xr:uid="{00000000-0005-0000-0000-0000C5310000}"/>
    <cellStyle name="40% - Énfasis3 16 3 2 2 2" xfId="12739" xr:uid="{00000000-0005-0000-0000-0000C6310000}"/>
    <cellStyle name="40% - Énfasis3 16 3 2 3" xfId="12740" xr:uid="{00000000-0005-0000-0000-0000C7310000}"/>
    <cellStyle name="40% - Énfasis3 16 3 3" xfId="12741" xr:uid="{00000000-0005-0000-0000-0000C8310000}"/>
    <cellStyle name="40% - Énfasis3 16 3 3 2" xfId="12742" xr:uid="{00000000-0005-0000-0000-0000C9310000}"/>
    <cellStyle name="40% - Énfasis3 16 3 3 2 2" xfId="12743" xr:uid="{00000000-0005-0000-0000-0000CA310000}"/>
    <cellStyle name="40% - Énfasis3 16 3 3 3" xfId="12744" xr:uid="{00000000-0005-0000-0000-0000CB310000}"/>
    <cellStyle name="40% - Énfasis3 16 3 4" xfId="12745" xr:uid="{00000000-0005-0000-0000-0000CC310000}"/>
    <cellStyle name="40% - Énfasis3 16 3 4 2" xfId="12746" xr:uid="{00000000-0005-0000-0000-0000CD310000}"/>
    <cellStyle name="40% - Énfasis3 16 3 5" xfId="12747" xr:uid="{00000000-0005-0000-0000-0000CE310000}"/>
    <cellStyle name="40% - Énfasis3 16 4" xfId="12748" xr:uid="{00000000-0005-0000-0000-0000CF310000}"/>
    <cellStyle name="40% - Énfasis3 16 4 2" xfId="12749" xr:uid="{00000000-0005-0000-0000-0000D0310000}"/>
    <cellStyle name="40% - Énfasis3 16 4 2 2" xfId="12750" xr:uid="{00000000-0005-0000-0000-0000D1310000}"/>
    <cellStyle name="40% - Énfasis3 16 4 2 2 2" xfId="12751" xr:uid="{00000000-0005-0000-0000-0000D2310000}"/>
    <cellStyle name="40% - Énfasis3 16 4 2 3" xfId="12752" xr:uid="{00000000-0005-0000-0000-0000D3310000}"/>
    <cellStyle name="40% - Énfasis3 16 4 3" xfId="12753" xr:uid="{00000000-0005-0000-0000-0000D4310000}"/>
    <cellStyle name="40% - Énfasis3 16 4 3 2" xfId="12754" xr:uid="{00000000-0005-0000-0000-0000D5310000}"/>
    <cellStyle name="40% - Énfasis3 16 4 4" xfId="12755" xr:uid="{00000000-0005-0000-0000-0000D6310000}"/>
    <cellStyle name="40% - Énfasis3 16 5" xfId="12756" xr:uid="{00000000-0005-0000-0000-0000D7310000}"/>
    <cellStyle name="40% - Énfasis3 16 5 2" xfId="12757" xr:uid="{00000000-0005-0000-0000-0000D8310000}"/>
    <cellStyle name="40% - Énfasis3 16 5 2 2" xfId="12758" xr:uid="{00000000-0005-0000-0000-0000D9310000}"/>
    <cellStyle name="40% - Énfasis3 16 5 3" xfId="12759" xr:uid="{00000000-0005-0000-0000-0000DA310000}"/>
    <cellStyle name="40% - Énfasis3 16 6" xfId="12760" xr:uid="{00000000-0005-0000-0000-0000DB310000}"/>
    <cellStyle name="40% - Énfasis3 16 6 2" xfId="12761" xr:uid="{00000000-0005-0000-0000-0000DC310000}"/>
    <cellStyle name="40% - Énfasis3 16 6 2 2" xfId="12762" xr:uid="{00000000-0005-0000-0000-0000DD310000}"/>
    <cellStyle name="40% - Énfasis3 16 6 3" xfId="12763" xr:uid="{00000000-0005-0000-0000-0000DE310000}"/>
    <cellStyle name="40% - Énfasis3 16 7" xfId="12764" xr:uid="{00000000-0005-0000-0000-0000DF310000}"/>
    <cellStyle name="40% - Énfasis3 16 7 2" xfId="12765" xr:uid="{00000000-0005-0000-0000-0000E0310000}"/>
    <cellStyle name="40% - Énfasis3 16 8" xfId="12766" xr:uid="{00000000-0005-0000-0000-0000E1310000}"/>
    <cellStyle name="40% - Énfasis3 17" xfId="12767" xr:uid="{00000000-0005-0000-0000-0000E2310000}"/>
    <cellStyle name="40% - Énfasis3 17 2" xfId="12768" xr:uid="{00000000-0005-0000-0000-0000E3310000}"/>
    <cellStyle name="40% - Énfasis3 17 2 2" xfId="12769" xr:uid="{00000000-0005-0000-0000-0000E4310000}"/>
    <cellStyle name="40% - Énfasis3 17 2 2 2" xfId="12770" xr:uid="{00000000-0005-0000-0000-0000E5310000}"/>
    <cellStyle name="40% - Énfasis3 17 2 2 2 2" xfId="12771" xr:uid="{00000000-0005-0000-0000-0000E6310000}"/>
    <cellStyle name="40% - Énfasis3 17 2 2 3" xfId="12772" xr:uid="{00000000-0005-0000-0000-0000E7310000}"/>
    <cellStyle name="40% - Énfasis3 17 2 3" xfId="12773" xr:uid="{00000000-0005-0000-0000-0000E8310000}"/>
    <cellStyle name="40% - Énfasis3 17 2 3 2" xfId="12774" xr:uid="{00000000-0005-0000-0000-0000E9310000}"/>
    <cellStyle name="40% - Énfasis3 17 2 3 2 2" xfId="12775" xr:uid="{00000000-0005-0000-0000-0000EA310000}"/>
    <cellStyle name="40% - Énfasis3 17 2 3 3" xfId="12776" xr:uid="{00000000-0005-0000-0000-0000EB310000}"/>
    <cellStyle name="40% - Énfasis3 17 2 4" xfId="12777" xr:uid="{00000000-0005-0000-0000-0000EC310000}"/>
    <cellStyle name="40% - Énfasis3 17 2 4 2" xfId="12778" xr:uid="{00000000-0005-0000-0000-0000ED310000}"/>
    <cellStyle name="40% - Énfasis3 17 2 5" xfId="12779" xr:uid="{00000000-0005-0000-0000-0000EE310000}"/>
    <cellStyle name="40% - Énfasis3 17 3" xfId="12780" xr:uid="{00000000-0005-0000-0000-0000EF310000}"/>
    <cellStyle name="40% - Énfasis3 17 3 2" xfId="12781" xr:uid="{00000000-0005-0000-0000-0000F0310000}"/>
    <cellStyle name="40% - Énfasis3 17 3 2 2" xfId="12782" xr:uid="{00000000-0005-0000-0000-0000F1310000}"/>
    <cellStyle name="40% - Énfasis3 17 3 2 2 2" xfId="12783" xr:uid="{00000000-0005-0000-0000-0000F2310000}"/>
    <cellStyle name="40% - Énfasis3 17 3 2 3" xfId="12784" xr:uid="{00000000-0005-0000-0000-0000F3310000}"/>
    <cellStyle name="40% - Énfasis3 17 3 3" xfId="12785" xr:uid="{00000000-0005-0000-0000-0000F4310000}"/>
    <cellStyle name="40% - Énfasis3 17 3 3 2" xfId="12786" xr:uid="{00000000-0005-0000-0000-0000F5310000}"/>
    <cellStyle name="40% - Énfasis3 17 3 4" xfId="12787" xr:uid="{00000000-0005-0000-0000-0000F6310000}"/>
    <cellStyle name="40% - Énfasis3 17 4" xfId="12788" xr:uid="{00000000-0005-0000-0000-0000F7310000}"/>
    <cellStyle name="40% - Énfasis3 17 4 2" xfId="12789" xr:uid="{00000000-0005-0000-0000-0000F8310000}"/>
    <cellStyle name="40% - Énfasis3 17 4 2 2" xfId="12790" xr:uid="{00000000-0005-0000-0000-0000F9310000}"/>
    <cellStyle name="40% - Énfasis3 17 4 3" xfId="12791" xr:uid="{00000000-0005-0000-0000-0000FA310000}"/>
    <cellStyle name="40% - Énfasis3 17 5" xfId="12792" xr:uid="{00000000-0005-0000-0000-0000FB310000}"/>
    <cellStyle name="40% - Énfasis3 17 5 2" xfId="12793" xr:uid="{00000000-0005-0000-0000-0000FC310000}"/>
    <cellStyle name="40% - Énfasis3 17 5 2 2" xfId="12794" xr:uid="{00000000-0005-0000-0000-0000FD310000}"/>
    <cellStyle name="40% - Énfasis3 17 5 3" xfId="12795" xr:uid="{00000000-0005-0000-0000-0000FE310000}"/>
    <cellStyle name="40% - Énfasis3 17 6" xfId="12796" xr:uid="{00000000-0005-0000-0000-0000FF310000}"/>
    <cellStyle name="40% - Énfasis3 17 6 2" xfId="12797" xr:uid="{00000000-0005-0000-0000-000000320000}"/>
    <cellStyle name="40% - Énfasis3 17 7" xfId="12798" xr:uid="{00000000-0005-0000-0000-000001320000}"/>
    <cellStyle name="40% - Énfasis3 18" xfId="12799" xr:uid="{00000000-0005-0000-0000-000002320000}"/>
    <cellStyle name="40% - Énfasis3 18 2" xfId="12800" xr:uid="{00000000-0005-0000-0000-000003320000}"/>
    <cellStyle name="40% - Énfasis3 18 2 2" xfId="12801" xr:uid="{00000000-0005-0000-0000-000004320000}"/>
    <cellStyle name="40% - Énfasis3 18 2 2 2" xfId="12802" xr:uid="{00000000-0005-0000-0000-000005320000}"/>
    <cellStyle name="40% - Énfasis3 18 2 2 2 2" xfId="12803" xr:uid="{00000000-0005-0000-0000-000006320000}"/>
    <cellStyle name="40% - Énfasis3 18 2 2 3" xfId="12804" xr:uid="{00000000-0005-0000-0000-000007320000}"/>
    <cellStyle name="40% - Énfasis3 18 2 3" xfId="12805" xr:uid="{00000000-0005-0000-0000-000008320000}"/>
    <cellStyle name="40% - Énfasis3 18 2 3 2" xfId="12806" xr:uid="{00000000-0005-0000-0000-000009320000}"/>
    <cellStyle name="40% - Énfasis3 18 2 3 2 2" xfId="12807" xr:uid="{00000000-0005-0000-0000-00000A320000}"/>
    <cellStyle name="40% - Énfasis3 18 2 3 3" xfId="12808" xr:uid="{00000000-0005-0000-0000-00000B320000}"/>
    <cellStyle name="40% - Énfasis3 18 2 4" xfId="12809" xr:uid="{00000000-0005-0000-0000-00000C320000}"/>
    <cellStyle name="40% - Énfasis3 18 2 4 2" xfId="12810" xr:uid="{00000000-0005-0000-0000-00000D320000}"/>
    <cellStyle name="40% - Énfasis3 18 2 5" xfId="12811" xr:uid="{00000000-0005-0000-0000-00000E320000}"/>
    <cellStyle name="40% - Énfasis3 18 3" xfId="12812" xr:uid="{00000000-0005-0000-0000-00000F320000}"/>
    <cellStyle name="40% - Énfasis3 18 3 2" xfId="12813" xr:uid="{00000000-0005-0000-0000-000010320000}"/>
    <cellStyle name="40% - Énfasis3 18 3 2 2" xfId="12814" xr:uid="{00000000-0005-0000-0000-000011320000}"/>
    <cellStyle name="40% - Énfasis3 18 3 2 2 2" xfId="12815" xr:uid="{00000000-0005-0000-0000-000012320000}"/>
    <cellStyle name="40% - Énfasis3 18 3 2 3" xfId="12816" xr:uid="{00000000-0005-0000-0000-000013320000}"/>
    <cellStyle name="40% - Énfasis3 18 3 3" xfId="12817" xr:uid="{00000000-0005-0000-0000-000014320000}"/>
    <cellStyle name="40% - Énfasis3 18 3 3 2" xfId="12818" xr:uid="{00000000-0005-0000-0000-000015320000}"/>
    <cellStyle name="40% - Énfasis3 18 3 4" xfId="12819" xr:uid="{00000000-0005-0000-0000-000016320000}"/>
    <cellStyle name="40% - Énfasis3 18 4" xfId="12820" xr:uid="{00000000-0005-0000-0000-000017320000}"/>
    <cellStyle name="40% - Énfasis3 18 4 2" xfId="12821" xr:uid="{00000000-0005-0000-0000-000018320000}"/>
    <cellStyle name="40% - Énfasis3 18 4 2 2" xfId="12822" xr:uid="{00000000-0005-0000-0000-000019320000}"/>
    <cellStyle name="40% - Énfasis3 18 4 3" xfId="12823" xr:uid="{00000000-0005-0000-0000-00001A320000}"/>
    <cellStyle name="40% - Énfasis3 18 5" xfId="12824" xr:uid="{00000000-0005-0000-0000-00001B320000}"/>
    <cellStyle name="40% - Énfasis3 18 5 2" xfId="12825" xr:uid="{00000000-0005-0000-0000-00001C320000}"/>
    <cellStyle name="40% - Énfasis3 18 5 2 2" xfId="12826" xr:uid="{00000000-0005-0000-0000-00001D320000}"/>
    <cellStyle name="40% - Énfasis3 18 5 3" xfId="12827" xr:uid="{00000000-0005-0000-0000-00001E320000}"/>
    <cellStyle name="40% - Énfasis3 18 6" xfId="12828" xr:uid="{00000000-0005-0000-0000-00001F320000}"/>
    <cellStyle name="40% - Énfasis3 18 6 2" xfId="12829" xr:uid="{00000000-0005-0000-0000-000020320000}"/>
    <cellStyle name="40% - Énfasis3 18 7" xfId="12830" xr:uid="{00000000-0005-0000-0000-000021320000}"/>
    <cellStyle name="40% - Énfasis3 19" xfId="12831" xr:uid="{00000000-0005-0000-0000-000022320000}"/>
    <cellStyle name="40% - Énfasis3 19 2" xfId="12832" xr:uid="{00000000-0005-0000-0000-000023320000}"/>
    <cellStyle name="40% - Énfasis3 19 2 2" xfId="12833" xr:uid="{00000000-0005-0000-0000-000024320000}"/>
    <cellStyle name="40% - Énfasis3 19 2 2 2" xfId="12834" xr:uid="{00000000-0005-0000-0000-000025320000}"/>
    <cellStyle name="40% - Énfasis3 19 2 2 2 2" xfId="12835" xr:uid="{00000000-0005-0000-0000-000026320000}"/>
    <cellStyle name="40% - Énfasis3 19 2 2 3" xfId="12836" xr:uid="{00000000-0005-0000-0000-000027320000}"/>
    <cellStyle name="40% - Énfasis3 19 2 3" xfId="12837" xr:uid="{00000000-0005-0000-0000-000028320000}"/>
    <cellStyle name="40% - Énfasis3 19 2 3 2" xfId="12838" xr:uid="{00000000-0005-0000-0000-000029320000}"/>
    <cellStyle name="40% - Énfasis3 19 2 3 2 2" xfId="12839" xr:uid="{00000000-0005-0000-0000-00002A320000}"/>
    <cellStyle name="40% - Énfasis3 19 2 3 3" xfId="12840" xr:uid="{00000000-0005-0000-0000-00002B320000}"/>
    <cellStyle name="40% - Énfasis3 19 2 4" xfId="12841" xr:uid="{00000000-0005-0000-0000-00002C320000}"/>
    <cellStyle name="40% - Énfasis3 19 2 4 2" xfId="12842" xr:uid="{00000000-0005-0000-0000-00002D320000}"/>
    <cellStyle name="40% - Énfasis3 19 2 5" xfId="12843" xr:uid="{00000000-0005-0000-0000-00002E320000}"/>
    <cellStyle name="40% - Énfasis3 19 3" xfId="12844" xr:uid="{00000000-0005-0000-0000-00002F320000}"/>
    <cellStyle name="40% - Énfasis3 19 3 2" xfId="12845" xr:uid="{00000000-0005-0000-0000-000030320000}"/>
    <cellStyle name="40% - Énfasis3 19 3 2 2" xfId="12846" xr:uid="{00000000-0005-0000-0000-000031320000}"/>
    <cellStyle name="40% - Énfasis3 19 3 2 2 2" xfId="12847" xr:uid="{00000000-0005-0000-0000-000032320000}"/>
    <cellStyle name="40% - Énfasis3 19 3 2 3" xfId="12848" xr:uid="{00000000-0005-0000-0000-000033320000}"/>
    <cellStyle name="40% - Énfasis3 19 3 3" xfId="12849" xr:uid="{00000000-0005-0000-0000-000034320000}"/>
    <cellStyle name="40% - Énfasis3 19 3 3 2" xfId="12850" xr:uid="{00000000-0005-0000-0000-000035320000}"/>
    <cellStyle name="40% - Énfasis3 19 3 4" xfId="12851" xr:uid="{00000000-0005-0000-0000-000036320000}"/>
    <cellStyle name="40% - Énfasis3 19 4" xfId="12852" xr:uid="{00000000-0005-0000-0000-000037320000}"/>
    <cellStyle name="40% - Énfasis3 19 4 2" xfId="12853" xr:uid="{00000000-0005-0000-0000-000038320000}"/>
    <cellStyle name="40% - Énfasis3 19 4 2 2" xfId="12854" xr:uid="{00000000-0005-0000-0000-000039320000}"/>
    <cellStyle name="40% - Énfasis3 19 4 3" xfId="12855" xr:uid="{00000000-0005-0000-0000-00003A320000}"/>
    <cellStyle name="40% - Énfasis3 19 5" xfId="12856" xr:uid="{00000000-0005-0000-0000-00003B320000}"/>
    <cellStyle name="40% - Énfasis3 19 5 2" xfId="12857" xr:uid="{00000000-0005-0000-0000-00003C320000}"/>
    <cellStyle name="40% - Énfasis3 19 5 2 2" xfId="12858" xr:uid="{00000000-0005-0000-0000-00003D320000}"/>
    <cellStyle name="40% - Énfasis3 19 5 3" xfId="12859" xr:uid="{00000000-0005-0000-0000-00003E320000}"/>
    <cellStyle name="40% - Énfasis3 19 6" xfId="12860" xr:uid="{00000000-0005-0000-0000-00003F320000}"/>
    <cellStyle name="40% - Énfasis3 19 6 2" xfId="12861" xr:uid="{00000000-0005-0000-0000-000040320000}"/>
    <cellStyle name="40% - Énfasis3 19 7" xfId="12862" xr:uid="{00000000-0005-0000-0000-000041320000}"/>
    <cellStyle name="40% - Énfasis3 2" xfId="12863" xr:uid="{00000000-0005-0000-0000-000042320000}"/>
    <cellStyle name="40% - Énfasis3 2 10" xfId="12864" xr:uid="{00000000-0005-0000-0000-000043320000}"/>
    <cellStyle name="40% - Énfasis3 2 10 2" xfId="12865" xr:uid="{00000000-0005-0000-0000-000044320000}"/>
    <cellStyle name="40% - Énfasis3 2 11" xfId="12866" xr:uid="{00000000-0005-0000-0000-000045320000}"/>
    <cellStyle name="40% - Énfasis3 2 11 2" xfId="12867" xr:uid="{00000000-0005-0000-0000-000046320000}"/>
    <cellStyle name="40% - Énfasis3 2 12" xfId="12868" xr:uid="{00000000-0005-0000-0000-000047320000}"/>
    <cellStyle name="40% - Énfasis3 2 2" xfId="12869" xr:uid="{00000000-0005-0000-0000-000048320000}"/>
    <cellStyle name="40% - Énfasis3 2 2 2" xfId="12870" xr:uid="{00000000-0005-0000-0000-000049320000}"/>
    <cellStyle name="40% - Énfasis3 2 2 2 2" xfId="12871" xr:uid="{00000000-0005-0000-0000-00004A320000}"/>
    <cellStyle name="40% - Énfasis3 2 2 2 2 2" xfId="12872" xr:uid="{00000000-0005-0000-0000-00004B320000}"/>
    <cellStyle name="40% - Énfasis3 2 2 2 2 2 2" xfId="12873" xr:uid="{00000000-0005-0000-0000-00004C320000}"/>
    <cellStyle name="40% - Énfasis3 2 2 2 2 2 2 2" xfId="12874" xr:uid="{00000000-0005-0000-0000-00004D320000}"/>
    <cellStyle name="40% - Énfasis3 2 2 2 2 2 2 2 2" xfId="12875" xr:uid="{00000000-0005-0000-0000-00004E320000}"/>
    <cellStyle name="40% - Énfasis3 2 2 2 2 2 2 3" xfId="12876" xr:uid="{00000000-0005-0000-0000-00004F320000}"/>
    <cellStyle name="40% - Énfasis3 2 2 2 2 2 3" xfId="12877" xr:uid="{00000000-0005-0000-0000-000050320000}"/>
    <cellStyle name="40% - Énfasis3 2 2 2 2 2 3 2" xfId="12878" xr:uid="{00000000-0005-0000-0000-000051320000}"/>
    <cellStyle name="40% - Énfasis3 2 2 2 2 2 4" xfId="12879" xr:uid="{00000000-0005-0000-0000-000052320000}"/>
    <cellStyle name="40% - Énfasis3 2 2 2 2 3" xfId="12880" xr:uid="{00000000-0005-0000-0000-000053320000}"/>
    <cellStyle name="40% - Énfasis3 2 2 2 2 3 2" xfId="12881" xr:uid="{00000000-0005-0000-0000-000054320000}"/>
    <cellStyle name="40% - Énfasis3 2 2 2 2 3 2 2" xfId="12882" xr:uid="{00000000-0005-0000-0000-000055320000}"/>
    <cellStyle name="40% - Énfasis3 2 2 2 2 3 3" xfId="12883" xr:uid="{00000000-0005-0000-0000-000056320000}"/>
    <cellStyle name="40% - Énfasis3 2 2 2 2 4" xfId="12884" xr:uid="{00000000-0005-0000-0000-000057320000}"/>
    <cellStyle name="40% - Énfasis3 2 2 2 2 4 2" xfId="12885" xr:uid="{00000000-0005-0000-0000-000058320000}"/>
    <cellStyle name="40% - Énfasis3 2 2 2 2 4 2 2" xfId="12886" xr:uid="{00000000-0005-0000-0000-000059320000}"/>
    <cellStyle name="40% - Énfasis3 2 2 2 2 4 3" xfId="12887" xr:uid="{00000000-0005-0000-0000-00005A320000}"/>
    <cellStyle name="40% - Énfasis3 2 2 2 2 5" xfId="12888" xr:uid="{00000000-0005-0000-0000-00005B320000}"/>
    <cellStyle name="40% - Énfasis3 2 2 2 2 5 2" xfId="12889" xr:uid="{00000000-0005-0000-0000-00005C320000}"/>
    <cellStyle name="40% - Énfasis3 2 2 2 2 6" xfId="12890" xr:uid="{00000000-0005-0000-0000-00005D320000}"/>
    <cellStyle name="40% - Énfasis3 2 2 2 3" xfId="12891" xr:uid="{00000000-0005-0000-0000-00005E320000}"/>
    <cellStyle name="40% - Énfasis3 2 2 2 3 2" xfId="12892" xr:uid="{00000000-0005-0000-0000-00005F320000}"/>
    <cellStyle name="40% - Énfasis3 2 2 2 3 2 2" xfId="12893" xr:uid="{00000000-0005-0000-0000-000060320000}"/>
    <cellStyle name="40% - Énfasis3 2 2 2 3 2 2 2" xfId="12894" xr:uid="{00000000-0005-0000-0000-000061320000}"/>
    <cellStyle name="40% - Énfasis3 2 2 2 3 2 3" xfId="12895" xr:uid="{00000000-0005-0000-0000-000062320000}"/>
    <cellStyle name="40% - Énfasis3 2 2 2 3 3" xfId="12896" xr:uid="{00000000-0005-0000-0000-000063320000}"/>
    <cellStyle name="40% - Énfasis3 2 2 2 3 3 2" xfId="12897" xr:uid="{00000000-0005-0000-0000-000064320000}"/>
    <cellStyle name="40% - Énfasis3 2 2 2 3 4" xfId="12898" xr:uid="{00000000-0005-0000-0000-000065320000}"/>
    <cellStyle name="40% - Énfasis3 2 2 2 4" xfId="12899" xr:uid="{00000000-0005-0000-0000-000066320000}"/>
    <cellStyle name="40% - Énfasis3 2 2 2 4 2" xfId="12900" xr:uid="{00000000-0005-0000-0000-000067320000}"/>
    <cellStyle name="40% - Énfasis3 2 2 2 4 2 2" xfId="12901" xr:uid="{00000000-0005-0000-0000-000068320000}"/>
    <cellStyle name="40% - Énfasis3 2 2 2 4 3" xfId="12902" xr:uid="{00000000-0005-0000-0000-000069320000}"/>
    <cellStyle name="40% - Énfasis3 2 2 2 5" xfId="12903" xr:uid="{00000000-0005-0000-0000-00006A320000}"/>
    <cellStyle name="40% - Énfasis3 2 2 2 5 2" xfId="12904" xr:uid="{00000000-0005-0000-0000-00006B320000}"/>
    <cellStyle name="40% - Énfasis3 2 2 2 5 2 2" xfId="12905" xr:uid="{00000000-0005-0000-0000-00006C320000}"/>
    <cellStyle name="40% - Énfasis3 2 2 2 5 3" xfId="12906" xr:uid="{00000000-0005-0000-0000-00006D320000}"/>
    <cellStyle name="40% - Énfasis3 2 2 2 6" xfId="12907" xr:uid="{00000000-0005-0000-0000-00006E320000}"/>
    <cellStyle name="40% - Énfasis3 2 2 2 6 2" xfId="12908" xr:uid="{00000000-0005-0000-0000-00006F320000}"/>
    <cellStyle name="40% - Énfasis3 2 2 2 7" xfId="12909" xr:uid="{00000000-0005-0000-0000-000070320000}"/>
    <cellStyle name="40% - Énfasis3 2 2 3" xfId="12910" xr:uid="{00000000-0005-0000-0000-000071320000}"/>
    <cellStyle name="40% - Énfasis3 2 2 3 2" xfId="12911" xr:uid="{00000000-0005-0000-0000-000072320000}"/>
    <cellStyle name="40% - Énfasis3 2 2 3 2 2" xfId="12912" xr:uid="{00000000-0005-0000-0000-000073320000}"/>
    <cellStyle name="40% - Énfasis3 2 2 3 2 2 2" xfId="12913" xr:uid="{00000000-0005-0000-0000-000074320000}"/>
    <cellStyle name="40% - Énfasis3 2 2 3 2 2 2 2" xfId="12914" xr:uid="{00000000-0005-0000-0000-000075320000}"/>
    <cellStyle name="40% - Énfasis3 2 2 3 2 2 3" xfId="12915" xr:uid="{00000000-0005-0000-0000-000076320000}"/>
    <cellStyle name="40% - Énfasis3 2 2 3 2 3" xfId="12916" xr:uid="{00000000-0005-0000-0000-000077320000}"/>
    <cellStyle name="40% - Énfasis3 2 2 3 2 3 2" xfId="12917" xr:uid="{00000000-0005-0000-0000-000078320000}"/>
    <cellStyle name="40% - Énfasis3 2 2 3 2 4" xfId="12918" xr:uid="{00000000-0005-0000-0000-000079320000}"/>
    <cellStyle name="40% - Énfasis3 2 2 3 3" xfId="12919" xr:uid="{00000000-0005-0000-0000-00007A320000}"/>
    <cellStyle name="40% - Énfasis3 2 2 3 3 2" xfId="12920" xr:uid="{00000000-0005-0000-0000-00007B320000}"/>
    <cellStyle name="40% - Énfasis3 2 2 3 3 2 2" xfId="12921" xr:uid="{00000000-0005-0000-0000-00007C320000}"/>
    <cellStyle name="40% - Énfasis3 2 2 3 3 3" xfId="12922" xr:uid="{00000000-0005-0000-0000-00007D320000}"/>
    <cellStyle name="40% - Énfasis3 2 2 3 4" xfId="12923" xr:uid="{00000000-0005-0000-0000-00007E320000}"/>
    <cellStyle name="40% - Énfasis3 2 2 3 4 2" xfId="12924" xr:uid="{00000000-0005-0000-0000-00007F320000}"/>
    <cellStyle name="40% - Énfasis3 2 2 3 4 2 2" xfId="12925" xr:uid="{00000000-0005-0000-0000-000080320000}"/>
    <cellStyle name="40% - Énfasis3 2 2 3 4 3" xfId="12926" xr:uid="{00000000-0005-0000-0000-000081320000}"/>
    <cellStyle name="40% - Énfasis3 2 2 3 5" xfId="12927" xr:uid="{00000000-0005-0000-0000-000082320000}"/>
    <cellStyle name="40% - Énfasis3 2 2 3 5 2" xfId="12928" xr:uid="{00000000-0005-0000-0000-000083320000}"/>
    <cellStyle name="40% - Énfasis3 2 2 3 6" xfId="12929" xr:uid="{00000000-0005-0000-0000-000084320000}"/>
    <cellStyle name="40% - Énfasis3 2 2 4" xfId="12930" xr:uid="{00000000-0005-0000-0000-000085320000}"/>
    <cellStyle name="40% - Énfasis3 2 2 4 2" xfId="12931" xr:uid="{00000000-0005-0000-0000-000086320000}"/>
    <cellStyle name="40% - Énfasis3 2 2 4 2 2" xfId="12932" xr:uid="{00000000-0005-0000-0000-000087320000}"/>
    <cellStyle name="40% - Énfasis3 2 2 4 2 2 2" xfId="12933" xr:uid="{00000000-0005-0000-0000-000088320000}"/>
    <cellStyle name="40% - Énfasis3 2 2 4 2 3" xfId="12934" xr:uid="{00000000-0005-0000-0000-000089320000}"/>
    <cellStyle name="40% - Énfasis3 2 2 4 3" xfId="12935" xr:uid="{00000000-0005-0000-0000-00008A320000}"/>
    <cellStyle name="40% - Énfasis3 2 2 4 3 2" xfId="12936" xr:uid="{00000000-0005-0000-0000-00008B320000}"/>
    <cellStyle name="40% - Énfasis3 2 2 4 3 2 2" xfId="12937" xr:uid="{00000000-0005-0000-0000-00008C320000}"/>
    <cellStyle name="40% - Énfasis3 2 2 4 3 3" xfId="12938" xr:uid="{00000000-0005-0000-0000-00008D320000}"/>
    <cellStyle name="40% - Énfasis3 2 2 4 4" xfId="12939" xr:uid="{00000000-0005-0000-0000-00008E320000}"/>
    <cellStyle name="40% - Énfasis3 2 2 4 4 2" xfId="12940" xr:uid="{00000000-0005-0000-0000-00008F320000}"/>
    <cellStyle name="40% - Énfasis3 2 2 4 5" xfId="12941" xr:uid="{00000000-0005-0000-0000-000090320000}"/>
    <cellStyle name="40% - Énfasis3 2 2 5" xfId="12942" xr:uid="{00000000-0005-0000-0000-000091320000}"/>
    <cellStyle name="40% - Énfasis3 2 2 5 2" xfId="12943" xr:uid="{00000000-0005-0000-0000-000092320000}"/>
    <cellStyle name="40% - Énfasis3 2 2 5 2 2" xfId="12944" xr:uid="{00000000-0005-0000-0000-000093320000}"/>
    <cellStyle name="40% - Énfasis3 2 2 5 2 2 2" xfId="12945" xr:uid="{00000000-0005-0000-0000-000094320000}"/>
    <cellStyle name="40% - Énfasis3 2 2 5 2 3" xfId="12946" xr:uid="{00000000-0005-0000-0000-000095320000}"/>
    <cellStyle name="40% - Énfasis3 2 2 5 3" xfId="12947" xr:uid="{00000000-0005-0000-0000-000096320000}"/>
    <cellStyle name="40% - Énfasis3 2 2 5 3 2" xfId="12948" xr:uid="{00000000-0005-0000-0000-000097320000}"/>
    <cellStyle name="40% - Énfasis3 2 2 5 4" xfId="12949" xr:uid="{00000000-0005-0000-0000-000098320000}"/>
    <cellStyle name="40% - Énfasis3 2 2 6" xfId="12950" xr:uid="{00000000-0005-0000-0000-000099320000}"/>
    <cellStyle name="40% - Énfasis3 2 2 6 2" xfId="12951" xr:uid="{00000000-0005-0000-0000-00009A320000}"/>
    <cellStyle name="40% - Énfasis3 2 2 6 2 2" xfId="12952" xr:uid="{00000000-0005-0000-0000-00009B320000}"/>
    <cellStyle name="40% - Énfasis3 2 2 6 3" xfId="12953" xr:uid="{00000000-0005-0000-0000-00009C320000}"/>
    <cellStyle name="40% - Énfasis3 2 2 7" xfId="12954" xr:uid="{00000000-0005-0000-0000-00009D320000}"/>
    <cellStyle name="40% - Énfasis3 2 2 7 2" xfId="12955" xr:uid="{00000000-0005-0000-0000-00009E320000}"/>
    <cellStyle name="40% - Énfasis3 2 2 7 2 2" xfId="12956" xr:uid="{00000000-0005-0000-0000-00009F320000}"/>
    <cellStyle name="40% - Énfasis3 2 2 7 3" xfId="12957" xr:uid="{00000000-0005-0000-0000-0000A0320000}"/>
    <cellStyle name="40% - Énfasis3 2 2 8" xfId="12958" xr:uid="{00000000-0005-0000-0000-0000A1320000}"/>
    <cellStyle name="40% - Énfasis3 2 2 8 2" xfId="12959" xr:uid="{00000000-0005-0000-0000-0000A2320000}"/>
    <cellStyle name="40% - Énfasis3 2 2 9" xfId="12960" xr:uid="{00000000-0005-0000-0000-0000A3320000}"/>
    <cellStyle name="40% - Énfasis3 2 3" xfId="12961" xr:uid="{00000000-0005-0000-0000-0000A4320000}"/>
    <cellStyle name="40% - Énfasis3 2 3 2" xfId="12962" xr:uid="{00000000-0005-0000-0000-0000A5320000}"/>
    <cellStyle name="40% - Énfasis3 2 3 2 2" xfId="12963" xr:uid="{00000000-0005-0000-0000-0000A6320000}"/>
    <cellStyle name="40% - Énfasis3 2 3 2 2 2" xfId="12964" xr:uid="{00000000-0005-0000-0000-0000A7320000}"/>
    <cellStyle name="40% - Énfasis3 2 3 2 2 2 2" xfId="12965" xr:uid="{00000000-0005-0000-0000-0000A8320000}"/>
    <cellStyle name="40% - Énfasis3 2 3 2 2 2 2 2" xfId="12966" xr:uid="{00000000-0005-0000-0000-0000A9320000}"/>
    <cellStyle name="40% - Énfasis3 2 3 2 2 2 3" xfId="12967" xr:uid="{00000000-0005-0000-0000-0000AA320000}"/>
    <cellStyle name="40% - Énfasis3 2 3 2 2 3" xfId="12968" xr:uid="{00000000-0005-0000-0000-0000AB320000}"/>
    <cellStyle name="40% - Énfasis3 2 3 2 2 3 2" xfId="12969" xr:uid="{00000000-0005-0000-0000-0000AC320000}"/>
    <cellStyle name="40% - Énfasis3 2 3 2 2 4" xfId="12970" xr:uid="{00000000-0005-0000-0000-0000AD320000}"/>
    <cellStyle name="40% - Énfasis3 2 3 2 3" xfId="12971" xr:uid="{00000000-0005-0000-0000-0000AE320000}"/>
    <cellStyle name="40% - Énfasis3 2 3 2 3 2" xfId="12972" xr:uid="{00000000-0005-0000-0000-0000AF320000}"/>
    <cellStyle name="40% - Énfasis3 2 3 2 3 2 2" xfId="12973" xr:uid="{00000000-0005-0000-0000-0000B0320000}"/>
    <cellStyle name="40% - Énfasis3 2 3 2 3 3" xfId="12974" xr:uid="{00000000-0005-0000-0000-0000B1320000}"/>
    <cellStyle name="40% - Énfasis3 2 3 2 4" xfId="12975" xr:uid="{00000000-0005-0000-0000-0000B2320000}"/>
    <cellStyle name="40% - Énfasis3 2 3 2 4 2" xfId="12976" xr:uid="{00000000-0005-0000-0000-0000B3320000}"/>
    <cellStyle name="40% - Énfasis3 2 3 2 4 2 2" xfId="12977" xr:uid="{00000000-0005-0000-0000-0000B4320000}"/>
    <cellStyle name="40% - Énfasis3 2 3 2 4 3" xfId="12978" xr:uid="{00000000-0005-0000-0000-0000B5320000}"/>
    <cellStyle name="40% - Énfasis3 2 3 2 5" xfId="12979" xr:uid="{00000000-0005-0000-0000-0000B6320000}"/>
    <cellStyle name="40% - Énfasis3 2 3 2 5 2" xfId="12980" xr:uid="{00000000-0005-0000-0000-0000B7320000}"/>
    <cellStyle name="40% - Énfasis3 2 3 2 6" xfId="12981" xr:uid="{00000000-0005-0000-0000-0000B8320000}"/>
    <cellStyle name="40% - Énfasis3 2 3 3" xfId="12982" xr:uid="{00000000-0005-0000-0000-0000B9320000}"/>
    <cellStyle name="40% - Énfasis3 2 3 3 2" xfId="12983" xr:uid="{00000000-0005-0000-0000-0000BA320000}"/>
    <cellStyle name="40% - Énfasis3 2 3 3 2 2" xfId="12984" xr:uid="{00000000-0005-0000-0000-0000BB320000}"/>
    <cellStyle name="40% - Énfasis3 2 3 3 2 2 2" xfId="12985" xr:uid="{00000000-0005-0000-0000-0000BC320000}"/>
    <cellStyle name="40% - Énfasis3 2 3 3 2 3" xfId="12986" xr:uid="{00000000-0005-0000-0000-0000BD320000}"/>
    <cellStyle name="40% - Énfasis3 2 3 3 3" xfId="12987" xr:uid="{00000000-0005-0000-0000-0000BE320000}"/>
    <cellStyle name="40% - Énfasis3 2 3 3 3 2" xfId="12988" xr:uid="{00000000-0005-0000-0000-0000BF320000}"/>
    <cellStyle name="40% - Énfasis3 2 3 3 3 2 2" xfId="12989" xr:uid="{00000000-0005-0000-0000-0000C0320000}"/>
    <cellStyle name="40% - Énfasis3 2 3 3 3 3" xfId="12990" xr:uid="{00000000-0005-0000-0000-0000C1320000}"/>
    <cellStyle name="40% - Énfasis3 2 3 3 4" xfId="12991" xr:uid="{00000000-0005-0000-0000-0000C2320000}"/>
    <cellStyle name="40% - Énfasis3 2 3 3 4 2" xfId="12992" xr:uid="{00000000-0005-0000-0000-0000C3320000}"/>
    <cellStyle name="40% - Énfasis3 2 3 3 5" xfId="12993" xr:uid="{00000000-0005-0000-0000-0000C4320000}"/>
    <cellStyle name="40% - Énfasis3 2 3 4" xfId="12994" xr:uid="{00000000-0005-0000-0000-0000C5320000}"/>
    <cellStyle name="40% - Énfasis3 2 3 4 2" xfId="12995" xr:uid="{00000000-0005-0000-0000-0000C6320000}"/>
    <cellStyle name="40% - Énfasis3 2 3 4 2 2" xfId="12996" xr:uid="{00000000-0005-0000-0000-0000C7320000}"/>
    <cellStyle name="40% - Énfasis3 2 3 4 2 2 2" xfId="12997" xr:uid="{00000000-0005-0000-0000-0000C8320000}"/>
    <cellStyle name="40% - Énfasis3 2 3 4 2 3" xfId="12998" xr:uid="{00000000-0005-0000-0000-0000C9320000}"/>
    <cellStyle name="40% - Énfasis3 2 3 4 3" xfId="12999" xr:uid="{00000000-0005-0000-0000-0000CA320000}"/>
    <cellStyle name="40% - Énfasis3 2 3 4 3 2" xfId="13000" xr:uid="{00000000-0005-0000-0000-0000CB320000}"/>
    <cellStyle name="40% - Énfasis3 2 3 4 3 2 2" xfId="13001" xr:uid="{00000000-0005-0000-0000-0000CC320000}"/>
    <cellStyle name="40% - Énfasis3 2 3 4 3 3" xfId="13002" xr:uid="{00000000-0005-0000-0000-0000CD320000}"/>
    <cellStyle name="40% - Énfasis3 2 3 4 4" xfId="13003" xr:uid="{00000000-0005-0000-0000-0000CE320000}"/>
    <cellStyle name="40% - Énfasis3 2 3 4 4 2" xfId="13004" xr:uid="{00000000-0005-0000-0000-0000CF320000}"/>
    <cellStyle name="40% - Énfasis3 2 3 4 5" xfId="13005" xr:uid="{00000000-0005-0000-0000-0000D0320000}"/>
    <cellStyle name="40% - Énfasis3 2 3 5" xfId="13006" xr:uid="{00000000-0005-0000-0000-0000D1320000}"/>
    <cellStyle name="40% - Énfasis3 2 3 5 2" xfId="13007" xr:uid="{00000000-0005-0000-0000-0000D2320000}"/>
    <cellStyle name="40% - Énfasis3 2 3 5 2 2" xfId="13008" xr:uid="{00000000-0005-0000-0000-0000D3320000}"/>
    <cellStyle name="40% - Énfasis3 2 3 5 2 2 2" xfId="13009" xr:uid="{00000000-0005-0000-0000-0000D4320000}"/>
    <cellStyle name="40% - Énfasis3 2 3 5 2 3" xfId="13010" xr:uid="{00000000-0005-0000-0000-0000D5320000}"/>
    <cellStyle name="40% - Énfasis3 2 3 5 3" xfId="13011" xr:uid="{00000000-0005-0000-0000-0000D6320000}"/>
    <cellStyle name="40% - Énfasis3 2 3 5 3 2" xfId="13012" xr:uid="{00000000-0005-0000-0000-0000D7320000}"/>
    <cellStyle name="40% - Énfasis3 2 3 5 4" xfId="13013" xr:uid="{00000000-0005-0000-0000-0000D8320000}"/>
    <cellStyle name="40% - Énfasis3 2 3 6" xfId="13014" xr:uid="{00000000-0005-0000-0000-0000D9320000}"/>
    <cellStyle name="40% - Énfasis3 2 3 6 2" xfId="13015" xr:uid="{00000000-0005-0000-0000-0000DA320000}"/>
    <cellStyle name="40% - Énfasis3 2 3 6 2 2" xfId="13016" xr:uid="{00000000-0005-0000-0000-0000DB320000}"/>
    <cellStyle name="40% - Énfasis3 2 3 6 3" xfId="13017" xr:uid="{00000000-0005-0000-0000-0000DC320000}"/>
    <cellStyle name="40% - Énfasis3 2 3 7" xfId="13018" xr:uid="{00000000-0005-0000-0000-0000DD320000}"/>
    <cellStyle name="40% - Énfasis3 2 3 7 2" xfId="13019" xr:uid="{00000000-0005-0000-0000-0000DE320000}"/>
    <cellStyle name="40% - Énfasis3 2 3 7 2 2" xfId="13020" xr:uid="{00000000-0005-0000-0000-0000DF320000}"/>
    <cellStyle name="40% - Énfasis3 2 3 7 3" xfId="13021" xr:uid="{00000000-0005-0000-0000-0000E0320000}"/>
    <cellStyle name="40% - Énfasis3 2 3 8" xfId="13022" xr:uid="{00000000-0005-0000-0000-0000E1320000}"/>
    <cellStyle name="40% - Énfasis3 2 3 8 2" xfId="13023" xr:uid="{00000000-0005-0000-0000-0000E2320000}"/>
    <cellStyle name="40% - Énfasis3 2 3 9" xfId="13024" xr:uid="{00000000-0005-0000-0000-0000E3320000}"/>
    <cellStyle name="40% - Énfasis3 2 4" xfId="13025" xr:uid="{00000000-0005-0000-0000-0000E4320000}"/>
    <cellStyle name="40% - Énfasis3 2 4 2" xfId="13026" xr:uid="{00000000-0005-0000-0000-0000E5320000}"/>
    <cellStyle name="40% - Énfasis3 2 4 2 2" xfId="13027" xr:uid="{00000000-0005-0000-0000-0000E6320000}"/>
    <cellStyle name="40% - Énfasis3 2 4 2 2 2" xfId="13028" xr:uid="{00000000-0005-0000-0000-0000E7320000}"/>
    <cellStyle name="40% - Énfasis3 2 4 2 2 2 2" xfId="13029" xr:uid="{00000000-0005-0000-0000-0000E8320000}"/>
    <cellStyle name="40% - Énfasis3 2 4 2 2 3" xfId="13030" xr:uid="{00000000-0005-0000-0000-0000E9320000}"/>
    <cellStyle name="40% - Énfasis3 2 4 2 3" xfId="13031" xr:uid="{00000000-0005-0000-0000-0000EA320000}"/>
    <cellStyle name="40% - Énfasis3 2 4 2 3 2" xfId="13032" xr:uid="{00000000-0005-0000-0000-0000EB320000}"/>
    <cellStyle name="40% - Énfasis3 2 4 2 4" xfId="13033" xr:uid="{00000000-0005-0000-0000-0000EC320000}"/>
    <cellStyle name="40% - Énfasis3 2 4 3" xfId="13034" xr:uid="{00000000-0005-0000-0000-0000ED320000}"/>
    <cellStyle name="40% - Énfasis3 2 4 3 2" xfId="13035" xr:uid="{00000000-0005-0000-0000-0000EE320000}"/>
    <cellStyle name="40% - Énfasis3 2 4 3 2 2" xfId="13036" xr:uid="{00000000-0005-0000-0000-0000EF320000}"/>
    <cellStyle name="40% - Énfasis3 2 4 3 3" xfId="13037" xr:uid="{00000000-0005-0000-0000-0000F0320000}"/>
    <cellStyle name="40% - Énfasis3 2 4 4" xfId="13038" xr:uid="{00000000-0005-0000-0000-0000F1320000}"/>
    <cellStyle name="40% - Énfasis3 2 4 4 2" xfId="13039" xr:uid="{00000000-0005-0000-0000-0000F2320000}"/>
    <cellStyle name="40% - Énfasis3 2 4 4 2 2" xfId="13040" xr:uid="{00000000-0005-0000-0000-0000F3320000}"/>
    <cellStyle name="40% - Énfasis3 2 4 4 3" xfId="13041" xr:uid="{00000000-0005-0000-0000-0000F4320000}"/>
    <cellStyle name="40% - Énfasis3 2 4 5" xfId="13042" xr:uid="{00000000-0005-0000-0000-0000F5320000}"/>
    <cellStyle name="40% - Énfasis3 2 4 5 2" xfId="13043" xr:uid="{00000000-0005-0000-0000-0000F6320000}"/>
    <cellStyle name="40% - Énfasis3 2 4 6" xfId="13044" xr:uid="{00000000-0005-0000-0000-0000F7320000}"/>
    <cellStyle name="40% - Énfasis3 2 5" xfId="13045" xr:uid="{00000000-0005-0000-0000-0000F8320000}"/>
    <cellStyle name="40% - Énfasis3 2 5 2" xfId="13046" xr:uid="{00000000-0005-0000-0000-0000F9320000}"/>
    <cellStyle name="40% - Énfasis3 2 5 2 2" xfId="13047" xr:uid="{00000000-0005-0000-0000-0000FA320000}"/>
    <cellStyle name="40% - Énfasis3 2 5 2 2 2" xfId="13048" xr:uid="{00000000-0005-0000-0000-0000FB320000}"/>
    <cellStyle name="40% - Énfasis3 2 5 2 3" xfId="13049" xr:uid="{00000000-0005-0000-0000-0000FC320000}"/>
    <cellStyle name="40% - Énfasis3 2 5 3" xfId="13050" xr:uid="{00000000-0005-0000-0000-0000FD320000}"/>
    <cellStyle name="40% - Énfasis3 2 5 3 2" xfId="13051" xr:uid="{00000000-0005-0000-0000-0000FE320000}"/>
    <cellStyle name="40% - Énfasis3 2 5 3 2 2" xfId="13052" xr:uid="{00000000-0005-0000-0000-0000FF320000}"/>
    <cellStyle name="40% - Énfasis3 2 5 3 3" xfId="13053" xr:uid="{00000000-0005-0000-0000-000000330000}"/>
    <cellStyle name="40% - Énfasis3 2 5 4" xfId="13054" xr:uid="{00000000-0005-0000-0000-000001330000}"/>
    <cellStyle name="40% - Énfasis3 2 5 4 2" xfId="13055" xr:uid="{00000000-0005-0000-0000-000002330000}"/>
    <cellStyle name="40% - Énfasis3 2 5 5" xfId="13056" xr:uid="{00000000-0005-0000-0000-000003330000}"/>
    <cellStyle name="40% - Énfasis3 2 6" xfId="13057" xr:uid="{00000000-0005-0000-0000-000004330000}"/>
    <cellStyle name="40% - Énfasis3 2 6 2" xfId="13058" xr:uid="{00000000-0005-0000-0000-000005330000}"/>
    <cellStyle name="40% - Énfasis3 2 6 2 2" xfId="13059" xr:uid="{00000000-0005-0000-0000-000006330000}"/>
    <cellStyle name="40% - Énfasis3 2 6 2 2 2" xfId="13060" xr:uid="{00000000-0005-0000-0000-000007330000}"/>
    <cellStyle name="40% - Énfasis3 2 6 2 3" xfId="13061" xr:uid="{00000000-0005-0000-0000-000008330000}"/>
    <cellStyle name="40% - Énfasis3 2 6 3" xfId="13062" xr:uid="{00000000-0005-0000-0000-000009330000}"/>
    <cellStyle name="40% - Énfasis3 2 6 3 2" xfId="13063" xr:uid="{00000000-0005-0000-0000-00000A330000}"/>
    <cellStyle name="40% - Énfasis3 2 6 3 2 2" xfId="13064" xr:uid="{00000000-0005-0000-0000-00000B330000}"/>
    <cellStyle name="40% - Énfasis3 2 6 3 3" xfId="13065" xr:uid="{00000000-0005-0000-0000-00000C330000}"/>
    <cellStyle name="40% - Énfasis3 2 6 4" xfId="13066" xr:uid="{00000000-0005-0000-0000-00000D330000}"/>
    <cellStyle name="40% - Énfasis3 2 6 4 2" xfId="13067" xr:uid="{00000000-0005-0000-0000-00000E330000}"/>
    <cellStyle name="40% - Énfasis3 2 6 5" xfId="13068" xr:uid="{00000000-0005-0000-0000-00000F330000}"/>
    <cellStyle name="40% - Énfasis3 2 7" xfId="13069" xr:uid="{00000000-0005-0000-0000-000010330000}"/>
    <cellStyle name="40% - Énfasis3 2 7 2" xfId="13070" xr:uid="{00000000-0005-0000-0000-000011330000}"/>
    <cellStyle name="40% - Énfasis3 2 7 2 2" xfId="13071" xr:uid="{00000000-0005-0000-0000-000012330000}"/>
    <cellStyle name="40% - Énfasis3 2 7 2 2 2" xfId="13072" xr:uid="{00000000-0005-0000-0000-000013330000}"/>
    <cellStyle name="40% - Énfasis3 2 7 2 3" xfId="13073" xr:uid="{00000000-0005-0000-0000-000014330000}"/>
    <cellStyle name="40% - Énfasis3 2 7 3" xfId="13074" xr:uid="{00000000-0005-0000-0000-000015330000}"/>
    <cellStyle name="40% - Énfasis3 2 7 3 2" xfId="13075" xr:uid="{00000000-0005-0000-0000-000016330000}"/>
    <cellStyle name="40% - Énfasis3 2 7 4" xfId="13076" xr:uid="{00000000-0005-0000-0000-000017330000}"/>
    <cellStyle name="40% - Énfasis3 2 8" xfId="13077" xr:uid="{00000000-0005-0000-0000-000018330000}"/>
    <cellStyle name="40% - Énfasis3 2 8 2" xfId="13078" xr:uid="{00000000-0005-0000-0000-000019330000}"/>
    <cellStyle name="40% - Énfasis3 2 8 2 2" xfId="13079" xr:uid="{00000000-0005-0000-0000-00001A330000}"/>
    <cellStyle name="40% - Énfasis3 2 8 3" xfId="13080" xr:uid="{00000000-0005-0000-0000-00001B330000}"/>
    <cellStyle name="40% - Énfasis3 2 9" xfId="13081" xr:uid="{00000000-0005-0000-0000-00001C330000}"/>
    <cellStyle name="40% - Énfasis3 2 9 2" xfId="13082" xr:uid="{00000000-0005-0000-0000-00001D330000}"/>
    <cellStyle name="40% - Énfasis3 2 9 2 2" xfId="13083" xr:uid="{00000000-0005-0000-0000-00001E330000}"/>
    <cellStyle name="40% - Énfasis3 2 9 3" xfId="13084" xr:uid="{00000000-0005-0000-0000-00001F330000}"/>
    <cellStyle name="40% - Énfasis3 20" xfId="13085" xr:uid="{00000000-0005-0000-0000-000020330000}"/>
    <cellStyle name="40% - Énfasis3 20 2" xfId="13086" xr:uid="{00000000-0005-0000-0000-000021330000}"/>
    <cellStyle name="40% - Énfasis3 20 2 2" xfId="13087" xr:uid="{00000000-0005-0000-0000-000022330000}"/>
    <cellStyle name="40% - Énfasis3 20 2 2 2" xfId="13088" xr:uid="{00000000-0005-0000-0000-000023330000}"/>
    <cellStyle name="40% - Énfasis3 20 2 2 2 2" xfId="13089" xr:uid="{00000000-0005-0000-0000-000024330000}"/>
    <cellStyle name="40% - Énfasis3 20 2 2 3" xfId="13090" xr:uid="{00000000-0005-0000-0000-000025330000}"/>
    <cellStyle name="40% - Énfasis3 20 2 3" xfId="13091" xr:uid="{00000000-0005-0000-0000-000026330000}"/>
    <cellStyle name="40% - Énfasis3 20 2 3 2" xfId="13092" xr:uid="{00000000-0005-0000-0000-000027330000}"/>
    <cellStyle name="40% - Énfasis3 20 2 3 2 2" xfId="13093" xr:uid="{00000000-0005-0000-0000-000028330000}"/>
    <cellStyle name="40% - Énfasis3 20 2 3 3" xfId="13094" xr:uid="{00000000-0005-0000-0000-000029330000}"/>
    <cellStyle name="40% - Énfasis3 20 2 4" xfId="13095" xr:uid="{00000000-0005-0000-0000-00002A330000}"/>
    <cellStyle name="40% - Énfasis3 20 2 4 2" xfId="13096" xr:uid="{00000000-0005-0000-0000-00002B330000}"/>
    <cellStyle name="40% - Énfasis3 20 2 5" xfId="13097" xr:uid="{00000000-0005-0000-0000-00002C330000}"/>
    <cellStyle name="40% - Énfasis3 20 3" xfId="13098" xr:uid="{00000000-0005-0000-0000-00002D330000}"/>
    <cellStyle name="40% - Énfasis3 20 3 2" xfId="13099" xr:uid="{00000000-0005-0000-0000-00002E330000}"/>
    <cellStyle name="40% - Énfasis3 20 3 2 2" xfId="13100" xr:uid="{00000000-0005-0000-0000-00002F330000}"/>
    <cellStyle name="40% - Énfasis3 20 3 2 2 2" xfId="13101" xr:uid="{00000000-0005-0000-0000-000030330000}"/>
    <cellStyle name="40% - Énfasis3 20 3 2 3" xfId="13102" xr:uid="{00000000-0005-0000-0000-000031330000}"/>
    <cellStyle name="40% - Énfasis3 20 3 3" xfId="13103" xr:uid="{00000000-0005-0000-0000-000032330000}"/>
    <cellStyle name="40% - Énfasis3 20 3 3 2" xfId="13104" xr:uid="{00000000-0005-0000-0000-000033330000}"/>
    <cellStyle name="40% - Énfasis3 20 3 4" xfId="13105" xr:uid="{00000000-0005-0000-0000-000034330000}"/>
    <cellStyle name="40% - Énfasis3 20 4" xfId="13106" xr:uid="{00000000-0005-0000-0000-000035330000}"/>
    <cellStyle name="40% - Énfasis3 20 4 2" xfId="13107" xr:uid="{00000000-0005-0000-0000-000036330000}"/>
    <cellStyle name="40% - Énfasis3 20 4 2 2" xfId="13108" xr:uid="{00000000-0005-0000-0000-000037330000}"/>
    <cellStyle name="40% - Énfasis3 20 4 3" xfId="13109" xr:uid="{00000000-0005-0000-0000-000038330000}"/>
    <cellStyle name="40% - Énfasis3 20 5" xfId="13110" xr:uid="{00000000-0005-0000-0000-000039330000}"/>
    <cellStyle name="40% - Énfasis3 20 5 2" xfId="13111" xr:uid="{00000000-0005-0000-0000-00003A330000}"/>
    <cellStyle name="40% - Énfasis3 20 5 2 2" xfId="13112" xr:uid="{00000000-0005-0000-0000-00003B330000}"/>
    <cellStyle name="40% - Énfasis3 20 5 3" xfId="13113" xr:uid="{00000000-0005-0000-0000-00003C330000}"/>
    <cellStyle name="40% - Énfasis3 20 6" xfId="13114" xr:uid="{00000000-0005-0000-0000-00003D330000}"/>
    <cellStyle name="40% - Énfasis3 20 6 2" xfId="13115" xr:uid="{00000000-0005-0000-0000-00003E330000}"/>
    <cellStyle name="40% - Énfasis3 20 7" xfId="13116" xr:uid="{00000000-0005-0000-0000-00003F330000}"/>
    <cellStyle name="40% - Énfasis3 21" xfId="13117" xr:uid="{00000000-0005-0000-0000-000040330000}"/>
    <cellStyle name="40% - Énfasis3 21 2" xfId="13118" xr:uid="{00000000-0005-0000-0000-000041330000}"/>
    <cellStyle name="40% - Énfasis3 21 2 2" xfId="13119" xr:uid="{00000000-0005-0000-0000-000042330000}"/>
    <cellStyle name="40% - Énfasis3 21 2 2 2" xfId="13120" xr:uid="{00000000-0005-0000-0000-000043330000}"/>
    <cellStyle name="40% - Énfasis3 21 2 2 2 2" xfId="13121" xr:uid="{00000000-0005-0000-0000-000044330000}"/>
    <cellStyle name="40% - Énfasis3 21 2 2 3" xfId="13122" xr:uid="{00000000-0005-0000-0000-000045330000}"/>
    <cellStyle name="40% - Énfasis3 21 2 3" xfId="13123" xr:uid="{00000000-0005-0000-0000-000046330000}"/>
    <cellStyle name="40% - Énfasis3 21 2 3 2" xfId="13124" xr:uid="{00000000-0005-0000-0000-000047330000}"/>
    <cellStyle name="40% - Énfasis3 21 2 3 2 2" xfId="13125" xr:uid="{00000000-0005-0000-0000-000048330000}"/>
    <cellStyle name="40% - Énfasis3 21 2 3 3" xfId="13126" xr:uid="{00000000-0005-0000-0000-000049330000}"/>
    <cellStyle name="40% - Énfasis3 21 2 4" xfId="13127" xr:uid="{00000000-0005-0000-0000-00004A330000}"/>
    <cellStyle name="40% - Énfasis3 21 2 4 2" xfId="13128" xr:uid="{00000000-0005-0000-0000-00004B330000}"/>
    <cellStyle name="40% - Énfasis3 21 2 5" xfId="13129" xr:uid="{00000000-0005-0000-0000-00004C330000}"/>
    <cellStyle name="40% - Énfasis3 21 3" xfId="13130" xr:uid="{00000000-0005-0000-0000-00004D330000}"/>
    <cellStyle name="40% - Énfasis3 21 3 2" xfId="13131" xr:uid="{00000000-0005-0000-0000-00004E330000}"/>
    <cellStyle name="40% - Énfasis3 21 3 2 2" xfId="13132" xr:uid="{00000000-0005-0000-0000-00004F330000}"/>
    <cellStyle name="40% - Énfasis3 21 3 2 2 2" xfId="13133" xr:uid="{00000000-0005-0000-0000-000050330000}"/>
    <cellStyle name="40% - Énfasis3 21 3 2 3" xfId="13134" xr:uid="{00000000-0005-0000-0000-000051330000}"/>
    <cellStyle name="40% - Énfasis3 21 3 3" xfId="13135" xr:uid="{00000000-0005-0000-0000-000052330000}"/>
    <cellStyle name="40% - Énfasis3 21 3 3 2" xfId="13136" xr:uid="{00000000-0005-0000-0000-000053330000}"/>
    <cellStyle name="40% - Énfasis3 21 3 4" xfId="13137" xr:uid="{00000000-0005-0000-0000-000054330000}"/>
    <cellStyle name="40% - Énfasis3 21 4" xfId="13138" xr:uid="{00000000-0005-0000-0000-000055330000}"/>
    <cellStyle name="40% - Énfasis3 21 4 2" xfId="13139" xr:uid="{00000000-0005-0000-0000-000056330000}"/>
    <cellStyle name="40% - Énfasis3 21 4 2 2" xfId="13140" xr:uid="{00000000-0005-0000-0000-000057330000}"/>
    <cellStyle name="40% - Énfasis3 21 4 3" xfId="13141" xr:uid="{00000000-0005-0000-0000-000058330000}"/>
    <cellStyle name="40% - Énfasis3 21 5" xfId="13142" xr:uid="{00000000-0005-0000-0000-000059330000}"/>
    <cellStyle name="40% - Énfasis3 21 5 2" xfId="13143" xr:uid="{00000000-0005-0000-0000-00005A330000}"/>
    <cellStyle name="40% - Énfasis3 21 5 2 2" xfId="13144" xr:uid="{00000000-0005-0000-0000-00005B330000}"/>
    <cellStyle name="40% - Énfasis3 21 5 3" xfId="13145" xr:uid="{00000000-0005-0000-0000-00005C330000}"/>
    <cellStyle name="40% - Énfasis3 21 6" xfId="13146" xr:uid="{00000000-0005-0000-0000-00005D330000}"/>
    <cellStyle name="40% - Énfasis3 21 6 2" xfId="13147" xr:uid="{00000000-0005-0000-0000-00005E330000}"/>
    <cellStyle name="40% - Énfasis3 21 7" xfId="13148" xr:uid="{00000000-0005-0000-0000-00005F330000}"/>
    <cellStyle name="40% - Énfasis3 22" xfId="13149" xr:uid="{00000000-0005-0000-0000-000060330000}"/>
    <cellStyle name="40% - Énfasis3 22 2" xfId="13150" xr:uid="{00000000-0005-0000-0000-000061330000}"/>
    <cellStyle name="40% - Énfasis3 22 2 2" xfId="13151" xr:uid="{00000000-0005-0000-0000-000062330000}"/>
    <cellStyle name="40% - Énfasis3 22 2 2 2" xfId="13152" xr:uid="{00000000-0005-0000-0000-000063330000}"/>
    <cellStyle name="40% - Énfasis3 22 2 2 2 2" xfId="13153" xr:uid="{00000000-0005-0000-0000-000064330000}"/>
    <cellStyle name="40% - Énfasis3 22 2 2 3" xfId="13154" xr:uid="{00000000-0005-0000-0000-000065330000}"/>
    <cellStyle name="40% - Énfasis3 22 2 3" xfId="13155" xr:uid="{00000000-0005-0000-0000-000066330000}"/>
    <cellStyle name="40% - Énfasis3 22 2 3 2" xfId="13156" xr:uid="{00000000-0005-0000-0000-000067330000}"/>
    <cellStyle name="40% - Énfasis3 22 2 3 2 2" xfId="13157" xr:uid="{00000000-0005-0000-0000-000068330000}"/>
    <cellStyle name="40% - Énfasis3 22 2 3 3" xfId="13158" xr:uid="{00000000-0005-0000-0000-000069330000}"/>
    <cellStyle name="40% - Énfasis3 22 2 4" xfId="13159" xr:uid="{00000000-0005-0000-0000-00006A330000}"/>
    <cellStyle name="40% - Énfasis3 22 2 4 2" xfId="13160" xr:uid="{00000000-0005-0000-0000-00006B330000}"/>
    <cellStyle name="40% - Énfasis3 22 2 5" xfId="13161" xr:uid="{00000000-0005-0000-0000-00006C330000}"/>
    <cellStyle name="40% - Énfasis3 22 3" xfId="13162" xr:uid="{00000000-0005-0000-0000-00006D330000}"/>
    <cellStyle name="40% - Énfasis3 22 3 2" xfId="13163" xr:uid="{00000000-0005-0000-0000-00006E330000}"/>
    <cellStyle name="40% - Énfasis3 22 3 2 2" xfId="13164" xr:uid="{00000000-0005-0000-0000-00006F330000}"/>
    <cellStyle name="40% - Énfasis3 22 3 2 2 2" xfId="13165" xr:uid="{00000000-0005-0000-0000-000070330000}"/>
    <cellStyle name="40% - Énfasis3 22 3 2 3" xfId="13166" xr:uid="{00000000-0005-0000-0000-000071330000}"/>
    <cellStyle name="40% - Énfasis3 22 3 3" xfId="13167" xr:uid="{00000000-0005-0000-0000-000072330000}"/>
    <cellStyle name="40% - Énfasis3 22 3 3 2" xfId="13168" xr:uid="{00000000-0005-0000-0000-000073330000}"/>
    <cellStyle name="40% - Énfasis3 22 3 4" xfId="13169" xr:uid="{00000000-0005-0000-0000-000074330000}"/>
    <cellStyle name="40% - Énfasis3 22 4" xfId="13170" xr:uid="{00000000-0005-0000-0000-000075330000}"/>
    <cellStyle name="40% - Énfasis3 22 4 2" xfId="13171" xr:uid="{00000000-0005-0000-0000-000076330000}"/>
    <cellStyle name="40% - Énfasis3 22 4 2 2" xfId="13172" xr:uid="{00000000-0005-0000-0000-000077330000}"/>
    <cellStyle name="40% - Énfasis3 22 4 3" xfId="13173" xr:uid="{00000000-0005-0000-0000-000078330000}"/>
    <cellStyle name="40% - Énfasis3 22 5" xfId="13174" xr:uid="{00000000-0005-0000-0000-000079330000}"/>
    <cellStyle name="40% - Énfasis3 22 5 2" xfId="13175" xr:uid="{00000000-0005-0000-0000-00007A330000}"/>
    <cellStyle name="40% - Énfasis3 22 5 2 2" xfId="13176" xr:uid="{00000000-0005-0000-0000-00007B330000}"/>
    <cellStyle name="40% - Énfasis3 22 5 3" xfId="13177" xr:uid="{00000000-0005-0000-0000-00007C330000}"/>
    <cellStyle name="40% - Énfasis3 22 6" xfId="13178" xr:uid="{00000000-0005-0000-0000-00007D330000}"/>
    <cellStyle name="40% - Énfasis3 22 6 2" xfId="13179" xr:uid="{00000000-0005-0000-0000-00007E330000}"/>
    <cellStyle name="40% - Énfasis3 22 7" xfId="13180" xr:uid="{00000000-0005-0000-0000-00007F330000}"/>
    <cellStyle name="40% - Énfasis3 23" xfId="13181" xr:uid="{00000000-0005-0000-0000-000080330000}"/>
    <cellStyle name="40% - Énfasis3 23 2" xfId="13182" xr:uid="{00000000-0005-0000-0000-000081330000}"/>
    <cellStyle name="40% - Énfasis3 23 2 2" xfId="13183" xr:uid="{00000000-0005-0000-0000-000082330000}"/>
    <cellStyle name="40% - Énfasis3 23 2 2 2" xfId="13184" xr:uid="{00000000-0005-0000-0000-000083330000}"/>
    <cellStyle name="40% - Énfasis3 23 2 2 2 2" xfId="13185" xr:uid="{00000000-0005-0000-0000-000084330000}"/>
    <cellStyle name="40% - Énfasis3 23 2 2 3" xfId="13186" xr:uid="{00000000-0005-0000-0000-000085330000}"/>
    <cellStyle name="40% - Énfasis3 23 2 3" xfId="13187" xr:uid="{00000000-0005-0000-0000-000086330000}"/>
    <cellStyle name="40% - Énfasis3 23 2 3 2" xfId="13188" xr:uid="{00000000-0005-0000-0000-000087330000}"/>
    <cellStyle name="40% - Énfasis3 23 2 3 2 2" xfId="13189" xr:uid="{00000000-0005-0000-0000-000088330000}"/>
    <cellStyle name="40% - Énfasis3 23 2 3 3" xfId="13190" xr:uid="{00000000-0005-0000-0000-000089330000}"/>
    <cellStyle name="40% - Énfasis3 23 2 4" xfId="13191" xr:uid="{00000000-0005-0000-0000-00008A330000}"/>
    <cellStyle name="40% - Énfasis3 23 2 4 2" xfId="13192" xr:uid="{00000000-0005-0000-0000-00008B330000}"/>
    <cellStyle name="40% - Énfasis3 23 2 5" xfId="13193" xr:uid="{00000000-0005-0000-0000-00008C330000}"/>
    <cellStyle name="40% - Énfasis3 23 3" xfId="13194" xr:uid="{00000000-0005-0000-0000-00008D330000}"/>
    <cellStyle name="40% - Énfasis3 23 3 2" xfId="13195" xr:uid="{00000000-0005-0000-0000-00008E330000}"/>
    <cellStyle name="40% - Énfasis3 23 3 2 2" xfId="13196" xr:uid="{00000000-0005-0000-0000-00008F330000}"/>
    <cellStyle name="40% - Énfasis3 23 3 2 2 2" xfId="13197" xr:uid="{00000000-0005-0000-0000-000090330000}"/>
    <cellStyle name="40% - Énfasis3 23 3 2 3" xfId="13198" xr:uid="{00000000-0005-0000-0000-000091330000}"/>
    <cellStyle name="40% - Énfasis3 23 3 3" xfId="13199" xr:uid="{00000000-0005-0000-0000-000092330000}"/>
    <cellStyle name="40% - Énfasis3 23 3 3 2" xfId="13200" xr:uid="{00000000-0005-0000-0000-000093330000}"/>
    <cellStyle name="40% - Énfasis3 23 3 4" xfId="13201" xr:uid="{00000000-0005-0000-0000-000094330000}"/>
    <cellStyle name="40% - Énfasis3 23 4" xfId="13202" xr:uid="{00000000-0005-0000-0000-000095330000}"/>
    <cellStyle name="40% - Énfasis3 23 4 2" xfId="13203" xr:uid="{00000000-0005-0000-0000-000096330000}"/>
    <cellStyle name="40% - Énfasis3 23 4 2 2" xfId="13204" xr:uid="{00000000-0005-0000-0000-000097330000}"/>
    <cellStyle name="40% - Énfasis3 23 4 3" xfId="13205" xr:uid="{00000000-0005-0000-0000-000098330000}"/>
    <cellStyle name="40% - Énfasis3 23 5" xfId="13206" xr:uid="{00000000-0005-0000-0000-000099330000}"/>
    <cellStyle name="40% - Énfasis3 23 5 2" xfId="13207" xr:uid="{00000000-0005-0000-0000-00009A330000}"/>
    <cellStyle name="40% - Énfasis3 23 5 2 2" xfId="13208" xr:uid="{00000000-0005-0000-0000-00009B330000}"/>
    <cellStyle name="40% - Énfasis3 23 5 3" xfId="13209" xr:uid="{00000000-0005-0000-0000-00009C330000}"/>
    <cellStyle name="40% - Énfasis3 23 6" xfId="13210" xr:uid="{00000000-0005-0000-0000-00009D330000}"/>
    <cellStyle name="40% - Énfasis3 23 6 2" xfId="13211" xr:uid="{00000000-0005-0000-0000-00009E330000}"/>
    <cellStyle name="40% - Énfasis3 23 7" xfId="13212" xr:uid="{00000000-0005-0000-0000-00009F330000}"/>
    <cellStyle name="40% - Énfasis3 24" xfId="13213" xr:uid="{00000000-0005-0000-0000-0000A0330000}"/>
    <cellStyle name="40% - Énfasis3 24 2" xfId="13214" xr:uid="{00000000-0005-0000-0000-0000A1330000}"/>
    <cellStyle name="40% - Énfasis3 24 2 2" xfId="13215" xr:uid="{00000000-0005-0000-0000-0000A2330000}"/>
    <cellStyle name="40% - Énfasis3 24 2 2 2" xfId="13216" xr:uid="{00000000-0005-0000-0000-0000A3330000}"/>
    <cellStyle name="40% - Énfasis3 24 2 2 2 2" xfId="13217" xr:uid="{00000000-0005-0000-0000-0000A4330000}"/>
    <cellStyle name="40% - Énfasis3 24 2 2 3" xfId="13218" xr:uid="{00000000-0005-0000-0000-0000A5330000}"/>
    <cellStyle name="40% - Énfasis3 24 2 3" xfId="13219" xr:uid="{00000000-0005-0000-0000-0000A6330000}"/>
    <cellStyle name="40% - Énfasis3 24 2 3 2" xfId="13220" xr:uid="{00000000-0005-0000-0000-0000A7330000}"/>
    <cellStyle name="40% - Énfasis3 24 2 3 2 2" xfId="13221" xr:uid="{00000000-0005-0000-0000-0000A8330000}"/>
    <cellStyle name="40% - Énfasis3 24 2 3 3" xfId="13222" xr:uid="{00000000-0005-0000-0000-0000A9330000}"/>
    <cellStyle name="40% - Énfasis3 24 2 4" xfId="13223" xr:uid="{00000000-0005-0000-0000-0000AA330000}"/>
    <cellStyle name="40% - Énfasis3 24 2 4 2" xfId="13224" xr:uid="{00000000-0005-0000-0000-0000AB330000}"/>
    <cellStyle name="40% - Énfasis3 24 2 5" xfId="13225" xr:uid="{00000000-0005-0000-0000-0000AC330000}"/>
    <cellStyle name="40% - Énfasis3 24 3" xfId="13226" xr:uid="{00000000-0005-0000-0000-0000AD330000}"/>
    <cellStyle name="40% - Énfasis3 24 3 2" xfId="13227" xr:uid="{00000000-0005-0000-0000-0000AE330000}"/>
    <cellStyle name="40% - Énfasis3 24 3 2 2" xfId="13228" xr:uid="{00000000-0005-0000-0000-0000AF330000}"/>
    <cellStyle name="40% - Énfasis3 24 3 2 2 2" xfId="13229" xr:uid="{00000000-0005-0000-0000-0000B0330000}"/>
    <cellStyle name="40% - Énfasis3 24 3 2 3" xfId="13230" xr:uid="{00000000-0005-0000-0000-0000B1330000}"/>
    <cellStyle name="40% - Énfasis3 24 3 3" xfId="13231" xr:uid="{00000000-0005-0000-0000-0000B2330000}"/>
    <cellStyle name="40% - Énfasis3 24 3 3 2" xfId="13232" xr:uid="{00000000-0005-0000-0000-0000B3330000}"/>
    <cellStyle name="40% - Énfasis3 24 3 4" xfId="13233" xr:uid="{00000000-0005-0000-0000-0000B4330000}"/>
    <cellStyle name="40% - Énfasis3 24 4" xfId="13234" xr:uid="{00000000-0005-0000-0000-0000B5330000}"/>
    <cellStyle name="40% - Énfasis3 24 4 2" xfId="13235" xr:uid="{00000000-0005-0000-0000-0000B6330000}"/>
    <cellStyle name="40% - Énfasis3 24 4 2 2" xfId="13236" xr:uid="{00000000-0005-0000-0000-0000B7330000}"/>
    <cellStyle name="40% - Énfasis3 24 4 3" xfId="13237" xr:uid="{00000000-0005-0000-0000-0000B8330000}"/>
    <cellStyle name="40% - Énfasis3 24 5" xfId="13238" xr:uid="{00000000-0005-0000-0000-0000B9330000}"/>
    <cellStyle name="40% - Énfasis3 24 5 2" xfId="13239" xr:uid="{00000000-0005-0000-0000-0000BA330000}"/>
    <cellStyle name="40% - Énfasis3 24 5 2 2" xfId="13240" xr:uid="{00000000-0005-0000-0000-0000BB330000}"/>
    <cellStyle name="40% - Énfasis3 24 5 3" xfId="13241" xr:uid="{00000000-0005-0000-0000-0000BC330000}"/>
    <cellStyle name="40% - Énfasis3 24 6" xfId="13242" xr:uid="{00000000-0005-0000-0000-0000BD330000}"/>
    <cellStyle name="40% - Énfasis3 24 6 2" xfId="13243" xr:uid="{00000000-0005-0000-0000-0000BE330000}"/>
    <cellStyle name="40% - Énfasis3 24 7" xfId="13244" xr:uid="{00000000-0005-0000-0000-0000BF330000}"/>
    <cellStyle name="40% - Énfasis3 25" xfId="13245" xr:uid="{00000000-0005-0000-0000-0000C0330000}"/>
    <cellStyle name="40% - Énfasis3 25 2" xfId="13246" xr:uid="{00000000-0005-0000-0000-0000C1330000}"/>
    <cellStyle name="40% - Énfasis3 25 2 2" xfId="13247" xr:uid="{00000000-0005-0000-0000-0000C2330000}"/>
    <cellStyle name="40% - Énfasis3 25 2 2 2" xfId="13248" xr:uid="{00000000-0005-0000-0000-0000C3330000}"/>
    <cellStyle name="40% - Énfasis3 25 2 2 2 2" xfId="13249" xr:uid="{00000000-0005-0000-0000-0000C4330000}"/>
    <cellStyle name="40% - Énfasis3 25 2 2 3" xfId="13250" xr:uid="{00000000-0005-0000-0000-0000C5330000}"/>
    <cellStyle name="40% - Énfasis3 25 2 3" xfId="13251" xr:uid="{00000000-0005-0000-0000-0000C6330000}"/>
    <cellStyle name="40% - Énfasis3 25 2 3 2" xfId="13252" xr:uid="{00000000-0005-0000-0000-0000C7330000}"/>
    <cellStyle name="40% - Énfasis3 25 2 3 2 2" xfId="13253" xr:uid="{00000000-0005-0000-0000-0000C8330000}"/>
    <cellStyle name="40% - Énfasis3 25 2 3 3" xfId="13254" xr:uid="{00000000-0005-0000-0000-0000C9330000}"/>
    <cellStyle name="40% - Énfasis3 25 2 4" xfId="13255" xr:uid="{00000000-0005-0000-0000-0000CA330000}"/>
    <cellStyle name="40% - Énfasis3 25 2 4 2" xfId="13256" xr:uid="{00000000-0005-0000-0000-0000CB330000}"/>
    <cellStyle name="40% - Énfasis3 25 2 5" xfId="13257" xr:uid="{00000000-0005-0000-0000-0000CC330000}"/>
    <cellStyle name="40% - Énfasis3 25 3" xfId="13258" xr:uid="{00000000-0005-0000-0000-0000CD330000}"/>
    <cellStyle name="40% - Énfasis3 25 3 2" xfId="13259" xr:uid="{00000000-0005-0000-0000-0000CE330000}"/>
    <cellStyle name="40% - Énfasis3 25 3 2 2" xfId="13260" xr:uid="{00000000-0005-0000-0000-0000CF330000}"/>
    <cellStyle name="40% - Énfasis3 25 3 2 2 2" xfId="13261" xr:uid="{00000000-0005-0000-0000-0000D0330000}"/>
    <cellStyle name="40% - Énfasis3 25 3 2 3" xfId="13262" xr:uid="{00000000-0005-0000-0000-0000D1330000}"/>
    <cellStyle name="40% - Énfasis3 25 3 3" xfId="13263" xr:uid="{00000000-0005-0000-0000-0000D2330000}"/>
    <cellStyle name="40% - Énfasis3 25 3 3 2" xfId="13264" xr:uid="{00000000-0005-0000-0000-0000D3330000}"/>
    <cellStyle name="40% - Énfasis3 25 3 4" xfId="13265" xr:uid="{00000000-0005-0000-0000-0000D4330000}"/>
    <cellStyle name="40% - Énfasis3 25 4" xfId="13266" xr:uid="{00000000-0005-0000-0000-0000D5330000}"/>
    <cellStyle name="40% - Énfasis3 25 4 2" xfId="13267" xr:uid="{00000000-0005-0000-0000-0000D6330000}"/>
    <cellStyle name="40% - Énfasis3 25 4 2 2" xfId="13268" xr:uid="{00000000-0005-0000-0000-0000D7330000}"/>
    <cellStyle name="40% - Énfasis3 25 4 3" xfId="13269" xr:uid="{00000000-0005-0000-0000-0000D8330000}"/>
    <cellStyle name="40% - Énfasis3 25 5" xfId="13270" xr:uid="{00000000-0005-0000-0000-0000D9330000}"/>
    <cellStyle name="40% - Énfasis3 25 5 2" xfId="13271" xr:uid="{00000000-0005-0000-0000-0000DA330000}"/>
    <cellStyle name="40% - Énfasis3 25 5 2 2" xfId="13272" xr:uid="{00000000-0005-0000-0000-0000DB330000}"/>
    <cellStyle name="40% - Énfasis3 25 5 3" xfId="13273" xr:uid="{00000000-0005-0000-0000-0000DC330000}"/>
    <cellStyle name="40% - Énfasis3 25 6" xfId="13274" xr:uid="{00000000-0005-0000-0000-0000DD330000}"/>
    <cellStyle name="40% - Énfasis3 25 6 2" xfId="13275" xr:uid="{00000000-0005-0000-0000-0000DE330000}"/>
    <cellStyle name="40% - Énfasis3 25 7" xfId="13276" xr:uid="{00000000-0005-0000-0000-0000DF330000}"/>
    <cellStyle name="40% - Énfasis3 26" xfId="13277" xr:uid="{00000000-0005-0000-0000-0000E0330000}"/>
    <cellStyle name="40% - Énfasis3 26 2" xfId="13278" xr:uid="{00000000-0005-0000-0000-0000E1330000}"/>
    <cellStyle name="40% - Énfasis3 26 2 2" xfId="13279" xr:uid="{00000000-0005-0000-0000-0000E2330000}"/>
    <cellStyle name="40% - Énfasis3 26 2 2 2" xfId="13280" xr:uid="{00000000-0005-0000-0000-0000E3330000}"/>
    <cellStyle name="40% - Énfasis3 26 2 2 2 2" xfId="13281" xr:uid="{00000000-0005-0000-0000-0000E4330000}"/>
    <cellStyle name="40% - Énfasis3 26 2 2 3" xfId="13282" xr:uid="{00000000-0005-0000-0000-0000E5330000}"/>
    <cellStyle name="40% - Énfasis3 26 2 3" xfId="13283" xr:uid="{00000000-0005-0000-0000-0000E6330000}"/>
    <cellStyle name="40% - Énfasis3 26 2 3 2" xfId="13284" xr:uid="{00000000-0005-0000-0000-0000E7330000}"/>
    <cellStyle name="40% - Énfasis3 26 2 3 2 2" xfId="13285" xr:uid="{00000000-0005-0000-0000-0000E8330000}"/>
    <cellStyle name="40% - Énfasis3 26 2 3 3" xfId="13286" xr:uid="{00000000-0005-0000-0000-0000E9330000}"/>
    <cellStyle name="40% - Énfasis3 26 2 4" xfId="13287" xr:uid="{00000000-0005-0000-0000-0000EA330000}"/>
    <cellStyle name="40% - Énfasis3 26 2 4 2" xfId="13288" xr:uid="{00000000-0005-0000-0000-0000EB330000}"/>
    <cellStyle name="40% - Énfasis3 26 2 5" xfId="13289" xr:uid="{00000000-0005-0000-0000-0000EC330000}"/>
    <cellStyle name="40% - Énfasis3 26 3" xfId="13290" xr:uid="{00000000-0005-0000-0000-0000ED330000}"/>
    <cellStyle name="40% - Énfasis3 26 3 2" xfId="13291" xr:uid="{00000000-0005-0000-0000-0000EE330000}"/>
    <cellStyle name="40% - Énfasis3 26 3 2 2" xfId="13292" xr:uid="{00000000-0005-0000-0000-0000EF330000}"/>
    <cellStyle name="40% - Énfasis3 26 3 2 2 2" xfId="13293" xr:uid="{00000000-0005-0000-0000-0000F0330000}"/>
    <cellStyle name="40% - Énfasis3 26 3 2 3" xfId="13294" xr:uid="{00000000-0005-0000-0000-0000F1330000}"/>
    <cellStyle name="40% - Énfasis3 26 3 3" xfId="13295" xr:uid="{00000000-0005-0000-0000-0000F2330000}"/>
    <cellStyle name="40% - Énfasis3 26 3 3 2" xfId="13296" xr:uid="{00000000-0005-0000-0000-0000F3330000}"/>
    <cellStyle name="40% - Énfasis3 26 3 4" xfId="13297" xr:uid="{00000000-0005-0000-0000-0000F4330000}"/>
    <cellStyle name="40% - Énfasis3 26 4" xfId="13298" xr:uid="{00000000-0005-0000-0000-0000F5330000}"/>
    <cellStyle name="40% - Énfasis3 26 4 2" xfId="13299" xr:uid="{00000000-0005-0000-0000-0000F6330000}"/>
    <cellStyle name="40% - Énfasis3 26 4 2 2" xfId="13300" xr:uid="{00000000-0005-0000-0000-0000F7330000}"/>
    <cellStyle name="40% - Énfasis3 26 4 3" xfId="13301" xr:uid="{00000000-0005-0000-0000-0000F8330000}"/>
    <cellStyle name="40% - Énfasis3 26 5" xfId="13302" xr:uid="{00000000-0005-0000-0000-0000F9330000}"/>
    <cellStyle name="40% - Énfasis3 26 5 2" xfId="13303" xr:uid="{00000000-0005-0000-0000-0000FA330000}"/>
    <cellStyle name="40% - Énfasis3 26 5 2 2" xfId="13304" xr:uid="{00000000-0005-0000-0000-0000FB330000}"/>
    <cellStyle name="40% - Énfasis3 26 5 3" xfId="13305" xr:uid="{00000000-0005-0000-0000-0000FC330000}"/>
    <cellStyle name="40% - Énfasis3 26 6" xfId="13306" xr:uid="{00000000-0005-0000-0000-0000FD330000}"/>
    <cellStyle name="40% - Énfasis3 26 6 2" xfId="13307" xr:uid="{00000000-0005-0000-0000-0000FE330000}"/>
    <cellStyle name="40% - Énfasis3 26 7" xfId="13308" xr:uid="{00000000-0005-0000-0000-0000FF330000}"/>
    <cellStyle name="40% - Énfasis3 27" xfId="13309" xr:uid="{00000000-0005-0000-0000-000000340000}"/>
    <cellStyle name="40% - Énfasis3 27 2" xfId="13310" xr:uid="{00000000-0005-0000-0000-000001340000}"/>
    <cellStyle name="40% - Énfasis3 27 2 2" xfId="13311" xr:uid="{00000000-0005-0000-0000-000002340000}"/>
    <cellStyle name="40% - Énfasis3 27 2 2 2" xfId="13312" xr:uid="{00000000-0005-0000-0000-000003340000}"/>
    <cellStyle name="40% - Énfasis3 27 2 2 2 2" xfId="13313" xr:uid="{00000000-0005-0000-0000-000004340000}"/>
    <cellStyle name="40% - Énfasis3 27 2 2 3" xfId="13314" xr:uid="{00000000-0005-0000-0000-000005340000}"/>
    <cellStyle name="40% - Énfasis3 27 2 3" xfId="13315" xr:uid="{00000000-0005-0000-0000-000006340000}"/>
    <cellStyle name="40% - Énfasis3 27 2 3 2" xfId="13316" xr:uid="{00000000-0005-0000-0000-000007340000}"/>
    <cellStyle name="40% - Énfasis3 27 2 3 2 2" xfId="13317" xr:uid="{00000000-0005-0000-0000-000008340000}"/>
    <cellStyle name="40% - Énfasis3 27 2 3 3" xfId="13318" xr:uid="{00000000-0005-0000-0000-000009340000}"/>
    <cellStyle name="40% - Énfasis3 27 2 4" xfId="13319" xr:uid="{00000000-0005-0000-0000-00000A340000}"/>
    <cellStyle name="40% - Énfasis3 27 2 4 2" xfId="13320" xr:uid="{00000000-0005-0000-0000-00000B340000}"/>
    <cellStyle name="40% - Énfasis3 27 2 5" xfId="13321" xr:uid="{00000000-0005-0000-0000-00000C340000}"/>
    <cellStyle name="40% - Énfasis3 27 3" xfId="13322" xr:uid="{00000000-0005-0000-0000-00000D340000}"/>
    <cellStyle name="40% - Énfasis3 27 3 2" xfId="13323" xr:uid="{00000000-0005-0000-0000-00000E340000}"/>
    <cellStyle name="40% - Énfasis3 27 3 2 2" xfId="13324" xr:uid="{00000000-0005-0000-0000-00000F340000}"/>
    <cellStyle name="40% - Énfasis3 27 3 2 2 2" xfId="13325" xr:uid="{00000000-0005-0000-0000-000010340000}"/>
    <cellStyle name="40% - Énfasis3 27 3 2 3" xfId="13326" xr:uid="{00000000-0005-0000-0000-000011340000}"/>
    <cellStyle name="40% - Énfasis3 27 3 3" xfId="13327" xr:uid="{00000000-0005-0000-0000-000012340000}"/>
    <cellStyle name="40% - Énfasis3 27 3 3 2" xfId="13328" xr:uid="{00000000-0005-0000-0000-000013340000}"/>
    <cellStyle name="40% - Énfasis3 27 3 4" xfId="13329" xr:uid="{00000000-0005-0000-0000-000014340000}"/>
    <cellStyle name="40% - Énfasis3 27 4" xfId="13330" xr:uid="{00000000-0005-0000-0000-000015340000}"/>
    <cellStyle name="40% - Énfasis3 27 4 2" xfId="13331" xr:uid="{00000000-0005-0000-0000-000016340000}"/>
    <cellStyle name="40% - Énfasis3 27 4 2 2" xfId="13332" xr:uid="{00000000-0005-0000-0000-000017340000}"/>
    <cellStyle name="40% - Énfasis3 27 4 3" xfId="13333" xr:uid="{00000000-0005-0000-0000-000018340000}"/>
    <cellStyle name="40% - Énfasis3 27 5" xfId="13334" xr:uid="{00000000-0005-0000-0000-000019340000}"/>
    <cellStyle name="40% - Énfasis3 27 5 2" xfId="13335" xr:uid="{00000000-0005-0000-0000-00001A340000}"/>
    <cellStyle name="40% - Énfasis3 27 5 2 2" xfId="13336" xr:uid="{00000000-0005-0000-0000-00001B340000}"/>
    <cellStyle name="40% - Énfasis3 27 5 3" xfId="13337" xr:uid="{00000000-0005-0000-0000-00001C340000}"/>
    <cellStyle name="40% - Énfasis3 27 6" xfId="13338" xr:uid="{00000000-0005-0000-0000-00001D340000}"/>
    <cellStyle name="40% - Énfasis3 27 6 2" xfId="13339" xr:uid="{00000000-0005-0000-0000-00001E340000}"/>
    <cellStyle name="40% - Énfasis3 27 7" xfId="13340" xr:uid="{00000000-0005-0000-0000-00001F340000}"/>
    <cellStyle name="40% - Énfasis3 28" xfId="13341" xr:uid="{00000000-0005-0000-0000-000020340000}"/>
    <cellStyle name="40% - Énfasis3 28 2" xfId="13342" xr:uid="{00000000-0005-0000-0000-000021340000}"/>
    <cellStyle name="40% - Énfasis3 28 2 2" xfId="13343" xr:uid="{00000000-0005-0000-0000-000022340000}"/>
    <cellStyle name="40% - Énfasis3 28 2 2 2" xfId="13344" xr:uid="{00000000-0005-0000-0000-000023340000}"/>
    <cellStyle name="40% - Énfasis3 28 2 2 2 2" xfId="13345" xr:uid="{00000000-0005-0000-0000-000024340000}"/>
    <cellStyle name="40% - Énfasis3 28 2 2 3" xfId="13346" xr:uid="{00000000-0005-0000-0000-000025340000}"/>
    <cellStyle name="40% - Énfasis3 28 2 3" xfId="13347" xr:uid="{00000000-0005-0000-0000-000026340000}"/>
    <cellStyle name="40% - Énfasis3 28 2 3 2" xfId="13348" xr:uid="{00000000-0005-0000-0000-000027340000}"/>
    <cellStyle name="40% - Énfasis3 28 2 3 2 2" xfId="13349" xr:uid="{00000000-0005-0000-0000-000028340000}"/>
    <cellStyle name="40% - Énfasis3 28 2 3 3" xfId="13350" xr:uid="{00000000-0005-0000-0000-000029340000}"/>
    <cellStyle name="40% - Énfasis3 28 2 4" xfId="13351" xr:uid="{00000000-0005-0000-0000-00002A340000}"/>
    <cellStyle name="40% - Énfasis3 28 2 4 2" xfId="13352" xr:uid="{00000000-0005-0000-0000-00002B340000}"/>
    <cellStyle name="40% - Énfasis3 28 2 5" xfId="13353" xr:uid="{00000000-0005-0000-0000-00002C340000}"/>
    <cellStyle name="40% - Énfasis3 28 3" xfId="13354" xr:uid="{00000000-0005-0000-0000-00002D340000}"/>
    <cellStyle name="40% - Énfasis3 28 3 2" xfId="13355" xr:uid="{00000000-0005-0000-0000-00002E340000}"/>
    <cellStyle name="40% - Énfasis3 28 3 2 2" xfId="13356" xr:uid="{00000000-0005-0000-0000-00002F340000}"/>
    <cellStyle name="40% - Énfasis3 28 3 3" xfId="13357" xr:uid="{00000000-0005-0000-0000-000030340000}"/>
    <cellStyle name="40% - Énfasis3 28 4" xfId="13358" xr:uid="{00000000-0005-0000-0000-000031340000}"/>
    <cellStyle name="40% - Énfasis3 28 4 2" xfId="13359" xr:uid="{00000000-0005-0000-0000-000032340000}"/>
    <cellStyle name="40% - Énfasis3 28 4 2 2" xfId="13360" xr:uid="{00000000-0005-0000-0000-000033340000}"/>
    <cellStyle name="40% - Énfasis3 28 4 3" xfId="13361" xr:uid="{00000000-0005-0000-0000-000034340000}"/>
    <cellStyle name="40% - Énfasis3 28 5" xfId="13362" xr:uid="{00000000-0005-0000-0000-000035340000}"/>
    <cellStyle name="40% - Énfasis3 28 5 2" xfId="13363" xr:uid="{00000000-0005-0000-0000-000036340000}"/>
    <cellStyle name="40% - Énfasis3 28 6" xfId="13364" xr:uid="{00000000-0005-0000-0000-000037340000}"/>
    <cellStyle name="40% - Énfasis3 29" xfId="13365" xr:uid="{00000000-0005-0000-0000-000038340000}"/>
    <cellStyle name="40% - Énfasis3 29 2" xfId="13366" xr:uid="{00000000-0005-0000-0000-000039340000}"/>
    <cellStyle name="40% - Énfasis3 29 2 2" xfId="13367" xr:uid="{00000000-0005-0000-0000-00003A340000}"/>
    <cellStyle name="40% - Énfasis3 29 2 2 2" xfId="13368" xr:uid="{00000000-0005-0000-0000-00003B340000}"/>
    <cellStyle name="40% - Énfasis3 29 2 2 2 2" xfId="13369" xr:uid="{00000000-0005-0000-0000-00003C340000}"/>
    <cellStyle name="40% - Énfasis3 29 2 2 3" xfId="13370" xr:uid="{00000000-0005-0000-0000-00003D340000}"/>
    <cellStyle name="40% - Énfasis3 29 2 3" xfId="13371" xr:uid="{00000000-0005-0000-0000-00003E340000}"/>
    <cellStyle name="40% - Énfasis3 29 2 3 2" xfId="13372" xr:uid="{00000000-0005-0000-0000-00003F340000}"/>
    <cellStyle name="40% - Énfasis3 29 2 4" xfId="13373" xr:uid="{00000000-0005-0000-0000-000040340000}"/>
    <cellStyle name="40% - Énfasis3 29 3" xfId="13374" xr:uid="{00000000-0005-0000-0000-000041340000}"/>
    <cellStyle name="40% - Énfasis3 29 3 2" xfId="13375" xr:uid="{00000000-0005-0000-0000-000042340000}"/>
    <cellStyle name="40% - Énfasis3 29 3 2 2" xfId="13376" xr:uid="{00000000-0005-0000-0000-000043340000}"/>
    <cellStyle name="40% - Énfasis3 29 3 3" xfId="13377" xr:uid="{00000000-0005-0000-0000-000044340000}"/>
    <cellStyle name="40% - Énfasis3 29 4" xfId="13378" xr:uid="{00000000-0005-0000-0000-000045340000}"/>
    <cellStyle name="40% - Énfasis3 29 4 2" xfId="13379" xr:uid="{00000000-0005-0000-0000-000046340000}"/>
    <cellStyle name="40% - Énfasis3 29 5" xfId="13380" xr:uid="{00000000-0005-0000-0000-000047340000}"/>
    <cellStyle name="40% - Énfasis3 3" xfId="13381" xr:uid="{00000000-0005-0000-0000-000048340000}"/>
    <cellStyle name="40% - Énfasis3 3 10" xfId="13382" xr:uid="{00000000-0005-0000-0000-000049340000}"/>
    <cellStyle name="40% - Énfasis3 3 10 2" xfId="13383" xr:uid="{00000000-0005-0000-0000-00004A340000}"/>
    <cellStyle name="40% - Énfasis3 3 11" xfId="13384" xr:uid="{00000000-0005-0000-0000-00004B340000}"/>
    <cellStyle name="40% - Énfasis3 3 11 2" xfId="13385" xr:uid="{00000000-0005-0000-0000-00004C340000}"/>
    <cellStyle name="40% - Énfasis3 3 12" xfId="13386" xr:uid="{00000000-0005-0000-0000-00004D340000}"/>
    <cellStyle name="40% - Énfasis3 3 2" xfId="13387" xr:uid="{00000000-0005-0000-0000-00004E340000}"/>
    <cellStyle name="40% - Énfasis3 3 2 2" xfId="13388" xr:uid="{00000000-0005-0000-0000-00004F340000}"/>
    <cellStyle name="40% - Énfasis3 3 2 2 2" xfId="13389" xr:uid="{00000000-0005-0000-0000-000050340000}"/>
    <cellStyle name="40% - Énfasis3 3 2 2 2 2" xfId="13390" xr:uid="{00000000-0005-0000-0000-000051340000}"/>
    <cellStyle name="40% - Énfasis3 3 2 2 2 2 2" xfId="13391" xr:uid="{00000000-0005-0000-0000-000052340000}"/>
    <cellStyle name="40% - Énfasis3 3 2 2 2 2 2 2" xfId="13392" xr:uid="{00000000-0005-0000-0000-000053340000}"/>
    <cellStyle name="40% - Énfasis3 3 2 2 2 2 2 2 2" xfId="13393" xr:uid="{00000000-0005-0000-0000-000054340000}"/>
    <cellStyle name="40% - Énfasis3 3 2 2 2 2 2 3" xfId="13394" xr:uid="{00000000-0005-0000-0000-000055340000}"/>
    <cellStyle name="40% - Énfasis3 3 2 2 2 2 3" xfId="13395" xr:uid="{00000000-0005-0000-0000-000056340000}"/>
    <cellStyle name="40% - Énfasis3 3 2 2 2 2 3 2" xfId="13396" xr:uid="{00000000-0005-0000-0000-000057340000}"/>
    <cellStyle name="40% - Énfasis3 3 2 2 2 2 4" xfId="13397" xr:uid="{00000000-0005-0000-0000-000058340000}"/>
    <cellStyle name="40% - Énfasis3 3 2 2 2 3" xfId="13398" xr:uid="{00000000-0005-0000-0000-000059340000}"/>
    <cellStyle name="40% - Énfasis3 3 2 2 2 3 2" xfId="13399" xr:uid="{00000000-0005-0000-0000-00005A340000}"/>
    <cellStyle name="40% - Énfasis3 3 2 2 2 3 2 2" xfId="13400" xr:uid="{00000000-0005-0000-0000-00005B340000}"/>
    <cellStyle name="40% - Énfasis3 3 2 2 2 3 3" xfId="13401" xr:uid="{00000000-0005-0000-0000-00005C340000}"/>
    <cellStyle name="40% - Énfasis3 3 2 2 2 4" xfId="13402" xr:uid="{00000000-0005-0000-0000-00005D340000}"/>
    <cellStyle name="40% - Énfasis3 3 2 2 2 4 2" xfId="13403" xr:uid="{00000000-0005-0000-0000-00005E340000}"/>
    <cellStyle name="40% - Énfasis3 3 2 2 2 4 2 2" xfId="13404" xr:uid="{00000000-0005-0000-0000-00005F340000}"/>
    <cellStyle name="40% - Énfasis3 3 2 2 2 4 3" xfId="13405" xr:uid="{00000000-0005-0000-0000-000060340000}"/>
    <cellStyle name="40% - Énfasis3 3 2 2 2 5" xfId="13406" xr:uid="{00000000-0005-0000-0000-000061340000}"/>
    <cellStyle name="40% - Énfasis3 3 2 2 2 5 2" xfId="13407" xr:uid="{00000000-0005-0000-0000-000062340000}"/>
    <cellStyle name="40% - Énfasis3 3 2 2 2 6" xfId="13408" xr:uid="{00000000-0005-0000-0000-000063340000}"/>
    <cellStyle name="40% - Énfasis3 3 2 2 3" xfId="13409" xr:uid="{00000000-0005-0000-0000-000064340000}"/>
    <cellStyle name="40% - Énfasis3 3 2 2 3 2" xfId="13410" xr:uid="{00000000-0005-0000-0000-000065340000}"/>
    <cellStyle name="40% - Énfasis3 3 2 2 3 2 2" xfId="13411" xr:uid="{00000000-0005-0000-0000-000066340000}"/>
    <cellStyle name="40% - Énfasis3 3 2 2 3 2 2 2" xfId="13412" xr:uid="{00000000-0005-0000-0000-000067340000}"/>
    <cellStyle name="40% - Énfasis3 3 2 2 3 2 3" xfId="13413" xr:uid="{00000000-0005-0000-0000-000068340000}"/>
    <cellStyle name="40% - Énfasis3 3 2 2 3 3" xfId="13414" xr:uid="{00000000-0005-0000-0000-000069340000}"/>
    <cellStyle name="40% - Énfasis3 3 2 2 3 3 2" xfId="13415" xr:uid="{00000000-0005-0000-0000-00006A340000}"/>
    <cellStyle name="40% - Énfasis3 3 2 2 3 4" xfId="13416" xr:uid="{00000000-0005-0000-0000-00006B340000}"/>
    <cellStyle name="40% - Énfasis3 3 2 2 4" xfId="13417" xr:uid="{00000000-0005-0000-0000-00006C340000}"/>
    <cellStyle name="40% - Énfasis3 3 2 2 4 2" xfId="13418" xr:uid="{00000000-0005-0000-0000-00006D340000}"/>
    <cellStyle name="40% - Énfasis3 3 2 2 4 2 2" xfId="13419" xr:uid="{00000000-0005-0000-0000-00006E340000}"/>
    <cellStyle name="40% - Énfasis3 3 2 2 4 3" xfId="13420" xr:uid="{00000000-0005-0000-0000-00006F340000}"/>
    <cellStyle name="40% - Énfasis3 3 2 2 5" xfId="13421" xr:uid="{00000000-0005-0000-0000-000070340000}"/>
    <cellStyle name="40% - Énfasis3 3 2 2 5 2" xfId="13422" xr:uid="{00000000-0005-0000-0000-000071340000}"/>
    <cellStyle name="40% - Énfasis3 3 2 2 5 2 2" xfId="13423" xr:uid="{00000000-0005-0000-0000-000072340000}"/>
    <cellStyle name="40% - Énfasis3 3 2 2 5 3" xfId="13424" xr:uid="{00000000-0005-0000-0000-000073340000}"/>
    <cellStyle name="40% - Énfasis3 3 2 2 6" xfId="13425" xr:uid="{00000000-0005-0000-0000-000074340000}"/>
    <cellStyle name="40% - Énfasis3 3 2 2 6 2" xfId="13426" xr:uid="{00000000-0005-0000-0000-000075340000}"/>
    <cellStyle name="40% - Énfasis3 3 2 2 7" xfId="13427" xr:uid="{00000000-0005-0000-0000-000076340000}"/>
    <cellStyle name="40% - Énfasis3 3 2 3" xfId="13428" xr:uid="{00000000-0005-0000-0000-000077340000}"/>
    <cellStyle name="40% - Énfasis3 3 2 3 2" xfId="13429" xr:uid="{00000000-0005-0000-0000-000078340000}"/>
    <cellStyle name="40% - Énfasis3 3 2 3 2 2" xfId="13430" xr:uid="{00000000-0005-0000-0000-000079340000}"/>
    <cellStyle name="40% - Énfasis3 3 2 3 2 2 2" xfId="13431" xr:uid="{00000000-0005-0000-0000-00007A340000}"/>
    <cellStyle name="40% - Énfasis3 3 2 3 2 2 2 2" xfId="13432" xr:uid="{00000000-0005-0000-0000-00007B340000}"/>
    <cellStyle name="40% - Énfasis3 3 2 3 2 2 3" xfId="13433" xr:uid="{00000000-0005-0000-0000-00007C340000}"/>
    <cellStyle name="40% - Énfasis3 3 2 3 2 3" xfId="13434" xr:uid="{00000000-0005-0000-0000-00007D340000}"/>
    <cellStyle name="40% - Énfasis3 3 2 3 2 3 2" xfId="13435" xr:uid="{00000000-0005-0000-0000-00007E340000}"/>
    <cellStyle name="40% - Énfasis3 3 2 3 2 4" xfId="13436" xr:uid="{00000000-0005-0000-0000-00007F340000}"/>
    <cellStyle name="40% - Énfasis3 3 2 3 3" xfId="13437" xr:uid="{00000000-0005-0000-0000-000080340000}"/>
    <cellStyle name="40% - Énfasis3 3 2 3 3 2" xfId="13438" xr:uid="{00000000-0005-0000-0000-000081340000}"/>
    <cellStyle name="40% - Énfasis3 3 2 3 3 2 2" xfId="13439" xr:uid="{00000000-0005-0000-0000-000082340000}"/>
    <cellStyle name="40% - Énfasis3 3 2 3 3 3" xfId="13440" xr:uid="{00000000-0005-0000-0000-000083340000}"/>
    <cellStyle name="40% - Énfasis3 3 2 3 4" xfId="13441" xr:uid="{00000000-0005-0000-0000-000084340000}"/>
    <cellStyle name="40% - Énfasis3 3 2 3 4 2" xfId="13442" xr:uid="{00000000-0005-0000-0000-000085340000}"/>
    <cellStyle name="40% - Énfasis3 3 2 3 4 2 2" xfId="13443" xr:uid="{00000000-0005-0000-0000-000086340000}"/>
    <cellStyle name="40% - Énfasis3 3 2 3 4 3" xfId="13444" xr:uid="{00000000-0005-0000-0000-000087340000}"/>
    <cellStyle name="40% - Énfasis3 3 2 3 5" xfId="13445" xr:uid="{00000000-0005-0000-0000-000088340000}"/>
    <cellStyle name="40% - Énfasis3 3 2 3 5 2" xfId="13446" xr:uid="{00000000-0005-0000-0000-000089340000}"/>
    <cellStyle name="40% - Énfasis3 3 2 3 6" xfId="13447" xr:uid="{00000000-0005-0000-0000-00008A340000}"/>
    <cellStyle name="40% - Énfasis3 3 2 4" xfId="13448" xr:uid="{00000000-0005-0000-0000-00008B340000}"/>
    <cellStyle name="40% - Énfasis3 3 2 4 2" xfId="13449" xr:uid="{00000000-0005-0000-0000-00008C340000}"/>
    <cellStyle name="40% - Énfasis3 3 2 4 2 2" xfId="13450" xr:uid="{00000000-0005-0000-0000-00008D340000}"/>
    <cellStyle name="40% - Énfasis3 3 2 4 2 2 2" xfId="13451" xr:uid="{00000000-0005-0000-0000-00008E340000}"/>
    <cellStyle name="40% - Énfasis3 3 2 4 2 3" xfId="13452" xr:uid="{00000000-0005-0000-0000-00008F340000}"/>
    <cellStyle name="40% - Énfasis3 3 2 4 3" xfId="13453" xr:uid="{00000000-0005-0000-0000-000090340000}"/>
    <cellStyle name="40% - Énfasis3 3 2 4 3 2" xfId="13454" xr:uid="{00000000-0005-0000-0000-000091340000}"/>
    <cellStyle name="40% - Énfasis3 3 2 4 3 2 2" xfId="13455" xr:uid="{00000000-0005-0000-0000-000092340000}"/>
    <cellStyle name="40% - Énfasis3 3 2 4 3 3" xfId="13456" xr:uid="{00000000-0005-0000-0000-000093340000}"/>
    <cellStyle name="40% - Énfasis3 3 2 4 4" xfId="13457" xr:uid="{00000000-0005-0000-0000-000094340000}"/>
    <cellStyle name="40% - Énfasis3 3 2 4 4 2" xfId="13458" xr:uid="{00000000-0005-0000-0000-000095340000}"/>
    <cellStyle name="40% - Énfasis3 3 2 4 5" xfId="13459" xr:uid="{00000000-0005-0000-0000-000096340000}"/>
    <cellStyle name="40% - Énfasis3 3 2 5" xfId="13460" xr:uid="{00000000-0005-0000-0000-000097340000}"/>
    <cellStyle name="40% - Énfasis3 3 2 5 2" xfId="13461" xr:uid="{00000000-0005-0000-0000-000098340000}"/>
    <cellStyle name="40% - Énfasis3 3 2 5 2 2" xfId="13462" xr:uid="{00000000-0005-0000-0000-000099340000}"/>
    <cellStyle name="40% - Énfasis3 3 2 5 2 2 2" xfId="13463" xr:uid="{00000000-0005-0000-0000-00009A340000}"/>
    <cellStyle name="40% - Énfasis3 3 2 5 2 3" xfId="13464" xr:uid="{00000000-0005-0000-0000-00009B340000}"/>
    <cellStyle name="40% - Énfasis3 3 2 5 3" xfId="13465" xr:uid="{00000000-0005-0000-0000-00009C340000}"/>
    <cellStyle name="40% - Énfasis3 3 2 5 3 2" xfId="13466" xr:uid="{00000000-0005-0000-0000-00009D340000}"/>
    <cellStyle name="40% - Énfasis3 3 2 5 4" xfId="13467" xr:uid="{00000000-0005-0000-0000-00009E340000}"/>
    <cellStyle name="40% - Énfasis3 3 2 6" xfId="13468" xr:uid="{00000000-0005-0000-0000-00009F340000}"/>
    <cellStyle name="40% - Énfasis3 3 2 6 2" xfId="13469" xr:uid="{00000000-0005-0000-0000-0000A0340000}"/>
    <cellStyle name="40% - Énfasis3 3 2 6 2 2" xfId="13470" xr:uid="{00000000-0005-0000-0000-0000A1340000}"/>
    <cellStyle name="40% - Énfasis3 3 2 6 3" xfId="13471" xr:uid="{00000000-0005-0000-0000-0000A2340000}"/>
    <cellStyle name="40% - Énfasis3 3 2 7" xfId="13472" xr:uid="{00000000-0005-0000-0000-0000A3340000}"/>
    <cellStyle name="40% - Énfasis3 3 2 7 2" xfId="13473" xr:uid="{00000000-0005-0000-0000-0000A4340000}"/>
    <cellStyle name="40% - Énfasis3 3 2 7 2 2" xfId="13474" xr:uid="{00000000-0005-0000-0000-0000A5340000}"/>
    <cellStyle name="40% - Énfasis3 3 2 7 3" xfId="13475" xr:uid="{00000000-0005-0000-0000-0000A6340000}"/>
    <cellStyle name="40% - Énfasis3 3 2 8" xfId="13476" xr:uid="{00000000-0005-0000-0000-0000A7340000}"/>
    <cellStyle name="40% - Énfasis3 3 2 8 2" xfId="13477" xr:uid="{00000000-0005-0000-0000-0000A8340000}"/>
    <cellStyle name="40% - Énfasis3 3 2 9" xfId="13478" xr:uid="{00000000-0005-0000-0000-0000A9340000}"/>
    <cellStyle name="40% - Énfasis3 3 3" xfId="13479" xr:uid="{00000000-0005-0000-0000-0000AA340000}"/>
    <cellStyle name="40% - Énfasis3 3 3 2" xfId="13480" xr:uid="{00000000-0005-0000-0000-0000AB340000}"/>
    <cellStyle name="40% - Énfasis3 3 3 2 2" xfId="13481" xr:uid="{00000000-0005-0000-0000-0000AC340000}"/>
    <cellStyle name="40% - Énfasis3 3 3 2 2 2" xfId="13482" xr:uid="{00000000-0005-0000-0000-0000AD340000}"/>
    <cellStyle name="40% - Énfasis3 3 3 2 2 2 2" xfId="13483" xr:uid="{00000000-0005-0000-0000-0000AE340000}"/>
    <cellStyle name="40% - Énfasis3 3 3 2 2 2 2 2" xfId="13484" xr:uid="{00000000-0005-0000-0000-0000AF340000}"/>
    <cellStyle name="40% - Énfasis3 3 3 2 2 2 3" xfId="13485" xr:uid="{00000000-0005-0000-0000-0000B0340000}"/>
    <cellStyle name="40% - Énfasis3 3 3 2 2 3" xfId="13486" xr:uid="{00000000-0005-0000-0000-0000B1340000}"/>
    <cellStyle name="40% - Énfasis3 3 3 2 2 3 2" xfId="13487" xr:uid="{00000000-0005-0000-0000-0000B2340000}"/>
    <cellStyle name="40% - Énfasis3 3 3 2 2 4" xfId="13488" xr:uid="{00000000-0005-0000-0000-0000B3340000}"/>
    <cellStyle name="40% - Énfasis3 3 3 2 3" xfId="13489" xr:uid="{00000000-0005-0000-0000-0000B4340000}"/>
    <cellStyle name="40% - Énfasis3 3 3 2 3 2" xfId="13490" xr:uid="{00000000-0005-0000-0000-0000B5340000}"/>
    <cellStyle name="40% - Énfasis3 3 3 2 3 2 2" xfId="13491" xr:uid="{00000000-0005-0000-0000-0000B6340000}"/>
    <cellStyle name="40% - Énfasis3 3 3 2 3 3" xfId="13492" xr:uid="{00000000-0005-0000-0000-0000B7340000}"/>
    <cellStyle name="40% - Énfasis3 3 3 2 4" xfId="13493" xr:uid="{00000000-0005-0000-0000-0000B8340000}"/>
    <cellStyle name="40% - Énfasis3 3 3 2 4 2" xfId="13494" xr:uid="{00000000-0005-0000-0000-0000B9340000}"/>
    <cellStyle name="40% - Énfasis3 3 3 2 4 2 2" xfId="13495" xr:uid="{00000000-0005-0000-0000-0000BA340000}"/>
    <cellStyle name="40% - Énfasis3 3 3 2 4 3" xfId="13496" xr:uid="{00000000-0005-0000-0000-0000BB340000}"/>
    <cellStyle name="40% - Énfasis3 3 3 2 5" xfId="13497" xr:uid="{00000000-0005-0000-0000-0000BC340000}"/>
    <cellStyle name="40% - Énfasis3 3 3 2 5 2" xfId="13498" xr:uid="{00000000-0005-0000-0000-0000BD340000}"/>
    <cellStyle name="40% - Énfasis3 3 3 2 6" xfId="13499" xr:uid="{00000000-0005-0000-0000-0000BE340000}"/>
    <cellStyle name="40% - Énfasis3 3 3 3" xfId="13500" xr:uid="{00000000-0005-0000-0000-0000BF340000}"/>
    <cellStyle name="40% - Énfasis3 3 3 3 2" xfId="13501" xr:uid="{00000000-0005-0000-0000-0000C0340000}"/>
    <cellStyle name="40% - Énfasis3 3 3 3 2 2" xfId="13502" xr:uid="{00000000-0005-0000-0000-0000C1340000}"/>
    <cellStyle name="40% - Énfasis3 3 3 3 2 2 2" xfId="13503" xr:uid="{00000000-0005-0000-0000-0000C2340000}"/>
    <cellStyle name="40% - Énfasis3 3 3 3 2 3" xfId="13504" xr:uid="{00000000-0005-0000-0000-0000C3340000}"/>
    <cellStyle name="40% - Énfasis3 3 3 3 3" xfId="13505" xr:uid="{00000000-0005-0000-0000-0000C4340000}"/>
    <cellStyle name="40% - Énfasis3 3 3 3 3 2" xfId="13506" xr:uid="{00000000-0005-0000-0000-0000C5340000}"/>
    <cellStyle name="40% - Énfasis3 3 3 3 3 2 2" xfId="13507" xr:uid="{00000000-0005-0000-0000-0000C6340000}"/>
    <cellStyle name="40% - Énfasis3 3 3 3 3 3" xfId="13508" xr:uid="{00000000-0005-0000-0000-0000C7340000}"/>
    <cellStyle name="40% - Énfasis3 3 3 3 4" xfId="13509" xr:uid="{00000000-0005-0000-0000-0000C8340000}"/>
    <cellStyle name="40% - Énfasis3 3 3 3 4 2" xfId="13510" xr:uid="{00000000-0005-0000-0000-0000C9340000}"/>
    <cellStyle name="40% - Énfasis3 3 3 3 5" xfId="13511" xr:uid="{00000000-0005-0000-0000-0000CA340000}"/>
    <cellStyle name="40% - Énfasis3 3 3 4" xfId="13512" xr:uid="{00000000-0005-0000-0000-0000CB340000}"/>
    <cellStyle name="40% - Énfasis3 3 3 4 2" xfId="13513" xr:uid="{00000000-0005-0000-0000-0000CC340000}"/>
    <cellStyle name="40% - Énfasis3 3 3 4 2 2" xfId="13514" xr:uid="{00000000-0005-0000-0000-0000CD340000}"/>
    <cellStyle name="40% - Énfasis3 3 3 4 2 2 2" xfId="13515" xr:uid="{00000000-0005-0000-0000-0000CE340000}"/>
    <cellStyle name="40% - Énfasis3 3 3 4 2 3" xfId="13516" xr:uid="{00000000-0005-0000-0000-0000CF340000}"/>
    <cellStyle name="40% - Énfasis3 3 3 4 3" xfId="13517" xr:uid="{00000000-0005-0000-0000-0000D0340000}"/>
    <cellStyle name="40% - Énfasis3 3 3 4 3 2" xfId="13518" xr:uid="{00000000-0005-0000-0000-0000D1340000}"/>
    <cellStyle name="40% - Énfasis3 3 3 4 3 2 2" xfId="13519" xr:uid="{00000000-0005-0000-0000-0000D2340000}"/>
    <cellStyle name="40% - Énfasis3 3 3 4 3 3" xfId="13520" xr:uid="{00000000-0005-0000-0000-0000D3340000}"/>
    <cellStyle name="40% - Énfasis3 3 3 4 4" xfId="13521" xr:uid="{00000000-0005-0000-0000-0000D4340000}"/>
    <cellStyle name="40% - Énfasis3 3 3 4 4 2" xfId="13522" xr:uid="{00000000-0005-0000-0000-0000D5340000}"/>
    <cellStyle name="40% - Énfasis3 3 3 4 5" xfId="13523" xr:uid="{00000000-0005-0000-0000-0000D6340000}"/>
    <cellStyle name="40% - Énfasis3 3 3 5" xfId="13524" xr:uid="{00000000-0005-0000-0000-0000D7340000}"/>
    <cellStyle name="40% - Énfasis3 3 3 5 2" xfId="13525" xr:uid="{00000000-0005-0000-0000-0000D8340000}"/>
    <cellStyle name="40% - Énfasis3 3 3 5 2 2" xfId="13526" xr:uid="{00000000-0005-0000-0000-0000D9340000}"/>
    <cellStyle name="40% - Énfasis3 3 3 5 2 2 2" xfId="13527" xr:uid="{00000000-0005-0000-0000-0000DA340000}"/>
    <cellStyle name="40% - Énfasis3 3 3 5 2 3" xfId="13528" xr:uid="{00000000-0005-0000-0000-0000DB340000}"/>
    <cellStyle name="40% - Énfasis3 3 3 5 3" xfId="13529" xr:uid="{00000000-0005-0000-0000-0000DC340000}"/>
    <cellStyle name="40% - Énfasis3 3 3 5 3 2" xfId="13530" xr:uid="{00000000-0005-0000-0000-0000DD340000}"/>
    <cellStyle name="40% - Énfasis3 3 3 5 4" xfId="13531" xr:uid="{00000000-0005-0000-0000-0000DE340000}"/>
    <cellStyle name="40% - Énfasis3 3 3 6" xfId="13532" xr:uid="{00000000-0005-0000-0000-0000DF340000}"/>
    <cellStyle name="40% - Énfasis3 3 3 6 2" xfId="13533" xr:uid="{00000000-0005-0000-0000-0000E0340000}"/>
    <cellStyle name="40% - Énfasis3 3 3 6 2 2" xfId="13534" xr:uid="{00000000-0005-0000-0000-0000E1340000}"/>
    <cellStyle name="40% - Énfasis3 3 3 6 3" xfId="13535" xr:uid="{00000000-0005-0000-0000-0000E2340000}"/>
    <cellStyle name="40% - Énfasis3 3 3 7" xfId="13536" xr:uid="{00000000-0005-0000-0000-0000E3340000}"/>
    <cellStyle name="40% - Énfasis3 3 3 7 2" xfId="13537" xr:uid="{00000000-0005-0000-0000-0000E4340000}"/>
    <cellStyle name="40% - Énfasis3 3 3 7 2 2" xfId="13538" xr:uid="{00000000-0005-0000-0000-0000E5340000}"/>
    <cellStyle name="40% - Énfasis3 3 3 7 3" xfId="13539" xr:uid="{00000000-0005-0000-0000-0000E6340000}"/>
    <cellStyle name="40% - Énfasis3 3 3 8" xfId="13540" xr:uid="{00000000-0005-0000-0000-0000E7340000}"/>
    <cellStyle name="40% - Énfasis3 3 3 8 2" xfId="13541" xr:uid="{00000000-0005-0000-0000-0000E8340000}"/>
    <cellStyle name="40% - Énfasis3 3 3 9" xfId="13542" xr:uid="{00000000-0005-0000-0000-0000E9340000}"/>
    <cellStyle name="40% - Énfasis3 3 4" xfId="13543" xr:uid="{00000000-0005-0000-0000-0000EA340000}"/>
    <cellStyle name="40% - Énfasis3 3 4 2" xfId="13544" xr:uid="{00000000-0005-0000-0000-0000EB340000}"/>
    <cellStyle name="40% - Énfasis3 3 4 2 2" xfId="13545" xr:uid="{00000000-0005-0000-0000-0000EC340000}"/>
    <cellStyle name="40% - Énfasis3 3 4 2 2 2" xfId="13546" xr:uid="{00000000-0005-0000-0000-0000ED340000}"/>
    <cellStyle name="40% - Énfasis3 3 4 2 2 2 2" xfId="13547" xr:uid="{00000000-0005-0000-0000-0000EE340000}"/>
    <cellStyle name="40% - Énfasis3 3 4 2 2 3" xfId="13548" xr:uid="{00000000-0005-0000-0000-0000EF340000}"/>
    <cellStyle name="40% - Énfasis3 3 4 2 3" xfId="13549" xr:uid="{00000000-0005-0000-0000-0000F0340000}"/>
    <cellStyle name="40% - Énfasis3 3 4 2 3 2" xfId="13550" xr:uid="{00000000-0005-0000-0000-0000F1340000}"/>
    <cellStyle name="40% - Énfasis3 3 4 2 4" xfId="13551" xr:uid="{00000000-0005-0000-0000-0000F2340000}"/>
    <cellStyle name="40% - Énfasis3 3 4 3" xfId="13552" xr:uid="{00000000-0005-0000-0000-0000F3340000}"/>
    <cellStyle name="40% - Énfasis3 3 4 3 2" xfId="13553" xr:uid="{00000000-0005-0000-0000-0000F4340000}"/>
    <cellStyle name="40% - Énfasis3 3 4 3 2 2" xfId="13554" xr:uid="{00000000-0005-0000-0000-0000F5340000}"/>
    <cellStyle name="40% - Énfasis3 3 4 3 3" xfId="13555" xr:uid="{00000000-0005-0000-0000-0000F6340000}"/>
    <cellStyle name="40% - Énfasis3 3 4 4" xfId="13556" xr:uid="{00000000-0005-0000-0000-0000F7340000}"/>
    <cellStyle name="40% - Énfasis3 3 4 4 2" xfId="13557" xr:uid="{00000000-0005-0000-0000-0000F8340000}"/>
    <cellStyle name="40% - Énfasis3 3 4 4 2 2" xfId="13558" xr:uid="{00000000-0005-0000-0000-0000F9340000}"/>
    <cellStyle name="40% - Énfasis3 3 4 4 3" xfId="13559" xr:uid="{00000000-0005-0000-0000-0000FA340000}"/>
    <cellStyle name="40% - Énfasis3 3 4 5" xfId="13560" xr:uid="{00000000-0005-0000-0000-0000FB340000}"/>
    <cellStyle name="40% - Énfasis3 3 4 5 2" xfId="13561" xr:uid="{00000000-0005-0000-0000-0000FC340000}"/>
    <cellStyle name="40% - Énfasis3 3 4 6" xfId="13562" xr:uid="{00000000-0005-0000-0000-0000FD340000}"/>
    <cellStyle name="40% - Énfasis3 3 5" xfId="13563" xr:uid="{00000000-0005-0000-0000-0000FE340000}"/>
    <cellStyle name="40% - Énfasis3 3 5 2" xfId="13564" xr:uid="{00000000-0005-0000-0000-0000FF340000}"/>
    <cellStyle name="40% - Énfasis3 3 5 2 2" xfId="13565" xr:uid="{00000000-0005-0000-0000-000000350000}"/>
    <cellStyle name="40% - Énfasis3 3 5 2 2 2" xfId="13566" xr:uid="{00000000-0005-0000-0000-000001350000}"/>
    <cellStyle name="40% - Énfasis3 3 5 2 3" xfId="13567" xr:uid="{00000000-0005-0000-0000-000002350000}"/>
    <cellStyle name="40% - Énfasis3 3 5 3" xfId="13568" xr:uid="{00000000-0005-0000-0000-000003350000}"/>
    <cellStyle name="40% - Énfasis3 3 5 3 2" xfId="13569" xr:uid="{00000000-0005-0000-0000-000004350000}"/>
    <cellStyle name="40% - Énfasis3 3 5 3 2 2" xfId="13570" xr:uid="{00000000-0005-0000-0000-000005350000}"/>
    <cellStyle name="40% - Énfasis3 3 5 3 3" xfId="13571" xr:uid="{00000000-0005-0000-0000-000006350000}"/>
    <cellStyle name="40% - Énfasis3 3 5 4" xfId="13572" xr:uid="{00000000-0005-0000-0000-000007350000}"/>
    <cellStyle name="40% - Énfasis3 3 5 4 2" xfId="13573" xr:uid="{00000000-0005-0000-0000-000008350000}"/>
    <cellStyle name="40% - Énfasis3 3 5 5" xfId="13574" xr:uid="{00000000-0005-0000-0000-000009350000}"/>
    <cellStyle name="40% - Énfasis3 3 6" xfId="13575" xr:uid="{00000000-0005-0000-0000-00000A350000}"/>
    <cellStyle name="40% - Énfasis3 3 6 2" xfId="13576" xr:uid="{00000000-0005-0000-0000-00000B350000}"/>
    <cellStyle name="40% - Énfasis3 3 6 2 2" xfId="13577" xr:uid="{00000000-0005-0000-0000-00000C350000}"/>
    <cellStyle name="40% - Énfasis3 3 6 2 2 2" xfId="13578" xr:uid="{00000000-0005-0000-0000-00000D350000}"/>
    <cellStyle name="40% - Énfasis3 3 6 2 3" xfId="13579" xr:uid="{00000000-0005-0000-0000-00000E350000}"/>
    <cellStyle name="40% - Énfasis3 3 6 3" xfId="13580" xr:uid="{00000000-0005-0000-0000-00000F350000}"/>
    <cellStyle name="40% - Énfasis3 3 6 3 2" xfId="13581" xr:uid="{00000000-0005-0000-0000-000010350000}"/>
    <cellStyle name="40% - Énfasis3 3 6 3 2 2" xfId="13582" xr:uid="{00000000-0005-0000-0000-000011350000}"/>
    <cellStyle name="40% - Énfasis3 3 6 3 3" xfId="13583" xr:uid="{00000000-0005-0000-0000-000012350000}"/>
    <cellStyle name="40% - Énfasis3 3 6 4" xfId="13584" xr:uid="{00000000-0005-0000-0000-000013350000}"/>
    <cellStyle name="40% - Énfasis3 3 6 4 2" xfId="13585" xr:uid="{00000000-0005-0000-0000-000014350000}"/>
    <cellStyle name="40% - Énfasis3 3 6 5" xfId="13586" xr:uid="{00000000-0005-0000-0000-000015350000}"/>
    <cellStyle name="40% - Énfasis3 3 7" xfId="13587" xr:uid="{00000000-0005-0000-0000-000016350000}"/>
    <cellStyle name="40% - Énfasis3 3 7 2" xfId="13588" xr:uid="{00000000-0005-0000-0000-000017350000}"/>
    <cellStyle name="40% - Énfasis3 3 7 2 2" xfId="13589" xr:uid="{00000000-0005-0000-0000-000018350000}"/>
    <cellStyle name="40% - Énfasis3 3 7 2 2 2" xfId="13590" xr:uid="{00000000-0005-0000-0000-000019350000}"/>
    <cellStyle name="40% - Énfasis3 3 7 2 3" xfId="13591" xr:uid="{00000000-0005-0000-0000-00001A350000}"/>
    <cellStyle name="40% - Énfasis3 3 7 3" xfId="13592" xr:uid="{00000000-0005-0000-0000-00001B350000}"/>
    <cellStyle name="40% - Énfasis3 3 7 3 2" xfId="13593" xr:uid="{00000000-0005-0000-0000-00001C350000}"/>
    <cellStyle name="40% - Énfasis3 3 7 4" xfId="13594" xr:uid="{00000000-0005-0000-0000-00001D350000}"/>
    <cellStyle name="40% - Énfasis3 3 8" xfId="13595" xr:uid="{00000000-0005-0000-0000-00001E350000}"/>
    <cellStyle name="40% - Énfasis3 3 8 2" xfId="13596" xr:uid="{00000000-0005-0000-0000-00001F350000}"/>
    <cellStyle name="40% - Énfasis3 3 8 2 2" xfId="13597" xr:uid="{00000000-0005-0000-0000-000020350000}"/>
    <cellStyle name="40% - Énfasis3 3 8 3" xfId="13598" xr:uid="{00000000-0005-0000-0000-000021350000}"/>
    <cellStyle name="40% - Énfasis3 3 9" xfId="13599" xr:uid="{00000000-0005-0000-0000-000022350000}"/>
    <cellStyle name="40% - Énfasis3 3 9 2" xfId="13600" xr:uid="{00000000-0005-0000-0000-000023350000}"/>
    <cellStyle name="40% - Énfasis3 3 9 2 2" xfId="13601" xr:uid="{00000000-0005-0000-0000-000024350000}"/>
    <cellStyle name="40% - Énfasis3 3 9 3" xfId="13602" xr:uid="{00000000-0005-0000-0000-000025350000}"/>
    <cellStyle name="40% - Énfasis3 30" xfId="13603" xr:uid="{00000000-0005-0000-0000-000026350000}"/>
    <cellStyle name="40% - Énfasis3 30 2" xfId="13604" xr:uid="{00000000-0005-0000-0000-000027350000}"/>
    <cellStyle name="40% - Énfasis3 30 2 2" xfId="13605" xr:uid="{00000000-0005-0000-0000-000028350000}"/>
    <cellStyle name="40% - Énfasis3 30 2 2 2" xfId="13606" xr:uid="{00000000-0005-0000-0000-000029350000}"/>
    <cellStyle name="40% - Énfasis3 30 2 2 2 2" xfId="13607" xr:uid="{00000000-0005-0000-0000-00002A350000}"/>
    <cellStyle name="40% - Énfasis3 30 2 2 3" xfId="13608" xr:uid="{00000000-0005-0000-0000-00002B350000}"/>
    <cellStyle name="40% - Énfasis3 30 2 3" xfId="13609" xr:uid="{00000000-0005-0000-0000-00002C350000}"/>
    <cellStyle name="40% - Énfasis3 30 2 3 2" xfId="13610" xr:uid="{00000000-0005-0000-0000-00002D350000}"/>
    <cellStyle name="40% - Énfasis3 30 2 4" xfId="13611" xr:uid="{00000000-0005-0000-0000-00002E350000}"/>
    <cellStyle name="40% - Énfasis3 30 3" xfId="13612" xr:uid="{00000000-0005-0000-0000-00002F350000}"/>
    <cellStyle name="40% - Énfasis3 30 3 2" xfId="13613" xr:uid="{00000000-0005-0000-0000-000030350000}"/>
    <cellStyle name="40% - Énfasis3 30 3 2 2" xfId="13614" xr:uid="{00000000-0005-0000-0000-000031350000}"/>
    <cellStyle name="40% - Énfasis3 30 3 3" xfId="13615" xr:uid="{00000000-0005-0000-0000-000032350000}"/>
    <cellStyle name="40% - Énfasis3 30 4" xfId="13616" xr:uid="{00000000-0005-0000-0000-000033350000}"/>
    <cellStyle name="40% - Énfasis3 30 4 2" xfId="13617" xr:uid="{00000000-0005-0000-0000-000034350000}"/>
    <cellStyle name="40% - Énfasis3 30 5" xfId="13618" xr:uid="{00000000-0005-0000-0000-000035350000}"/>
    <cellStyle name="40% - Énfasis3 31" xfId="13619" xr:uid="{00000000-0005-0000-0000-000036350000}"/>
    <cellStyle name="40% - Énfasis3 31 2" xfId="13620" xr:uid="{00000000-0005-0000-0000-000037350000}"/>
    <cellStyle name="40% - Énfasis3 31 2 2" xfId="13621" xr:uid="{00000000-0005-0000-0000-000038350000}"/>
    <cellStyle name="40% - Énfasis3 31 2 2 2" xfId="13622" xr:uid="{00000000-0005-0000-0000-000039350000}"/>
    <cellStyle name="40% - Énfasis3 31 2 2 2 2" xfId="13623" xr:uid="{00000000-0005-0000-0000-00003A350000}"/>
    <cellStyle name="40% - Énfasis3 31 2 2 3" xfId="13624" xr:uid="{00000000-0005-0000-0000-00003B350000}"/>
    <cellStyle name="40% - Énfasis3 31 2 3" xfId="13625" xr:uid="{00000000-0005-0000-0000-00003C350000}"/>
    <cellStyle name="40% - Énfasis3 31 2 3 2" xfId="13626" xr:uid="{00000000-0005-0000-0000-00003D350000}"/>
    <cellStyle name="40% - Énfasis3 31 2 4" xfId="13627" xr:uid="{00000000-0005-0000-0000-00003E350000}"/>
    <cellStyle name="40% - Énfasis3 31 3" xfId="13628" xr:uid="{00000000-0005-0000-0000-00003F350000}"/>
    <cellStyle name="40% - Énfasis3 31 3 2" xfId="13629" xr:uid="{00000000-0005-0000-0000-000040350000}"/>
    <cellStyle name="40% - Énfasis3 31 3 2 2" xfId="13630" xr:uid="{00000000-0005-0000-0000-000041350000}"/>
    <cellStyle name="40% - Énfasis3 31 3 3" xfId="13631" xr:uid="{00000000-0005-0000-0000-000042350000}"/>
    <cellStyle name="40% - Énfasis3 31 4" xfId="13632" xr:uid="{00000000-0005-0000-0000-000043350000}"/>
    <cellStyle name="40% - Énfasis3 31 4 2" xfId="13633" xr:uid="{00000000-0005-0000-0000-000044350000}"/>
    <cellStyle name="40% - Énfasis3 31 5" xfId="13634" xr:uid="{00000000-0005-0000-0000-000045350000}"/>
    <cellStyle name="40% - Énfasis3 32" xfId="13635" xr:uid="{00000000-0005-0000-0000-000046350000}"/>
    <cellStyle name="40% - Énfasis3 32 2" xfId="13636" xr:uid="{00000000-0005-0000-0000-000047350000}"/>
    <cellStyle name="40% - Énfasis3 32 2 2" xfId="13637" xr:uid="{00000000-0005-0000-0000-000048350000}"/>
    <cellStyle name="40% - Énfasis3 32 2 2 2" xfId="13638" xr:uid="{00000000-0005-0000-0000-000049350000}"/>
    <cellStyle name="40% - Énfasis3 32 2 2 2 2" xfId="13639" xr:uid="{00000000-0005-0000-0000-00004A350000}"/>
    <cellStyle name="40% - Énfasis3 32 2 2 3" xfId="13640" xr:uid="{00000000-0005-0000-0000-00004B350000}"/>
    <cellStyle name="40% - Énfasis3 32 2 3" xfId="13641" xr:uid="{00000000-0005-0000-0000-00004C350000}"/>
    <cellStyle name="40% - Énfasis3 32 2 3 2" xfId="13642" xr:uid="{00000000-0005-0000-0000-00004D350000}"/>
    <cellStyle name="40% - Énfasis3 32 2 4" xfId="13643" xr:uid="{00000000-0005-0000-0000-00004E350000}"/>
    <cellStyle name="40% - Énfasis3 32 3" xfId="13644" xr:uid="{00000000-0005-0000-0000-00004F350000}"/>
    <cellStyle name="40% - Énfasis3 32 3 2" xfId="13645" xr:uid="{00000000-0005-0000-0000-000050350000}"/>
    <cellStyle name="40% - Énfasis3 32 3 2 2" xfId="13646" xr:uid="{00000000-0005-0000-0000-000051350000}"/>
    <cellStyle name="40% - Énfasis3 32 3 3" xfId="13647" xr:uid="{00000000-0005-0000-0000-000052350000}"/>
    <cellStyle name="40% - Énfasis3 32 4" xfId="13648" xr:uid="{00000000-0005-0000-0000-000053350000}"/>
    <cellStyle name="40% - Énfasis3 32 4 2" xfId="13649" xr:uid="{00000000-0005-0000-0000-000054350000}"/>
    <cellStyle name="40% - Énfasis3 32 5" xfId="13650" xr:uid="{00000000-0005-0000-0000-000055350000}"/>
    <cellStyle name="40% - Énfasis3 33" xfId="13651" xr:uid="{00000000-0005-0000-0000-000056350000}"/>
    <cellStyle name="40% - Énfasis3 33 2" xfId="13652" xr:uid="{00000000-0005-0000-0000-000057350000}"/>
    <cellStyle name="40% - Énfasis3 33 2 2" xfId="13653" xr:uid="{00000000-0005-0000-0000-000058350000}"/>
    <cellStyle name="40% - Énfasis3 33 2 2 2" xfId="13654" xr:uid="{00000000-0005-0000-0000-000059350000}"/>
    <cellStyle name="40% - Énfasis3 33 2 3" xfId="13655" xr:uid="{00000000-0005-0000-0000-00005A350000}"/>
    <cellStyle name="40% - Énfasis3 33 3" xfId="13656" xr:uid="{00000000-0005-0000-0000-00005B350000}"/>
    <cellStyle name="40% - Énfasis3 33 3 2" xfId="13657" xr:uid="{00000000-0005-0000-0000-00005C350000}"/>
    <cellStyle name="40% - Énfasis3 33 3 2 2" xfId="13658" xr:uid="{00000000-0005-0000-0000-00005D350000}"/>
    <cellStyle name="40% - Énfasis3 33 3 3" xfId="13659" xr:uid="{00000000-0005-0000-0000-00005E350000}"/>
    <cellStyle name="40% - Énfasis3 33 4" xfId="13660" xr:uid="{00000000-0005-0000-0000-00005F350000}"/>
    <cellStyle name="40% - Énfasis3 33 4 2" xfId="13661" xr:uid="{00000000-0005-0000-0000-000060350000}"/>
    <cellStyle name="40% - Énfasis3 33 5" xfId="13662" xr:uid="{00000000-0005-0000-0000-000061350000}"/>
    <cellStyle name="40% - Énfasis3 34" xfId="13663" xr:uid="{00000000-0005-0000-0000-000062350000}"/>
    <cellStyle name="40% - Énfasis3 34 2" xfId="13664" xr:uid="{00000000-0005-0000-0000-000063350000}"/>
    <cellStyle name="40% - Énfasis3 34 2 2" xfId="13665" xr:uid="{00000000-0005-0000-0000-000064350000}"/>
    <cellStyle name="40% - Énfasis3 34 2 2 2" xfId="13666" xr:uid="{00000000-0005-0000-0000-000065350000}"/>
    <cellStyle name="40% - Énfasis3 34 2 3" xfId="13667" xr:uid="{00000000-0005-0000-0000-000066350000}"/>
    <cellStyle name="40% - Énfasis3 34 3" xfId="13668" xr:uid="{00000000-0005-0000-0000-000067350000}"/>
    <cellStyle name="40% - Énfasis3 34 3 2" xfId="13669" xr:uid="{00000000-0005-0000-0000-000068350000}"/>
    <cellStyle name="40% - Énfasis3 34 3 2 2" xfId="13670" xr:uid="{00000000-0005-0000-0000-000069350000}"/>
    <cellStyle name="40% - Énfasis3 34 3 3" xfId="13671" xr:uid="{00000000-0005-0000-0000-00006A350000}"/>
    <cellStyle name="40% - Énfasis3 34 4" xfId="13672" xr:uid="{00000000-0005-0000-0000-00006B350000}"/>
    <cellStyle name="40% - Énfasis3 34 4 2" xfId="13673" xr:uid="{00000000-0005-0000-0000-00006C350000}"/>
    <cellStyle name="40% - Énfasis3 34 5" xfId="13674" xr:uid="{00000000-0005-0000-0000-00006D350000}"/>
    <cellStyle name="40% - Énfasis3 35" xfId="13675" xr:uid="{00000000-0005-0000-0000-00006E350000}"/>
    <cellStyle name="40% - Énfasis3 35 2" xfId="13676" xr:uid="{00000000-0005-0000-0000-00006F350000}"/>
    <cellStyle name="40% - Énfasis3 35 2 2" xfId="13677" xr:uid="{00000000-0005-0000-0000-000070350000}"/>
    <cellStyle name="40% - Énfasis3 35 2 2 2" xfId="13678" xr:uid="{00000000-0005-0000-0000-000071350000}"/>
    <cellStyle name="40% - Énfasis3 35 2 3" xfId="13679" xr:uid="{00000000-0005-0000-0000-000072350000}"/>
    <cellStyle name="40% - Énfasis3 35 3" xfId="13680" xr:uid="{00000000-0005-0000-0000-000073350000}"/>
    <cellStyle name="40% - Énfasis3 35 3 2" xfId="13681" xr:uid="{00000000-0005-0000-0000-000074350000}"/>
    <cellStyle name="40% - Énfasis3 35 3 2 2" xfId="13682" xr:uid="{00000000-0005-0000-0000-000075350000}"/>
    <cellStyle name="40% - Énfasis3 35 3 3" xfId="13683" xr:uid="{00000000-0005-0000-0000-000076350000}"/>
    <cellStyle name="40% - Énfasis3 35 4" xfId="13684" xr:uid="{00000000-0005-0000-0000-000077350000}"/>
    <cellStyle name="40% - Énfasis3 35 4 2" xfId="13685" xr:uid="{00000000-0005-0000-0000-000078350000}"/>
    <cellStyle name="40% - Énfasis3 35 5" xfId="13686" xr:uid="{00000000-0005-0000-0000-000079350000}"/>
    <cellStyle name="40% - Énfasis3 36" xfId="13687" xr:uid="{00000000-0005-0000-0000-00007A350000}"/>
    <cellStyle name="40% - Énfasis3 36 2" xfId="13688" xr:uid="{00000000-0005-0000-0000-00007B350000}"/>
    <cellStyle name="40% - Énfasis3 36 2 2" xfId="13689" xr:uid="{00000000-0005-0000-0000-00007C350000}"/>
    <cellStyle name="40% - Énfasis3 36 2 2 2" xfId="13690" xr:uid="{00000000-0005-0000-0000-00007D350000}"/>
    <cellStyle name="40% - Énfasis3 36 2 3" xfId="13691" xr:uid="{00000000-0005-0000-0000-00007E350000}"/>
    <cellStyle name="40% - Énfasis3 36 3" xfId="13692" xr:uid="{00000000-0005-0000-0000-00007F350000}"/>
    <cellStyle name="40% - Énfasis3 36 3 2" xfId="13693" xr:uid="{00000000-0005-0000-0000-000080350000}"/>
    <cellStyle name="40% - Énfasis3 36 4" xfId="13694" xr:uid="{00000000-0005-0000-0000-000081350000}"/>
    <cellStyle name="40% - Énfasis3 37" xfId="13695" xr:uid="{00000000-0005-0000-0000-000082350000}"/>
    <cellStyle name="40% - Énfasis3 37 2" xfId="13696" xr:uid="{00000000-0005-0000-0000-000083350000}"/>
    <cellStyle name="40% - Énfasis3 37 2 2" xfId="13697" xr:uid="{00000000-0005-0000-0000-000084350000}"/>
    <cellStyle name="40% - Énfasis3 37 2 2 2" xfId="13698" xr:uid="{00000000-0005-0000-0000-000085350000}"/>
    <cellStyle name="40% - Énfasis3 37 2 3" xfId="13699" xr:uid="{00000000-0005-0000-0000-000086350000}"/>
    <cellStyle name="40% - Énfasis3 37 3" xfId="13700" xr:uid="{00000000-0005-0000-0000-000087350000}"/>
    <cellStyle name="40% - Énfasis3 37 3 2" xfId="13701" xr:uid="{00000000-0005-0000-0000-000088350000}"/>
    <cellStyle name="40% - Énfasis3 37 4" xfId="13702" xr:uid="{00000000-0005-0000-0000-000089350000}"/>
    <cellStyle name="40% - Énfasis3 38" xfId="13703" xr:uid="{00000000-0005-0000-0000-00008A350000}"/>
    <cellStyle name="40% - Énfasis3 38 2" xfId="13704" xr:uid="{00000000-0005-0000-0000-00008B350000}"/>
    <cellStyle name="40% - Énfasis3 38 2 2" xfId="13705" xr:uid="{00000000-0005-0000-0000-00008C350000}"/>
    <cellStyle name="40% - Énfasis3 38 2 2 2" xfId="13706" xr:uid="{00000000-0005-0000-0000-00008D350000}"/>
    <cellStyle name="40% - Énfasis3 38 2 3" xfId="13707" xr:uid="{00000000-0005-0000-0000-00008E350000}"/>
    <cellStyle name="40% - Énfasis3 38 3" xfId="13708" xr:uid="{00000000-0005-0000-0000-00008F350000}"/>
    <cellStyle name="40% - Énfasis3 38 3 2" xfId="13709" xr:uid="{00000000-0005-0000-0000-000090350000}"/>
    <cellStyle name="40% - Énfasis3 38 4" xfId="13710" xr:uid="{00000000-0005-0000-0000-000091350000}"/>
    <cellStyle name="40% - Énfasis3 39" xfId="13711" xr:uid="{00000000-0005-0000-0000-000092350000}"/>
    <cellStyle name="40% - Énfasis3 39 2" xfId="13712" xr:uid="{00000000-0005-0000-0000-000093350000}"/>
    <cellStyle name="40% - Énfasis3 39 2 2" xfId="13713" xr:uid="{00000000-0005-0000-0000-000094350000}"/>
    <cellStyle name="40% - Énfasis3 39 2 2 2" xfId="13714" xr:uid="{00000000-0005-0000-0000-000095350000}"/>
    <cellStyle name="40% - Énfasis3 39 2 3" xfId="13715" xr:uid="{00000000-0005-0000-0000-000096350000}"/>
    <cellStyle name="40% - Énfasis3 39 3" xfId="13716" xr:uid="{00000000-0005-0000-0000-000097350000}"/>
    <cellStyle name="40% - Énfasis3 39 3 2" xfId="13717" xr:uid="{00000000-0005-0000-0000-000098350000}"/>
    <cellStyle name="40% - Énfasis3 39 4" xfId="13718" xr:uid="{00000000-0005-0000-0000-000099350000}"/>
    <cellStyle name="40% - Énfasis3 4" xfId="13719" xr:uid="{00000000-0005-0000-0000-00009A350000}"/>
    <cellStyle name="40% - Énfasis3 4 10" xfId="13720" xr:uid="{00000000-0005-0000-0000-00009B350000}"/>
    <cellStyle name="40% - Énfasis3 4 10 2" xfId="13721" xr:uid="{00000000-0005-0000-0000-00009C350000}"/>
    <cellStyle name="40% - Énfasis3 4 11" xfId="13722" xr:uid="{00000000-0005-0000-0000-00009D350000}"/>
    <cellStyle name="40% - Énfasis3 4 2" xfId="13723" xr:uid="{00000000-0005-0000-0000-00009E350000}"/>
    <cellStyle name="40% - Énfasis3 4 2 2" xfId="13724" xr:uid="{00000000-0005-0000-0000-00009F350000}"/>
    <cellStyle name="40% - Énfasis3 4 2 2 2" xfId="13725" xr:uid="{00000000-0005-0000-0000-0000A0350000}"/>
    <cellStyle name="40% - Énfasis3 4 2 2 2 2" xfId="13726" xr:uid="{00000000-0005-0000-0000-0000A1350000}"/>
    <cellStyle name="40% - Énfasis3 4 2 2 2 2 2" xfId="13727" xr:uid="{00000000-0005-0000-0000-0000A2350000}"/>
    <cellStyle name="40% - Énfasis3 4 2 2 2 2 2 2" xfId="13728" xr:uid="{00000000-0005-0000-0000-0000A3350000}"/>
    <cellStyle name="40% - Énfasis3 4 2 2 2 2 3" xfId="13729" xr:uid="{00000000-0005-0000-0000-0000A4350000}"/>
    <cellStyle name="40% - Énfasis3 4 2 2 2 3" xfId="13730" xr:uid="{00000000-0005-0000-0000-0000A5350000}"/>
    <cellStyle name="40% - Énfasis3 4 2 2 2 3 2" xfId="13731" xr:uid="{00000000-0005-0000-0000-0000A6350000}"/>
    <cellStyle name="40% - Énfasis3 4 2 2 2 4" xfId="13732" xr:uid="{00000000-0005-0000-0000-0000A7350000}"/>
    <cellStyle name="40% - Énfasis3 4 2 2 3" xfId="13733" xr:uid="{00000000-0005-0000-0000-0000A8350000}"/>
    <cellStyle name="40% - Énfasis3 4 2 2 3 2" xfId="13734" xr:uid="{00000000-0005-0000-0000-0000A9350000}"/>
    <cellStyle name="40% - Énfasis3 4 2 2 3 2 2" xfId="13735" xr:uid="{00000000-0005-0000-0000-0000AA350000}"/>
    <cellStyle name="40% - Énfasis3 4 2 2 3 3" xfId="13736" xr:uid="{00000000-0005-0000-0000-0000AB350000}"/>
    <cellStyle name="40% - Énfasis3 4 2 2 4" xfId="13737" xr:uid="{00000000-0005-0000-0000-0000AC350000}"/>
    <cellStyle name="40% - Énfasis3 4 2 2 4 2" xfId="13738" xr:uid="{00000000-0005-0000-0000-0000AD350000}"/>
    <cellStyle name="40% - Énfasis3 4 2 2 4 2 2" xfId="13739" xr:uid="{00000000-0005-0000-0000-0000AE350000}"/>
    <cellStyle name="40% - Énfasis3 4 2 2 4 3" xfId="13740" xr:uid="{00000000-0005-0000-0000-0000AF350000}"/>
    <cellStyle name="40% - Énfasis3 4 2 2 5" xfId="13741" xr:uid="{00000000-0005-0000-0000-0000B0350000}"/>
    <cellStyle name="40% - Énfasis3 4 2 2 5 2" xfId="13742" xr:uid="{00000000-0005-0000-0000-0000B1350000}"/>
    <cellStyle name="40% - Énfasis3 4 2 2 6" xfId="13743" xr:uid="{00000000-0005-0000-0000-0000B2350000}"/>
    <cellStyle name="40% - Énfasis3 4 2 3" xfId="13744" xr:uid="{00000000-0005-0000-0000-0000B3350000}"/>
    <cellStyle name="40% - Énfasis3 4 2 3 2" xfId="13745" xr:uid="{00000000-0005-0000-0000-0000B4350000}"/>
    <cellStyle name="40% - Énfasis3 4 2 3 2 2" xfId="13746" xr:uid="{00000000-0005-0000-0000-0000B5350000}"/>
    <cellStyle name="40% - Énfasis3 4 2 3 2 2 2" xfId="13747" xr:uid="{00000000-0005-0000-0000-0000B6350000}"/>
    <cellStyle name="40% - Énfasis3 4 2 3 2 3" xfId="13748" xr:uid="{00000000-0005-0000-0000-0000B7350000}"/>
    <cellStyle name="40% - Énfasis3 4 2 3 3" xfId="13749" xr:uid="{00000000-0005-0000-0000-0000B8350000}"/>
    <cellStyle name="40% - Énfasis3 4 2 3 3 2" xfId="13750" xr:uid="{00000000-0005-0000-0000-0000B9350000}"/>
    <cellStyle name="40% - Énfasis3 4 2 3 3 2 2" xfId="13751" xr:uid="{00000000-0005-0000-0000-0000BA350000}"/>
    <cellStyle name="40% - Énfasis3 4 2 3 3 3" xfId="13752" xr:uid="{00000000-0005-0000-0000-0000BB350000}"/>
    <cellStyle name="40% - Énfasis3 4 2 3 4" xfId="13753" xr:uid="{00000000-0005-0000-0000-0000BC350000}"/>
    <cellStyle name="40% - Énfasis3 4 2 3 4 2" xfId="13754" xr:uid="{00000000-0005-0000-0000-0000BD350000}"/>
    <cellStyle name="40% - Énfasis3 4 2 3 5" xfId="13755" xr:uid="{00000000-0005-0000-0000-0000BE350000}"/>
    <cellStyle name="40% - Énfasis3 4 2 4" xfId="13756" xr:uid="{00000000-0005-0000-0000-0000BF350000}"/>
    <cellStyle name="40% - Énfasis3 4 2 4 2" xfId="13757" xr:uid="{00000000-0005-0000-0000-0000C0350000}"/>
    <cellStyle name="40% - Énfasis3 4 2 4 2 2" xfId="13758" xr:uid="{00000000-0005-0000-0000-0000C1350000}"/>
    <cellStyle name="40% - Énfasis3 4 2 4 2 2 2" xfId="13759" xr:uid="{00000000-0005-0000-0000-0000C2350000}"/>
    <cellStyle name="40% - Énfasis3 4 2 4 2 3" xfId="13760" xr:uid="{00000000-0005-0000-0000-0000C3350000}"/>
    <cellStyle name="40% - Énfasis3 4 2 4 3" xfId="13761" xr:uid="{00000000-0005-0000-0000-0000C4350000}"/>
    <cellStyle name="40% - Énfasis3 4 2 4 3 2" xfId="13762" xr:uid="{00000000-0005-0000-0000-0000C5350000}"/>
    <cellStyle name="40% - Énfasis3 4 2 4 3 2 2" xfId="13763" xr:uid="{00000000-0005-0000-0000-0000C6350000}"/>
    <cellStyle name="40% - Énfasis3 4 2 4 3 3" xfId="13764" xr:uid="{00000000-0005-0000-0000-0000C7350000}"/>
    <cellStyle name="40% - Énfasis3 4 2 4 4" xfId="13765" xr:uid="{00000000-0005-0000-0000-0000C8350000}"/>
    <cellStyle name="40% - Énfasis3 4 2 4 4 2" xfId="13766" xr:uid="{00000000-0005-0000-0000-0000C9350000}"/>
    <cellStyle name="40% - Énfasis3 4 2 4 5" xfId="13767" xr:uid="{00000000-0005-0000-0000-0000CA350000}"/>
    <cellStyle name="40% - Énfasis3 4 2 5" xfId="13768" xr:uid="{00000000-0005-0000-0000-0000CB350000}"/>
    <cellStyle name="40% - Énfasis3 4 2 5 2" xfId="13769" xr:uid="{00000000-0005-0000-0000-0000CC350000}"/>
    <cellStyle name="40% - Énfasis3 4 2 5 2 2" xfId="13770" xr:uid="{00000000-0005-0000-0000-0000CD350000}"/>
    <cellStyle name="40% - Énfasis3 4 2 5 2 2 2" xfId="13771" xr:uid="{00000000-0005-0000-0000-0000CE350000}"/>
    <cellStyle name="40% - Énfasis3 4 2 5 2 3" xfId="13772" xr:uid="{00000000-0005-0000-0000-0000CF350000}"/>
    <cellStyle name="40% - Énfasis3 4 2 5 3" xfId="13773" xr:uid="{00000000-0005-0000-0000-0000D0350000}"/>
    <cellStyle name="40% - Énfasis3 4 2 5 3 2" xfId="13774" xr:uid="{00000000-0005-0000-0000-0000D1350000}"/>
    <cellStyle name="40% - Énfasis3 4 2 5 4" xfId="13775" xr:uid="{00000000-0005-0000-0000-0000D2350000}"/>
    <cellStyle name="40% - Énfasis3 4 2 6" xfId="13776" xr:uid="{00000000-0005-0000-0000-0000D3350000}"/>
    <cellStyle name="40% - Énfasis3 4 2 6 2" xfId="13777" xr:uid="{00000000-0005-0000-0000-0000D4350000}"/>
    <cellStyle name="40% - Énfasis3 4 2 6 2 2" xfId="13778" xr:uid="{00000000-0005-0000-0000-0000D5350000}"/>
    <cellStyle name="40% - Énfasis3 4 2 6 3" xfId="13779" xr:uid="{00000000-0005-0000-0000-0000D6350000}"/>
    <cellStyle name="40% - Énfasis3 4 2 7" xfId="13780" xr:uid="{00000000-0005-0000-0000-0000D7350000}"/>
    <cellStyle name="40% - Énfasis3 4 2 7 2" xfId="13781" xr:uid="{00000000-0005-0000-0000-0000D8350000}"/>
    <cellStyle name="40% - Énfasis3 4 2 7 2 2" xfId="13782" xr:uid="{00000000-0005-0000-0000-0000D9350000}"/>
    <cellStyle name="40% - Énfasis3 4 2 7 3" xfId="13783" xr:uid="{00000000-0005-0000-0000-0000DA350000}"/>
    <cellStyle name="40% - Énfasis3 4 2 8" xfId="13784" xr:uid="{00000000-0005-0000-0000-0000DB350000}"/>
    <cellStyle name="40% - Énfasis3 4 2 8 2" xfId="13785" xr:uid="{00000000-0005-0000-0000-0000DC350000}"/>
    <cellStyle name="40% - Énfasis3 4 2 9" xfId="13786" xr:uid="{00000000-0005-0000-0000-0000DD350000}"/>
    <cellStyle name="40% - Énfasis3 4 3" xfId="13787" xr:uid="{00000000-0005-0000-0000-0000DE350000}"/>
    <cellStyle name="40% - Énfasis3 4 3 2" xfId="13788" xr:uid="{00000000-0005-0000-0000-0000DF350000}"/>
    <cellStyle name="40% - Énfasis3 4 3 2 2" xfId="13789" xr:uid="{00000000-0005-0000-0000-0000E0350000}"/>
    <cellStyle name="40% - Énfasis3 4 3 2 2 2" xfId="13790" xr:uid="{00000000-0005-0000-0000-0000E1350000}"/>
    <cellStyle name="40% - Énfasis3 4 3 2 2 2 2" xfId="13791" xr:uid="{00000000-0005-0000-0000-0000E2350000}"/>
    <cellStyle name="40% - Énfasis3 4 3 2 2 3" xfId="13792" xr:uid="{00000000-0005-0000-0000-0000E3350000}"/>
    <cellStyle name="40% - Énfasis3 4 3 2 3" xfId="13793" xr:uid="{00000000-0005-0000-0000-0000E4350000}"/>
    <cellStyle name="40% - Énfasis3 4 3 2 3 2" xfId="13794" xr:uid="{00000000-0005-0000-0000-0000E5350000}"/>
    <cellStyle name="40% - Énfasis3 4 3 2 4" xfId="13795" xr:uid="{00000000-0005-0000-0000-0000E6350000}"/>
    <cellStyle name="40% - Énfasis3 4 3 3" xfId="13796" xr:uid="{00000000-0005-0000-0000-0000E7350000}"/>
    <cellStyle name="40% - Énfasis3 4 3 3 2" xfId="13797" xr:uid="{00000000-0005-0000-0000-0000E8350000}"/>
    <cellStyle name="40% - Énfasis3 4 3 3 2 2" xfId="13798" xr:uid="{00000000-0005-0000-0000-0000E9350000}"/>
    <cellStyle name="40% - Énfasis3 4 3 3 3" xfId="13799" xr:uid="{00000000-0005-0000-0000-0000EA350000}"/>
    <cellStyle name="40% - Énfasis3 4 3 4" xfId="13800" xr:uid="{00000000-0005-0000-0000-0000EB350000}"/>
    <cellStyle name="40% - Énfasis3 4 3 4 2" xfId="13801" xr:uid="{00000000-0005-0000-0000-0000EC350000}"/>
    <cellStyle name="40% - Énfasis3 4 3 4 2 2" xfId="13802" xr:uid="{00000000-0005-0000-0000-0000ED350000}"/>
    <cellStyle name="40% - Énfasis3 4 3 4 3" xfId="13803" xr:uid="{00000000-0005-0000-0000-0000EE350000}"/>
    <cellStyle name="40% - Énfasis3 4 3 5" xfId="13804" xr:uid="{00000000-0005-0000-0000-0000EF350000}"/>
    <cellStyle name="40% - Énfasis3 4 3 5 2" xfId="13805" xr:uid="{00000000-0005-0000-0000-0000F0350000}"/>
    <cellStyle name="40% - Énfasis3 4 3 6" xfId="13806" xr:uid="{00000000-0005-0000-0000-0000F1350000}"/>
    <cellStyle name="40% - Énfasis3 4 4" xfId="13807" xr:uid="{00000000-0005-0000-0000-0000F2350000}"/>
    <cellStyle name="40% - Énfasis3 4 4 2" xfId="13808" xr:uid="{00000000-0005-0000-0000-0000F3350000}"/>
    <cellStyle name="40% - Énfasis3 4 4 2 2" xfId="13809" xr:uid="{00000000-0005-0000-0000-0000F4350000}"/>
    <cellStyle name="40% - Énfasis3 4 4 2 2 2" xfId="13810" xr:uid="{00000000-0005-0000-0000-0000F5350000}"/>
    <cellStyle name="40% - Énfasis3 4 4 2 3" xfId="13811" xr:uid="{00000000-0005-0000-0000-0000F6350000}"/>
    <cellStyle name="40% - Énfasis3 4 4 3" xfId="13812" xr:uid="{00000000-0005-0000-0000-0000F7350000}"/>
    <cellStyle name="40% - Énfasis3 4 4 3 2" xfId="13813" xr:uid="{00000000-0005-0000-0000-0000F8350000}"/>
    <cellStyle name="40% - Énfasis3 4 4 3 2 2" xfId="13814" xr:uid="{00000000-0005-0000-0000-0000F9350000}"/>
    <cellStyle name="40% - Énfasis3 4 4 3 3" xfId="13815" xr:uid="{00000000-0005-0000-0000-0000FA350000}"/>
    <cellStyle name="40% - Énfasis3 4 4 4" xfId="13816" xr:uid="{00000000-0005-0000-0000-0000FB350000}"/>
    <cellStyle name="40% - Énfasis3 4 4 4 2" xfId="13817" xr:uid="{00000000-0005-0000-0000-0000FC350000}"/>
    <cellStyle name="40% - Énfasis3 4 4 5" xfId="13818" xr:uid="{00000000-0005-0000-0000-0000FD350000}"/>
    <cellStyle name="40% - Énfasis3 4 5" xfId="13819" xr:uid="{00000000-0005-0000-0000-0000FE350000}"/>
    <cellStyle name="40% - Énfasis3 4 5 2" xfId="13820" xr:uid="{00000000-0005-0000-0000-0000FF350000}"/>
    <cellStyle name="40% - Énfasis3 4 5 2 2" xfId="13821" xr:uid="{00000000-0005-0000-0000-000000360000}"/>
    <cellStyle name="40% - Énfasis3 4 5 2 2 2" xfId="13822" xr:uid="{00000000-0005-0000-0000-000001360000}"/>
    <cellStyle name="40% - Énfasis3 4 5 2 3" xfId="13823" xr:uid="{00000000-0005-0000-0000-000002360000}"/>
    <cellStyle name="40% - Énfasis3 4 5 3" xfId="13824" xr:uid="{00000000-0005-0000-0000-000003360000}"/>
    <cellStyle name="40% - Énfasis3 4 5 3 2" xfId="13825" xr:uid="{00000000-0005-0000-0000-000004360000}"/>
    <cellStyle name="40% - Énfasis3 4 5 3 2 2" xfId="13826" xr:uid="{00000000-0005-0000-0000-000005360000}"/>
    <cellStyle name="40% - Énfasis3 4 5 3 3" xfId="13827" xr:uid="{00000000-0005-0000-0000-000006360000}"/>
    <cellStyle name="40% - Énfasis3 4 5 4" xfId="13828" xr:uid="{00000000-0005-0000-0000-000007360000}"/>
    <cellStyle name="40% - Énfasis3 4 5 4 2" xfId="13829" xr:uid="{00000000-0005-0000-0000-000008360000}"/>
    <cellStyle name="40% - Énfasis3 4 5 5" xfId="13830" xr:uid="{00000000-0005-0000-0000-000009360000}"/>
    <cellStyle name="40% - Énfasis3 4 6" xfId="13831" xr:uid="{00000000-0005-0000-0000-00000A360000}"/>
    <cellStyle name="40% - Énfasis3 4 6 2" xfId="13832" xr:uid="{00000000-0005-0000-0000-00000B360000}"/>
    <cellStyle name="40% - Énfasis3 4 6 2 2" xfId="13833" xr:uid="{00000000-0005-0000-0000-00000C360000}"/>
    <cellStyle name="40% - Énfasis3 4 6 2 2 2" xfId="13834" xr:uid="{00000000-0005-0000-0000-00000D360000}"/>
    <cellStyle name="40% - Énfasis3 4 6 2 3" xfId="13835" xr:uid="{00000000-0005-0000-0000-00000E360000}"/>
    <cellStyle name="40% - Énfasis3 4 6 3" xfId="13836" xr:uid="{00000000-0005-0000-0000-00000F360000}"/>
    <cellStyle name="40% - Énfasis3 4 6 3 2" xfId="13837" xr:uid="{00000000-0005-0000-0000-000010360000}"/>
    <cellStyle name="40% - Énfasis3 4 6 4" xfId="13838" xr:uid="{00000000-0005-0000-0000-000011360000}"/>
    <cellStyle name="40% - Énfasis3 4 7" xfId="13839" xr:uid="{00000000-0005-0000-0000-000012360000}"/>
    <cellStyle name="40% - Énfasis3 4 7 2" xfId="13840" xr:uid="{00000000-0005-0000-0000-000013360000}"/>
    <cellStyle name="40% - Énfasis3 4 7 2 2" xfId="13841" xr:uid="{00000000-0005-0000-0000-000014360000}"/>
    <cellStyle name="40% - Énfasis3 4 7 3" xfId="13842" xr:uid="{00000000-0005-0000-0000-000015360000}"/>
    <cellStyle name="40% - Énfasis3 4 8" xfId="13843" xr:uid="{00000000-0005-0000-0000-000016360000}"/>
    <cellStyle name="40% - Énfasis3 4 8 2" xfId="13844" xr:uid="{00000000-0005-0000-0000-000017360000}"/>
    <cellStyle name="40% - Énfasis3 4 8 2 2" xfId="13845" xr:uid="{00000000-0005-0000-0000-000018360000}"/>
    <cellStyle name="40% - Énfasis3 4 8 3" xfId="13846" xr:uid="{00000000-0005-0000-0000-000019360000}"/>
    <cellStyle name="40% - Énfasis3 4 9" xfId="13847" xr:uid="{00000000-0005-0000-0000-00001A360000}"/>
    <cellStyle name="40% - Énfasis3 4 9 2" xfId="13848" xr:uid="{00000000-0005-0000-0000-00001B360000}"/>
    <cellStyle name="40% - Énfasis3 40" xfId="13849" xr:uid="{00000000-0005-0000-0000-00001C360000}"/>
    <cellStyle name="40% - Énfasis3 40 2" xfId="13850" xr:uid="{00000000-0005-0000-0000-00001D360000}"/>
    <cellStyle name="40% - Énfasis3 40 2 2" xfId="13851" xr:uid="{00000000-0005-0000-0000-00001E360000}"/>
    <cellStyle name="40% - Énfasis3 40 2 2 2" xfId="13852" xr:uid="{00000000-0005-0000-0000-00001F360000}"/>
    <cellStyle name="40% - Énfasis3 40 2 3" xfId="13853" xr:uid="{00000000-0005-0000-0000-000020360000}"/>
    <cellStyle name="40% - Énfasis3 40 3" xfId="13854" xr:uid="{00000000-0005-0000-0000-000021360000}"/>
    <cellStyle name="40% - Énfasis3 40 3 2" xfId="13855" xr:uid="{00000000-0005-0000-0000-000022360000}"/>
    <cellStyle name="40% - Énfasis3 40 4" xfId="13856" xr:uid="{00000000-0005-0000-0000-000023360000}"/>
    <cellStyle name="40% - Énfasis3 41" xfId="13857" xr:uid="{00000000-0005-0000-0000-000024360000}"/>
    <cellStyle name="40% - Énfasis3 41 2" xfId="13858" xr:uid="{00000000-0005-0000-0000-000025360000}"/>
    <cellStyle name="40% - Énfasis3 41 2 2" xfId="13859" xr:uid="{00000000-0005-0000-0000-000026360000}"/>
    <cellStyle name="40% - Énfasis3 41 3" xfId="13860" xr:uid="{00000000-0005-0000-0000-000027360000}"/>
    <cellStyle name="40% - Énfasis3 42" xfId="13861" xr:uid="{00000000-0005-0000-0000-000028360000}"/>
    <cellStyle name="40% - Énfasis3 42 2" xfId="13862" xr:uid="{00000000-0005-0000-0000-000029360000}"/>
    <cellStyle name="40% - Énfasis3 42 2 2" xfId="13863" xr:uid="{00000000-0005-0000-0000-00002A360000}"/>
    <cellStyle name="40% - Énfasis3 42 3" xfId="13864" xr:uid="{00000000-0005-0000-0000-00002B360000}"/>
    <cellStyle name="40% - Énfasis3 43" xfId="13865" xr:uid="{00000000-0005-0000-0000-00002C360000}"/>
    <cellStyle name="40% - Énfasis3 43 2" xfId="13866" xr:uid="{00000000-0005-0000-0000-00002D360000}"/>
    <cellStyle name="40% - Énfasis3 43 2 2" xfId="13867" xr:uid="{00000000-0005-0000-0000-00002E360000}"/>
    <cellStyle name="40% - Énfasis3 43 3" xfId="13868" xr:uid="{00000000-0005-0000-0000-00002F360000}"/>
    <cellStyle name="40% - Énfasis3 44" xfId="13869" xr:uid="{00000000-0005-0000-0000-000030360000}"/>
    <cellStyle name="40% - Énfasis3 44 2" xfId="13870" xr:uid="{00000000-0005-0000-0000-000031360000}"/>
    <cellStyle name="40% - Énfasis3 44 2 2" xfId="13871" xr:uid="{00000000-0005-0000-0000-000032360000}"/>
    <cellStyle name="40% - Énfasis3 44 3" xfId="13872" xr:uid="{00000000-0005-0000-0000-000033360000}"/>
    <cellStyle name="40% - Énfasis3 45" xfId="13873" xr:uid="{00000000-0005-0000-0000-000034360000}"/>
    <cellStyle name="40% - Énfasis3 45 2" xfId="13874" xr:uid="{00000000-0005-0000-0000-000035360000}"/>
    <cellStyle name="40% - Énfasis3 45 2 2" xfId="13875" xr:uid="{00000000-0005-0000-0000-000036360000}"/>
    <cellStyle name="40% - Énfasis3 45 3" xfId="13876" xr:uid="{00000000-0005-0000-0000-000037360000}"/>
    <cellStyle name="40% - Énfasis3 46" xfId="13877" xr:uid="{00000000-0005-0000-0000-000038360000}"/>
    <cellStyle name="40% - Énfasis3 46 2" xfId="13878" xr:uid="{00000000-0005-0000-0000-000039360000}"/>
    <cellStyle name="40% - Énfasis3 46 2 2" xfId="13879" xr:uid="{00000000-0005-0000-0000-00003A360000}"/>
    <cellStyle name="40% - Énfasis3 46 3" xfId="13880" xr:uid="{00000000-0005-0000-0000-00003B360000}"/>
    <cellStyle name="40% - Énfasis3 47" xfId="13881" xr:uid="{00000000-0005-0000-0000-00003C360000}"/>
    <cellStyle name="40% - Énfasis3 47 2" xfId="13882" xr:uid="{00000000-0005-0000-0000-00003D360000}"/>
    <cellStyle name="40% - Énfasis3 47 2 2" xfId="13883" xr:uid="{00000000-0005-0000-0000-00003E360000}"/>
    <cellStyle name="40% - Énfasis3 47 3" xfId="13884" xr:uid="{00000000-0005-0000-0000-00003F360000}"/>
    <cellStyle name="40% - Énfasis3 48" xfId="13885" xr:uid="{00000000-0005-0000-0000-000040360000}"/>
    <cellStyle name="40% - Énfasis3 48 2" xfId="13886" xr:uid="{00000000-0005-0000-0000-000041360000}"/>
    <cellStyle name="40% - Énfasis3 48 2 2" xfId="13887" xr:uid="{00000000-0005-0000-0000-000042360000}"/>
    <cellStyle name="40% - Énfasis3 48 3" xfId="13888" xr:uid="{00000000-0005-0000-0000-000043360000}"/>
    <cellStyle name="40% - Énfasis3 49" xfId="13889" xr:uid="{00000000-0005-0000-0000-000044360000}"/>
    <cellStyle name="40% - Énfasis3 49 2" xfId="13890" xr:uid="{00000000-0005-0000-0000-000045360000}"/>
    <cellStyle name="40% - Énfasis3 5" xfId="13891" xr:uid="{00000000-0005-0000-0000-000046360000}"/>
    <cellStyle name="40% - Énfasis3 5 2" xfId="13892" xr:uid="{00000000-0005-0000-0000-000047360000}"/>
    <cellStyle name="40% - Énfasis3 5 2 2" xfId="13893" xr:uid="{00000000-0005-0000-0000-000048360000}"/>
    <cellStyle name="40% - Énfasis3 5 2 2 2" xfId="13894" xr:uid="{00000000-0005-0000-0000-000049360000}"/>
    <cellStyle name="40% - Énfasis3 5 2 2 2 2" xfId="13895" xr:uid="{00000000-0005-0000-0000-00004A360000}"/>
    <cellStyle name="40% - Énfasis3 5 2 2 2 2 2" xfId="13896" xr:uid="{00000000-0005-0000-0000-00004B360000}"/>
    <cellStyle name="40% - Énfasis3 5 2 2 2 3" xfId="13897" xr:uid="{00000000-0005-0000-0000-00004C360000}"/>
    <cellStyle name="40% - Énfasis3 5 2 2 3" xfId="13898" xr:uid="{00000000-0005-0000-0000-00004D360000}"/>
    <cellStyle name="40% - Énfasis3 5 2 2 3 2" xfId="13899" xr:uid="{00000000-0005-0000-0000-00004E360000}"/>
    <cellStyle name="40% - Énfasis3 5 2 2 3 2 2" xfId="13900" xr:uid="{00000000-0005-0000-0000-00004F360000}"/>
    <cellStyle name="40% - Énfasis3 5 2 2 3 3" xfId="13901" xr:uid="{00000000-0005-0000-0000-000050360000}"/>
    <cellStyle name="40% - Énfasis3 5 2 2 4" xfId="13902" xr:uid="{00000000-0005-0000-0000-000051360000}"/>
    <cellStyle name="40% - Énfasis3 5 2 2 4 2" xfId="13903" xr:uid="{00000000-0005-0000-0000-000052360000}"/>
    <cellStyle name="40% - Énfasis3 5 2 2 5" xfId="13904" xr:uid="{00000000-0005-0000-0000-000053360000}"/>
    <cellStyle name="40% - Énfasis3 5 2 3" xfId="13905" xr:uid="{00000000-0005-0000-0000-000054360000}"/>
    <cellStyle name="40% - Énfasis3 5 2 3 2" xfId="13906" xr:uid="{00000000-0005-0000-0000-000055360000}"/>
    <cellStyle name="40% - Énfasis3 5 2 3 2 2" xfId="13907" xr:uid="{00000000-0005-0000-0000-000056360000}"/>
    <cellStyle name="40% - Énfasis3 5 2 3 2 2 2" xfId="13908" xr:uid="{00000000-0005-0000-0000-000057360000}"/>
    <cellStyle name="40% - Énfasis3 5 2 3 2 3" xfId="13909" xr:uid="{00000000-0005-0000-0000-000058360000}"/>
    <cellStyle name="40% - Énfasis3 5 2 3 3" xfId="13910" xr:uid="{00000000-0005-0000-0000-000059360000}"/>
    <cellStyle name="40% - Énfasis3 5 2 3 3 2" xfId="13911" xr:uid="{00000000-0005-0000-0000-00005A360000}"/>
    <cellStyle name="40% - Énfasis3 5 2 3 3 2 2" xfId="13912" xr:uid="{00000000-0005-0000-0000-00005B360000}"/>
    <cellStyle name="40% - Énfasis3 5 2 3 3 3" xfId="13913" xr:uid="{00000000-0005-0000-0000-00005C360000}"/>
    <cellStyle name="40% - Énfasis3 5 2 3 4" xfId="13914" xr:uid="{00000000-0005-0000-0000-00005D360000}"/>
    <cellStyle name="40% - Énfasis3 5 2 3 4 2" xfId="13915" xr:uid="{00000000-0005-0000-0000-00005E360000}"/>
    <cellStyle name="40% - Énfasis3 5 2 3 5" xfId="13916" xr:uid="{00000000-0005-0000-0000-00005F360000}"/>
    <cellStyle name="40% - Énfasis3 5 2 4" xfId="13917" xr:uid="{00000000-0005-0000-0000-000060360000}"/>
    <cellStyle name="40% - Énfasis3 5 2 4 2" xfId="13918" xr:uid="{00000000-0005-0000-0000-000061360000}"/>
    <cellStyle name="40% - Énfasis3 5 2 4 2 2" xfId="13919" xr:uid="{00000000-0005-0000-0000-000062360000}"/>
    <cellStyle name="40% - Énfasis3 5 2 4 2 2 2" xfId="13920" xr:uid="{00000000-0005-0000-0000-000063360000}"/>
    <cellStyle name="40% - Énfasis3 5 2 4 2 3" xfId="13921" xr:uid="{00000000-0005-0000-0000-000064360000}"/>
    <cellStyle name="40% - Énfasis3 5 2 4 3" xfId="13922" xr:uid="{00000000-0005-0000-0000-000065360000}"/>
    <cellStyle name="40% - Énfasis3 5 2 4 3 2" xfId="13923" xr:uid="{00000000-0005-0000-0000-000066360000}"/>
    <cellStyle name="40% - Énfasis3 5 2 4 4" xfId="13924" xr:uid="{00000000-0005-0000-0000-000067360000}"/>
    <cellStyle name="40% - Énfasis3 5 2 5" xfId="13925" xr:uid="{00000000-0005-0000-0000-000068360000}"/>
    <cellStyle name="40% - Énfasis3 5 2 5 2" xfId="13926" xr:uid="{00000000-0005-0000-0000-000069360000}"/>
    <cellStyle name="40% - Énfasis3 5 2 5 2 2" xfId="13927" xr:uid="{00000000-0005-0000-0000-00006A360000}"/>
    <cellStyle name="40% - Énfasis3 5 2 5 3" xfId="13928" xr:uid="{00000000-0005-0000-0000-00006B360000}"/>
    <cellStyle name="40% - Énfasis3 5 2 6" xfId="13929" xr:uid="{00000000-0005-0000-0000-00006C360000}"/>
    <cellStyle name="40% - Énfasis3 5 2 6 2" xfId="13930" xr:uid="{00000000-0005-0000-0000-00006D360000}"/>
    <cellStyle name="40% - Énfasis3 5 2 6 2 2" xfId="13931" xr:uid="{00000000-0005-0000-0000-00006E360000}"/>
    <cellStyle name="40% - Énfasis3 5 2 6 3" xfId="13932" xr:uid="{00000000-0005-0000-0000-00006F360000}"/>
    <cellStyle name="40% - Énfasis3 5 2 7" xfId="13933" xr:uid="{00000000-0005-0000-0000-000070360000}"/>
    <cellStyle name="40% - Énfasis3 5 2 7 2" xfId="13934" xr:uid="{00000000-0005-0000-0000-000071360000}"/>
    <cellStyle name="40% - Énfasis3 5 2 8" xfId="13935" xr:uid="{00000000-0005-0000-0000-000072360000}"/>
    <cellStyle name="40% - Énfasis3 5 3" xfId="13936" xr:uid="{00000000-0005-0000-0000-000073360000}"/>
    <cellStyle name="40% - Énfasis3 5 3 2" xfId="13937" xr:uid="{00000000-0005-0000-0000-000074360000}"/>
    <cellStyle name="40% - Énfasis3 5 3 2 2" xfId="13938" xr:uid="{00000000-0005-0000-0000-000075360000}"/>
    <cellStyle name="40% - Énfasis3 5 3 2 2 2" xfId="13939" xr:uid="{00000000-0005-0000-0000-000076360000}"/>
    <cellStyle name="40% - Énfasis3 5 3 2 3" xfId="13940" xr:uid="{00000000-0005-0000-0000-000077360000}"/>
    <cellStyle name="40% - Énfasis3 5 3 3" xfId="13941" xr:uid="{00000000-0005-0000-0000-000078360000}"/>
    <cellStyle name="40% - Énfasis3 5 3 3 2" xfId="13942" xr:uid="{00000000-0005-0000-0000-000079360000}"/>
    <cellStyle name="40% - Énfasis3 5 3 3 2 2" xfId="13943" xr:uid="{00000000-0005-0000-0000-00007A360000}"/>
    <cellStyle name="40% - Énfasis3 5 3 3 3" xfId="13944" xr:uid="{00000000-0005-0000-0000-00007B360000}"/>
    <cellStyle name="40% - Énfasis3 5 3 4" xfId="13945" xr:uid="{00000000-0005-0000-0000-00007C360000}"/>
    <cellStyle name="40% - Énfasis3 5 3 4 2" xfId="13946" xr:uid="{00000000-0005-0000-0000-00007D360000}"/>
    <cellStyle name="40% - Énfasis3 5 3 5" xfId="13947" xr:uid="{00000000-0005-0000-0000-00007E360000}"/>
    <cellStyle name="40% - Énfasis3 5 4" xfId="13948" xr:uid="{00000000-0005-0000-0000-00007F360000}"/>
    <cellStyle name="40% - Énfasis3 5 4 2" xfId="13949" xr:uid="{00000000-0005-0000-0000-000080360000}"/>
    <cellStyle name="40% - Énfasis3 5 4 2 2" xfId="13950" xr:uid="{00000000-0005-0000-0000-000081360000}"/>
    <cellStyle name="40% - Énfasis3 5 4 2 2 2" xfId="13951" xr:uid="{00000000-0005-0000-0000-000082360000}"/>
    <cellStyle name="40% - Énfasis3 5 4 2 3" xfId="13952" xr:uid="{00000000-0005-0000-0000-000083360000}"/>
    <cellStyle name="40% - Énfasis3 5 4 3" xfId="13953" xr:uid="{00000000-0005-0000-0000-000084360000}"/>
    <cellStyle name="40% - Énfasis3 5 4 3 2" xfId="13954" xr:uid="{00000000-0005-0000-0000-000085360000}"/>
    <cellStyle name="40% - Énfasis3 5 4 3 2 2" xfId="13955" xr:uid="{00000000-0005-0000-0000-000086360000}"/>
    <cellStyle name="40% - Énfasis3 5 4 3 3" xfId="13956" xr:uid="{00000000-0005-0000-0000-000087360000}"/>
    <cellStyle name="40% - Énfasis3 5 4 4" xfId="13957" xr:uid="{00000000-0005-0000-0000-000088360000}"/>
    <cellStyle name="40% - Énfasis3 5 4 4 2" xfId="13958" xr:uid="{00000000-0005-0000-0000-000089360000}"/>
    <cellStyle name="40% - Énfasis3 5 4 5" xfId="13959" xr:uid="{00000000-0005-0000-0000-00008A360000}"/>
    <cellStyle name="40% - Énfasis3 5 5" xfId="13960" xr:uid="{00000000-0005-0000-0000-00008B360000}"/>
    <cellStyle name="40% - Énfasis3 5 5 2" xfId="13961" xr:uid="{00000000-0005-0000-0000-00008C360000}"/>
    <cellStyle name="40% - Énfasis3 5 5 2 2" xfId="13962" xr:uid="{00000000-0005-0000-0000-00008D360000}"/>
    <cellStyle name="40% - Énfasis3 5 5 2 2 2" xfId="13963" xr:uid="{00000000-0005-0000-0000-00008E360000}"/>
    <cellStyle name="40% - Énfasis3 5 5 2 3" xfId="13964" xr:uid="{00000000-0005-0000-0000-00008F360000}"/>
    <cellStyle name="40% - Énfasis3 5 5 3" xfId="13965" xr:uid="{00000000-0005-0000-0000-000090360000}"/>
    <cellStyle name="40% - Énfasis3 5 5 3 2" xfId="13966" xr:uid="{00000000-0005-0000-0000-000091360000}"/>
    <cellStyle name="40% - Énfasis3 5 5 4" xfId="13967" xr:uid="{00000000-0005-0000-0000-000092360000}"/>
    <cellStyle name="40% - Énfasis3 5 6" xfId="13968" xr:uid="{00000000-0005-0000-0000-000093360000}"/>
    <cellStyle name="40% - Énfasis3 5 6 2" xfId="13969" xr:uid="{00000000-0005-0000-0000-000094360000}"/>
    <cellStyle name="40% - Énfasis3 5 6 2 2" xfId="13970" xr:uid="{00000000-0005-0000-0000-000095360000}"/>
    <cellStyle name="40% - Énfasis3 5 6 3" xfId="13971" xr:uid="{00000000-0005-0000-0000-000096360000}"/>
    <cellStyle name="40% - Énfasis3 5 7" xfId="13972" xr:uid="{00000000-0005-0000-0000-000097360000}"/>
    <cellStyle name="40% - Énfasis3 5 7 2" xfId="13973" xr:uid="{00000000-0005-0000-0000-000098360000}"/>
    <cellStyle name="40% - Énfasis3 5 7 2 2" xfId="13974" xr:uid="{00000000-0005-0000-0000-000099360000}"/>
    <cellStyle name="40% - Énfasis3 5 7 3" xfId="13975" xr:uid="{00000000-0005-0000-0000-00009A360000}"/>
    <cellStyle name="40% - Énfasis3 5 8" xfId="13976" xr:uid="{00000000-0005-0000-0000-00009B360000}"/>
    <cellStyle name="40% - Énfasis3 5 8 2" xfId="13977" xr:uid="{00000000-0005-0000-0000-00009C360000}"/>
    <cellStyle name="40% - Énfasis3 5 9" xfId="13978" xr:uid="{00000000-0005-0000-0000-00009D360000}"/>
    <cellStyle name="40% - Énfasis3 50" xfId="13979" xr:uid="{00000000-0005-0000-0000-00009E360000}"/>
    <cellStyle name="40% - Énfasis3 50 2" xfId="13980" xr:uid="{00000000-0005-0000-0000-00009F360000}"/>
    <cellStyle name="40% - Énfasis3 51" xfId="13981" xr:uid="{00000000-0005-0000-0000-0000A0360000}"/>
    <cellStyle name="40% - Énfasis3 51 2" xfId="13982" xr:uid="{00000000-0005-0000-0000-0000A1360000}"/>
    <cellStyle name="40% - Énfasis3 52" xfId="13983" xr:uid="{00000000-0005-0000-0000-0000A2360000}"/>
    <cellStyle name="40% - Énfasis3 52 2" xfId="13984" xr:uid="{00000000-0005-0000-0000-0000A3360000}"/>
    <cellStyle name="40% - Énfasis3 53" xfId="13985" xr:uid="{00000000-0005-0000-0000-0000A4360000}"/>
    <cellStyle name="40% - Énfasis3 53 2" xfId="13986" xr:uid="{00000000-0005-0000-0000-0000A5360000}"/>
    <cellStyle name="40% - Énfasis3 54" xfId="13987" xr:uid="{00000000-0005-0000-0000-0000A6360000}"/>
    <cellStyle name="40% - Énfasis3 54 2" xfId="13988" xr:uid="{00000000-0005-0000-0000-0000A7360000}"/>
    <cellStyle name="40% - Énfasis3 55" xfId="13989" xr:uid="{00000000-0005-0000-0000-0000A8360000}"/>
    <cellStyle name="40% - Énfasis3 55 2" xfId="13990" xr:uid="{00000000-0005-0000-0000-0000A9360000}"/>
    <cellStyle name="40% - Énfasis3 56" xfId="13991" xr:uid="{00000000-0005-0000-0000-0000AA360000}"/>
    <cellStyle name="40% - Énfasis3 56 2" xfId="13992" xr:uid="{00000000-0005-0000-0000-0000AB360000}"/>
    <cellStyle name="40% - Énfasis3 57" xfId="13993" xr:uid="{00000000-0005-0000-0000-0000AC360000}"/>
    <cellStyle name="40% - Énfasis3 57 2" xfId="13994" xr:uid="{00000000-0005-0000-0000-0000AD360000}"/>
    <cellStyle name="40% - Énfasis3 58" xfId="13995" xr:uid="{00000000-0005-0000-0000-0000AE360000}"/>
    <cellStyle name="40% - Énfasis3 58 2" xfId="13996" xr:uid="{00000000-0005-0000-0000-0000AF360000}"/>
    <cellStyle name="40% - Énfasis3 59" xfId="13997" xr:uid="{00000000-0005-0000-0000-0000B0360000}"/>
    <cellStyle name="40% - Énfasis3 59 2" xfId="13998" xr:uid="{00000000-0005-0000-0000-0000B1360000}"/>
    <cellStyle name="40% - Énfasis3 6" xfId="13999" xr:uid="{00000000-0005-0000-0000-0000B2360000}"/>
    <cellStyle name="40% - Énfasis3 6 2" xfId="14000" xr:uid="{00000000-0005-0000-0000-0000B3360000}"/>
    <cellStyle name="40% - Énfasis3 6 2 2" xfId="14001" xr:uid="{00000000-0005-0000-0000-0000B4360000}"/>
    <cellStyle name="40% - Énfasis3 6 2 2 2" xfId="14002" xr:uid="{00000000-0005-0000-0000-0000B5360000}"/>
    <cellStyle name="40% - Énfasis3 6 2 2 2 2" xfId="14003" xr:uid="{00000000-0005-0000-0000-0000B6360000}"/>
    <cellStyle name="40% - Énfasis3 6 2 2 2 2 2" xfId="14004" xr:uid="{00000000-0005-0000-0000-0000B7360000}"/>
    <cellStyle name="40% - Énfasis3 6 2 2 2 3" xfId="14005" xr:uid="{00000000-0005-0000-0000-0000B8360000}"/>
    <cellStyle name="40% - Énfasis3 6 2 2 3" xfId="14006" xr:uid="{00000000-0005-0000-0000-0000B9360000}"/>
    <cellStyle name="40% - Énfasis3 6 2 2 3 2" xfId="14007" xr:uid="{00000000-0005-0000-0000-0000BA360000}"/>
    <cellStyle name="40% - Énfasis3 6 2 2 4" xfId="14008" xr:uid="{00000000-0005-0000-0000-0000BB360000}"/>
    <cellStyle name="40% - Énfasis3 6 2 3" xfId="14009" xr:uid="{00000000-0005-0000-0000-0000BC360000}"/>
    <cellStyle name="40% - Énfasis3 6 2 3 2" xfId="14010" xr:uid="{00000000-0005-0000-0000-0000BD360000}"/>
    <cellStyle name="40% - Énfasis3 6 2 3 2 2" xfId="14011" xr:uid="{00000000-0005-0000-0000-0000BE360000}"/>
    <cellStyle name="40% - Énfasis3 6 2 3 3" xfId="14012" xr:uid="{00000000-0005-0000-0000-0000BF360000}"/>
    <cellStyle name="40% - Énfasis3 6 2 4" xfId="14013" xr:uid="{00000000-0005-0000-0000-0000C0360000}"/>
    <cellStyle name="40% - Énfasis3 6 2 4 2" xfId="14014" xr:uid="{00000000-0005-0000-0000-0000C1360000}"/>
    <cellStyle name="40% - Énfasis3 6 2 4 2 2" xfId="14015" xr:uid="{00000000-0005-0000-0000-0000C2360000}"/>
    <cellStyle name="40% - Énfasis3 6 2 4 3" xfId="14016" xr:uid="{00000000-0005-0000-0000-0000C3360000}"/>
    <cellStyle name="40% - Énfasis3 6 2 5" xfId="14017" xr:uid="{00000000-0005-0000-0000-0000C4360000}"/>
    <cellStyle name="40% - Énfasis3 6 2 5 2" xfId="14018" xr:uid="{00000000-0005-0000-0000-0000C5360000}"/>
    <cellStyle name="40% - Énfasis3 6 2 6" xfId="14019" xr:uid="{00000000-0005-0000-0000-0000C6360000}"/>
    <cellStyle name="40% - Énfasis3 6 3" xfId="14020" xr:uid="{00000000-0005-0000-0000-0000C7360000}"/>
    <cellStyle name="40% - Énfasis3 6 3 2" xfId="14021" xr:uid="{00000000-0005-0000-0000-0000C8360000}"/>
    <cellStyle name="40% - Énfasis3 6 3 2 2" xfId="14022" xr:uid="{00000000-0005-0000-0000-0000C9360000}"/>
    <cellStyle name="40% - Énfasis3 6 3 2 2 2" xfId="14023" xr:uid="{00000000-0005-0000-0000-0000CA360000}"/>
    <cellStyle name="40% - Énfasis3 6 3 2 3" xfId="14024" xr:uid="{00000000-0005-0000-0000-0000CB360000}"/>
    <cellStyle name="40% - Énfasis3 6 3 3" xfId="14025" xr:uid="{00000000-0005-0000-0000-0000CC360000}"/>
    <cellStyle name="40% - Énfasis3 6 3 3 2" xfId="14026" xr:uid="{00000000-0005-0000-0000-0000CD360000}"/>
    <cellStyle name="40% - Énfasis3 6 3 3 2 2" xfId="14027" xr:uid="{00000000-0005-0000-0000-0000CE360000}"/>
    <cellStyle name="40% - Énfasis3 6 3 3 3" xfId="14028" xr:uid="{00000000-0005-0000-0000-0000CF360000}"/>
    <cellStyle name="40% - Énfasis3 6 3 4" xfId="14029" xr:uid="{00000000-0005-0000-0000-0000D0360000}"/>
    <cellStyle name="40% - Énfasis3 6 3 4 2" xfId="14030" xr:uid="{00000000-0005-0000-0000-0000D1360000}"/>
    <cellStyle name="40% - Énfasis3 6 3 5" xfId="14031" xr:uid="{00000000-0005-0000-0000-0000D2360000}"/>
    <cellStyle name="40% - Énfasis3 6 4" xfId="14032" xr:uid="{00000000-0005-0000-0000-0000D3360000}"/>
    <cellStyle name="40% - Énfasis3 6 4 2" xfId="14033" xr:uid="{00000000-0005-0000-0000-0000D4360000}"/>
    <cellStyle name="40% - Énfasis3 6 4 2 2" xfId="14034" xr:uid="{00000000-0005-0000-0000-0000D5360000}"/>
    <cellStyle name="40% - Énfasis3 6 4 2 2 2" xfId="14035" xr:uid="{00000000-0005-0000-0000-0000D6360000}"/>
    <cellStyle name="40% - Énfasis3 6 4 2 3" xfId="14036" xr:uid="{00000000-0005-0000-0000-0000D7360000}"/>
    <cellStyle name="40% - Énfasis3 6 4 3" xfId="14037" xr:uid="{00000000-0005-0000-0000-0000D8360000}"/>
    <cellStyle name="40% - Énfasis3 6 4 3 2" xfId="14038" xr:uid="{00000000-0005-0000-0000-0000D9360000}"/>
    <cellStyle name="40% - Énfasis3 6 4 4" xfId="14039" xr:uid="{00000000-0005-0000-0000-0000DA360000}"/>
    <cellStyle name="40% - Énfasis3 6 5" xfId="14040" xr:uid="{00000000-0005-0000-0000-0000DB360000}"/>
    <cellStyle name="40% - Énfasis3 6 5 2" xfId="14041" xr:uid="{00000000-0005-0000-0000-0000DC360000}"/>
    <cellStyle name="40% - Énfasis3 6 5 2 2" xfId="14042" xr:uid="{00000000-0005-0000-0000-0000DD360000}"/>
    <cellStyle name="40% - Énfasis3 6 5 3" xfId="14043" xr:uid="{00000000-0005-0000-0000-0000DE360000}"/>
    <cellStyle name="40% - Énfasis3 6 6" xfId="14044" xr:uid="{00000000-0005-0000-0000-0000DF360000}"/>
    <cellStyle name="40% - Énfasis3 6 6 2" xfId="14045" xr:uid="{00000000-0005-0000-0000-0000E0360000}"/>
    <cellStyle name="40% - Énfasis3 6 6 2 2" xfId="14046" xr:uid="{00000000-0005-0000-0000-0000E1360000}"/>
    <cellStyle name="40% - Énfasis3 6 6 3" xfId="14047" xr:uid="{00000000-0005-0000-0000-0000E2360000}"/>
    <cellStyle name="40% - Énfasis3 6 7" xfId="14048" xr:uid="{00000000-0005-0000-0000-0000E3360000}"/>
    <cellStyle name="40% - Énfasis3 6 7 2" xfId="14049" xr:uid="{00000000-0005-0000-0000-0000E4360000}"/>
    <cellStyle name="40% - Énfasis3 6 8" xfId="14050" xr:uid="{00000000-0005-0000-0000-0000E5360000}"/>
    <cellStyle name="40% - Énfasis3 60" xfId="14051" xr:uid="{00000000-0005-0000-0000-0000E6360000}"/>
    <cellStyle name="40% - Énfasis3 60 2" xfId="14052" xr:uid="{00000000-0005-0000-0000-0000E7360000}"/>
    <cellStyle name="40% - Énfasis3 61" xfId="14053" xr:uid="{00000000-0005-0000-0000-0000E8360000}"/>
    <cellStyle name="40% - Énfasis3 61 2" xfId="14054" xr:uid="{00000000-0005-0000-0000-0000E9360000}"/>
    <cellStyle name="40% - Énfasis3 62" xfId="14055" xr:uid="{00000000-0005-0000-0000-0000EA360000}"/>
    <cellStyle name="40% - Énfasis3 62 2" xfId="14056" xr:uid="{00000000-0005-0000-0000-0000EB360000}"/>
    <cellStyle name="40% - Énfasis3 63" xfId="14057" xr:uid="{00000000-0005-0000-0000-0000EC360000}"/>
    <cellStyle name="40% - Énfasis3 63 2" xfId="14058" xr:uid="{00000000-0005-0000-0000-0000ED360000}"/>
    <cellStyle name="40% - Énfasis3 64" xfId="14059" xr:uid="{00000000-0005-0000-0000-0000EE360000}"/>
    <cellStyle name="40% - Énfasis3 64 2" xfId="14060" xr:uid="{00000000-0005-0000-0000-0000EF360000}"/>
    <cellStyle name="40% - Énfasis3 65" xfId="14061" xr:uid="{00000000-0005-0000-0000-0000F0360000}"/>
    <cellStyle name="40% - Énfasis3 65 2" xfId="14062" xr:uid="{00000000-0005-0000-0000-0000F1360000}"/>
    <cellStyle name="40% - Énfasis3 66" xfId="14063" xr:uid="{00000000-0005-0000-0000-0000F2360000}"/>
    <cellStyle name="40% - Énfasis3 66 2" xfId="14064" xr:uid="{00000000-0005-0000-0000-0000F3360000}"/>
    <cellStyle name="40% - Énfasis3 7" xfId="14065" xr:uid="{00000000-0005-0000-0000-0000F4360000}"/>
    <cellStyle name="40% - Énfasis3 7 2" xfId="14066" xr:uid="{00000000-0005-0000-0000-0000F5360000}"/>
    <cellStyle name="40% - Énfasis3 7 2 2" xfId="14067" xr:uid="{00000000-0005-0000-0000-0000F6360000}"/>
    <cellStyle name="40% - Énfasis3 7 2 2 2" xfId="14068" xr:uid="{00000000-0005-0000-0000-0000F7360000}"/>
    <cellStyle name="40% - Énfasis3 7 2 2 2 2" xfId="14069" xr:uid="{00000000-0005-0000-0000-0000F8360000}"/>
    <cellStyle name="40% - Énfasis3 7 2 2 2 2 2" xfId="14070" xr:uid="{00000000-0005-0000-0000-0000F9360000}"/>
    <cellStyle name="40% - Énfasis3 7 2 2 2 3" xfId="14071" xr:uid="{00000000-0005-0000-0000-0000FA360000}"/>
    <cellStyle name="40% - Énfasis3 7 2 2 3" xfId="14072" xr:uid="{00000000-0005-0000-0000-0000FB360000}"/>
    <cellStyle name="40% - Énfasis3 7 2 2 3 2" xfId="14073" xr:uid="{00000000-0005-0000-0000-0000FC360000}"/>
    <cellStyle name="40% - Énfasis3 7 2 2 4" xfId="14074" xr:uid="{00000000-0005-0000-0000-0000FD360000}"/>
    <cellStyle name="40% - Énfasis3 7 2 3" xfId="14075" xr:uid="{00000000-0005-0000-0000-0000FE360000}"/>
    <cellStyle name="40% - Énfasis3 7 2 3 2" xfId="14076" xr:uid="{00000000-0005-0000-0000-0000FF360000}"/>
    <cellStyle name="40% - Énfasis3 7 2 3 2 2" xfId="14077" xr:uid="{00000000-0005-0000-0000-000000370000}"/>
    <cellStyle name="40% - Énfasis3 7 2 3 3" xfId="14078" xr:uid="{00000000-0005-0000-0000-000001370000}"/>
    <cellStyle name="40% - Énfasis3 7 2 4" xfId="14079" xr:uid="{00000000-0005-0000-0000-000002370000}"/>
    <cellStyle name="40% - Énfasis3 7 2 4 2" xfId="14080" xr:uid="{00000000-0005-0000-0000-000003370000}"/>
    <cellStyle name="40% - Énfasis3 7 2 4 2 2" xfId="14081" xr:uid="{00000000-0005-0000-0000-000004370000}"/>
    <cellStyle name="40% - Énfasis3 7 2 4 3" xfId="14082" xr:uid="{00000000-0005-0000-0000-000005370000}"/>
    <cellStyle name="40% - Énfasis3 7 2 5" xfId="14083" xr:uid="{00000000-0005-0000-0000-000006370000}"/>
    <cellStyle name="40% - Énfasis3 7 2 5 2" xfId="14084" xr:uid="{00000000-0005-0000-0000-000007370000}"/>
    <cellStyle name="40% - Énfasis3 7 2 6" xfId="14085" xr:uid="{00000000-0005-0000-0000-000008370000}"/>
    <cellStyle name="40% - Énfasis3 7 3" xfId="14086" xr:uid="{00000000-0005-0000-0000-000009370000}"/>
    <cellStyle name="40% - Énfasis3 7 3 2" xfId="14087" xr:uid="{00000000-0005-0000-0000-00000A370000}"/>
    <cellStyle name="40% - Énfasis3 7 3 2 2" xfId="14088" xr:uid="{00000000-0005-0000-0000-00000B370000}"/>
    <cellStyle name="40% - Énfasis3 7 3 2 2 2" xfId="14089" xr:uid="{00000000-0005-0000-0000-00000C370000}"/>
    <cellStyle name="40% - Énfasis3 7 3 2 3" xfId="14090" xr:uid="{00000000-0005-0000-0000-00000D370000}"/>
    <cellStyle name="40% - Énfasis3 7 3 3" xfId="14091" xr:uid="{00000000-0005-0000-0000-00000E370000}"/>
    <cellStyle name="40% - Énfasis3 7 3 3 2" xfId="14092" xr:uid="{00000000-0005-0000-0000-00000F370000}"/>
    <cellStyle name="40% - Énfasis3 7 3 3 2 2" xfId="14093" xr:uid="{00000000-0005-0000-0000-000010370000}"/>
    <cellStyle name="40% - Énfasis3 7 3 3 3" xfId="14094" xr:uid="{00000000-0005-0000-0000-000011370000}"/>
    <cellStyle name="40% - Énfasis3 7 3 4" xfId="14095" xr:uid="{00000000-0005-0000-0000-000012370000}"/>
    <cellStyle name="40% - Énfasis3 7 3 4 2" xfId="14096" xr:uid="{00000000-0005-0000-0000-000013370000}"/>
    <cellStyle name="40% - Énfasis3 7 3 5" xfId="14097" xr:uid="{00000000-0005-0000-0000-000014370000}"/>
    <cellStyle name="40% - Énfasis3 7 4" xfId="14098" xr:uid="{00000000-0005-0000-0000-000015370000}"/>
    <cellStyle name="40% - Énfasis3 7 4 2" xfId="14099" xr:uid="{00000000-0005-0000-0000-000016370000}"/>
    <cellStyle name="40% - Énfasis3 7 4 2 2" xfId="14100" xr:uid="{00000000-0005-0000-0000-000017370000}"/>
    <cellStyle name="40% - Énfasis3 7 4 2 2 2" xfId="14101" xr:uid="{00000000-0005-0000-0000-000018370000}"/>
    <cellStyle name="40% - Énfasis3 7 4 2 3" xfId="14102" xr:uid="{00000000-0005-0000-0000-000019370000}"/>
    <cellStyle name="40% - Énfasis3 7 4 3" xfId="14103" xr:uid="{00000000-0005-0000-0000-00001A370000}"/>
    <cellStyle name="40% - Énfasis3 7 4 3 2" xfId="14104" xr:uid="{00000000-0005-0000-0000-00001B370000}"/>
    <cellStyle name="40% - Énfasis3 7 4 4" xfId="14105" xr:uid="{00000000-0005-0000-0000-00001C370000}"/>
    <cellStyle name="40% - Énfasis3 7 5" xfId="14106" xr:uid="{00000000-0005-0000-0000-00001D370000}"/>
    <cellStyle name="40% - Énfasis3 7 5 2" xfId="14107" xr:uid="{00000000-0005-0000-0000-00001E370000}"/>
    <cellStyle name="40% - Énfasis3 7 5 2 2" xfId="14108" xr:uid="{00000000-0005-0000-0000-00001F370000}"/>
    <cellStyle name="40% - Énfasis3 7 5 3" xfId="14109" xr:uid="{00000000-0005-0000-0000-000020370000}"/>
    <cellStyle name="40% - Énfasis3 7 6" xfId="14110" xr:uid="{00000000-0005-0000-0000-000021370000}"/>
    <cellStyle name="40% - Énfasis3 7 6 2" xfId="14111" xr:uid="{00000000-0005-0000-0000-000022370000}"/>
    <cellStyle name="40% - Énfasis3 7 6 2 2" xfId="14112" xr:uid="{00000000-0005-0000-0000-000023370000}"/>
    <cellStyle name="40% - Énfasis3 7 6 3" xfId="14113" xr:uid="{00000000-0005-0000-0000-000024370000}"/>
    <cellStyle name="40% - Énfasis3 7 7" xfId="14114" xr:uid="{00000000-0005-0000-0000-000025370000}"/>
    <cellStyle name="40% - Énfasis3 7 7 2" xfId="14115" xr:uid="{00000000-0005-0000-0000-000026370000}"/>
    <cellStyle name="40% - Énfasis3 7 8" xfId="14116" xr:uid="{00000000-0005-0000-0000-000027370000}"/>
    <cellStyle name="40% - Énfasis3 8" xfId="14117" xr:uid="{00000000-0005-0000-0000-000028370000}"/>
    <cellStyle name="40% - Énfasis3 8 2" xfId="14118" xr:uid="{00000000-0005-0000-0000-000029370000}"/>
    <cellStyle name="40% - Énfasis3 8 2 2" xfId="14119" xr:uid="{00000000-0005-0000-0000-00002A370000}"/>
    <cellStyle name="40% - Énfasis3 8 2 2 2" xfId="14120" xr:uid="{00000000-0005-0000-0000-00002B370000}"/>
    <cellStyle name="40% - Énfasis3 8 2 2 2 2" xfId="14121" xr:uid="{00000000-0005-0000-0000-00002C370000}"/>
    <cellStyle name="40% - Énfasis3 8 2 2 2 2 2" xfId="14122" xr:uid="{00000000-0005-0000-0000-00002D370000}"/>
    <cellStyle name="40% - Énfasis3 8 2 2 2 3" xfId="14123" xr:uid="{00000000-0005-0000-0000-00002E370000}"/>
    <cellStyle name="40% - Énfasis3 8 2 2 3" xfId="14124" xr:uid="{00000000-0005-0000-0000-00002F370000}"/>
    <cellStyle name="40% - Énfasis3 8 2 2 3 2" xfId="14125" xr:uid="{00000000-0005-0000-0000-000030370000}"/>
    <cellStyle name="40% - Énfasis3 8 2 2 4" xfId="14126" xr:uid="{00000000-0005-0000-0000-000031370000}"/>
    <cellStyle name="40% - Énfasis3 8 2 3" xfId="14127" xr:uid="{00000000-0005-0000-0000-000032370000}"/>
    <cellStyle name="40% - Énfasis3 8 2 3 2" xfId="14128" xr:uid="{00000000-0005-0000-0000-000033370000}"/>
    <cellStyle name="40% - Énfasis3 8 2 3 2 2" xfId="14129" xr:uid="{00000000-0005-0000-0000-000034370000}"/>
    <cellStyle name="40% - Énfasis3 8 2 3 3" xfId="14130" xr:uid="{00000000-0005-0000-0000-000035370000}"/>
    <cellStyle name="40% - Énfasis3 8 2 4" xfId="14131" xr:uid="{00000000-0005-0000-0000-000036370000}"/>
    <cellStyle name="40% - Énfasis3 8 2 4 2" xfId="14132" xr:uid="{00000000-0005-0000-0000-000037370000}"/>
    <cellStyle name="40% - Énfasis3 8 2 4 2 2" xfId="14133" xr:uid="{00000000-0005-0000-0000-000038370000}"/>
    <cellStyle name="40% - Énfasis3 8 2 4 3" xfId="14134" xr:uid="{00000000-0005-0000-0000-000039370000}"/>
    <cellStyle name="40% - Énfasis3 8 2 5" xfId="14135" xr:uid="{00000000-0005-0000-0000-00003A370000}"/>
    <cellStyle name="40% - Énfasis3 8 2 5 2" xfId="14136" xr:uid="{00000000-0005-0000-0000-00003B370000}"/>
    <cellStyle name="40% - Énfasis3 8 2 6" xfId="14137" xr:uid="{00000000-0005-0000-0000-00003C370000}"/>
    <cellStyle name="40% - Énfasis3 8 3" xfId="14138" xr:uid="{00000000-0005-0000-0000-00003D370000}"/>
    <cellStyle name="40% - Énfasis3 8 3 2" xfId="14139" xr:uid="{00000000-0005-0000-0000-00003E370000}"/>
    <cellStyle name="40% - Énfasis3 8 3 2 2" xfId="14140" xr:uid="{00000000-0005-0000-0000-00003F370000}"/>
    <cellStyle name="40% - Énfasis3 8 3 2 2 2" xfId="14141" xr:uid="{00000000-0005-0000-0000-000040370000}"/>
    <cellStyle name="40% - Énfasis3 8 3 2 3" xfId="14142" xr:uid="{00000000-0005-0000-0000-000041370000}"/>
    <cellStyle name="40% - Énfasis3 8 3 3" xfId="14143" xr:uid="{00000000-0005-0000-0000-000042370000}"/>
    <cellStyle name="40% - Énfasis3 8 3 3 2" xfId="14144" xr:uid="{00000000-0005-0000-0000-000043370000}"/>
    <cellStyle name="40% - Énfasis3 8 3 3 2 2" xfId="14145" xr:uid="{00000000-0005-0000-0000-000044370000}"/>
    <cellStyle name="40% - Énfasis3 8 3 3 3" xfId="14146" xr:uid="{00000000-0005-0000-0000-000045370000}"/>
    <cellStyle name="40% - Énfasis3 8 3 4" xfId="14147" xr:uid="{00000000-0005-0000-0000-000046370000}"/>
    <cellStyle name="40% - Énfasis3 8 3 4 2" xfId="14148" xr:uid="{00000000-0005-0000-0000-000047370000}"/>
    <cellStyle name="40% - Énfasis3 8 3 5" xfId="14149" xr:uid="{00000000-0005-0000-0000-000048370000}"/>
    <cellStyle name="40% - Énfasis3 8 4" xfId="14150" xr:uid="{00000000-0005-0000-0000-000049370000}"/>
    <cellStyle name="40% - Énfasis3 8 4 2" xfId="14151" xr:uid="{00000000-0005-0000-0000-00004A370000}"/>
    <cellStyle name="40% - Énfasis3 8 4 2 2" xfId="14152" xr:uid="{00000000-0005-0000-0000-00004B370000}"/>
    <cellStyle name="40% - Énfasis3 8 4 2 2 2" xfId="14153" xr:uid="{00000000-0005-0000-0000-00004C370000}"/>
    <cellStyle name="40% - Énfasis3 8 4 2 3" xfId="14154" xr:uid="{00000000-0005-0000-0000-00004D370000}"/>
    <cellStyle name="40% - Énfasis3 8 4 3" xfId="14155" xr:uid="{00000000-0005-0000-0000-00004E370000}"/>
    <cellStyle name="40% - Énfasis3 8 4 3 2" xfId="14156" xr:uid="{00000000-0005-0000-0000-00004F370000}"/>
    <cellStyle name="40% - Énfasis3 8 4 4" xfId="14157" xr:uid="{00000000-0005-0000-0000-000050370000}"/>
    <cellStyle name="40% - Énfasis3 8 5" xfId="14158" xr:uid="{00000000-0005-0000-0000-000051370000}"/>
    <cellStyle name="40% - Énfasis3 8 5 2" xfId="14159" xr:uid="{00000000-0005-0000-0000-000052370000}"/>
    <cellStyle name="40% - Énfasis3 8 5 2 2" xfId="14160" xr:uid="{00000000-0005-0000-0000-000053370000}"/>
    <cellStyle name="40% - Énfasis3 8 5 3" xfId="14161" xr:uid="{00000000-0005-0000-0000-000054370000}"/>
    <cellStyle name="40% - Énfasis3 8 6" xfId="14162" xr:uid="{00000000-0005-0000-0000-000055370000}"/>
    <cellStyle name="40% - Énfasis3 8 6 2" xfId="14163" xr:uid="{00000000-0005-0000-0000-000056370000}"/>
    <cellStyle name="40% - Énfasis3 8 6 2 2" xfId="14164" xr:uid="{00000000-0005-0000-0000-000057370000}"/>
    <cellStyle name="40% - Énfasis3 8 6 3" xfId="14165" xr:uid="{00000000-0005-0000-0000-000058370000}"/>
    <cellStyle name="40% - Énfasis3 8 7" xfId="14166" xr:uid="{00000000-0005-0000-0000-000059370000}"/>
    <cellStyle name="40% - Énfasis3 8 7 2" xfId="14167" xr:uid="{00000000-0005-0000-0000-00005A370000}"/>
    <cellStyle name="40% - Énfasis3 8 8" xfId="14168" xr:uid="{00000000-0005-0000-0000-00005B370000}"/>
    <cellStyle name="40% - Énfasis3 9" xfId="14169" xr:uid="{00000000-0005-0000-0000-00005C370000}"/>
    <cellStyle name="40% - Énfasis3 9 2" xfId="14170" xr:uid="{00000000-0005-0000-0000-00005D370000}"/>
    <cellStyle name="40% - Énfasis3 9 2 2" xfId="14171" xr:uid="{00000000-0005-0000-0000-00005E370000}"/>
    <cellStyle name="40% - Énfasis3 9 2 2 2" xfId="14172" xr:uid="{00000000-0005-0000-0000-00005F370000}"/>
    <cellStyle name="40% - Énfasis3 9 2 2 2 2" xfId="14173" xr:uid="{00000000-0005-0000-0000-000060370000}"/>
    <cellStyle name="40% - Énfasis3 9 2 2 2 2 2" xfId="14174" xr:uid="{00000000-0005-0000-0000-000061370000}"/>
    <cellStyle name="40% - Énfasis3 9 2 2 2 3" xfId="14175" xr:uid="{00000000-0005-0000-0000-000062370000}"/>
    <cellStyle name="40% - Énfasis3 9 2 2 3" xfId="14176" xr:uid="{00000000-0005-0000-0000-000063370000}"/>
    <cellStyle name="40% - Énfasis3 9 2 2 3 2" xfId="14177" xr:uid="{00000000-0005-0000-0000-000064370000}"/>
    <cellStyle name="40% - Énfasis3 9 2 2 4" xfId="14178" xr:uid="{00000000-0005-0000-0000-000065370000}"/>
    <cellStyle name="40% - Énfasis3 9 2 3" xfId="14179" xr:uid="{00000000-0005-0000-0000-000066370000}"/>
    <cellStyle name="40% - Énfasis3 9 2 3 2" xfId="14180" xr:uid="{00000000-0005-0000-0000-000067370000}"/>
    <cellStyle name="40% - Énfasis3 9 2 3 2 2" xfId="14181" xr:uid="{00000000-0005-0000-0000-000068370000}"/>
    <cellStyle name="40% - Énfasis3 9 2 3 3" xfId="14182" xr:uid="{00000000-0005-0000-0000-000069370000}"/>
    <cellStyle name="40% - Énfasis3 9 2 4" xfId="14183" xr:uid="{00000000-0005-0000-0000-00006A370000}"/>
    <cellStyle name="40% - Énfasis3 9 2 4 2" xfId="14184" xr:uid="{00000000-0005-0000-0000-00006B370000}"/>
    <cellStyle name="40% - Énfasis3 9 2 4 2 2" xfId="14185" xr:uid="{00000000-0005-0000-0000-00006C370000}"/>
    <cellStyle name="40% - Énfasis3 9 2 4 3" xfId="14186" xr:uid="{00000000-0005-0000-0000-00006D370000}"/>
    <cellStyle name="40% - Énfasis3 9 2 5" xfId="14187" xr:uid="{00000000-0005-0000-0000-00006E370000}"/>
    <cellStyle name="40% - Énfasis3 9 2 5 2" xfId="14188" xr:uid="{00000000-0005-0000-0000-00006F370000}"/>
    <cellStyle name="40% - Énfasis3 9 2 6" xfId="14189" xr:uid="{00000000-0005-0000-0000-000070370000}"/>
    <cellStyle name="40% - Énfasis3 9 3" xfId="14190" xr:uid="{00000000-0005-0000-0000-000071370000}"/>
    <cellStyle name="40% - Énfasis3 9 3 2" xfId="14191" xr:uid="{00000000-0005-0000-0000-000072370000}"/>
    <cellStyle name="40% - Énfasis3 9 3 2 2" xfId="14192" xr:uid="{00000000-0005-0000-0000-000073370000}"/>
    <cellStyle name="40% - Énfasis3 9 3 2 2 2" xfId="14193" xr:uid="{00000000-0005-0000-0000-000074370000}"/>
    <cellStyle name="40% - Énfasis3 9 3 2 3" xfId="14194" xr:uid="{00000000-0005-0000-0000-000075370000}"/>
    <cellStyle name="40% - Énfasis3 9 3 3" xfId="14195" xr:uid="{00000000-0005-0000-0000-000076370000}"/>
    <cellStyle name="40% - Énfasis3 9 3 3 2" xfId="14196" xr:uid="{00000000-0005-0000-0000-000077370000}"/>
    <cellStyle name="40% - Énfasis3 9 3 3 2 2" xfId="14197" xr:uid="{00000000-0005-0000-0000-000078370000}"/>
    <cellStyle name="40% - Énfasis3 9 3 3 3" xfId="14198" xr:uid="{00000000-0005-0000-0000-000079370000}"/>
    <cellStyle name="40% - Énfasis3 9 3 4" xfId="14199" xr:uid="{00000000-0005-0000-0000-00007A370000}"/>
    <cellStyle name="40% - Énfasis3 9 3 4 2" xfId="14200" xr:uid="{00000000-0005-0000-0000-00007B370000}"/>
    <cellStyle name="40% - Énfasis3 9 3 5" xfId="14201" xr:uid="{00000000-0005-0000-0000-00007C370000}"/>
    <cellStyle name="40% - Énfasis3 9 4" xfId="14202" xr:uid="{00000000-0005-0000-0000-00007D370000}"/>
    <cellStyle name="40% - Énfasis3 9 4 2" xfId="14203" xr:uid="{00000000-0005-0000-0000-00007E370000}"/>
    <cellStyle name="40% - Énfasis3 9 4 2 2" xfId="14204" xr:uid="{00000000-0005-0000-0000-00007F370000}"/>
    <cellStyle name="40% - Énfasis3 9 4 2 2 2" xfId="14205" xr:uid="{00000000-0005-0000-0000-000080370000}"/>
    <cellStyle name="40% - Énfasis3 9 4 2 3" xfId="14206" xr:uid="{00000000-0005-0000-0000-000081370000}"/>
    <cellStyle name="40% - Énfasis3 9 4 3" xfId="14207" xr:uid="{00000000-0005-0000-0000-000082370000}"/>
    <cellStyle name="40% - Énfasis3 9 4 3 2" xfId="14208" xr:uid="{00000000-0005-0000-0000-000083370000}"/>
    <cellStyle name="40% - Énfasis3 9 4 4" xfId="14209" xr:uid="{00000000-0005-0000-0000-000084370000}"/>
    <cellStyle name="40% - Énfasis3 9 5" xfId="14210" xr:uid="{00000000-0005-0000-0000-000085370000}"/>
    <cellStyle name="40% - Énfasis3 9 5 2" xfId="14211" xr:uid="{00000000-0005-0000-0000-000086370000}"/>
    <cellStyle name="40% - Énfasis3 9 5 2 2" xfId="14212" xr:uid="{00000000-0005-0000-0000-000087370000}"/>
    <cellStyle name="40% - Énfasis3 9 5 3" xfId="14213" xr:uid="{00000000-0005-0000-0000-000088370000}"/>
    <cellStyle name="40% - Énfasis3 9 6" xfId="14214" xr:uid="{00000000-0005-0000-0000-000089370000}"/>
    <cellStyle name="40% - Énfasis3 9 6 2" xfId="14215" xr:uid="{00000000-0005-0000-0000-00008A370000}"/>
    <cellStyle name="40% - Énfasis3 9 6 2 2" xfId="14216" xr:uid="{00000000-0005-0000-0000-00008B370000}"/>
    <cellStyle name="40% - Énfasis3 9 6 3" xfId="14217" xr:uid="{00000000-0005-0000-0000-00008C370000}"/>
    <cellStyle name="40% - Énfasis3 9 7" xfId="14218" xr:uid="{00000000-0005-0000-0000-00008D370000}"/>
    <cellStyle name="40% - Énfasis3 9 7 2" xfId="14219" xr:uid="{00000000-0005-0000-0000-00008E370000}"/>
    <cellStyle name="40% - Énfasis3 9 8" xfId="14220" xr:uid="{00000000-0005-0000-0000-00008F370000}"/>
    <cellStyle name="40% - Énfasis4 10" xfId="14221" xr:uid="{00000000-0005-0000-0000-000090370000}"/>
    <cellStyle name="40% - Énfasis4 10 2" xfId="14222" xr:uid="{00000000-0005-0000-0000-000091370000}"/>
    <cellStyle name="40% - Énfasis4 10 2 2" xfId="14223" xr:uid="{00000000-0005-0000-0000-000092370000}"/>
    <cellStyle name="40% - Énfasis4 10 2 2 2" xfId="14224" xr:uid="{00000000-0005-0000-0000-000093370000}"/>
    <cellStyle name="40% - Énfasis4 10 2 2 2 2" xfId="14225" xr:uid="{00000000-0005-0000-0000-000094370000}"/>
    <cellStyle name="40% - Énfasis4 10 2 2 2 2 2" xfId="14226" xr:uid="{00000000-0005-0000-0000-000095370000}"/>
    <cellStyle name="40% - Énfasis4 10 2 2 2 3" xfId="14227" xr:uid="{00000000-0005-0000-0000-000096370000}"/>
    <cellStyle name="40% - Énfasis4 10 2 2 3" xfId="14228" xr:uid="{00000000-0005-0000-0000-000097370000}"/>
    <cellStyle name="40% - Énfasis4 10 2 2 3 2" xfId="14229" xr:uid="{00000000-0005-0000-0000-000098370000}"/>
    <cellStyle name="40% - Énfasis4 10 2 2 4" xfId="14230" xr:uid="{00000000-0005-0000-0000-000099370000}"/>
    <cellStyle name="40% - Énfasis4 10 2 3" xfId="14231" xr:uid="{00000000-0005-0000-0000-00009A370000}"/>
    <cellStyle name="40% - Énfasis4 10 2 3 2" xfId="14232" xr:uid="{00000000-0005-0000-0000-00009B370000}"/>
    <cellStyle name="40% - Énfasis4 10 2 3 2 2" xfId="14233" xr:uid="{00000000-0005-0000-0000-00009C370000}"/>
    <cellStyle name="40% - Énfasis4 10 2 3 3" xfId="14234" xr:uid="{00000000-0005-0000-0000-00009D370000}"/>
    <cellStyle name="40% - Énfasis4 10 2 4" xfId="14235" xr:uid="{00000000-0005-0000-0000-00009E370000}"/>
    <cellStyle name="40% - Énfasis4 10 2 4 2" xfId="14236" xr:uid="{00000000-0005-0000-0000-00009F370000}"/>
    <cellStyle name="40% - Énfasis4 10 2 4 2 2" xfId="14237" xr:uid="{00000000-0005-0000-0000-0000A0370000}"/>
    <cellStyle name="40% - Énfasis4 10 2 4 3" xfId="14238" xr:uid="{00000000-0005-0000-0000-0000A1370000}"/>
    <cellStyle name="40% - Énfasis4 10 2 5" xfId="14239" xr:uid="{00000000-0005-0000-0000-0000A2370000}"/>
    <cellStyle name="40% - Énfasis4 10 2 5 2" xfId="14240" xr:uid="{00000000-0005-0000-0000-0000A3370000}"/>
    <cellStyle name="40% - Énfasis4 10 2 6" xfId="14241" xr:uid="{00000000-0005-0000-0000-0000A4370000}"/>
    <cellStyle name="40% - Énfasis4 10 3" xfId="14242" xr:uid="{00000000-0005-0000-0000-0000A5370000}"/>
    <cellStyle name="40% - Énfasis4 10 3 2" xfId="14243" xr:uid="{00000000-0005-0000-0000-0000A6370000}"/>
    <cellStyle name="40% - Énfasis4 10 3 2 2" xfId="14244" xr:uid="{00000000-0005-0000-0000-0000A7370000}"/>
    <cellStyle name="40% - Énfasis4 10 3 2 2 2" xfId="14245" xr:uid="{00000000-0005-0000-0000-0000A8370000}"/>
    <cellStyle name="40% - Énfasis4 10 3 2 3" xfId="14246" xr:uid="{00000000-0005-0000-0000-0000A9370000}"/>
    <cellStyle name="40% - Énfasis4 10 3 3" xfId="14247" xr:uid="{00000000-0005-0000-0000-0000AA370000}"/>
    <cellStyle name="40% - Énfasis4 10 3 3 2" xfId="14248" xr:uid="{00000000-0005-0000-0000-0000AB370000}"/>
    <cellStyle name="40% - Énfasis4 10 3 3 2 2" xfId="14249" xr:uid="{00000000-0005-0000-0000-0000AC370000}"/>
    <cellStyle name="40% - Énfasis4 10 3 3 3" xfId="14250" xr:uid="{00000000-0005-0000-0000-0000AD370000}"/>
    <cellStyle name="40% - Énfasis4 10 3 4" xfId="14251" xr:uid="{00000000-0005-0000-0000-0000AE370000}"/>
    <cellStyle name="40% - Énfasis4 10 3 4 2" xfId="14252" xr:uid="{00000000-0005-0000-0000-0000AF370000}"/>
    <cellStyle name="40% - Énfasis4 10 3 5" xfId="14253" xr:uid="{00000000-0005-0000-0000-0000B0370000}"/>
    <cellStyle name="40% - Énfasis4 10 4" xfId="14254" xr:uid="{00000000-0005-0000-0000-0000B1370000}"/>
    <cellStyle name="40% - Énfasis4 10 4 2" xfId="14255" xr:uid="{00000000-0005-0000-0000-0000B2370000}"/>
    <cellStyle name="40% - Énfasis4 10 4 2 2" xfId="14256" xr:uid="{00000000-0005-0000-0000-0000B3370000}"/>
    <cellStyle name="40% - Énfasis4 10 4 2 2 2" xfId="14257" xr:uid="{00000000-0005-0000-0000-0000B4370000}"/>
    <cellStyle name="40% - Énfasis4 10 4 2 3" xfId="14258" xr:uid="{00000000-0005-0000-0000-0000B5370000}"/>
    <cellStyle name="40% - Énfasis4 10 4 3" xfId="14259" xr:uid="{00000000-0005-0000-0000-0000B6370000}"/>
    <cellStyle name="40% - Énfasis4 10 4 3 2" xfId="14260" xr:uid="{00000000-0005-0000-0000-0000B7370000}"/>
    <cellStyle name="40% - Énfasis4 10 4 4" xfId="14261" xr:uid="{00000000-0005-0000-0000-0000B8370000}"/>
    <cellStyle name="40% - Énfasis4 10 5" xfId="14262" xr:uid="{00000000-0005-0000-0000-0000B9370000}"/>
    <cellStyle name="40% - Énfasis4 10 5 2" xfId="14263" xr:uid="{00000000-0005-0000-0000-0000BA370000}"/>
    <cellStyle name="40% - Énfasis4 10 5 2 2" xfId="14264" xr:uid="{00000000-0005-0000-0000-0000BB370000}"/>
    <cellStyle name="40% - Énfasis4 10 5 3" xfId="14265" xr:uid="{00000000-0005-0000-0000-0000BC370000}"/>
    <cellStyle name="40% - Énfasis4 10 6" xfId="14266" xr:uid="{00000000-0005-0000-0000-0000BD370000}"/>
    <cellStyle name="40% - Énfasis4 10 6 2" xfId="14267" xr:uid="{00000000-0005-0000-0000-0000BE370000}"/>
    <cellStyle name="40% - Énfasis4 10 6 2 2" xfId="14268" xr:uid="{00000000-0005-0000-0000-0000BF370000}"/>
    <cellStyle name="40% - Énfasis4 10 6 3" xfId="14269" xr:uid="{00000000-0005-0000-0000-0000C0370000}"/>
    <cellStyle name="40% - Énfasis4 10 7" xfId="14270" xr:uid="{00000000-0005-0000-0000-0000C1370000}"/>
    <cellStyle name="40% - Énfasis4 10 7 2" xfId="14271" xr:uid="{00000000-0005-0000-0000-0000C2370000}"/>
    <cellStyle name="40% - Énfasis4 10 8" xfId="14272" xr:uid="{00000000-0005-0000-0000-0000C3370000}"/>
    <cellStyle name="40% - Énfasis4 11" xfId="14273" xr:uid="{00000000-0005-0000-0000-0000C4370000}"/>
    <cellStyle name="40% - Énfasis4 11 2" xfId="14274" xr:uid="{00000000-0005-0000-0000-0000C5370000}"/>
    <cellStyle name="40% - Énfasis4 11 2 2" xfId="14275" xr:uid="{00000000-0005-0000-0000-0000C6370000}"/>
    <cellStyle name="40% - Énfasis4 11 2 2 2" xfId="14276" xr:uid="{00000000-0005-0000-0000-0000C7370000}"/>
    <cellStyle name="40% - Énfasis4 11 2 2 2 2" xfId="14277" xr:uid="{00000000-0005-0000-0000-0000C8370000}"/>
    <cellStyle name="40% - Énfasis4 11 2 2 2 2 2" xfId="14278" xr:uid="{00000000-0005-0000-0000-0000C9370000}"/>
    <cellStyle name="40% - Énfasis4 11 2 2 2 3" xfId="14279" xr:uid="{00000000-0005-0000-0000-0000CA370000}"/>
    <cellStyle name="40% - Énfasis4 11 2 2 3" xfId="14280" xr:uid="{00000000-0005-0000-0000-0000CB370000}"/>
    <cellStyle name="40% - Énfasis4 11 2 2 3 2" xfId="14281" xr:uid="{00000000-0005-0000-0000-0000CC370000}"/>
    <cellStyle name="40% - Énfasis4 11 2 2 4" xfId="14282" xr:uid="{00000000-0005-0000-0000-0000CD370000}"/>
    <cellStyle name="40% - Énfasis4 11 2 3" xfId="14283" xr:uid="{00000000-0005-0000-0000-0000CE370000}"/>
    <cellStyle name="40% - Énfasis4 11 2 3 2" xfId="14284" xr:uid="{00000000-0005-0000-0000-0000CF370000}"/>
    <cellStyle name="40% - Énfasis4 11 2 3 2 2" xfId="14285" xr:uid="{00000000-0005-0000-0000-0000D0370000}"/>
    <cellStyle name="40% - Énfasis4 11 2 3 3" xfId="14286" xr:uid="{00000000-0005-0000-0000-0000D1370000}"/>
    <cellStyle name="40% - Énfasis4 11 2 4" xfId="14287" xr:uid="{00000000-0005-0000-0000-0000D2370000}"/>
    <cellStyle name="40% - Énfasis4 11 2 4 2" xfId="14288" xr:uid="{00000000-0005-0000-0000-0000D3370000}"/>
    <cellStyle name="40% - Énfasis4 11 2 4 2 2" xfId="14289" xr:uid="{00000000-0005-0000-0000-0000D4370000}"/>
    <cellStyle name="40% - Énfasis4 11 2 4 3" xfId="14290" xr:uid="{00000000-0005-0000-0000-0000D5370000}"/>
    <cellStyle name="40% - Énfasis4 11 2 5" xfId="14291" xr:uid="{00000000-0005-0000-0000-0000D6370000}"/>
    <cellStyle name="40% - Énfasis4 11 2 5 2" xfId="14292" xr:uid="{00000000-0005-0000-0000-0000D7370000}"/>
    <cellStyle name="40% - Énfasis4 11 2 6" xfId="14293" xr:uid="{00000000-0005-0000-0000-0000D8370000}"/>
    <cellStyle name="40% - Énfasis4 11 3" xfId="14294" xr:uid="{00000000-0005-0000-0000-0000D9370000}"/>
    <cellStyle name="40% - Énfasis4 11 3 2" xfId="14295" xr:uid="{00000000-0005-0000-0000-0000DA370000}"/>
    <cellStyle name="40% - Énfasis4 11 3 2 2" xfId="14296" xr:uid="{00000000-0005-0000-0000-0000DB370000}"/>
    <cellStyle name="40% - Énfasis4 11 3 2 2 2" xfId="14297" xr:uid="{00000000-0005-0000-0000-0000DC370000}"/>
    <cellStyle name="40% - Énfasis4 11 3 2 3" xfId="14298" xr:uid="{00000000-0005-0000-0000-0000DD370000}"/>
    <cellStyle name="40% - Énfasis4 11 3 3" xfId="14299" xr:uid="{00000000-0005-0000-0000-0000DE370000}"/>
    <cellStyle name="40% - Énfasis4 11 3 3 2" xfId="14300" xr:uid="{00000000-0005-0000-0000-0000DF370000}"/>
    <cellStyle name="40% - Énfasis4 11 3 3 2 2" xfId="14301" xr:uid="{00000000-0005-0000-0000-0000E0370000}"/>
    <cellStyle name="40% - Énfasis4 11 3 3 3" xfId="14302" xr:uid="{00000000-0005-0000-0000-0000E1370000}"/>
    <cellStyle name="40% - Énfasis4 11 3 4" xfId="14303" xr:uid="{00000000-0005-0000-0000-0000E2370000}"/>
    <cellStyle name="40% - Énfasis4 11 3 4 2" xfId="14304" xr:uid="{00000000-0005-0000-0000-0000E3370000}"/>
    <cellStyle name="40% - Énfasis4 11 3 5" xfId="14305" xr:uid="{00000000-0005-0000-0000-0000E4370000}"/>
    <cellStyle name="40% - Énfasis4 11 4" xfId="14306" xr:uid="{00000000-0005-0000-0000-0000E5370000}"/>
    <cellStyle name="40% - Énfasis4 11 4 2" xfId="14307" xr:uid="{00000000-0005-0000-0000-0000E6370000}"/>
    <cellStyle name="40% - Énfasis4 11 4 2 2" xfId="14308" xr:uid="{00000000-0005-0000-0000-0000E7370000}"/>
    <cellStyle name="40% - Énfasis4 11 4 2 2 2" xfId="14309" xr:uid="{00000000-0005-0000-0000-0000E8370000}"/>
    <cellStyle name="40% - Énfasis4 11 4 2 3" xfId="14310" xr:uid="{00000000-0005-0000-0000-0000E9370000}"/>
    <cellStyle name="40% - Énfasis4 11 4 3" xfId="14311" xr:uid="{00000000-0005-0000-0000-0000EA370000}"/>
    <cellStyle name="40% - Énfasis4 11 4 3 2" xfId="14312" xr:uid="{00000000-0005-0000-0000-0000EB370000}"/>
    <cellStyle name="40% - Énfasis4 11 4 4" xfId="14313" xr:uid="{00000000-0005-0000-0000-0000EC370000}"/>
    <cellStyle name="40% - Énfasis4 11 5" xfId="14314" xr:uid="{00000000-0005-0000-0000-0000ED370000}"/>
    <cellStyle name="40% - Énfasis4 11 5 2" xfId="14315" xr:uid="{00000000-0005-0000-0000-0000EE370000}"/>
    <cellStyle name="40% - Énfasis4 11 5 2 2" xfId="14316" xr:uid="{00000000-0005-0000-0000-0000EF370000}"/>
    <cellStyle name="40% - Énfasis4 11 5 3" xfId="14317" xr:uid="{00000000-0005-0000-0000-0000F0370000}"/>
    <cellStyle name="40% - Énfasis4 11 6" xfId="14318" xr:uid="{00000000-0005-0000-0000-0000F1370000}"/>
    <cellStyle name="40% - Énfasis4 11 6 2" xfId="14319" xr:uid="{00000000-0005-0000-0000-0000F2370000}"/>
    <cellStyle name="40% - Énfasis4 11 6 2 2" xfId="14320" xr:uid="{00000000-0005-0000-0000-0000F3370000}"/>
    <cellStyle name="40% - Énfasis4 11 6 3" xfId="14321" xr:uid="{00000000-0005-0000-0000-0000F4370000}"/>
    <cellStyle name="40% - Énfasis4 11 7" xfId="14322" xr:uid="{00000000-0005-0000-0000-0000F5370000}"/>
    <cellStyle name="40% - Énfasis4 11 7 2" xfId="14323" xr:uid="{00000000-0005-0000-0000-0000F6370000}"/>
    <cellStyle name="40% - Énfasis4 11 8" xfId="14324" xr:uid="{00000000-0005-0000-0000-0000F7370000}"/>
    <cellStyle name="40% - Énfasis4 12" xfId="14325" xr:uid="{00000000-0005-0000-0000-0000F8370000}"/>
    <cellStyle name="40% - Énfasis4 12 2" xfId="14326" xr:uid="{00000000-0005-0000-0000-0000F9370000}"/>
    <cellStyle name="40% - Énfasis4 12 2 2" xfId="14327" xr:uid="{00000000-0005-0000-0000-0000FA370000}"/>
    <cellStyle name="40% - Énfasis4 12 2 2 2" xfId="14328" xr:uid="{00000000-0005-0000-0000-0000FB370000}"/>
    <cellStyle name="40% - Énfasis4 12 2 2 2 2" xfId="14329" xr:uid="{00000000-0005-0000-0000-0000FC370000}"/>
    <cellStyle name="40% - Énfasis4 12 2 2 2 2 2" xfId="14330" xr:uid="{00000000-0005-0000-0000-0000FD370000}"/>
    <cellStyle name="40% - Énfasis4 12 2 2 2 3" xfId="14331" xr:uid="{00000000-0005-0000-0000-0000FE370000}"/>
    <cellStyle name="40% - Énfasis4 12 2 2 3" xfId="14332" xr:uid="{00000000-0005-0000-0000-0000FF370000}"/>
    <cellStyle name="40% - Énfasis4 12 2 2 3 2" xfId="14333" xr:uid="{00000000-0005-0000-0000-000000380000}"/>
    <cellStyle name="40% - Énfasis4 12 2 2 4" xfId="14334" xr:uid="{00000000-0005-0000-0000-000001380000}"/>
    <cellStyle name="40% - Énfasis4 12 2 3" xfId="14335" xr:uid="{00000000-0005-0000-0000-000002380000}"/>
    <cellStyle name="40% - Énfasis4 12 2 3 2" xfId="14336" xr:uid="{00000000-0005-0000-0000-000003380000}"/>
    <cellStyle name="40% - Énfasis4 12 2 3 2 2" xfId="14337" xr:uid="{00000000-0005-0000-0000-000004380000}"/>
    <cellStyle name="40% - Énfasis4 12 2 3 3" xfId="14338" xr:uid="{00000000-0005-0000-0000-000005380000}"/>
    <cellStyle name="40% - Énfasis4 12 2 4" xfId="14339" xr:uid="{00000000-0005-0000-0000-000006380000}"/>
    <cellStyle name="40% - Énfasis4 12 2 4 2" xfId="14340" xr:uid="{00000000-0005-0000-0000-000007380000}"/>
    <cellStyle name="40% - Énfasis4 12 2 4 2 2" xfId="14341" xr:uid="{00000000-0005-0000-0000-000008380000}"/>
    <cellStyle name="40% - Énfasis4 12 2 4 3" xfId="14342" xr:uid="{00000000-0005-0000-0000-000009380000}"/>
    <cellStyle name="40% - Énfasis4 12 2 5" xfId="14343" xr:uid="{00000000-0005-0000-0000-00000A380000}"/>
    <cellStyle name="40% - Énfasis4 12 2 5 2" xfId="14344" xr:uid="{00000000-0005-0000-0000-00000B380000}"/>
    <cellStyle name="40% - Énfasis4 12 2 6" xfId="14345" xr:uid="{00000000-0005-0000-0000-00000C380000}"/>
    <cellStyle name="40% - Énfasis4 12 3" xfId="14346" xr:uid="{00000000-0005-0000-0000-00000D380000}"/>
    <cellStyle name="40% - Énfasis4 12 3 2" xfId="14347" xr:uid="{00000000-0005-0000-0000-00000E380000}"/>
    <cellStyle name="40% - Énfasis4 12 3 2 2" xfId="14348" xr:uid="{00000000-0005-0000-0000-00000F380000}"/>
    <cellStyle name="40% - Énfasis4 12 3 2 2 2" xfId="14349" xr:uid="{00000000-0005-0000-0000-000010380000}"/>
    <cellStyle name="40% - Énfasis4 12 3 2 3" xfId="14350" xr:uid="{00000000-0005-0000-0000-000011380000}"/>
    <cellStyle name="40% - Énfasis4 12 3 3" xfId="14351" xr:uid="{00000000-0005-0000-0000-000012380000}"/>
    <cellStyle name="40% - Énfasis4 12 3 3 2" xfId="14352" xr:uid="{00000000-0005-0000-0000-000013380000}"/>
    <cellStyle name="40% - Énfasis4 12 3 3 2 2" xfId="14353" xr:uid="{00000000-0005-0000-0000-000014380000}"/>
    <cellStyle name="40% - Énfasis4 12 3 3 3" xfId="14354" xr:uid="{00000000-0005-0000-0000-000015380000}"/>
    <cellStyle name="40% - Énfasis4 12 3 4" xfId="14355" xr:uid="{00000000-0005-0000-0000-000016380000}"/>
    <cellStyle name="40% - Énfasis4 12 3 4 2" xfId="14356" xr:uid="{00000000-0005-0000-0000-000017380000}"/>
    <cellStyle name="40% - Énfasis4 12 3 5" xfId="14357" xr:uid="{00000000-0005-0000-0000-000018380000}"/>
    <cellStyle name="40% - Énfasis4 12 4" xfId="14358" xr:uid="{00000000-0005-0000-0000-000019380000}"/>
    <cellStyle name="40% - Énfasis4 12 4 2" xfId="14359" xr:uid="{00000000-0005-0000-0000-00001A380000}"/>
    <cellStyle name="40% - Énfasis4 12 4 2 2" xfId="14360" xr:uid="{00000000-0005-0000-0000-00001B380000}"/>
    <cellStyle name="40% - Énfasis4 12 4 2 2 2" xfId="14361" xr:uid="{00000000-0005-0000-0000-00001C380000}"/>
    <cellStyle name="40% - Énfasis4 12 4 2 3" xfId="14362" xr:uid="{00000000-0005-0000-0000-00001D380000}"/>
    <cellStyle name="40% - Énfasis4 12 4 3" xfId="14363" xr:uid="{00000000-0005-0000-0000-00001E380000}"/>
    <cellStyle name="40% - Énfasis4 12 4 3 2" xfId="14364" xr:uid="{00000000-0005-0000-0000-00001F380000}"/>
    <cellStyle name="40% - Énfasis4 12 4 4" xfId="14365" xr:uid="{00000000-0005-0000-0000-000020380000}"/>
    <cellStyle name="40% - Énfasis4 12 5" xfId="14366" xr:uid="{00000000-0005-0000-0000-000021380000}"/>
    <cellStyle name="40% - Énfasis4 12 5 2" xfId="14367" xr:uid="{00000000-0005-0000-0000-000022380000}"/>
    <cellStyle name="40% - Énfasis4 12 5 2 2" xfId="14368" xr:uid="{00000000-0005-0000-0000-000023380000}"/>
    <cellStyle name="40% - Énfasis4 12 5 3" xfId="14369" xr:uid="{00000000-0005-0000-0000-000024380000}"/>
    <cellStyle name="40% - Énfasis4 12 6" xfId="14370" xr:uid="{00000000-0005-0000-0000-000025380000}"/>
    <cellStyle name="40% - Énfasis4 12 6 2" xfId="14371" xr:uid="{00000000-0005-0000-0000-000026380000}"/>
    <cellStyle name="40% - Énfasis4 12 6 2 2" xfId="14372" xr:uid="{00000000-0005-0000-0000-000027380000}"/>
    <cellStyle name="40% - Énfasis4 12 6 3" xfId="14373" xr:uid="{00000000-0005-0000-0000-000028380000}"/>
    <cellStyle name="40% - Énfasis4 12 7" xfId="14374" xr:uid="{00000000-0005-0000-0000-000029380000}"/>
    <cellStyle name="40% - Énfasis4 12 7 2" xfId="14375" xr:uid="{00000000-0005-0000-0000-00002A380000}"/>
    <cellStyle name="40% - Énfasis4 12 8" xfId="14376" xr:uid="{00000000-0005-0000-0000-00002B380000}"/>
    <cellStyle name="40% - Énfasis4 13" xfId="14377" xr:uid="{00000000-0005-0000-0000-00002C380000}"/>
    <cellStyle name="40% - Énfasis4 13 2" xfId="14378" xr:uid="{00000000-0005-0000-0000-00002D380000}"/>
    <cellStyle name="40% - Énfasis4 13 2 2" xfId="14379" xr:uid="{00000000-0005-0000-0000-00002E380000}"/>
    <cellStyle name="40% - Énfasis4 13 2 2 2" xfId="14380" xr:uid="{00000000-0005-0000-0000-00002F380000}"/>
    <cellStyle name="40% - Énfasis4 13 2 2 2 2" xfId="14381" xr:uid="{00000000-0005-0000-0000-000030380000}"/>
    <cellStyle name="40% - Énfasis4 13 2 2 2 2 2" xfId="14382" xr:uid="{00000000-0005-0000-0000-000031380000}"/>
    <cellStyle name="40% - Énfasis4 13 2 2 2 3" xfId="14383" xr:uid="{00000000-0005-0000-0000-000032380000}"/>
    <cellStyle name="40% - Énfasis4 13 2 2 3" xfId="14384" xr:uid="{00000000-0005-0000-0000-000033380000}"/>
    <cellStyle name="40% - Énfasis4 13 2 2 3 2" xfId="14385" xr:uid="{00000000-0005-0000-0000-000034380000}"/>
    <cellStyle name="40% - Énfasis4 13 2 2 4" xfId="14386" xr:uid="{00000000-0005-0000-0000-000035380000}"/>
    <cellStyle name="40% - Énfasis4 13 2 3" xfId="14387" xr:uid="{00000000-0005-0000-0000-000036380000}"/>
    <cellStyle name="40% - Énfasis4 13 2 3 2" xfId="14388" xr:uid="{00000000-0005-0000-0000-000037380000}"/>
    <cellStyle name="40% - Énfasis4 13 2 3 2 2" xfId="14389" xr:uid="{00000000-0005-0000-0000-000038380000}"/>
    <cellStyle name="40% - Énfasis4 13 2 3 3" xfId="14390" xr:uid="{00000000-0005-0000-0000-000039380000}"/>
    <cellStyle name="40% - Énfasis4 13 2 4" xfId="14391" xr:uid="{00000000-0005-0000-0000-00003A380000}"/>
    <cellStyle name="40% - Énfasis4 13 2 4 2" xfId="14392" xr:uid="{00000000-0005-0000-0000-00003B380000}"/>
    <cellStyle name="40% - Énfasis4 13 2 4 2 2" xfId="14393" xr:uid="{00000000-0005-0000-0000-00003C380000}"/>
    <cellStyle name="40% - Énfasis4 13 2 4 3" xfId="14394" xr:uid="{00000000-0005-0000-0000-00003D380000}"/>
    <cellStyle name="40% - Énfasis4 13 2 5" xfId="14395" xr:uid="{00000000-0005-0000-0000-00003E380000}"/>
    <cellStyle name="40% - Énfasis4 13 2 5 2" xfId="14396" xr:uid="{00000000-0005-0000-0000-00003F380000}"/>
    <cellStyle name="40% - Énfasis4 13 2 6" xfId="14397" xr:uid="{00000000-0005-0000-0000-000040380000}"/>
    <cellStyle name="40% - Énfasis4 13 3" xfId="14398" xr:uid="{00000000-0005-0000-0000-000041380000}"/>
    <cellStyle name="40% - Énfasis4 13 3 2" xfId="14399" xr:uid="{00000000-0005-0000-0000-000042380000}"/>
    <cellStyle name="40% - Énfasis4 13 3 2 2" xfId="14400" xr:uid="{00000000-0005-0000-0000-000043380000}"/>
    <cellStyle name="40% - Énfasis4 13 3 2 2 2" xfId="14401" xr:uid="{00000000-0005-0000-0000-000044380000}"/>
    <cellStyle name="40% - Énfasis4 13 3 2 3" xfId="14402" xr:uid="{00000000-0005-0000-0000-000045380000}"/>
    <cellStyle name="40% - Énfasis4 13 3 3" xfId="14403" xr:uid="{00000000-0005-0000-0000-000046380000}"/>
    <cellStyle name="40% - Énfasis4 13 3 3 2" xfId="14404" xr:uid="{00000000-0005-0000-0000-000047380000}"/>
    <cellStyle name="40% - Énfasis4 13 3 3 2 2" xfId="14405" xr:uid="{00000000-0005-0000-0000-000048380000}"/>
    <cellStyle name="40% - Énfasis4 13 3 3 3" xfId="14406" xr:uid="{00000000-0005-0000-0000-000049380000}"/>
    <cellStyle name="40% - Énfasis4 13 3 4" xfId="14407" xr:uid="{00000000-0005-0000-0000-00004A380000}"/>
    <cellStyle name="40% - Énfasis4 13 3 4 2" xfId="14408" xr:uid="{00000000-0005-0000-0000-00004B380000}"/>
    <cellStyle name="40% - Énfasis4 13 3 5" xfId="14409" xr:uid="{00000000-0005-0000-0000-00004C380000}"/>
    <cellStyle name="40% - Énfasis4 13 4" xfId="14410" xr:uid="{00000000-0005-0000-0000-00004D380000}"/>
    <cellStyle name="40% - Énfasis4 13 4 2" xfId="14411" xr:uid="{00000000-0005-0000-0000-00004E380000}"/>
    <cellStyle name="40% - Énfasis4 13 4 2 2" xfId="14412" xr:uid="{00000000-0005-0000-0000-00004F380000}"/>
    <cellStyle name="40% - Énfasis4 13 4 2 2 2" xfId="14413" xr:uid="{00000000-0005-0000-0000-000050380000}"/>
    <cellStyle name="40% - Énfasis4 13 4 2 3" xfId="14414" xr:uid="{00000000-0005-0000-0000-000051380000}"/>
    <cellStyle name="40% - Énfasis4 13 4 3" xfId="14415" xr:uid="{00000000-0005-0000-0000-000052380000}"/>
    <cellStyle name="40% - Énfasis4 13 4 3 2" xfId="14416" xr:uid="{00000000-0005-0000-0000-000053380000}"/>
    <cellStyle name="40% - Énfasis4 13 4 4" xfId="14417" xr:uid="{00000000-0005-0000-0000-000054380000}"/>
    <cellStyle name="40% - Énfasis4 13 5" xfId="14418" xr:uid="{00000000-0005-0000-0000-000055380000}"/>
    <cellStyle name="40% - Énfasis4 13 5 2" xfId="14419" xr:uid="{00000000-0005-0000-0000-000056380000}"/>
    <cellStyle name="40% - Énfasis4 13 5 2 2" xfId="14420" xr:uid="{00000000-0005-0000-0000-000057380000}"/>
    <cellStyle name="40% - Énfasis4 13 5 3" xfId="14421" xr:uid="{00000000-0005-0000-0000-000058380000}"/>
    <cellStyle name="40% - Énfasis4 13 6" xfId="14422" xr:uid="{00000000-0005-0000-0000-000059380000}"/>
    <cellStyle name="40% - Énfasis4 13 6 2" xfId="14423" xr:uid="{00000000-0005-0000-0000-00005A380000}"/>
    <cellStyle name="40% - Énfasis4 13 6 2 2" xfId="14424" xr:uid="{00000000-0005-0000-0000-00005B380000}"/>
    <cellStyle name="40% - Énfasis4 13 6 3" xfId="14425" xr:uid="{00000000-0005-0000-0000-00005C380000}"/>
    <cellStyle name="40% - Énfasis4 13 7" xfId="14426" xr:uid="{00000000-0005-0000-0000-00005D380000}"/>
    <cellStyle name="40% - Énfasis4 13 7 2" xfId="14427" xr:uid="{00000000-0005-0000-0000-00005E380000}"/>
    <cellStyle name="40% - Énfasis4 13 8" xfId="14428" xr:uid="{00000000-0005-0000-0000-00005F380000}"/>
    <cellStyle name="40% - Énfasis4 14" xfId="14429" xr:uid="{00000000-0005-0000-0000-000060380000}"/>
    <cellStyle name="40% - Énfasis4 14 2" xfId="14430" xr:uid="{00000000-0005-0000-0000-000061380000}"/>
    <cellStyle name="40% - Énfasis4 14 2 2" xfId="14431" xr:uid="{00000000-0005-0000-0000-000062380000}"/>
    <cellStyle name="40% - Énfasis4 14 2 2 2" xfId="14432" xr:uid="{00000000-0005-0000-0000-000063380000}"/>
    <cellStyle name="40% - Énfasis4 14 2 2 2 2" xfId="14433" xr:uid="{00000000-0005-0000-0000-000064380000}"/>
    <cellStyle name="40% - Énfasis4 14 2 2 2 2 2" xfId="14434" xr:uid="{00000000-0005-0000-0000-000065380000}"/>
    <cellStyle name="40% - Énfasis4 14 2 2 2 3" xfId="14435" xr:uid="{00000000-0005-0000-0000-000066380000}"/>
    <cellStyle name="40% - Énfasis4 14 2 2 3" xfId="14436" xr:uid="{00000000-0005-0000-0000-000067380000}"/>
    <cellStyle name="40% - Énfasis4 14 2 2 3 2" xfId="14437" xr:uid="{00000000-0005-0000-0000-000068380000}"/>
    <cellStyle name="40% - Énfasis4 14 2 2 4" xfId="14438" xr:uid="{00000000-0005-0000-0000-000069380000}"/>
    <cellStyle name="40% - Énfasis4 14 2 3" xfId="14439" xr:uid="{00000000-0005-0000-0000-00006A380000}"/>
    <cellStyle name="40% - Énfasis4 14 2 3 2" xfId="14440" xr:uid="{00000000-0005-0000-0000-00006B380000}"/>
    <cellStyle name="40% - Énfasis4 14 2 3 2 2" xfId="14441" xr:uid="{00000000-0005-0000-0000-00006C380000}"/>
    <cellStyle name="40% - Énfasis4 14 2 3 3" xfId="14442" xr:uid="{00000000-0005-0000-0000-00006D380000}"/>
    <cellStyle name="40% - Énfasis4 14 2 4" xfId="14443" xr:uid="{00000000-0005-0000-0000-00006E380000}"/>
    <cellStyle name="40% - Énfasis4 14 2 4 2" xfId="14444" xr:uid="{00000000-0005-0000-0000-00006F380000}"/>
    <cellStyle name="40% - Énfasis4 14 2 4 2 2" xfId="14445" xr:uid="{00000000-0005-0000-0000-000070380000}"/>
    <cellStyle name="40% - Énfasis4 14 2 4 3" xfId="14446" xr:uid="{00000000-0005-0000-0000-000071380000}"/>
    <cellStyle name="40% - Énfasis4 14 2 5" xfId="14447" xr:uid="{00000000-0005-0000-0000-000072380000}"/>
    <cellStyle name="40% - Énfasis4 14 2 5 2" xfId="14448" xr:uid="{00000000-0005-0000-0000-000073380000}"/>
    <cellStyle name="40% - Énfasis4 14 2 6" xfId="14449" xr:uid="{00000000-0005-0000-0000-000074380000}"/>
    <cellStyle name="40% - Énfasis4 14 3" xfId="14450" xr:uid="{00000000-0005-0000-0000-000075380000}"/>
    <cellStyle name="40% - Énfasis4 14 3 2" xfId="14451" xr:uid="{00000000-0005-0000-0000-000076380000}"/>
    <cellStyle name="40% - Énfasis4 14 3 2 2" xfId="14452" xr:uid="{00000000-0005-0000-0000-000077380000}"/>
    <cellStyle name="40% - Énfasis4 14 3 2 2 2" xfId="14453" xr:uid="{00000000-0005-0000-0000-000078380000}"/>
    <cellStyle name="40% - Énfasis4 14 3 2 3" xfId="14454" xr:uid="{00000000-0005-0000-0000-000079380000}"/>
    <cellStyle name="40% - Énfasis4 14 3 3" xfId="14455" xr:uid="{00000000-0005-0000-0000-00007A380000}"/>
    <cellStyle name="40% - Énfasis4 14 3 3 2" xfId="14456" xr:uid="{00000000-0005-0000-0000-00007B380000}"/>
    <cellStyle name="40% - Énfasis4 14 3 3 2 2" xfId="14457" xr:uid="{00000000-0005-0000-0000-00007C380000}"/>
    <cellStyle name="40% - Énfasis4 14 3 3 3" xfId="14458" xr:uid="{00000000-0005-0000-0000-00007D380000}"/>
    <cellStyle name="40% - Énfasis4 14 3 4" xfId="14459" xr:uid="{00000000-0005-0000-0000-00007E380000}"/>
    <cellStyle name="40% - Énfasis4 14 3 4 2" xfId="14460" xr:uid="{00000000-0005-0000-0000-00007F380000}"/>
    <cellStyle name="40% - Énfasis4 14 3 5" xfId="14461" xr:uid="{00000000-0005-0000-0000-000080380000}"/>
    <cellStyle name="40% - Énfasis4 14 4" xfId="14462" xr:uid="{00000000-0005-0000-0000-000081380000}"/>
    <cellStyle name="40% - Énfasis4 14 4 2" xfId="14463" xr:uid="{00000000-0005-0000-0000-000082380000}"/>
    <cellStyle name="40% - Énfasis4 14 4 2 2" xfId="14464" xr:uid="{00000000-0005-0000-0000-000083380000}"/>
    <cellStyle name="40% - Énfasis4 14 4 2 2 2" xfId="14465" xr:uid="{00000000-0005-0000-0000-000084380000}"/>
    <cellStyle name="40% - Énfasis4 14 4 2 3" xfId="14466" xr:uid="{00000000-0005-0000-0000-000085380000}"/>
    <cellStyle name="40% - Énfasis4 14 4 3" xfId="14467" xr:uid="{00000000-0005-0000-0000-000086380000}"/>
    <cellStyle name="40% - Énfasis4 14 4 3 2" xfId="14468" xr:uid="{00000000-0005-0000-0000-000087380000}"/>
    <cellStyle name="40% - Énfasis4 14 4 4" xfId="14469" xr:uid="{00000000-0005-0000-0000-000088380000}"/>
    <cellStyle name="40% - Énfasis4 14 5" xfId="14470" xr:uid="{00000000-0005-0000-0000-000089380000}"/>
    <cellStyle name="40% - Énfasis4 14 5 2" xfId="14471" xr:uid="{00000000-0005-0000-0000-00008A380000}"/>
    <cellStyle name="40% - Énfasis4 14 5 2 2" xfId="14472" xr:uid="{00000000-0005-0000-0000-00008B380000}"/>
    <cellStyle name="40% - Énfasis4 14 5 3" xfId="14473" xr:uid="{00000000-0005-0000-0000-00008C380000}"/>
    <cellStyle name="40% - Énfasis4 14 6" xfId="14474" xr:uid="{00000000-0005-0000-0000-00008D380000}"/>
    <cellStyle name="40% - Énfasis4 14 6 2" xfId="14475" xr:uid="{00000000-0005-0000-0000-00008E380000}"/>
    <cellStyle name="40% - Énfasis4 14 6 2 2" xfId="14476" xr:uid="{00000000-0005-0000-0000-00008F380000}"/>
    <cellStyle name="40% - Énfasis4 14 6 3" xfId="14477" xr:uid="{00000000-0005-0000-0000-000090380000}"/>
    <cellStyle name="40% - Énfasis4 14 7" xfId="14478" xr:uid="{00000000-0005-0000-0000-000091380000}"/>
    <cellStyle name="40% - Énfasis4 14 7 2" xfId="14479" xr:uid="{00000000-0005-0000-0000-000092380000}"/>
    <cellStyle name="40% - Énfasis4 14 8" xfId="14480" xr:uid="{00000000-0005-0000-0000-000093380000}"/>
    <cellStyle name="40% - Énfasis4 15" xfId="14481" xr:uid="{00000000-0005-0000-0000-000094380000}"/>
    <cellStyle name="40% - Énfasis4 15 2" xfId="14482" xr:uid="{00000000-0005-0000-0000-000095380000}"/>
    <cellStyle name="40% - Énfasis4 15 2 2" xfId="14483" xr:uid="{00000000-0005-0000-0000-000096380000}"/>
    <cellStyle name="40% - Énfasis4 15 2 2 2" xfId="14484" xr:uid="{00000000-0005-0000-0000-000097380000}"/>
    <cellStyle name="40% - Énfasis4 15 2 2 2 2" xfId="14485" xr:uid="{00000000-0005-0000-0000-000098380000}"/>
    <cellStyle name="40% - Énfasis4 15 2 2 2 2 2" xfId="14486" xr:uid="{00000000-0005-0000-0000-000099380000}"/>
    <cellStyle name="40% - Énfasis4 15 2 2 2 3" xfId="14487" xr:uid="{00000000-0005-0000-0000-00009A380000}"/>
    <cellStyle name="40% - Énfasis4 15 2 2 3" xfId="14488" xr:uid="{00000000-0005-0000-0000-00009B380000}"/>
    <cellStyle name="40% - Énfasis4 15 2 2 3 2" xfId="14489" xr:uid="{00000000-0005-0000-0000-00009C380000}"/>
    <cellStyle name="40% - Énfasis4 15 2 2 4" xfId="14490" xr:uid="{00000000-0005-0000-0000-00009D380000}"/>
    <cellStyle name="40% - Énfasis4 15 2 3" xfId="14491" xr:uid="{00000000-0005-0000-0000-00009E380000}"/>
    <cellStyle name="40% - Énfasis4 15 2 3 2" xfId="14492" xr:uid="{00000000-0005-0000-0000-00009F380000}"/>
    <cellStyle name="40% - Énfasis4 15 2 3 2 2" xfId="14493" xr:uid="{00000000-0005-0000-0000-0000A0380000}"/>
    <cellStyle name="40% - Énfasis4 15 2 3 3" xfId="14494" xr:uid="{00000000-0005-0000-0000-0000A1380000}"/>
    <cellStyle name="40% - Énfasis4 15 2 4" xfId="14495" xr:uid="{00000000-0005-0000-0000-0000A2380000}"/>
    <cellStyle name="40% - Énfasis4 15 2 4 2" xfId="14496" xr:uid="{00000000-0005-0000-0000-0000A3380000}"/>
    <cellStyle name="40% - Énfasis4 15 2 4 2 2" xfId="14497" xr:uid="{00000000-0005-0000-0000-0000A4380000}"/>
    <cellStyle name="40% - Énfasis4 15 2 4 3" xfId="14498" xr:uid="{00000000-0005-0000-0000-0000A5380000}"/>
    <cellStyle name="40% - Énfasis4 15 2 5" xfId="14499" xr:uid="{00000000-0005-0000-0000-0000A6380000}"/>
    <cellStyle name="40% - Énfasis4 15 2 5 2" xfId="14500" xr:uid="{00000000-0005-0000-0000-0000A7380000}"/>
    <cellStyle name="40% - Énfasis4 15 2 6" xfId="14501" xr:uid="{00000000-0005-0000-0000-0000A8380000}"/>
    <cellStyle name="40% - Énfasis4 15 3" xfId="14502" xr:uid="{00000000-0005-0000-0000-0000A9380000}"/>
    <cellStyle name="40% - Énfasis4 15 3 2" xfId="14503" xr:uid="{00000000-0005-0000-0000-0000AA380000}"/>
    <cellStyle name="40% - Énfasis4 15 3 2 2" xfId="14504" xr:uid="{00000000-0005-0000-0000-0000AB380000}"/>
    <cellStyle name="40% - Énfasis4 15 3 2 2 2" xfId="14505" xr:uid="{00000000-0005-0000-0000-0000AC380000}"/>
    <cellStyle name="40% - Énfasis4 15 3 2 3" xfId="14506" xr:uid="{00000000-0005-0000-0000-0000AD380000}"/>
    <cellStyle name="40% - Énfasis4 15 3 3" xfId="14507" xr:uid="{00000000-0005-0000-0000-0000AE380000}"/>
    <cellStyle name="40% - Énfasis4 15 3 3 2" xfId="14508" xr:uid="{00000000-0005-0000-0000-0000AF380000}"/>
    <cellStyle name="40% - Énfasis4 15 3 3 2 2" xfId="14509" xr:uid="{00000000-0005-0000-0000-0000B0380000}"/>
    <cellStyle name="40% - Énfasis4 15 3 3 3" xfId="14510" xr:uid="{00000000-0005-0000-0000-0000B1380000}"/>
    <cellStyle name="40% - Énfasis4 15 3 4" xfId="14511" xr:uid="{00000000-0005-0000-0000-0000B2380000}"/>
    <cellStyle name="40% - Énfasis4 15 3 4 2" xfId="14512" xr:uid="{00000000-0005-0000-0000-0000B3380000}"/>
    <cellStyle name="40% - Énfasis4 15 3 5" xfId="14513" xr:uid="{00000000-0005-0000-0000-0000B4380000}"/>
    <cellStyle name="40% - Énfasis4 15 4" xfId="14514" xr:uid="{00000000-0005-0000-0000-0000B5380000}"/>
    <cellStyle name="40% - Énfasis4 15 4 2" xfId="14515" xr:uid="{00000000-0005-0000-0000-0000B6380000}"/>
    <cellStyle name="40% - Énfasis4 15 4 2 2" xfId="14516" xr:uid="{00000000-0005-0000-0000-0000B7380000}"/>
    <cellStyle name="40% - Énfasis4 15 4 2 2 2" xfId="14517" xr:uid="{00000000-0005-0000-0000-0000B8380000}"/>
    <cellStyle name="40% - Énfasis4 15 4 2 3" xfId="14518" xr:uid="{00000000-0005-0000-0000-0000B9380000}"/>
    <cellStyle name="40% - Énfasis4 15 4 3" xfId="14519" xr:uid="{00000000-0005-0000-0000-0000BA380000}"/>
    <cellStyle name="40% - Énfasis4 15 4 3 2" xfId="14520" xr:uid="{00000000-0005-0000-0000-0000BB380000}"/>
    <cellStyle name="40% - Énfasis4 15 4 4" xfId="14521" xr:uid="{00000000-0005-0000-0000-0000BC380000}"/>
    <cellStyle name="40% - Énfasis4 15 5" xfId="14522" xr:uid="{00000000-0005-0000-0000-0000BD380000}"/>
    <cellStyle name="40% - Énfasis4 15 5 2" xfId="14523" xr:uid="{00000000-0005-0000-0000-0000BE380000}"/>
    <cellStyle name="40% - Énfasis4 15 5 2 2" xfId="14524" xr:uid="{00000000-0005-0000-0000-0000BF380000}"/>
    <cellStyle name="40% - Énfasis4 15 5 3" xfId="14525" xr:uid="{00000000-0005-0000-0000-0000C0380000}"/>
    <cellStyle name="40% - Énfasis4 15 6" xfId="14526" xr:uid="{00000000-0005-0000-0000-0000C1380000}"/>
    <cellStyle name="40% - Énfasis4 15 6 2" xfId="14527" xr:uid="{00000000-0005-0000-0000-0000C2380000}"/>
    <cellStyle name="40% - Énfasis4 15 6 2 2" xfId="14528" xr:uid="{00000000-0005-0000-0000-0000C3380000}"/>
    <cellStyle name="40% - Énfasis4 15 6 3" xfId="14529" xr:uid="{00000000-0005-0000-0000-0000C4380000}"/>
    <cellStyle name="40% - Énfasis4 15 7" xfId="14530" xr:uid="{00000000-0005-0000-0000-0000C5380000}"/>
    <cellStyle name="40% - Énfasis4 15 7 2" xfId="14531" xr:uid="{00000000-0005-0000-0000-0000C6380000}"/>
    <cellStyle name="40% - Énfasis4 15 8" xfId="14532" xr:uid="{00000000-0005-0000-0000-0000C7380000}"/>
    <cellStyle name="40% - Énfasis4 16" xfId="14533" xr:uid="{00000000-0005-0000-0000-0000C8380000}"/>
    <cellStyle name="40% - Énfasis4 16 2" xfId="14534" xr:uid="{00000000-0005-0000-0000-0000C9380000}"/>
    <cellStyle name="40% - Énfasis4 16 2 2" xfId="14535" xr:uid="{00000000-0005-0000-0000-0000CA380000}"/>
    <cellStyle name="40% - Énfasis4 16 2 2 2" xfId="14536" xr:uid="{00000000-0005-0000-0000-0000CB380000}"/>
    <cellStyle name="40% - Énfasis4 16 2 2 2 2" xfId="14537" xr:uid="{00000000-0005-0000-0000-0000CC380000}"/>
    <cellStyle name="40% - Énfasis4 16 2 2 3" xfId="14538" xr:uid="{00000000-0005-0000-0000-0000CD380000}"/>
    <cellStyle name="40% - Énfasis4 16 2 3" xfId="14539" xr:uid="{00000000-0005-0000-0000-0000CE380000}"/>
    <cellStyle name="40% - Énfasis4 16 2 3 2" xfId="14540" xr:uid="{00000000-0005-0000-0000-0000CF380000}"/>
    <cellStyle name="40% - Énfasis4 16 2 3 2 2" xfId="14541" xr:uid="{00000000-0005-0000-0000-0000D0380000}"/>
    <cellStyle name="40% - Énfasis4 16 2 3 3" xfId="14542" xr:uid="{00000000-0005-0000-0000-0000D1380000}"/>
    <cellStyle name="40% - Énfasis4 16 2 4" xfId="14543" xr:uid="{00000000-0005-0000-0000-0000D2380000}"/>
    <cellStyle name="40% - Énfasis4 16 2 4 2" xfId="14544" xr:uid="{00000000-0005-0000-0000-0000D3380000}"/>
    <cellStyle name="40% - Énfasis4 16 2 5" xfId="14545" xr:uid="{00000000-0005-0000-0000-0000D4380000}"/>
    <cellStyle name="40% - Énfasis4 16 3" xfId="14546" xr:uid="{00000000-0005-0000-0000-0000D5380000}"/>
    <cellStyle name="40% - Énfasis4 16 3 2" xfId="14547" xr:uid="{00000000-0005-0000-0000-0000D6380000}"/>
    <cellStyle name="40% - Énfasis4 16 3 2 2" xfId="14548" xr:uid="{00000000-0005-0000-0000-0000D7380000}"/>
    <cellStyle name="40% - Énfasis4 16 3 2 2 2" xfId="14549" xr:uid="{00000000-0005-0000-0000-0000D8380000}"/>
    <cellStyle name="40% - Énfasis4 16 3 2 3" xfId="14550" xr:uid="{00000000-0005-0000-0000-0000D9380000}"/>
    <cellStyle name="40% - Énfasis4 16 3 3" xfId="14551" xr:uid="{00000000-0005-0000-0000-0000DA380000}"/>
    <cellStyle name="40% - Énfasis4 16 3 3 2" xfId="14552" xr:uid="{00000000-0005-0000-0000-0000DB380000}"/>
    <cellStyle name="40% - Énfasis4 16 3 4" xfId="14553" xr:uid="{00000000-0005-0000-0000-0000DC380000}"/>
    <cellStyle name="40% - Énfasis4 16 4" xfId="14554" xr:uid="{00000000-0005-0000-0000-0000DD380000}"/>
    <cellStyle name="40% - Énfasis4 16 4 2" xfId="14555" xr:uid="{00000000-0005-0000-0000-0000DE380000}"/>
    <cellStyle name="40% - Énfasis4 16 4 2 2" xfId="14556" xr:uid="{00000000-0005-0000-0000-0000DF380000}"/>
    <cellStyle name="40% - Énfasis4 16 4 3" xfId="14557" xr:uid="{00000000-0005-0000-0000-0000E0380000}"/>
    <cellStyle name="40% - Énfasis4 16 5" xfId="14558" xr:uid="{00000000-0005-0000-0000-0000E1380000}"/>
    <cellStyle name="40% - Énfasis4 16 5 2" xfId="14559" xr:uid="{00000000-0005-0000-0000-0000E2380000}"/>
    <cellStyle name="40% - Énfasis4 16 5 2 2" xfId="14560" xr:uid="{00000000-0005-0000-0000-0000E3380000}"/>
    <cellStyle name="40% - Énfasis4 16 5 3" xfId="14561" xr:uid="{00000000-0005-0000-0000-0000E4380000}"/>
    <cellStyle name="40% - Énfasis4 16 6" xfId="14562" xr:uid="{00000000-0005-0000-0000-0000E5380000}"/>
    <cellStyle name="40% - Énfasis4 16 6 2" xfId="14563" xr:uid="{00000000-0005-0000-0000-0000E6380000}"/>
    <cellStyle name="40% - Énfasis4 16 7" xfId="14564" xr:uid="{00000000-0005-0000-0000-0000E7380000}"/>
    <cellStyle name="40% - Énfasis4 17" xfId="14565" xr:uid="{00000000-0005-0000-0000-0000E8380000}"/>
    <cellStyle name="40% - Énfasis4 17 2" xfId="14566" xr:uid="{00000000-0005-0000-0000-0000E9380000}"/>
    <cellStyle name="40% - Énfasis4 17 2 2" xfId="14567" xr:uid="{00000000-0005-0000-0000-0000EA380000}"/>
    <cellStyle name="40% - Énfasis4 17 2 2 2" xfId="14568" xr:uid="{00000000-0005-0000-0000-0000EB380000}"/>
    <cellStyle name="40% - Énfasis4 17 2 2 2 2" xfId="14569" xr:uid="{00000000-0005-0000-0000-0000EC380000}"/>
    <cellStyle name="40% - Énfasis4 17 2 2 3" xfId="14570" xr:uid="{00000000-0005-0000-0000-0000ED380000}"/>
    <cellStyle name="40% - Énfasis4 17 2 3" xfId="14571" xr:uid="{00000000-0005-0000-0000-0000EE380000}"/>
    <cellStyle name="40% - Énfasis4 17 2 3 2" xfId="14572" xr:uid="{00000000-0005-0000-0000-0000EF380000}"/>
    <cellStyle name="40% - Énfasis4 17 2 3 2 2" xfId="14573" xr:uid="{00000000-0005-0000-0000-0000F0380000}"/>
    <cellStyle name="40% - Énfasis4 17 2 3 3" xfId="14574" xr:uid="{00000000-0005-0000-0000-0000F1380000}"/>
    <cellStyle name="40% - Énfasis4 17 2 4" xfId="14575" xr:uid="{00000000-0005-0000-0000-0000F2380000}"/>
    <cellStyle name="40% - Énfasis4 17 2 4 2" xfId="14576" xr:uid="{00000000-0005-0000-0000-0000F3380000}"/>
    <cellStyle name="40% - Énfasis4 17 2 5" xfId="14577" xr:uid="{00000000-0005-0000-0000-0000F4380000}"/>
    <cellStyle name="40% - Énfasis4 17 3" xfId="14578" xr:uid="{00000000-0005-0000-0000-0000F5380000}"/>
    <cellStyle name="40% - Énfasis4 17 3 2" xfId="14579" xr:uid="{00000000-0005-0000-0000-0000F6380000}"/>
    <cellStyle name="40% - Énfasis4 17 3 2 2" xfId="14580" xr:uid="{00000000-0005-0000-0000-0000F7380000}"/>
    <cellStyle name="40% - Énfasis4 17 3 2 2 2" xfId="14581" xr:uid="{00000000-0005-0000-0000-0000F8380000}"/>
    <cellStyle name="40% - Énfasis4 17 3 2 3" xfId="14582" xr:uid="{00000000-0005-0000-0000-0000F9380000}"/>
    <cellStyle name="40% - Énfasis4 17 3 3" xfId="14583" xr:uid="{00000000-0005-0000-0000-0000FA380000}"/>
    <cellStyle name="40% - Énfasis4 17 3 3 2" xfId="14584" xr:uid="{00000000-0005-0000-0000-0000FB380000}"/>
    <cellStyle name="40% - Énfasis4 17 3 4" xfId="14585" xr:uid="{00000000-0005-0000-0000-0000FC380000}"/>
    <cellStyle name="40% - Énfasis4 17 4" xfId="14586" xr:uid="{00000000-0005-0000-0000-0000FD380000}"/>
    <cellStyle name="40% - Énfasis4 17 4 2" xfId="14587" xr:uid="{00000000-0005-0000-0000-0000FE380000}"/>
    <cellStyle name="40% - Énfasis4 17 4 2 2" xfId="14588" xr:uid="{00000000-0005-0000-0000-0000FF380000}"/>
    <cellStyle name="40% - Énfasis4 17 4 3" xfId="14589" xr:uid="{00000000-0005-0000-0000-000000390000}"/>
    <cellStyle name="40% - Énfasis4 17 5" xfId="14590" xr:uid="{00000000-0005-0000-0000-000001390000}"/>
    <cellStyle name="40% - Énfasis4 17 5 2" xfId="14591" xr:uid="{00000000-0005-0000-0000-000002390000}"/>
    <cellStyle name="40% - Énfasis4 17 5 2 2" xfId="14592" xr:uid="{00000000-0005-0000-0000-000003390000}"/>
    <cellStyle name="40% - Énfasis4 17 5 3" xfId="14593" xr:uid="{00000000-0005-0000-0000-000004390000}"/>
    <cellStyle name="40% - Énfasis4 17 6" xfId="14594" xr:uid="{00000000-0005-0000-0000-000005390000}"/>
    <cellStyle name="40% - Énfasis4 17 6 2" xfId="14595" xr:uid="{00000000-0005-0000-0000-000006390000}"/>
    <cellStyle name="40% - Énfasis4 17 7" xfId="14596" xr:uid="{00000000-0005-0000-0000-000007390000}"/>
    <cellStyle name="40% - Énfasis4 18" xfId="14597" xr:uid="{00000000-0005-0000-0000-000008390000}"/>
    <cellStyle name="40% - Énfasis4 18 2" xfId="14598" xr:uid="{00000000-0005-0000-0000-000009390000}"/>
    <cellStyle name="40% - Énfasis4 18 2 2" xfId="14599" xr:uid="{00000000-0005-0000-0000-00000A390000}"/>
    <cellStyle name="40% - Énfasis4 18 2 2 2" xfId="14600" xr:uid="{00000000-0005-0000-0000-00000B390000}"/>
    <cellStyle name="40% - Énfasis4 18 2 2 2 2" xfId="14601" xr:uid="{00000000-0005-0000-0000-00000C390000}"/>
    <cellStyle name="40% - Énfasis4 18 2 2 3" xfId="14602" xr:uid="{00000000-0005-0000-0000-00000D390000}"/>
    <cellStyle name="40% - Énfasis4 18 2 3" xfId="14603" xr:uid="{00000000-0005-0000-0000-00000E390000}"/>
    <cellStyle name="40% - Énfasis4 18 2 3 2" xfId="14604" xr:uid="{00000000-0005-0000-0000-00000F390000}"/>
    <cellStyle name="40% - Énfasis4 18 2 3 2 2" xfId="14605" xr:uid="{00000000-0005-0000-0000-000010390000}"/>
    <cellStyle name="40% - Énfasis4 18 2 3 3" xfId="14606" xr:uid="{00000000-0005-0000-0000-000011390000}"/>
    <cellStyle name="40% - Énfasis4 18 2 4" xfId="14607" xr:uid="{00000000-0005-0000-0000-000012390000}"/>
    <cellStyle name="40% - Énfasis4 18 2 4 2" xfId="14608" xr:uid="{00000000-0005-0000-0000-000013390000}"/>
    <cellStyle name="40% - Énfasis4 18 2 5" xfId="14609" xr:uid="{00000000-0005-0000-0000-000014390000}"/>
    <cellStyle name="40% - Énfasis4 18 3" xfId="14610" xr:uid="{00000000-0005-0000-0000-000015390000}"/>
    <cellStyle name="40% - Énfasis4 18 3 2" xfId="14611" xr:uid="{00000000-0005-0000-0000-000016390000}"/>
    <cellStyle name="40% - Énfasis4 18 3 2 2" xfId="14612" xr:uid="{00000000-0005-0000-0000-000017390000}"/>
    <cellStyle name="40% - Énfasis4 18 3 2 2 2" xfId="14613" xr:uid="{00000000-0005-0000-0000-000018390000}"/>
    <cellStyle name="40% - Énfasis4 18 3 2 3" xfId="14614" xr:uid="{00000000-0005-0000-0000-000019390000}"/>
    <cellStyle name="40% - Énfasis4 18 3 3" xfId="14615" xr:uid="{00000000-0005-0000-0000-00001A390000}"/>
    <cellStyle name="40% - Énfasis4 18 3 3 2" xfId="14616" xr:uid="{00000000-0005-0000-0000-00001B390000}"/>
    <cellStyle name="40% - Énfasis4 18 3 4" xfId="14617" xr:uid="{00000000-0005-0000-0000-00001C390000}"/>
    <cellStyle name="40% - Énfasis4 18 4" xfId="14618" xr:uid="{00000000-0005-0000-0000-00001D390000}"/>
    <cellStyle name="40% - Énfasis4 18 4 2" xfId="14619" xr:uid="{00000000-0005-0000-0000-00001E390000}"/>
    <cellStyle name="40% - Énfasis4 18 4 2 2" xfId="14620" xr:uid="{00000000-0005-0000-0000-00001F390000}"/>
    <cellStyle name="40% - Énfasis4 18 4 3" xfId="14621" xr:uid="{00000000-0005-0000-0000-000020390000}"/>
    <cellStyle name="40% - Énfasis4 18 5" xfId="14622" xr:uid="{00000000-0005-0000-0000-000021390000}"/>
    <cellStyle name="40% - Énfasis4 18 5 2" xfId="14623" xr:uid="{00000000-0005-0000-0000-000022390000}"/>
    <cellStyle name="40% - Énfasis4 18 5 2 2" xfId="14624" xr:uid="{00000000-0005-0000-0000-000023390000}"/>
    <cellStyle name="40% - Énfasis4 18 5 3" xfId="14625" xr:uid="{00000000-0005-0000-0000-000024390000}"/>
    <cellStyle name="40% - Énfasis4 18 6" xfId="14626" xr:uid="{00000000-0005-0000-0000-000025390000}"/>
    <cellStyle name="40% - Énfasis4 18 6 2" xfId="14627" xr:uid="{00000000-0005-0000-0000-000026390000}"/>
    <cellStyle name="40% - Énfasis4 18 7" xfId="14628" xr:uid="{00000000-0005-0000-0000-000027390000}"/>
    <cellStyle name="40% - Énfasis4 19" xfId="14629" xr:uid="{00000000-0005-0000-0000-000028390000}"/>
    <cellStyle name="40% - Énfasis4 19 2" xfId="14630" xr:uid="{00000000-0005-0000-0000-000029390000}"/>
    <cellStyle name="40% - Énfasis4 19 2 2" xfId="14631" xr:uid="{00000000-0005-0000-0000-00002A390000}"/>
    <cellStyle name="40% - Énfasis4 19 2 2 2" xfId="14632" xr:uid="{00000000-0005-0000-0000-00002B390000}"/>
    <cellStyle name="40% - Énfasis4 19 2 2 2 2" xfId="14633" xr:uid="{00000000-0005-0000-0000-00002C390000}"/>
    <cellStyle name="40% - Énfasis4 19 2 2 3" xfId="14634" xr:uid="{00000000-0005-0000-0000-00002D390000}"/>
    <cellStyle name="40% - Énfasis4 19 2 3" xfId="14635" xr:uid="{00000000-0005-0000-0000-00002E390000}"/>
    <cellStyle name="40% - Énfasis4 19 2 3 2" xfId="14636" xr:uid="{00000000-0005-0000-0000-00002F390000}"/>
    <cellStyle name="40% - Énfasis4 19 2 3 2 2" xfId="14637" xr:uid="{00000000-0005-0000-0000-000030390000}"/>
    <cellStyle name="40% - Énfasis4 19 2 3 3" xfId="14638" xr:uid="{00000000-0005-0000-0000-000031390000}"/>
    <cellStyle name="40% - Énfasis4 19 2 4" xfId="14639" xr:uid="{00000000-0005-0000-0000-000032390000}"/>
    <cellStyle name="40% - Énfasis4 19 2 4 2" xfId="14640" xr:uid="{00000000-0005-0000-0000-000033390000}"/>
    <cellStyle name="40% - Énfasis4 19 2 5" xfId="14641" xr:uid="{00000000-0005-0000-0000-000034390000}"/>
    <cellStyle name="40% - Énfasis4 19 3" xfId="14642" xr:uid="{00000000-0005-0000-0000-000035390000}"/>
    <cellStyle name="40% - Énfasis4 19 3 2" xfId="14643" xr:uid="{00000000-0005-0000-0000-000036390000}"/>
    <cellStyle name="40% - Énfasis4 19 3 2 2" xfId="14644" xr:uid="{00000000-0005-0000-0000-000037390000}"/>
    <cellStyle name="40% - Énfasis4 19 3 2 2 2" xfId="14645" xr:uid="{00000000-0005-0000-0000-000038390000}"/>
    <cellStyle name="40% - Énfasis4 19 3 2 3" xfId="14646" xr:uid="{00000000-0005-0000-0000-000039390000}"/>
    <cellStyle name="40% - Énfasis4 19 3 3" xfId="14647" xr:uid="{00000000-0005-0000-0000-00003A390000}"/>
    <cellStyle name="40% - Énfasis4 19 3 3 2" xfId="14648" xr:uid="{00000000-0005-0000-0000-00003B390000}"/>
    <cellStyle name="40% - Énfasis4 19 3 4" xfId="14649" xr:uid="{00000000-0005-0000-0000-00003C390000}"/>
    <cellStyle name="40% - Énfasis4 19 4" xfId="14650" xr:uid="{00000000-0005-0000-0000-00003D390000}"/>
    <cellStyle name="40% - Énfasis4 19 4 2" xfId="14651" xr:uid="{00000000-0005-0000-0000-00003E390000}"/>
    <cellStyle name="40% - Énfasis4 19 4 2 2" xfId="14652" xr:uid="{00000000-0005-0000-0000-00003F390000}"/>
    <cellStyle name="40% - Énfasis4 19 4 3" xfId="14653" xr:uid="{00000000-0005-0000-0000-000040390000}"/>
    <cellStyle name="40% - Énfasis4 19 5" xfId="14654" xr:uid="{00000000-0005-0000-0000-000041390000}"/>
    <cellStyle name="40% - Énfasis4 19 5 2" xfId="14655" xr:uid="{00000000-0005-0000-0000-000042390000}"/>
    <cellStyle name="40% - Énfasis4 19 5 2 2" xfId="14656" xr:uid="{00000000-0005-0000-0000-000043390000}"/>
    <cellStyle name="40% - Énfasis4 19 5 3" xfId="14657" xr:uid="{00000000-0005-0000-0000-000044390000}"/>
    <cellStyle name="40% - Énfasis4 19 6" xfId="14658" xr:uid="{00000000-0005-0000-0000-000045390000}"/>
    <cellStyle name="40% - Énfasis4 19 6 2" xfId="14659" xr:uid="{00000000-0005-0000-0000-000046390000}"/>
    <cellStyle name="40% - Énfasis4 19 7" xfId="14660" xr:uid="{00000000-0005-0000-0000-000047390000}"/>
    <cellStyle name="40% - Énfasis4 2" xfId="14661" xr:uid="{00000000-0005-0000-0000-000048390000}"/>
    <cellStyle name="40% - Énfasis4 2 2" xfId="14662" xr:uid="{00000000-0005-0000-0000-000049390000}"/>
    <cellStyle name="40% - Énfasis4 2 2 2" xfId="14663" xr:uid="{00000000-0005-0000-0000-00004A390000}"/>
    <cellStyle name="40% - Énfasis4 2 2 2 2" xfId="14664" xr:uid="{00000000-0005-0000-0000-00004B390000}"/>
    <cellStyle name="40% - Énfasis4 2 2 2 2 2" xfId="14665" xr:uid="{00000000-0005-0000-0000-00004C390000}"/>
    <cellStyle name="40% - Énfasis4 2 2 2 2 2 2" xfId="14666" xr:uid="{00000000-0005-0000-0000-00004D390000}"/>
    <cellStyle name="40% - Énfasis4 2 2 2 2 3" xfId="14667" xr:uid="{00000000-0005-0000-0000-00004E390000}"/>
    <cellStyle name="40% - Énfasis4 2 2 2 3" xfId="14668" xr:uid="{00000000-0005-0000-0000-00004F390000}"/>
    <cellStyle name="40% - Énfasis4 2 2 2 3 2" xfId="14669" xr:uid="{00000000-0005-0000-0000-000050390000}"/>
    <cellStyle name="40% - Énfasis4 2 2 2 4" xfId="14670" xr:uid="{00000000-0005-0000-0000-000051390000}"/>
    <cellStyle name="40% - Énfasis4 2 2 3" xfId="14671" xr:uid="{00000000-0005-0000-0000-000052390000}"/>
    <cellStyle name="40% - Énfasis4 2 2 3 2" xfId="14672" xr:uid="{00000000-0005-0000-0000-000053390000}"/>
    <cellStyle name="40% - Énfasis4 2 2 3 2 2" xfId="14673" xr:uid="{00000000-0005-0000-0000-000054390000}"/>
    <cellStyle name="40% - Énfasis4 2 2 3 3" xfId="14674" xr:uid="{00000000-0005-0000-0000-000055390000}"/>
    <cellStyle name="40% - Énfasis4 2 2 4" xfId="14675" xr:uid="{00000000-0005-0000-0000-000056390000}"/>
    <cellStyle name="40% - Énfasis4 2 2 4 2" xfId="14676" xr:uid="{00000000-0005-0000-0000-000057390000}"/>
    <cellStyle name="40% - Énfasis4 2 2 4 2 2" xfId="14677" xr:uid="{00000000-0005-0000-0000-000058390000}"/>
    <cellStyle name="40% - Énfasis4 2 2 4 3" xfId="14678" xr:uid="{00000000-0005-0000-0000-000059390000}"/>
    <cellStyle name="40% - Énfasis4 2 2 5" xfId="14679" xr:uid="{00000000-0005-0000-0000-00005A390000}"/>
    <cellStyle name="40% - Énfasis4 2 2 5 2" xfId="14680" xr:uid="{00000000-0005-0000-0000-00005B390000}"/>
    <cellStyle name="40% - Énfasis4 2 2 6" xfId="14681" xr:uid="{00000000-0005-0000-0000-00005C390000}"/>
    <cellStyle name="40% - Énfasis4 2 3" xfId="14682" xr:uid="{00000000-0005-0000-0000-00005D390000}"/>
    <cellStyle name="40% - Énfasis4 2 3 2" xfId="14683" xr:uid="{00000000-0005-0000-0000-00005E390000}"/>
    <cellStyle name="40% - Énfasis4 2 3 2 2" xfId="14684" xr:uid="{00000000-0005-0000-0000-00005F390000}"/>
    <cellStyle name="40% - Énfasis4 2 3 2 2 2" xfId="14685" xr:uid="{00000000-0005-0000-0000-000060390000}"/>
    <cellStyle name="40% - Énfasis4 2 3 2 3" xfId="14686" xr:uid="{00000000-0005-0000-0000-000061390000}"/>
    <cellStyle name="40% - Énfasis4 2 3 3" xfId="14687" xr:uid="{00000000-0005-0000-0000-000062390000}"/>
    <cellStyle name="40% - Énfasis4 2 3 3 2" xfId="14688" xr:uid="{00000000-0005-0000-0000-000063390000}"/>
    <cellStyle name="40% - Énfasis4 2 3 3 2 2" xfId="14689" xr:uid="{00000000-0005-0000-0000-000064390000}"/>
    <cellStyle name="40% - Énfasis4 2 3 3 3" xfId="14690" xr:uid="{00000000-0005-0000-0000-000065390000}"/>
    <cellStyle name="40% - Énfasis4 2 3 4" xfId="14691" xr:uid="{00000000-0005-0000-0000-000066390000}"/>
    <cellStyle name="40% - Énfasis4 2 3 4 2" xfId="14692" xr:uid="{00000000-0005-0000-0000-000067390000}"/>
    <cellStyle name="40% - Énfasis4 2 3 5" xfId="14693" xr:uid="{00000000-0005-0000-0000-000068390000}"/>
    <cellStyle name="40% - Énfasis4 2 4" xfId="14694" xr:uid="{00000000-0005-0000-0000-000069390000}"/>
    <cellStyle name="40% - Énfasis4 2 4 2" xfId="14695" xr:uid="{00000000-0005-0000-0000-00006A390000}"/>
    <cellStyle name="40% - Énfasis4 2 4 2 2" xfId="14696" xr:uid="{00000000-0005-0000-0000-00006B390000}"/>
    <cellStyle name="40% - Énfasis4 2 4 2 2 2" xfId="14697" xr:uid="{00000000-0005-0000-0000-00006C390000}"/>
    <cellStyle name="40% - Énfasis4 2 4 2 3" xfId="14698" xr:uid="{00000000-0005-0000-0000-00006D390000}"/>
    <cellStyle name="40% - Énfasis4 2 4 3" xfId="14699" xr:uid="{00000000-0005-0000-0000-00006E390000}"/>
    <cellStyle name="40% - Énfasis4 2 4 3 2" xfId="14700" xr:uid="{00000000-0005-0000-0000-00006F390000}"/>
    <cellStyle name="40% - Énfasis4 2 4 4" xfId="14701" xr:uid="{00000000-0005-0000-0000-000070390000}"/>
    <cellStyle name="40% - Énfasis4 2 5" xfId="14702" xr:uid="{00000000-0005-0000-0000-000071390000}"/>
    <cellStyle name="40% - Énfasis4 2 5 2" xfId="14703" xr:uid="{00000000-0005-0000-0000-000072390000}"/>
    <cellStyle name="40% - Énfasis4 2 5 2 2" xfId="14704" xr:uid="{00000000-0005-0000-0000-000073390000}"/>
    <cellStyle name="40% - Énfasis4 2 5 3" xfId="14705" xr:uid="{00000000-0005-0000-0000-000074390000}"/>
    <cellStyle name="40% - Énfasis4 2 6" xfId="14706" xr:uid="{00000000-0005-0000-0000-000075390000}"/>
    <cellStyle name="40% - Énfasis4 2 6 2" xfId="14707" xr:uid="{00000000-0005-0000-0000-000076390000}"/>
    <cellStyle name="40% - Énfasis4 2 6 2 2" xfId="14708" xr:uid="{00000000-0005-0000-0000-000077390000}"/>
    <cellStyle name="40% - Énfasis4 2 6 3" xfId="14709" xr:uid="{00000000-0005-0000-0000-000078390000}"/>
    <cellStyle name="40% - Énfasis4 2 7" xfId="14710" xr:uid="{00000000-0005-0000-0000-000079390000}"/>
    <cellStyle name="40% - Énfasis4 2 7 2" xfId="14711" xr:uid="{00000000-0005-0000-0000-00007A390000}"/>
    <cellStyle name="40% - Énfasis4 2 8" xfId="14712" xr:uid="{00000000-0005-0000-0000-00007B390000}"/>
    <cellStyle name="40% - Énfasis4 20" xfId="14713" xr:uid="{00000000-0005-0000-0000-00007C390000}"/>
    <cellStyle name="40% - Énfasis4 20 2" xfId="14714" xr:uid="{00000000-0005-0000-0000-00007D390000}"/>
    <cellStyle name="40% - Énfasis4 20 2 2" xfId="14715" xr:uid="{00000000-0005-0000-0000-00007E390000}"/>
    <cellStyle name="40% - Énfasis4 20 2 2 2" xfId="14716" xr:uid="{00000000-0005-0000-0000-00007F390000}"/>
    <cellStyle name="40% - Énfasis4 20 2 2 2 2" xfId="14717" xr:uid="{00000000-0005-0000-0000-000080390000}"/>
    <cellStyle name="40% - Énfasis4 20 2 2 3" xfId="14718" xr:uid="{00000000-0005-0000-0000-000081390000}"/>
    <cellStyle name="40% - Énfasis4 20 2 3" xfId="14719" xr:uid="{00000000-0005-0000-0000-000082390000}"/>
    <cellStyle name="40% - Énfasis4 20 2 3 2" xfId="14720" xr:uid="{00000000-0005-0000-0000-000083390000}"/>
    <cellStyle name="40% - Énfasis4 20 2 3 2 2" xfId="14721" xr:uid="{00000000-0005-0000-0000-000084390000}"/>
    <cellStyle name="40% - Énfasis4 20 2 3 3" xfId="14722" xr:uid="{00000000-0005-0000-0000-000085390000}"/>
    <cellStyle name="40% - Énfasis4 20 2 4" xfId="14723" xr:uid="{00000000-0005-0000-0000-000086390000}"/>
    <cellStyle name="40% - Énfasis4 20 2 4 2" xfId="14724" xr:uid="{00000000-0005-0000-0000-000087390000}"/>
    <cellStyle name="40% - Énfasis4 20 2 5" xfId="14725" xr:uid="{00000000-0005-0000-0000-000088390000}"/>
    <cellStyle name="40% - Énfasis4 20 3" xfId="14726" xr:uid="{00000000-0005-0000-0000-000089390000}"/>
    <cellStyle name="40% - Énfasis4 20 3 2" xfId="14727" xr:uid="{00000000-0005-0000-0000-00008A390000}"/>
    <cellStyle name="40% - Énfasis4 20 3 2 2" xfId="14728" xr:uid="{00000000-0005-0000-0000-00008B390000}"/>
    <cellStyle name="40% - Énfasis4 20 3 2 2 2" xfId="14729" xr:uid="{00000000-0005-0000-0000-00008C390000}"/>
    <cellStyle name="40% - Énfasis4 20 3 2 3" xfId="14730" xr:uid="{00000000-0005-0000-0000-00008D390000}"/>
    <cellStyle name="40% - Énfasis4 20 3 3" xfId="14731" xr:uid="{00000000-0005-0000-0000-00008E390000}"/>
    <cellStyle name="40% - Énfasis4 20 3 3 2" xfId="14732" xr:uid="{00000000-0005-0000-0000-00008F390000}"/>
    <cellStyle name="40% - Énfasis4 20 3 4" xfId="14733" xr:uid="{00000000-0005-0000-0000-000090390000}"/>
    <cellStyle name="40% - Énfasis4 20 4" xfId="14734" xr:uid="{00000000-0005-0000-0000-000091390000}"/>
    <cellStyle name="40% - Énfasis4 20 4 2" xfId="14735" xr:uid="{00000000-0005-0000-0000-000092390000}"/>
    <cellStyle name="40% - Énfasis4 20 4 2 2" xfId="14736" xr:uid="{00000000-0005-0000-0000-000093390000}"/>
    <cellStyle name="40% - Énfasis4 20 4 3" xfId="14737" xr:uid="{00000000-0005-0000-0000-000094390000}"/>
    <cellStyle name="40% - Énfasis4 20 5" xfId="14738" xr:uid="{00000000-0005-0000-0000-000095390000}"/>
    <cellStyle name="40% - Énfasis4 20 5 2" xfId="14739" xr:uid="{00000000-0005-0000-0000-000096390000}"/>
    <cellStyle name="40% - Énfasis4 20 5 2 2" xfId="14740" xr:uid="{00000000-0005-0000-0000-000097390000}"/>
    <cellStyle name="40% - Énfasis4 20 5 3" xfId="14741" xr:uid="{00000000-0005-0000-0000-000098390000}"/>
    <cellStyle name="40% - Énfasis4 20 6" xfId="14742" xr:uid="{00000000-0005-0000-0000-000099390000}"/>
    <cellStyle name="40% - Énfasis4 20 6 2" xfId="14743" xr:uid="{00000000-0005-0000-0000-00009A390000}"/>
    <cellStyle name="40% - Énfasis4 20 7" xfId="14744" xr:uid="{00000000-0005-0000-0000-00009B390000}"/>
    <cellStyle name="40% - Énfasis4 21" xfId="14745" xr:uid="{00000000-0005-0000-0000-00009C390000}"/>
    <cellStyle name="40% - Énfasis4 21 2" xfId="14746" xr:uid="{00000000-0005-0000-0000-00009D390000}"/>
    <cellStyle name="40% - Énfasis4 21 2 2" xfId="14747" xr:uid="{00000000-0005-0000-0000-00009E390000}"/>
    <cellStyle name="40% - Énfasis4 21 2 2 2" xfId="14748" xr:uid="{00000000-0005-0000-0000-00009F390000}"/>
    <cellStyle name="40% - Énfasis4 21 2 2 2 2" xfId="14749" xr:uid="{00000000-0005-0000-0000-0000A0390000}"/>
    <cellStyle name="40% - Énfasis4 21 2 2 3" xfId="14750" xr:uid="{00000000-0005-0000-0000-0000A1390000}"/>
    <cellStyle name="40% - Énfasis4 21 2 3" xfId="14751" xr:uid="{00000000-0005-0000-0000-0000A2390000}"/>
    <cellStyle name="40% - Énfasis4 21 2 3 2" xfId="14752" xr:uid="{00000000-0005-0000-0000-0000A3390000}"/>
    <cellStyle name="40% - Énfasis4 21 2 3 2 2" xfId="14753" xr:uid="{00000000-0005-0000-0000-0000A4390000}"/>
    <cellStyle name="40% - Énfasis4 21 2 3 3" xfId="14754" xr:uid="{00000000-0005-0000-0000-0000A5390000}"/>
    <cellStyle name="40% - Énfasis4 21 2 4" xfId="14755" xr:uid="{00000000-0005-0000-0000-0000A6390000}"/>
    <cellStyle name="40% - Énfasis4 21 2 4 2" xfId="14756" xr:uid="{00000000-0005-0000-0000-0000A7390000}"/>
    <cellStyle name="40% - Énfasis4 21 2 5" xfId="14757" xr:uid="{00000000-0005-0000-0000-0000A8390000}"/>
    <cellStyle name="40% - Énfasis4 21 3" xfId="14758" xr:uid="{00000000-0005-0000-0000-0000A9390000}"/>
    <cellStyle name="40% - Énfasis4 21 3 2" xfId="14759" xr:uid="{00000000-0005-0000-0000-0000AA390000}"/>
    <cellStyle name="40% - Énfasis4 21 3 2 2" xfId="14760" xr:uid="{00000000-0005-0000-0000-0000AB390000}"/>
    <cellStyle name="40% - Énfasis4 21 3 2 2 2" xfId="14761" xr:uid="{00000000-0005-0000-0000-0000AC390000}"/>
    <cellStyle name="40% - Énfasis4 21 3 2 3" xfId="14762" xr:uid="{00000000-0005-0000-0000-0000AD390000}"/>
    <cellStyle name="40% - Énfasis4 21 3 3" xfId="14763" xr:uid="{00000000-0005-0000-0000-0000AE390000}"/>
    <cellStyle name="40% - Énfasis4 21 3 3 2" xfId="14764" xr:uid="{00000000-0005-0000-0000-0000AF390000}"/>
    <cellStyle name="40% - Énfasis4 21 3 4" xfId="14765" xr:uid="{00000000-0005-0000-0000-0000B0390000}"/>
    <cellStyle name="40% - Énfasis4 21 4" xfId="14766" xr:uid="{00000000-0005-0000-0000-0000B1390000}"/>
    <cellStyle name="40% - Énfasis4 21 4 2" xfId="14767" xr:uid="{00000000-0005-0000-0000-0000B2390000}"/>
    <cellStyle name="40% - Énfasis4 21 4 2 2" xfId="14768" xr:uid="{00000000-0005-0000-0000-0000B3390000}"/>
    <cellStyle name="40% - Énfasis4 21 4 3" xfId="14769" xr:uid="{00000000-0005-0000-0000-0000B4390000}"/>
    <cellStyle name="40% - Énfasis4 21 5" xfId="14770" xr:uid="{00000000-0005-0000-0000-0000B5390000}"/>
    <cellStyle name="40% - Énfasis4 21 5 2" xfId="14771" xr:uid="{00000000-0005-0000-0000-0000B6390000}"/>
    <cellStyle name="40% - Énfasis4 21 5 2 2" xfId="14772" xr:uid="{00000000-0005-0000-0000-0000B7390000}"/>
    <cellStyle name="40% - Énfasis4 21 5 3" xfId="14773" xr:uid="{00000000-0005-0000-0000-0000B8390000}"/>
    <cellStyle name="40% - Énfasis4 21 6" xfId="14774" xr:uid="{00000000-0005-0000-0000-0000B9390000}"/>
    <cellStyle name="40% - Énfasis4 21 6 2" xfId="14775" xr:uid="{00000000-0005-0000-0000-0000BA390000}"/>
    <cellStyle name="40% - Énfasis4 21 7" xfId="14776" xr:uid="{00000000-0005-0000-0000-0000BB390000}"/>
    <cellStyle name="40% - Énfasis4 22" xfId="14777" xr:uid="{00000000-0005-0000-0000-0000BC390000}"/>
    <cellStyle name="40% - Énfasis4 22 2" xfId="14778" xr:uid="{00000000-0005-0000-0000-0000BD390000}"/>
    <cellStyle name="40% - Énfasis4 22 2 2" xfId="14779" xr:uid="{00000000-0005-0000-0000-0000BE390000}"/>
    <cellStyle name="40% - Énfasis4 22 2 2 2" xfId="14780" xr:uid="{00000000-0005-0000-0000-0000BF390000}"/>
    <cellStyle name="40% - Énfasis4 22 2 2 2 2" xfId="14781" xr:uid="{00000000-0005-0000-0000-0000C0390000}"/>
    <cellStyle name="40% - Énfasis4 22 2 2 3" xfId="14782" xr:uid="{00000000-0005-0000-0000-0000C1390000}"/>
    <cellStyle name="40% - Énfasis4 22 2 3" xfId="14783" xr:uid="{00000000-0005-0000-0000-0000C2390000}"/>
    <cellStyle name="40% - Énfasis4 22 2 3 2" xfId="14784" xr:uid="{00000000-0005-0000-0000-0000C3390000}"/>
    <cellStyle name="40% - Énfasis4 22 2 3 2 2" xfId="14785" xr:uid="{00000000-0005-0000-0000-0000C4390000}"/>
    <cellStyle name="40% - Énfasis4 22 2 3 3" xfId="14786" xr:uid="{00000000-0005-0000-0000-0000C5390000}"/>
    <cellStyle name="40% - Énfasis4 22 2 4" xfId="14787" xr:uid="{00000000-0005-0000-0000-0000C6390000}"/>
    <cellStyle name="40% - Énfasis4 22 2 4 2" xfId="14788" xr:uid="{00000000-0005-0000-0000-0000C7390000}"/>
    <cellStyle name="40% - Énfasis4 22 2 5" xfId="14789" xr:uid="{00000000-0005-0000-0000-0000C8390000}"/>
    <cellStyle name="40% - Énfasis4 22 3" xfId="14790" xr:uid="{00000000-0005-0000-0000-0000C9390000}"/>
    <cellStyle name="40% - Énfasis4 22 3 2" xfId="14791" xr:uid="{00000000-0005-0000-0000-0000CA390000}"/>
    <cellStyle name="40% - Énfasis4 22 3 2 2" xfId="14792" xr:uid="{00000000-0005-0000-0000-0000CB390000}"/>
    <cellStyle name="40% - Énfasis4 22 3 2 2 2" xfId="14793" xr:uid="{00000000-0005-0000-0000-0000CC390000}"/>
    <cellStyle name="40% - Énfasis4 22 3 2 3" xfId="14794" xr:uid="{00000000-0005-0000-0000-0000CD390000}"/>
    <cellStyle name="40% - Énfasis4 22 3 3" xfId="14795" xr:uid="{00000000-0005-0000-0000-0000CE390000}"/>
    <cellStyle name="40% - Énfasis4 22 3 3 2" xfId="14796" xr:uid="{00000000-0005-0000-0000-0000CF390000}"/>
    <cellStyle name="40% - Énfasis4 22 3 4" xfId="14797" xr:uid="{00000000-0005-0000-0000-0000D0390000}"/>
    <cellStyle name="40% - Énfasis4 22 4" xfId="14798" xr:uid="{00000000-0005-0000-0000-0000D1390000}"/>
    <cellStyle name="40% - Énfasis4 22 4 2" xfId="14799" xr:uid="{00000000-0005-0000-0000-0000D2390000}"/>
    <cellStyle name="40% - Énfasis4 22 4 2 2" xfId="14800" xr:uid="{00000000-0005-0000-0000-0000D3390000}"/>
    <cellStyle name="40% - Énfasis4 22 4 3" xfId="14801" xr:uid="{00000000-0005-0000-0000-0000D4390000}"/>
    <cellStyle name="40% - Énfasis4 22 5" xfId="14802" xr:uid="{00000000-0005-0000-0000-0000D5390000}"/>
    <cellStyle name="40% - Énfasis4 22 5 2" xfId="14803" xr:uid="{00000000-0005-0000-0000-0000D6390000}"/>
    <cellStyle name="40% - Énfasis4 22 5 2 2" xfId="14804" xr:uid="{00000000-0005-0000-0000-0000D7390000}"/>
    <cellStyle name="40% - Énfasis4 22 5 3" xfId="14805" xr:uid="{00000000-0005-0000-0000-0000D8390000}"/>
    <cellStyle name="40% - Énfasis4 22 6" xfId="14806" xr:uid="{00000000-0005-0000-0000-0000D9390000}"/>
    <cellStyle name="40% - Énfasis4 22 6 2" xfId="14807" xr:uid="{00000000-0005-0000-0000-0000DA390000}"/>
    <cellStyle name="40% - Énfasis4 22 7" xfId="14808" xr:uid="{00000000-0005-0000-0000-0000DB390000}"/>
    <cellStyle name="40% - Énfasis4 23" xfId="14809" xr:uid="{00000000-0005-0000-0000-0000DC390000}"/>
    <cellStyle name="40% - Énfasis4 23 2" xfId="14810" xr:uid="{00000000-0005-0000-0000-0000DD390000}"/>
    <cellStyle name="40% - Énfasis4 23 2 2" xfId="14811" xr:uid="{00000000-0005-0000-0000-0000DE390000}"/>
    <cellStyle name="40% - Énfasis4 23 2 2 2" xfId="14812" xr:uid="{00000000-0005-0000-0000-0000DF390000}"/>
    <cellStyle name="40% - Énfasis4 23 2 2 2 2" xfId="14813" xr:uid="{00000000-0005-0000-0000-0000E0390000}"/>
    <cellStyle name="40% - Énfasis4 23 2 2 3" xfId="14814" xr:uid="{00000000-0005-0000-0000-0000E1390000}"/>
    <cellStyle name="40% - Énfasis4 23 2 3" xfId="14815" xr:uid="{00000000-0005-0000-0000-0000E2390000}"/>
    <cellStyle name="40% - Énfasis4 23 2 3 2" xfId="14816" xr:uid="{00000000-0005-0000-0000-0000E3390000}"/>
    <cellStyle name="40% - Énfasis4 23 2 3 2 2" xfId="14817" xr:uid="{00000000-0005-0000-0000-0000E4390000}"/>
    <cellStyle name="40% - Énfasis4 23 2 3 3" xfId="14818" xr:uid="{00000000-0005-0000-0000-0000E5390000}"/>
    <cellStyle name="40% - Énfasis4 23 2 4" xfId="14819" xr:uid="{00000000-0005-0000-0000-0000E6390000}"/>
    <cellStyle name="40% - Énfasis4 23 2 4 2" xfId="14820" xr:uid="{00000000-0005-0000-0000-0000E7390000}"/>
    <cellStyle name="40% - Énfasis4 23 2 5" xfId="14821" xr:uid="{00000000-0005-0000-0000-0000E8390000}"/>
    <cellStyle name="40% - Énfasis4 23 3" xfId="14822" xr:uid="{00000000-0005-0000-0000-0000E9390000}"/>
    <cellStyle name="40% - Énfasis4 23 3 2" xfId="14823" xr:uid="{00000000-0005-0000-0000-0000EA390000}"/>
    <cellStyle name="40% - Énfasis4 23 3 2 2" xfId="14824" xr:uid="{00000000-0005-0000-0000-0000EB390000}"/>
    <cellStyle name="40% - Énfasis4 23 3 2 2 2" xfId="14825" xr:uid="{00000000-0005-0000-0000-0000EC390000}"/>
    <cellStyle name="40% - Énfasis4 23 3 2 3" xfId="14826" xr:uid="{00000000-0005-0000-0000-0000ED390000}"/>
    <cellStyle name="40% - Énfasis4 23 3 3" xfId="14827" xr:uid="{00000000-0005-0000-0000-0000EE390000}"/>
    <cellStyle name="40% - Énfasis4 23 3 3 2" xfId="14828" xr:uid="{00000000-0005-0000-0000-0000EF390000}"/>
    <cellStyle name="40% - Énfasis4 23 3 4" xfId="14829" xr:uid="{00000000-0005-0000-0000-0000F0390000}"/>
    <cellStyle name="40% - Énfasis4 23 4" xfId="14830" xr:uid="{00000000-0005-0000-0000-0000F1390000}"/>
    <cellStyle name="40% - Énfasis4 23 4 2" xfId="14831" xr:uid="{00000000-0005-0000-0000-0000F2390000}"/>
    <cellStyle name="40% - Énfasis4 23 4 2 2" xfId="14832" xr:uid="{00000000-0005-0000-0000-0000F3390000}"/>
    <cellStyle name="40% - Énfasis4 23 4 3" xfId="14833" xr:uid="{00000000-0005-0000-0000-0000F4390000}"/>
    <cellStyle name="40% - Énfasis4 23 5" xfId="14834" xr:uid="{00000000-0005-0000-0000-0000F5390000}"/>
    <cellStyle name="40% - Énfasis4 23 5 2" xfId="14835" xr:uid="{00000000-0005-0000-0000-0000F6390000}"/>
    <cellStyle name="40% - Énfasis4 23 5 2 2" xfId="14836" xr:uid="{00000000-0005-0000-0000-0000F7390000}"/>
    <cellStyle name="40% - Énfasis4 23 5 3" xfId="14837" xr:uid="{00000000-0005-0000-0000-0000F8390000}"/>
    <cellStyle name="40% - Énfasis4 23 6" xfId="14838" xr:uid="{00000000-0005-0000-0000-0000F9390000}"/>
    <cellStyle name="40% - Énfasis4 23 6 2" xfId="14839" xr:uid="{00000000-0005-0000-0000-0000FA390000}"/>
    <cellStyle name="40% - Énfasis4 23 7" xfId="14840" xr:uid="{00000000-0005-0000-0000-0000FB390000}"/>
    <cellStyle name="40% - Énfasis4 24" xfId="14841" xr:uid="{00000000-0005-0000-0000-0000FC390000}"/>
    <cellStyle name="40% - Énfasis4 24 2" xfId="14842" xr:uid="{00000000-0005-0000-0000-0000FD390000}"/>
    <cellStyle name="40% - Énfasis4 24 2 2" xfId="14843" xr:uid="{00000000-0005-0000-0000-0000FE390000}"/>
    <cellStyle name="40% - Énfasis4 24 2 2 2" xfId="14844" xr:uid="{00000000-0005-0000-0000-0000FF390000}"/>
    <cellStyle name="40% - Énfasis4 24 2 2 2 2" xfId="14845" xr:uid="{00000000-0005-0000-0000-0000003A0000}"/>
    <cellStyle name="40% - Énfasis4 24 2 2 3" xfId="14846" xr:uid="{00000000-0005-0000-0000-0000013A0000}"/>
    <cellStyle name="40% - Énfasis4 24 2 3" xfId="14847" xr:uid="{00000000-0005-0000-0000-0000023A0000}"/>
    <cellStyle name="40% - Énfasis4 24 2 3 2" xfId="14848" xr:uid="{00000000-0005-0000-0000-0000033A0000}"/>
    <cellStyle name="40% - Énfasis4 24 2 3 2 2" xfId="14849" xr:uid="{00000000-0005-0000-0000-0000043A0000}"/>
    <cellStyle name="40% - Énfasis4 24 2 3 3" xfId="14850" xr:uid="{00000000-0005-0000-0000-0000053A0000}"/>
    <cellStyle name="40% - Énfasis4 24 2 4" xfId="14851" xr:uid="{00000000-0005-0000-0000-0000063A0000}"/>
    <cellStyle name="40% - Énfasis4 24 2 4 2" xfId="14852" xr:uid="{00000000-0005-0000-0000-0000073A0000}"/>
    <cellStyle name="40% - Énfasis4 24 2 5" xfId="14853" xr:uid="{00000000-0005-0000-0000-0000083A0000}"/>
    <cellStyle name="40% - Énfasis4 24 3" xfId="14854" xr:uid="{00000000-0005-0000-0000-0000093A0000}"/>
    <cellStyle name="40% - Énfasis4 24 3 2" xfId="14855" xr:uid="{00000000-0005-0000-0000-00000A3A0000}"/>
    <cellStyle name="40% - Énfasis4 24 3 2 2" xfId="14856" xr:uid="{00000000-0005-0000-0000-00000B3A0000}"/>
    <cellStyle name="40% - Énfasis4 24 3 2 2 2" xfId="14857" xr:uid="{00000000-0005-0000-0000-00000C3A0000}"/>
    <cellStyle name="40% - Énfasis4 24 3 2 3" xfId="14858" xr:uid="{00000000-0005-0000-0000-00000D3A0000}"/>
    <cellStyle name="40% - Énfasis4 24 3 3" xfId="14859" xr:uid="{00000000-0005-0000-0000-00000E3A0000}"/>
    <cellStyle name="40% - Énfasis4 24 3 3 2" xfId="14860" xr:uid="{00000000-0005-0000-0000-00000F3A0000}"/>
    <cellStyle name="40% - Énfasis4 24 3 4" xfId="14861" xr:uid="{00000000-0005-0000-0000-0000103A0000}"/>
    <cellStyle name="40% - Énfasis4 24 4" xfId="14862" xr:uid="{00000000-0005-0000-0000-0000113A0000}"/>
    <cellStyle name="40% - Énfasis4 24 4 2" xfId="14863" xr:uid="{00000000-0005-0000-0000-0000123A0000}"/>
    <cellStyle name="40% - Énfasis4 24 4 2 2" xfId="14864" xr:uid="{00000000-0005-0000-0000-0000133A0000}"/>
    <cellStyle name="40% - Énfasis4 24 4 3" xfId="14865" xr:uid="{00000000-0005-0000-0000-0000143A0000}"/>
    <cellStyle name="40% - Énfasis4 24 5" xfId="14866" xr:uid="{00000000-0005-0000-0000-0000153A0000}"/>
    <cellStyle name="40% - Énfasis4 24 5 2" xfId="14867" xr:uid="{00000000-0005-0000-0000-0000163A0000}"/>
    <cellStyle name="40% - Énfasis4 24 5 2 2" xfId="14868" xr:uid="{00000000-0005-0000-0000-0000173A0000}"/>
    <cellStyle name="40% - Énfasis4 24 5 3" xfId="14869" xr:uid="{00000000-0005-0000-0000-0000183A0000}"/>
    <cellStyle name="40% - Énfasis4 24 6" xfId="14870" xr:uid="{00000000-0005-0000-0000-0000193A0000}"/>
    <cellStyle name="40% - Énfasis4 24 6 2" xfId="14871" xr:uid="{00000000-0005-0000-0000-00001A3A0000}"/>
    <cellStyle name="40% - Énfasis4 24 7" xfId="14872" xr:uid="{00000000-0005-0000-0000-00001B3A0000}"/>
    <cellStyle name="40% - Énfasis4 25" xfId="14873" xr:uid="{00000000-0005-0000-0000-00001C3A0000}"/>
    <cellStyle name="40% - Énfasis4 25 2" xfId="14874" xr:uid="{00000000-0005-0000-0000-00001D3A0000}"/>
    <cellStyle name="40% - Énfasis4 25 2 2" xfId="14875" xr:uid="{00000000-0005-0000-0000-00001E3A0000}"/>
    <cellStyle name="40% - Énfasis4 25 2 2 2" xfId="14876" xr:uid="{00000000-0005-0000-0000-00001F3A0000}"/>
    <cellStyle name="40% - Énfasis4 25 2 2 2 2" xfId="14877" xr:uid="{00000000-0005-0000-0000-0000203A0000}"/>
    <cellStyle name="40% - Énfasis4 25 2 2 3" xfId="14878" xr:uid="{00000000-0005-0000-0000-0000213A0000}"/>
    <cellStyle name="40% - Énfasis4 25 2 3" xfId="14879" xr:uid="{00000000-0005-0000-0000-0000223A0000}"/>
    <cellStyle name="40% - Énfasis4 25 2 3 2" xfId="14880" xr:uid="{00000000-0005-0000-0000-0000233A0000}"/>
    <cellStyle name="40% - Énfasis4 25 2 3 2 2" xfId="14881" xr:uid="{00000000-0005-0000-0000-0000243A0000}"/>
    <cellStyle name="40% - Énfasis4 25 2 3 3" xfId="14882" xr:uid="{00000000-0005-0000-0000-0000253A0000}"/>
    <cellStyle name="40% - Énfasis4 25 2 4" xfId="14883" xr:uid="{00000000-0005-0000-0000-0000263A0000}"/>
    <cellStyle name="40% - Énfasis4 25 2 4 2" xfId="14884" xr:uid="{00000000-0005-0000-0000-0000273A0000}"/>
    <cellStyle name="40% - Énfasis4 25 2 5" xfId="14885" xr:uid="{00000000-0005-0000-0000-0000283A0000}"/>
    <cellStyle name="40% - Énfasis4 25 3" xfId="14886" xr:uid="{00000000-0005-0000-0000-0000293A0000}"/>
    <cellStyle name="40% - Énfasis4 25 3 2" xfId="14887" xr:uid="{00000000-0005-0000-0000-00002A3A0000}"/>
    <cellStyle name="40% - Énfasis4 25 3 2 2" xfId="14888" xr:uid="{00000000-0005-0000-0000-00002B3A0000}"/>
    <cellStyle name="40% - Énfasis4 25 3 2 2 2" xfId="14889" xr:uid="{00000000-0005-0000-0000-00002C3A0000}"/>
    <cellStyle name="40% - Énfasis4 25 3 2 3" xfId="14890" xr:uid="{00000000-0005-0000-0000-00002D3A0000}"/>
    <cellStyle name="40% - Énfasis4 25 3 3" xfId="14891" xr:uid="{00000000-0005-0000-0000-00002E3A0000}"/>
    <cellStyle name="40% - Énfasis4 25 3 3 2" xfId="14892" xr:uid="{00000000-0005-0000-0000-00002F3A0000}"/>
    <cellStyle name="40% - Énfasis4 25 3 4" xfId="14893" xr:uid="{00000000-0005-0000-0000-0000303A0000}"/>
    <cellStyle name="40% - Énfasis4 25 4" xfId="14894" xr:uid="{00000000-0005-0000-0000-0000313A0000}"/>
    <cellStyle name="40% - Énfasis4 25 4 2" xfId="14895" xr:uid="{00000000-0005-0000-0000-0000323A0000}"/>
    <cellStyle name="40% - Énfasis4 25 4 2 2" xfId="14896" xr:uid="{00000000-0005-0000-0000-0000333A0000}"/>
    <cellStyle name="40% - Énfasis4 25 4 3" xfId="14897" xr:uid="{00000000-0005-0000-0000-0000343A0000}"/>
    <cellStyle name="40% - Énfasis4 25 5" xfId="14898" xr:uid="{00000000-0005-0000-0000-0000353A0000}"/>
    <cellStyle name="40% - Énfasis4 25 5 2" xfId="14899" xr:uid="{00000000-0005-0000-0000-0000363A0000}"/>
    <cellStyle name="40% - Énfasis4 25 5 2 2" xfId="14900" xr:uid="{00000000-0005-0000-0000-0000373A0000}"/>
    <cellStyle name="40% - Énfasis4 25 5 3" xfId="14901" xr:uid="{00000000-0005-0000-0000-0000383A0000}"/>
    <cellStyle name="40% - Énfasis4 25 6" xfId="14902" xr:uid="{00000000-0005-0000-0000-0000393A0000}"/>
    <cellStyle name="40% - Énfasis4 25 6 2" xfId="14903" xr:uid="{00000000-0005-0000-0000-00003A3A0000}"/>
    <cellStyle name="40% - Énfasis4 25 7" xfId="14904" xr:uid="{00000000-0005-0000-0000-00003B3A0000}"/>
    <cellStyle name="40% - Énfasis4 26" xfId="14905" xr:uid="{00000000-0005-0000-0000-00003C3A0000}"/>
    <cellStyle name="40% - Énfasis4 26 2" xfId="14906" xr:uid="{00000000-0005-0000-0000-00003D3A0000}"/>
    <cellStyle name="40% - Énfasis4 26 2 2" xfId="14907" xr:uid="{00000000-0005-0000-0000-00003E3A0000}"/>
    <cellStyle name="40% - Énfasis4 26 2 2 2" xfId="14908" xr:uid="{00000000-0005-0000-0000-00003F3A0000}"/>
    <cellStyle name="40% - Énfasis4 26 2 2 2 2" xfId="14909" xr:uid="{00000000-0005-0000-0000-0000403A0000}"/>
    <cellStyle name="40% - Énfasis4 26 2 2 3" xfId="14910" xr:uid="{00000000-0005-0000-0000-0000413A0000}"/>
    <cellStyle name="40% - Énfasis4 26 2 3" xfId="14911" xr:uid="{00000000-0005-0000-0000-0000423A0000}"/>
    <cellStyle name="40% - Énfasis4 26 2 3 2" xfId="14912" xr:uid="{00000000-0005-0000-0000-0000433A0000}"/>
    <cellStyle name="40% - Énfasis4 26 2 3 2 2" xfId="14913" xr:uid="{00000000-0005-0000-0000-0000443A0000}"/>
    <cellStyle name="40% - Énfasis4 26 2 3 3" xfId="14914" xr:uid="{00000000-0005-0000-0000-0000453A0000}"/>
    <cellStyle name="40% - Énfasis4 26 2 4" xfId="14915" xr:uid="{00000000-0005-0000-0000-0000463A0000}"/>
    <cellStyle name="40% - Énfasis4 26 2 4 2" xfId="14916" xr:uid="{00000000-0005-0000-0000-0000473A0000}"/>
    <cellStyle name="40% - Énfasis4 26 2 5" xfId="14917" xr:uid="{00000000-0005-0000-0000-0000483A0000}"/>
    <cellStyle name="40% - Énfasis4 26 3" xfId="14918" xr:uid="{00000000-0005-0000-0000-0000493A0000}"/>
    <cellStyle name="40% - Énfasis4 26 3 2" xfId="14919" xr:uid="{00000000-0005-0000-0000-00004A3A0000}"/>
    <cellStyle name="40% - Énfasis4 26 3 2 2" xfId="14920" xr:uid="{00000000-0005-0000-0000-00004B3A0000}"/>
    <cellStyle name="40% - Énfasis4 26 3 2 2 2" xfId="14921" xr:uid="{00000000-0005-0000-0000-00004C3A0000}"/>
    <cellStyle name="40% - Énfasis4 26 3 2 3" xfId="14922" xr:uid="{00000000-0005-0000-0000-00004D3A0000}"/>
    <cellStyle name="40% - Énfasis4 26 3 3" xfId="14923" xr:uid="{00000000-0005-0000-0000-00004E3A0000}"/>
    <cellStyle name="40% - Énfasis4 26 3 3 2" xfId="14924" xr:uid="{00000000-0005-0000-0000-00004F3A0000}"/>
    <cellStyle name="40% - Énfasis4 26 3 4" xfId="14925" xr:uid="{00000000-0005-0000-0000-0000503A0000}"/>
    <cellStyle name="40% - Énfasis4 26 4" xfId="14926" xr:uid="{00000000-0005-0000-0000-0000513A0000}"/>
    <cellStyle name="40% - Énfasis4 26 4 2" xfId="14927" xr:uid="{00000000-0005-0000-0000-0000523A0000}"/>
    <cellStyle name="40% - Énfasis4 26 4 2 2" xfId="14928" xr:uid="{00000000-0005-0000-0000-0000533A0000}"/>
    <cellStyle name="40% - Énfasis4 26 4 3" xfId="14929" xr:uid="{00000000-0005-0000-0000-0000543A0000}"/>
    <cellStyle name="40% - Énfasis4 26 5" xfId="14930" xr:uid="{00000000-0005-0000-0000-0000553A0000}"/>
    <cellStyle name="40% - Énfasis4 26 5 2" xfId="14931" xr:uid="{00000000-0005-0000-0000-0000563A0000}"/>
    <cellStyle name="40% - Énfasis4 26 5 2 2" xfId="14932" xr:uid="{00000000-0005-0000-0000-0000573A0000}"/>
    <cellStyle name="40% - Énfasis4 26 5 3" xfId="14933" xr:uid="{00000000-0005-0000-0000-0000583A0000}"/>
    <cellStyle name="40% - Énfasis4 26 6" xfId="14934" xr:uid="{00000000-0005-0000-0000-0000593A0000}"/>
    <cellStyle name="40% - Énfasis4 26 6 2" xfId="14935" xr:uid="{00000000-0005-0000-0000-00005A3A0000}"/>
    <cellStyle name="40% - Énfasis4 26 7" xfId="14936" xr:uid="{00000000-0005-0000-0000-00005B3A0000}"/>
    <cellStyle name="40% - Énfasis4 27" xfId="14937" xr:uid="{00000000-0005-0000-0000-00005C3A0000}"/>
    <cellStyle name="40% - Énfasis4 27 2" xfId="14938" xr:uid="{00000000-0005-0000-0000-00005D3A0000}"/>
    <cellStyle name="40% - Énfasis4 27 2 2" xfId="14939" xr:uid="{00000000-0005-0000-0000-00005E3A0000}"/>
    <cellStyle name="40% - Énfasis4 27 2 2 2" xfId="14940" xr:uid="{00000000-0005-0000-0000-00005F3A0000}"/>
    <cellStyle name="40% - Énfasis4 27 2 2 2 2" xfId="14941" xr:uid="{00000000-0005-0000-0000-0000603A0000}"/>
    <cellStyle name="40% - Énfasis4 27 2 2 3" xfId="14942" xr:uid="{00000000-0005-0000-0000-0000613A0000}"/>
    <cellStyle name="40% - Énfasis4 27 2 3" xfId="14943" xr:uid="{00000000-0005-0000-0000-0000623A0000}"/>
    <cellStyle name="40% - Énfasis4 27 2 3 2" xfId="14944" xr:uid="{00000000-0005-0000-0000-0000633A0000}"/>
    <cellStyle name="40% - Énfasis4 27 2 3 2 2" xfId="14945" xr:uid="{00000000-0005-0000-0000-0000643A0000}"/>
    <cellStyle name="40% - Énfasis4 27 2 3 3" xfId="14946" xr:uid="{00000000-0005-0000-0000-0000653A0000}"/>
    <cellStyle name="40% - Énfasis4 27 2 4" xfId="14947" xr:uid="{00000000-0005-0000-0000-0000663A0000}"/>
    <cellStyle name="40% - Énfasis4 27 2 4 2" xfId="14948" xr:uid="{00000000-0005-0000-0000-0000673A0000}"/>
    <cellStyle name="40% - Énfasis4 27 2 5" xfId="14949" xr:uid="{00000000-0005-0000-0000-0000683A0000}"/>
    <cellStyle name="40% - Énfasis4 27 3" xfId="14950" xr:uid="{00000000-0005-0000-0000-0000693A0000}"/>
    <cellStyle name="40% - Énfasis4 27 3 2" xfId="14951" xr:uid="{00000000-0005-0000-0000-00006A3A0000}"/>
    <cellStyle name="40% - Énfasis4 27 3 2 2" xfId="14952" xr:uid="{00000000-0005-0000-0000-00006B3A0000}"/>
    <cellStyle name="40% - Énfasis4 27 3 3" xfId="14953" xr:uid="{00000000-0005-0000-0000-00006C3A0000}"/>
    <cellStyle name="40% - Énfasis4 27 4" xfId="14954" xr:uid="{00000000-0005-0000-0000-00006D3A0000}"/>
    <cellStyle name="40% - Énfasis4 27 4 2" xfId="14955" xr:uid="{00000000-0005-0000-0000-00006E3A0000}"/>
    <cellStyle name="40% - Énfasis4 27 4 2 2" xfId="14956" xr:uid="{00000000-0005-0000-0000-00006F3A0000}"/>
    <cellStyle name="40% - Énfasis4 27 4 3" xfId="14957" xr:uid="{00000000-0005-0000-0000-0000703A0000}"/>
    <cellStyle name="40% - Énfasis4 27 5" xfId="14958" xr:uid="{00000000-0005-0000-0000-0000713A0000}"/>
    <cellStyle name="40% - Énfasis4 27 5 2" xfId="14959" xr:uid="{00000000-0005-0000-0000-0000723A0000}"/>
    <cellStyle name="40% - Énfasis4 27 6" xfId="14960" xr:uid="{00000000-0005-0000-0000-0000733A0000}"/>
    <cellStyle name="40% - Énfasis4 28" xfId="14961" xr:uid="{00000000-0005-0000-0000-0000743A0000}"/>
    <cellStyle name="40% - Énfasis4 28 2" xfId="14962" xr:uid="{00000000-0005-0000-0000-0000753A0000}"/>
    <cellStyle name="40% - Énfasis4 28 2 2" xfId="14963" xr:uid="{00000000-0005-0000-0000-0000763A0000}"/>
    <cellStyle name="40% - Énfasis4 28 2 2 2" xfId="14964" xr:uid="{00000000-0005-0000-0000-0000773A0000}"/>
    <cellStyle name="40% - Énfasis4 28 2 2 2 2" xfId="14965" xr:uid="{00000000-0005-0000-0000-0000783A0000}"/>
    <cellStyle name="40% - Énfasis4 28 2 2 3" xfId="14966" xr:uid="{00000000-0005-0000-0000-0000793A0000}"/>
    <cellStyle name="40% - Énfasis4 28 2 3" xfId="14967" xr:uid="{00000000-0005-0000-0000-00007A3A0000}"/>
    <cellStyle name="40% - Énfasis4 28 2 3 2" xfId="14968" xr:uid="{00000000-0005-0000-0000-00007B3A0000}"/>
    <cellStyle name="40% - Énfasis4 28 2 4" xfId="14969" xr:uid="{00000000-0005-0000-0000-00007C3A0000}"/>
    <cellStyle name="40% - Énfasis4 28 3" xfId="14970" xr:uid="{00000000-0005-0000-0000-00007D3A0000}"/>
    <cellStyle name="40% - Énfasis4 28 3 2" xfId="14971" xr:uid="{00000000-0005-0000-0000-00007E3A0000}"/>
    <cellStyle name="40% - Énfasis4 28 3 2 2" xfId="14972" xr:uid="{00000000-0005-0000-0000-00007F3A0000}"/>
    <cellStyle name="40% - Énfasis4 28 3 3" xfId="14973" xr:uid="{00000000-0005-0000-0000-0000803A0000}"/>
    <cellStyle name="40% - Énfasis4 28 4" xfId="14974" xr:uid="{00000000-0005-0000-0000-0000813A0000}"/>
    <cellStyle name="40% - Énfasis4 28 4 2" xfId="14975" xr:uid="{00000000-0005-0000-0000-0000823A0000}"/>
    <cellStyle name="40% - Énfasis4 28 5" xfId="14976" xr:uid="{00000000-0005-0000-0000-0000833A0000}"/>
    <cellStyle name="40% - Énfasis4 29" xfId="14977" xr:uid="{00000000-0005-0000-0000-0000843A0000}"/>
    <cellStyle name="40% - Énfasis4 29 2" xfId="14978" xr:uid="{00000000-0005-0000-0000-0000853A0000}"/>
    <cellStyle name="40% - Énfasis4 29 2 2" xfId="14979" xr:uid="{00000000-0005-0000-0000-0000863A0000}"/>
    <cellStyle name="40% - Énfasis4 29 2 2 2" xfId="14980" xr:uid="{00000000-0005-0000-0000-0000873A0000}"/>
    <cellStyle name="40% - Énfasis4 29 2 2 2 2" xfId="14981" xr:uid="{00000000-0005-0000-0000-0000883A0000}"/>
    <cellStyle name="40% - Énfasis4 29 2 2 3" xfId="14982" xr:uid="{00000000-0005-0000-0000-0000893A0000}"/>
    <cellStyle name="40% - Énfasis4 29 2 3" xfId="14983" xr:uid="{00000000-0005-0000-0000-00008A3A0000}"/>
    <cellStyle name="40% - Énfasis4 29 2 3 2" xfId="14984" xr:uid="{00000000-0005-0000-0000-00008B3A0000}"/>
    <cellStyle name="40% - Énfasis4 29 2 4" xfId="14985" xr:uid="{00000000-0005-0000-0000-00008C3A0000}"/>
    <cellStyle name="40% - Énfasis4 29 3" xfId="14986" xr:uid="{00000000-0005-0000-0000-00008D3A0000}"/>
    <cellStyle name="40% - Énfasis4 29 3 2" xfId="14987" xr:uid="{00000000-0005-0000-0000-00008E3A0000}"/>
    <cellStyle name="40% - Énfasis4 29 3 2 2" xfId="14988" xr:uid="{00000000-0005-0000-0000-00008F3A0000}"/>
    <cellStyle name="40% - Énfasis4 29 3 3" xfId="14989" xr:uid="{00000000-0005-0000-0000-0000903A0000}"/>
    <cellStyle name="40% - Énfasis4 29 4" xfId="14990" xr:uid="{00000000-0005-0000-0000-0000913A0000}"/>
    <cellStyle name="40% - Énfasis4 29 4 2" xfId="14991" xr:uid="{00000000-0005-0000-0000-0000923A0000}"/>
    <cellStyle name="40% - Énfasis4 29 5" xfId="14992" xr:uid="{00000000-0005-0000-0000-0000933A0000}"/>
    <cellStyle name="40% - Énfasis4 3" xfId="14993" xr:uid="{00000000-0005-0000-0000-0000943A0000}"/>
    <cellStyle name="40% - Énfasis4 3 2" xfId="14994" xr:uid="{00000000-0005-0000-0000-0000953A0000}"/>
    <cellStyle name="40% - Énfasis4 3 2 2" xfId="14995" xr:uid="{00000000-0005-0000-0000-0000963A0000}"/>
    <cellStyle name="40% - Énfasis4 3 2 2 2" xfId="14996" xr:uid="{00000000-0005-0000-0000-0000973A0000}"/>
    <cellStyle name="40% - Énfasis4 3 2 2 2 2" xfId="14997" xr:uid="{00000000-0005-0000-0000-0000983A0000}"/>
    <cellStyle name="40% - Énfasis4 3 2 2 2 2 2" xfId="14998" xr:uid="{00000000-0005-0000-0000-0000993A0000}"/>
    <cellStyle name="40% - Énfasis4 3 2 2 2 3" xfId="14999" xr:uid="{00000000-0005-0000-0000-00009A3A0000}"/>
    <cellStyle name="40% - Énfasis4 3 2 2 3" xfId="15000" xr:uid="{00000000-0005-0000-0000-00009B3A0000}"/>
    <cellStyle name="40% - Énfasis4 3 2 2 3 2" xfId="15001" xr:uid="{00000000-0005-0000-0000-00009C3A0000}"/>
    <cellStyle name="40% - Énfasis4 3 2 2 4" xfId="15002" xr:uid="{00000000-0005-0000-0000-00009D3A0000}"/>
    <cellStyle name="40% - Énfasis4 3 2 3" xfId="15003" xr:uid="{00000000-0005-0000-0000-00009E3A0000}"/>
    <cellStyle name="40% - Énfasis4 3 2 3 2" xfId="15004" xr:uid="{00000000-0005-0000-0000-00009F3A0000}"/>
    <cellStyle name="40% - Énfasis4 3 2 3 2 2" xfId="15005" xr:uid="{00000000-0005-0000-0000-0000A03A0000}"/>
    <cellStyle name="40% - Énfasis4 3 2 3 3" xfId="15006" xr:uid="{00000000-0005-0000-0000-0000A13A0000}"/>
    <cellStyle name="40% - Énfasis4 3 2 4" xfId="15007" xr:uid="{00000000-0005-0000-0000-0000A23A0000}"/>
    <cellStyle name="40% - Énfasis4 3 2 4 2" xfId="15008" xr:uid="{00000000-0005-0000-0000-0000A33A0000}"/>
    <cellStyle name="40% - Énfasis4 3 2 4 2 2" xfId="15009" xr:uid="{00000000-0005-0000-0000-0000A43A0000}"/>
    <cellStyle name="40% - Énfasis4 3 2 4 3" xfId="15010" xr:uid="{00000000-0005-0000-0000-0000A53A0000}"/>
    <cellStyle name="40% - Énfasis4 3 2 5" xfId="15011" xr:uid="{00000000-0005-0000-0000-0000A63A0000}"/>
    <cellStyle name="40% - Énfasis4 3 2 5 2" xfId="15012" xr:uid="{00000000-0005-0000-0000-0000A73A0000}"/>
    <cellStyle name="40% - Énfasis4 3 2 6" xfId="15013" xr:uid="{00000000-0005-0000-0000-0000A83A0000}"/>
    <cellStyle name="40% - Énfasis4 3 3" xfId="15014" xr:uid="{00000000-0005-0000-0000-0000A93A0000}"/>
    <cellStyle name="40% - Énfasis4 3 3 2" xfId="15015" xr:uid="{00000000-0005-0000-0000-0000AA3A0000}"/>
    <cellStyle name="40% - Énfasis4 3 3 2 2" xfId="15016" xr:uid="{00000000-0005-0000-0000-0000AB3A0000}"/>
    <cellStyle name="40% - Énfasis4 3 3 2 2 2" xfId="15017" xr:uid="{00000000-0005-0000-0000-0000AC3A0000}"/>
    <cellStyle name="40% - Énfasis4 3 3 2 3" xfId="15018" xr:uid="{00000000-0005-0000-0000-0000AD3A0000}"/>
    <cellStyle name="40% - Énfasis4 3 3 3" xfId="15019" xr:uid="{00000000-0005-0000-0000-0000AE3A0000}"/>
    <cellStyle name="40% - Énfasis4 3 3 3 2" xfId="15020" xr:uid="{00000000-0005-0000-0000-0000AF3A0000}"/>
    <cellStyle name="40% - Énfasis4 3 3 3 2 2" xfId="15021" xr:uid="{00000000-0005-0000-0000-0000B03A0000}"/>
    <cellStyle name="40% - Énfasis4 3 3 3 3" xfId="15022" xr:uid="{00000000-0005-0000-0000-0000B13A0000}"/>
    <cellStyle name="40% - Énfasis4 3 3 4" xfId="15023" xr:uid="{00000000-0005-0000-0000-0000B23A0000}"/>
    <cellStyle name="40% - Énfasis4 3 3 4 2" xfId="15024" xr:uid="{00000000-0005-0000-0000-0000B33A0000}"/>
    <cellStyle name="40% - Énfasis4 3 3 5" xfId="15025" xr:uid="{00000000-0005-0000-0000-0000B43A0000}"/>
    <cellStyle name="40% - Énfasis4 3 4" xfId="15026" xr:uid="{00000000-0005-0000-0000-0000B53A0000}"/>
    <cellStyle name="40% - Énfasis4 3 4 2" xfId="15027" xr:uid="{00000000-0005-0000-0000-0000B63A0000}"/>
    <cellStyle name="40% - Énfasis4 3 4 2 2" xfId="15028" xr:uid="{00000000-0005-0000-0000-0000B73A0000}"/>
    <cellStyle name="40% - Énfasis4 3 4 2 2 2" xfId="15029" xr:uid="{00000000-0005-0000-0000-0000B83A0000}"/>
    <cellStyle name="40% - Énfasis4 3 4 2 3" xfId="15030" xr:uid="{00000000-0005-0000-0000-0000B93A0000}"/>
    <cellStyle name="40% - Énfasis4 3 4 3" xfId="15031" xr:uid="{00000000-0005-0000-0000-0000BA3A0000}"/>
    <cellStyle name="40% - Énfasis4 3 4 3 2" xfId="15032" xr:uid="{00000000-0005-0000-0000-0000BB3A0000}"/>
    <cellStyle name="40% - Énfasis4 3 4 4" xfId="15033" xr:uid="{00000000-0005-0000-0000-0000BC3A0000}"/>
    <cellStyle name="40% - Énfasis4 3 5" xfId="15034" xr:uid="{00000000-0005-0000-0000-0000BD3A0000}"/>
    <cellStyle name="40% - Énfasis4 3 5 2" xfId="15035" xr:uid="{00000000-0005-0000-0000-0000BE3A0000}"/>
    <cellStyle name="40% - Énfasis4 3 5 2 2" xfId="15036" xr:uid="{00000000-0005-0000-0000-0000BF3A0000}"/>
    <cellStyle name="40% - Énfasis4 3 5 3" xfId="15037" xr:uid="{00000000-0005-0000-0000-0000C03A0000}"/>
    <cellStyle name="40% - Énfasis4 3 6" xfId="15038" xr:uid="{00000000-0005-0000-0000-0000C13A0000}"/>
    <cellStyle name="40% - Énfasis4 3 6 2" xfId="15039" xr:uid="{00000000-0005-0000-0000-0000C23A0000}"/>
    <cellStyle name="40% - Énfasis4 3 6 2 2" xfId="15040" xr:uid="{00000000-0005-0000-0000-0000C33A0000}"/>
    <cellStyle name="40% - Énfasis4 3 6 3" xfId="15041" xr:uid="{00000000-0005-0000-0000-0000C43A0000}"/>
    <cellStyle name="40% - Énfasis4 3 7" xfId="15042" xr:uid="{00000000-0005-0000-0000-0000C53A0000}"/>
    <cellStyle name="40% - Énfasis4 3 7 2" xfId="15043" xr:uid="{00000000-0005-0000-0000-0000C63A0000}"/>
    <cellStyle name="40% - Énfasis4 3 8" xfId="15044" xr:uid="{00000000-0005-0000-0000-0000C73A0000}"/>
    <cellStyle name="40% - Énfasis4 30" xfId="15045" xr:uid="{00000000-0005-0000-0000-0000C83A0000}"/>
    <cellStyle name="40% - Énfasis4 30 2" xfId="15046" xr:uid="{00000000-0005-0000-0000-0000C93A0000}"/>
    <cellStyle name="40% - Énfasis4 30 2 2" xfId="15047" xr:uid="{00000000-0005-0000-0000-0000CA3A0000}"/>
    <cellStyle name="40% - Énfasis4 30 2 2 2" xfId="15048" xr:uid="{00000000-0005-0000-0000-0000CB3A0000}"/>
    <cellStyle name="40% - Énfasis4 30 2 3" xfId="15049" xr:uid="{00000000-0005-0000-0000-0000CC3A0000}"/>
    <cellStyle name="40% - Énfasis4 30 3" xfId="15050" xr:uid="{00000000-0005-0000-0000-0000CD3A0000}"/>
    <cellStyle name="40% - Énfasis4 30 3 2" xfId="15051" xr:uid="{00000000-0005-0000-0000-0000CE3A0000}"/>
    <cellStyle name="40% - Énfasis4 30 3 2 2" xfId="15052" xr:uid="{00000000-0005-0000-0000-0000CF3A0000}"/>
    <cellStyle name="40% - Énfasis4 30 3 3" xfId="15053" xr:uid="{00000000-0005-0000-0000-0000D03A0000}"/>
    <cellStyle name="40% - Énfasis4 30 4" xfId="15054" xr:uid="{00000000-0005-0000-0000-0000D13A0000}"/>
    <cellStyle name="40% - Énfasis4 30 4 2" xfId="15055" xr:uid="{00000000-0005-0000-0000-0000D23A0000}"/>
    <cellStyle name="40% - Énfasis4 30 5" xfId="15056" xr:uid="{00000000-0005-0000-0000-0000D33A0000}"/>
    <cellStyle name="40% - Énfasis4 31" xfId="15057" xr:uid="{00000000-0005-0000-0000-0000D43A0000}"/>
    <cellStyle name="40% - Énfasis4 31 2" xfId="15058" xr:uid="{00000000-0005-0000-0000-0000D53A0000}"/>
    <cellStyle name="40% - Énfasis4 31 2 2" xfId="15059" xr:uid="{00000000-0005-0000-0000-0000D63A0000}"/>
    <cellStyle name="40% - Énfasis4 31 2 2 2" xfId="15060" xr:uid="{00000000-0005-0000-0000-0000D73A0000}"/>
    <cellStyle name="40% - Énfasis4 31 2 3" xfId="15061" xr:uid="{00000000-0005-0000-0000-0000D83A0000}"/>
    <cellStyle name="40% - Énfasis4 31 3" xfId="15062" xr:uid="{00000000-0005-0000-0000-0000D93A0000}"/>
    <cellStyle name="40% - Énfasis4 31 3 2" xfId="15063" xr:uid="{00000000-0005-0000-0000-0000DA3A0000}"/>
    <cellStyle name="40% - Énfasis4 31 3 2 2" xfId="15064" xr:uid="{00000000-0005-0000-0000-0000DB3A0000}"/>
    <cellStyle name="40% - Énfasis4 31 3 3" xfId="15065" xr:uid="{00000000-0005-0000-0000-0000DC3A0000}"/>
    <cellStyle name="40% - Énfasis4 31 4" xfId="15066" xr:uid="{00000000-0005-0000-0000-0000DD3A0000}"/>
    <cellStyle name="40% - Énfasis4 31 4 2" xfId="15067" xr:uid="{00000000-0005-0000-0000-0000DE3A0000}"/>
    <cellStyle name="40% - Énfasis4 31 5" xfId="15068" xr:uid="{00000000-0005-0000-0000-0000DF3A0000}"/>
    <cellStyle name="40% - Énfasis4 32" xfId="15069" xr:uid="{00000000-0005-0000-0000-0000E03A0000}"/>
    <cellStyle name="40% - Énfasis4 32 2" xfId="15070" xr:uid="{00000000-0005-0000-0000-0000E13A0000}"/>
    <cellStyle name="40% - Énfasis4 32 2 2" xfId="15071" xr:uid="{00000000-0005-0000-0000-0000E23A0000}"/>
    <cellStyle name="40% - Énfasis4 32 2 2 2" xfId="15072" xr:uid="{00000000-0005-0000-0000-0000E33A0000}"/>
    <cellStyle name="40% - Énfasis4 32 2 3" xfId="15073" xr:uid="{00000000-0005-0000-0000-0000E43A0000}"/>
    <cellStyle name="40% - Énfasis4 32 3" xfId="15074" xr:uid="{00000000-0005-0000-0000-0000E53A0000}"/>
    <cellStyle name="40% - Énfasis4 32 3 2" xfId="15075" xr:uid="{00000000-0005-0000-0000-0000E63A0000}"/>
    <cellStyle name="40% - Énfasis4 32 3 2 2" xfId="15076" xr:uid="{00000000-0005-0000-0000-0000E73A0000}"/>
    <cellStyle name="40% - Énfasis4 32 3 3" xfId="15077" xr:uid="{00000000-0005-0000-0000-0000E83A0000}"/>
    <cellStyle name="40% - Énfasis4 32 4" xfId="15078" xr:uid="{00000000-0005-0000-0000-0000E93A0000}"/>
    <cellStyle name="40% - Énfasis4 32 4 2" xfId="15079" xr:uid="{00000000-0005-0000-0000-0000EA3A0000}"/>
    <cellStyle name="40% - Énfasis4 32 5" xfId="15080" xr:uid="{00000000-0005-0000-0000-0000EB3A0000}"/>
    <cellStyle name="40% - Énfasis4 33" xfId="15081" xr:uid="{00000000-0005-0000-0000-0000EC3A0000}"/>
    <cellStyle name="40% - Énfasis4 33 2" xfId="15082" xr:uid="{00000000-0005-0000-0000-0000ED3A0000}"/>
    <cellStyle name="40% - Énfasis4 33 2 2" xfId="15083" xr:uid="{00000000-0005-0000-0000-0000EE3A0000}"/>
    <cellStyle name="40% - Énfasis4 33 2 2 2" xfId="15084" xr:uid="{00000000-0005-0000-0000-0000EF3A0000}"/>
    <cellStyle name="40% - Énfasis4 33 2 3" xfId="15085" xr:uid="{00000000-0005-0000-0000-0000F03A0000}"/>
    <cellStyle name="40% - Énfasis4 33 3" xfId="15086" xr:uid="{00000000-0005-0000-0000-0000F13A0000}"/>
    <cellStyle name="40% - Énfasis4 33 3 2" xfId="15087" xr:uid="{00000000-0005-0000-0000-0000F23A0000}"/>
    <cellStyle name="40% - Énfasis4 33 4" xfId="15088" xr:uid="{00000000-0005-0000-0000-0000F33A0000}"/>
    <cellStyle name="40% - Énfasis4 34" xfId="15089" xr:uid="{00000000-0005-0000-0000-0000F43A0000}"/>
    <cellStyle name="40% - Énfasis4 34 2" xfId="15090" xr:uid="{00000000-0005-0000-0000-0000F53A0000}"/>
    <cellStyle name="40% - Énfasis4 34 2 2" xfId="15091" xr:uid="{00000000-0005-0000-0000-0000F63A0000}"/>
    <cellStyle name="40% - Énfasis4 34 2 2 2" xfId="15092" xr:uid="{00000000-0005-0000-0000-0000F73A0000}"/>
    <cellStyle name="40% - Énfasis4 34 2 3" xfId="15093" xr:uid="{00000000-0005-0000-0000-0000F83A0000}"/>
    <cellStyle name="40% - Énfasis4 34 3" xfId="15094" xr:uid="{00000000-0005-0000-0000-0000F93A0000}"/>
    <cellStyle name="40% - Énfasis4 34 3 2" xfId="15095" xr:uid="{00000000-0005-0000-0000-0000FA3A0000}"/>
    <cellStyle name="40% - Énfasis4 34 4" xfId="15096" xr:uid="{00000000-0005-0000-0000-0000FB3A0000}"/>
    <cellStyle name="40% - Énfasis4 35" xfId="15097" xr:uid="{00000000-0005-0000-0000-0000FC3A0000}"/>
    <cellStyle name="40% - Énfasis4 35 2" xfId="15098" xr:uid="{00000000-0005-0000-0000-0000FD3A0000}"/>
    <cellStyle name="40% - Énfasis4 35 2 2" xfId="15099" xr:uid="{00000000-0005-0000-0000-0000FE3A0000}"/>
    <cellStyle name="40% - Énfasis4 35 2 2 2" xfId="15100" xr:uid="{00000000-0005-0000-0000-0000FF3A0000}"/>
    <cellStyle name="40% - Énfasis4 35 2 3" xfId="15101" xr:uid="{00000000-0005-0000-0000-0000003B0000}"/>
    <cellStyle name="40% - Énfasis4 35 3" xfId="15102" xr:uid="{00000000-0005-0000-0000-0000013B0000}"/>
    <cellStyle name="40% - Énfasis4 35 3 2" xfId="15103" xr:uid="{00000000-0005-0000-0000-0000023B0000}"/>
    <cellStyle name="40% - Énfasis4 35 4" xfId="15104" xr:uid="{00000000-0005-0000-0000-0000033B0000}"/>
    <cellStyle name="40% - Énfasis4 36" xfId="15105" xr:uid="{00000000-0005-0000-0000-0000043B0000}"/>
    <cellStyle name="40% - Énfasis4 36 2" xfId="15106" xr:uid="{00000000-0005-0000-0000-0000053B0000}"/>
    <cellStyle name="40% - Énfasis4 36 2 2" xfId="15107" xr:uid="{00000000-0005-0000-0000-0000063B0000}"/>
    <cellStyle name="40% - Énfasis4 36 2 2 2" xfId="15108" xr:uid="{00000000-0005-0000-0000-0000073B0000}"/>
    <cellStyle name="40% - Énfasis4 36 2 3" xfId="15109" xr:uid="{00000000-0005-0000-0000-0000083B0000}"/>
    <cellStyle name="40% - Énfasis4 36 3" xfId="15110" xr:uid="{00000000-0005-0000-0000-0000093B0000}"/>
    <cellStyle name="40% - Énfasis4 36 3 2" xfId="15111" xr:uid="{00000000-0005-0000-0000-00000A3B0000}"/>
    <cellStyle name="40% - Énfasis4 36 4" xfId="15112" xr:uid="{00000000-0005-0000-0000-00000B3B0000}"/>
    <cellStyle name="40% - Énfasis4 37" xfId="15113" xr:uid="{00000000-0005-0000-0000-00000C3B0000}"/>
    <cellStyle name="40% - Énfasis4 37 2" xfId="15114" xr:uid="{00000000-0005-0000-0000-00000D3B0000}"/>
    <cellStyle name="40% - Énfasis4 37 2 2" xfId="15115" xr:uid="{00000000-0005-0000-0000-00000E3B0000}"/>
    <cellStyle name="40% - Énfasis4 37 2 2 2" xfId="15116" xr:uid="{00000000-0005-0000-0000-00000F3B0000}"/>
    <cellStyle name="40% - Énfasis4 37 2 3" xfId="15117" xr:uid="{00000000-0005-0000-0000-0000103B0000}"/>
    <cellStyle name="40% - Énfasis4 37 3" xfId="15118" xr:uid="{00000000-0005-0000-0000-0000113B0000}"/>
    <cellStyle name="40% - Énfasis4 37 3 2" xfId="15119" xr:uid="{00000000-0005-0000-0000-0000123B0000}"/>
    <cellStyle name="40% - Énfasis4 37 4" xfId="15120" xr:uid="{00000000-0005-0000-0000-0000133B0000}"/>
    <cellStyle name="40% - Énfasis4 38" xfId="15121" xr:uid="{00000000-0005-0000-0000-0000143B0000}"/>
    <cellStyle name="40% - Énfasis4 38 2" xfId="15122" xr:uid="{00000000-0005-0000-0000-0000153B0000}"/>
    <cellStyle name="40% - Énfasis4 38 2 2" xfId="15123" xr:uid="{00000000-0005-0000-0000-0000163B0000}"/>
    <cellStyle name="40% - Énfasis4 38 3" xfId="15124" xr:uid="{00000000-0005-0000-0000-0000173B0000}"/>
    <cellStyle name="40% - Énfasis4 39" xfId="15125" xr:uid="{00000000-0005-0000-0000-0000183B0000}"/>
    <cellStyle name="40% - Énfasis4 39 2" xfId="15126" xr:uid="{00000000-0005-0000-0000-0000193B0000}"/>
    <cellStyle name="40% - Énfasis4 39 2 2" xfId="15127" xr:uid="{00000000-0005-0000-0000-00001A3B0000}"/>
    <cellStyle name="40% - Énfasis4 39 3" xfId="15128" xr:uid="{00000000-0005-0000-0000-00001B3B0000}"/>
    <cellStyle name="40% - Énfasis4 4" xfId="15129" xr:uid="{00000000-0005-0000-0000-00001C3B0000}"/>
    <cellStyle name="40% - Énfasis4 4 2" xfId="15130" xr:uid="{00000000-0005-0000-0000-00001D3B0000}"/>
    <cellStyle name="40% - Énfasis4 4 2 2" xfId="15131" xr:uid="{00000000-0005-0000-0000-00001E3B0000}"/>
    <cellStyle name="40% - Énfasis4 4 2 2 2" xfId="15132" xr:uid="{00000000-0005-0000-0000-00001F3B0000}"/>
    <cellStyle name="40% - Énfasis4 4 2 2 2 2" xfId="15133" xr:uid="{00000000-0005-0000-0000-0000203B0000}"/>
    <cellStyle name="40% - Énfasis4 4 2 2 2 2 2" xfId="15134" xr:uid="{00000000-0005-0000-0000-0000213B0000}"/>
    <cellStyle name="40% - Énfasis4 4 2 2 2 3" xfId="15135" xr:uid="{00000000-0005-0000-0000-0000223B0000}"/>
    <cellStyle name="40% - Énfasis4 4 2 2 3" xfId="15136" xr:uid="{00000000-0005-0000-0000-0000233B0000}"/>
    <cellStyle name="40% - Énfasis4 4 2 2 3 2" xfId="15137" xr:uid="{00000000-0005-0000-0000-0000243B0000}"/>
    <cellStyle name="40% - Énfasis4 4 2 2 4" xfId="15138" xr:uid="{00000000-0005-0000-0000-0000253B0000}"/>
    <cellStyle name="40% - Énfasis4 4 2 3" xfId="15139" xr:uid="{00000000-0005-0000-0000-0000263B0000}"/>
    <cellStyle name="40% - Énfasis4 4 2 3 2" xfId="15140" xr:uid="{00000000-0005-0000-0000-0000273B0000}"/>
    <cellStyle name="40% - Énfasis4 4 2 3 2 2" xfId="15141" xr:uid="{00000000-0005-0000-0000-0000283B0000}"/>
    <cellStyle name="40% - Énfasis4 4 2 3 3" xfId="15142" xr:uid="{00000000-0005-0000-0000-0000293B0000}"/>
    <cellStyle name="40% - Énfasis4 4 2 4" xfId="15143" xr:uid="{00000000-0005-0000-0000-00002A3B0000}"/>
    <cellStyle name="40% - Énfasis4 4 2 4 2" xfId="15144" xr:uid="{00000000-0005-0000-0000-00002B3B0000}"/>
    <cellStyle name="40% - Énfasis4 4 2 4 2 2" xfId="15145" xr:uid="{00000000-0005-0000-0000-00002C3B0000}"/>
    <cellStyle name="40% - Énfasis4 4 2 4 3" xfId="15146" xr:uid="{00000000-0005-0000-0000-00002D3B0000}"/>
    <cellStyle name="40% - Énfasis4 4 2 5" xfId="15147" xr:uid="{00000000-0005-0000-0000-00002E3B0000}"/>
    <cellStyle name="40% - Énfasis4 4 2 5 2" xfId="15148" xr:uid="{00000000-0005-0000-0000-00002F3B0000}"/>
    <cellStyle name="40% - Énfasis4 4 2 6" xfId="15149" xr:uid="{00000000-0005-0000-0000-0000303B0000}"/>
    <cellStyle name="40% - Énfasis4 4 3" xfId="15150" xr:uid="{00000000-0005-0000-0000-0000313B0000}"/>
    <cellStyle name="40% - Énfasis4 4 3 2" xfId="15151" xr:uid="{00000000-0005-0000-0000-0000323B0000}"/>
    <cellStyle name="40% - Énfasis4 4 3 2 2" xfId="15152" xr:uid="{00000000-0005-0000-0000-0000333B0000}"/>
    <cellStyle name="40% - Énfasis4 4 3 2 2 2" xfId="15153" xr:uid="{00000000-0005-0000-0000-0000343B0000}"/>
    <cellStyle name="40% - Énfasis4 4 3 2 3" xfId="15154" xr:uid="{00000000-0005-0000-0000-0000353B0000}"/>
    <cellStyle name="40% - Énfasis4 4 3 3" xfId="15155" xr:uid="{00000000-0005-0000-0000-0000363B0000}"/>
    <cellStyle name="40% - Énfasis4 4 3 3 2" xfId="15156" xr:uid="{00000000-0005-0000-0000-0000373B0000}"/>
    <cellStyle name="40% - Énfasis4 4 3 3 2 2" xfId="15157" xr:uid="{00000000-0005-0000-0000-0000383B0000}"/>
    <cellStyle name="40% - Énfasis4 4 3 3 3" xfId="15158" xr:uid="{00000000-0005-0000-0000-0000393B0000}"/>
    <cellStyle name="40% - Énfasis4 4 3 4" xfId="15159" xr:uid="{00000000-0005-0000-0000-00003A3B0000}"/>
    <cellStyle name="40% - Énfasis4 4 3 4 2" xfId="15160" xr:uid="{00000000-0005-0000-0000-00003B3B0000}"/>
    <cellStyle name="40% - Énfasis4 4 3 5" xfId="15161" xr:uid="{00000000-0005-0000-0000-00003C3B0000}"/>
    <cellStyle name="40% - Énfasis4 4 4" xfId="15162" xr:uid="{00000000-0005-0000-0000-00003D3B0000}"/>
    <cellStyle name="40% - Énfasis4 4 4 2" xfId="15163" xr:uid="{00000000-0005-0000-0000-00003E3B0000}"/>
    <cellStyle name="40% - Énfasis4 4 4 2 2" xfId="15164" xr:uid="{00000000-0005-0000-0000-00003F3B0000}"/>
    <cellStyle name="40% - Énfasis4 4 4 2 2 2" xfId="15165" xr:uid="{00000000-0005-0000-0000-0000403B0000}"/>
    <cellStyle name="40% - Énfasis4 4 4 2 3" xfId="15166" xr:uid="{00000000-0005-0000-0000-0000413B0000}"/>
    <cellStyle name="40% - Énfasis4 4 4 3" xfId="15167" xr:uid="{00000000-0005-0000-0000-0000423B0000}"/>
    <cellStyle name="40% - Énfasis4 4 4 3 2" xfId="15168" xr:uid="{00000000-0005-0000-0000-0000433B0000}"/>
    <cellStyle name="40% - Énfasis4 4 4 4" xfId="15169" xr:uid="{00000000-0005-0000-0000-0000443B0000}"/>
    <cellStyle name="40% - Énfasis4 4 5" xfId="15170" xr:uid="{00000000-0005-0000-0000-0000453B0000}"/>
    <cellStyle name="40% - Énfasis4 4 5 2" xfId="15171" xr:uid="{00000000-0005-0000-0000-0000463B0000}"/>
    <cellStyle name="40% - Énfasis4 4 5 2 2" xfId="15172" xr:uid="{00000000-0005-0000-0000-0000473B0000}"/>
    <cellStyle name="40% - Énfasis4 4 5 3" xfId="15173" xr:uid="{00000000-0005-0000-0000-0000483B0000}"/>
    <cellStyle name="40% - Énfasis4 4 6" xfId="15174" xr:uid="{00000000-0005-0000-0000-0000493B0000}"/>
    <cellStyle name="40% - Énfasis4 4 6 2" xfId="15175" xr:uid="{00000000-0005-0000-0000-00004A3B0000}"/>
    <cellStyle name="40% - Énfasis4 4 6 2 2" xfId="15176" xr:uid="{00000000-0005-0000-0000-00004B3B0000}"/>
    <cellStyle name="40% - Énfasis4 4 6 3" xfId="15177" xr:uid="{00000000-0005-0000-0000-00004C3B0000}"/>
    <cellStyle name="40% - Énfasis4 4 7" xfId="15178" xr:uid="{00000000-0005-0000-0000-00004D3B0000}"/>
    <cellStyle name="40% - Énfasis4 4 7 2" xfId="15179" xr:uid="{00000000-0005-0000-0000-00004E3B0000}"/>
    <cellStyle name="40% - Énfasis4 4 8" xfId="15180" xr:uid="{00000000-0005-0000-0000-00004F3B0000}"/>
    <cellStyle name="40% - Énfasis4 40" xfId="15181" xr:uid="{00000000-0005-0000-0000-0000503B0000}"/>
    <cellStyle name="40% - Énfasis4 40 2" xfId="15182" xr:uid="{00000000-0005-0000-0000-0000513B0000}"/>
    <cellStyle name="40% - Énfasis4 40 2 2" xfId="15183" xr:uid="{00000000-0005-0000-0000-0000523B0000}"/>
    <cellStyle name="40% - Énfasis4 40 3" xfId="15184" xr:uid="{00000000-0005-0000-0000-0000533B0000}"/>
    <cellStyle name="40% - Énfasis4 41" xfId="15185" xr:uid="{00000000-0005-0000-0000-0000543B0000}"/>
    <cellStyle name="40% - Énfasis4 41 2" xfId="15186" xr:uid="{00000000-0005-0000-0000-0000553B0000}"/>
    <cellStyle name="40% - Énfasis4 41 2 2" xfId="15187" xr:uid="{00000000-0005-0000-0000-0000563B0000}"/>
    <cellStyle name="40% - Énfasis4 41 3" xfId="15188" xr:uid="{00000000-0005-0000-0000-0000573B0000}"/>
    <cellStyle name="40% - Énfasis4 42" xfId="15189" xr:uid="{00000000-0005-0000-0000-0000583B0000}"/>
    <cellStyle name="40% - Énfasis4 42 2" xfId="15190" xr:uid="{00000000-0005-0000-0000-0000593B0000}"/>
    <cellStyle name="40% - Énfasis4 42 2 2" xfId="15191" xr:uid="{00000000-0005-0000-0000-00005A3B0000}"/>
    <cellStyle name="40% - Énfasis4 42 3" xfId="15192" xr:uid="{00000000-0005-0000-0000-00005B3B0000}"/>
    <cellStyle name="40% - Énfasis4 43" xfId="15193" xr:uid="{00000000-0005-0000-0000-00005C3B0000}"/>
    <cellStyle name="40% - Énfasis4 43 2" xfId="15194" xr:uid="{00000000-0005-0000-0000-00005D3B0000}"/>
    <cellStyle name="40% - Énfasis4 43 2 2" xfId="15195" xr:uid="{00000000-0005-0000-0000-00005E3B0000}"/>
    <cellStyle name="40% - Énfasis4 43 3" xfId="15196" xr:uid="{00000000-0005-0000-0000-00005F3B0000}"/>
    <cellStyle name="40% - Énfasis4 44" xfId="15197" xr:uid="{00000000-0005-0000-0000-0000603B0000}"/>
    <cellStyle name="40% - Énfasis4 44 2" xfId="15198" xr:uid="{00000000-0005-0000-0000-0000613B0000}"/>
    <cellStyle name="40% - Énfasis4 44 2 2" xfId="15199" xr:uid="{00000000-0005-0000-0000-0000623B0000}"/>
    <cellStyle name="40% - Énfasis4 44 3" xfId="15200" xr:uid="{00000000-0005-0000-0000-0000633B0000}"/>
    <cellStyle name="40% - Énfasis4 45" xfId="15201" xr:uid="{00000000-0005-0000-0000-0000643B0000}"/>
    <cellStyle name="40% - Énfasis4 45 2" xfId="15202" xr:uid="{00000000-0005-0000-0000-0000653B0000}"/>
    <cellStyle name="40% - Énfasis4 45 2 2" xfId="15203" xr:uid="{00000000-0005-0000-0000-0000663B0000}"/>
    <cellStyle name="40% - Énfasis4 45 3" xfId="15204" xr:uid="{00000000-0005-0000-0000-0000673B0000}"/>
    <cellStyle name="40% - Énfasis4 46" xfId="15205" xr:uid="{00000000-0005-0000-0000-0000683B0000}"/>
    <cellStyle name="40% - Énfasis4 46 2" xfId="15206" xr:uid="{00000000-0005-0000-0000-0000693B0000}"/>
    <cellStyle name="40% - Énfasis4 47" xfId="15207" xr:uid="{00000000-0005-0000-0000-00006A3B0000}"/>
    <cellStyle name="40% - Énfasis4 47 2" xfId="15208" xr:uid="{00000000-0005-0000-0000-00006B3B0000}"/>
    <cellStyle name="40% - Énfasis4 48" xfId="15209" xr:uid="{00000000-0005-0000-0000-00006C3B0000}"/>
    <cellStyle name="40% - Énfasis4 48 2" xfId="15210" xr:uid="{00000000-0005-0000-0000-00006D3B0000}"/>
    <cellStyle name="40% - Énfasis4 49" xfId="15211" xr:uid="{00000000-0005-0000-0000-00006E3B0000}"/>
    <cellStyle name="40% - Énfasis4 49 2" xfId="15212" xr:uid="{00000000-0005-0000-0000-00006F3B0000}"/>
    <cellStyle name="40% - Énfasis4 5" xfId="15213" xr:uid="{00000000-0005-0000-0000-0000703B0000}"/>
    <cellStyle name="40% - Énfasis4 5 2" xfId="15214" xr:uid="{00000000-0005-0000-0000-0000713B0000}"/>
    <cellStyle name="40% - Énfasis4 5 2 2" xfId="15215" xr:uid="{00000000-0005-0000-0000-0000723B0000}"/>
    <cellStyle name="40% - Énfasis4 5 2 2 2" xfId="15216" xr:uid="{00000000-0005-0000-0000-0000733B0000}"/>
    <cellStyle name="40% - Énfasis4 5 2 2 2 2" xfId="15217" xr:uid="{00000000-0005-0000-0000-0000743B0000}"/>
    <cellStyle name="40% - Énfasis4 5 2 2 2 2 2" xfId="15218" xr:uid="{00000000-0005-0000-0000-0000753B0000}"/>
    <cellStyle name="40% - Énfasis4 5 2 2 2 3" xfId="15219" xr:uid="{00000000-0005-0000-0000-0000763B0000}"/>
    <cellStyle name="40% - Énfasis4 5 2 2 3" xfId="15220" xr:uid="{00000000-0005-0000-0000-0000773B0000}"/>
    <cellStyle name="40% - Énfasis4 5 2 2 3 2" xfId="15221" xr:uid="{00000000-0005-0000-0000-0000783B0000}"/>
    <cellStyle name="40% - Énfasis4 5 2 2 4" xfId="15222" xr:uid="{00000000-0005-0000-0000-0000793B0000}"/>
    <cellStyle name="40% - Énfasis4 5 2 3" xfId="15223" xr:uid="{00000000-0005-0000-0000-00007A3B0000}"/>
    <cellStyle name="40% - Énfasis4 5 2 3 2" xfId="15224" xr:uid="{00000000-0005-0000-0000-00007B3B0000}"/>
    <cellStyle name="40% - Énfasis4 5 2 3 2 2" xfId="15225" xr:uid="{00000000-0005-0000-0000-00007C3B0000}"/>
    <cellStyle name="40% - Énfasis4 5 2 3 3" xfId="15226" xr:uid="{00000000-0005-0000-0000-00007D3B0000}"/>
    <cellStyle name="40% - Énfasis4 5 2 4" xfId="15227" xr:uid="{00000000-0005-0000-0000-00007E3B0000}"/>
    <cellStyle name="40% - Énfasis4 5 2 4 2" xfId="15228" xr:uid="{00000000-0005-0000-0000-00007F3B0000}"/>
    <cellStyle name="40% - Énfasis4 5 2 4 2 2" xfId="15229" xr:uid="{00000000-0005-0000-0000-0000803B0000}"/>
    <cellStyle name="40% - Énfasis4 5 2 4 3" xfId="15230" xr:uid="{00000000-0005-0000-0000-0000813B0000}"/>
    <cellStyle name="40% - Énfasis4 5 2 5" xfId="15231" xr:uid="{00000000-0005-0000-0000-0000823B0000}"/>
    <cellStyle name="40% - Énfasis4 5 2 5 2" xfId="15232" xr:uid="{00000000-0005-0000-0000-0000833B0000}"/>
    <cellStyle name="40% - Énfasis4 5 2 6" xfId="15233" xr:uid="{00000000-0005-0000-0000-0000843B0000}"/>
    <cellStyle name="40% - Énfasis4 5 3" xfId="15234" xr:uid="{00000000-0005-0000-0000-0000853B0000}"/>
    <cellStyle name="40% - Énfasis4 5 3 2" xfId="15235" xr:uid="{00000000-0005-0000-0000-0000863B0000}"/>
    <cellStyle name="40% - Énfasis4 5 3 2 2" xfId="15236" xr:uid="{00000000-0005-0000-0000-0000873B0000}"/>
    <cellStyle name="40% - Énfasis4 5 3 2 2 2" xfId="15237" xr:uid="{00000000-0005-0000-0000-0000883B0000}"/>
    <cellStyle name="40% - Énfasis4 5 3 2 3" xfId="15238" xr:uid="{00000000-0005-0000-0000-0000893B0000}"/>
    <cellStyle name="40% - Énfasis4 5 3 3" xfId="15239" xr:uid="{00000000-0005-0000-0000-00008A3B0000}"/>
    <cellStyle name="40% - Énfasis4 5 3 3 2" xfId="15240" xr:uid="{00000000-0005-0000-0000-00008B3B0000}"/>
    <cellStyle name="40% - Énfasis4 5 3 3 2 2" xfId="15241" xr:uid="{00000000-0005-0000-0000-00008C3B0000}"/>
    <cellStyle name="40% - Énfasis4 5 3 3 3" xfId="15242" xr:uid="{00000000-0005-0000-0000-00008D3B0000}"/>
    <cellStyle name="40% - Énfasis4 5 3 4" xfId="15243" xr:uid="{00000000-0005-0000-0000-00008E3B0000}"/>
    <cellStyle name="40% - Énfasis4 5 3 4 2" xfId="15244" xr:uid="{00000000-0005-0000-0000-00008F3B0000}"/>
    <cellStyle name="40% - Énfasis4 5 3 5" xfId="15245" xr:uid="{00000000-0005-0000-0000-0000903B0000}"/>
    <cellStyle name="40% - Énfasis4 5 4" xfId="15246" xr:uid="{00000000-0005-0000-0000-0000913B0000}"/>
    <cellStyle name="40% - Énfasis4 5 4 2" xfId="15247" xr:uid="{00000000-0005-0000-0000-0000923B0000}"/>
    <cellStyle name="40% - Énfasis4 5 4 2 2" xfId="15248" xr:uid="{00000000-0005-0000-0000-0000933B0000}"/>
    <cellStyle name="40% - Énfasis4 5 4 2 2 2" xfId="15249" xr:uid="{00000000-0005-0000-0000-0000943B0000}"/>
    <cellStyle name="40% - Énfasis4 5 4 2 3" xfId="15250" xr:uid="{00000000-0005-0000-0000-0000953B0000}"/>
    <cellStyle name="40% - Énfasis4 5 4 3" xfId="15251" xr:uid="{00000000-0005-0000-0000-0000963B0000}"/>
    <cellStyle name="40% - Énfasis4 5 4 3 2" xfId="15252" xr:uid="{00000000-0005-0000-0000-0000973B0000}"/>
    <cellStyle name="40% - Énfasis4 5 4 4" xfId="15253" xr:uid="{00000000-0005-0000-0000-0000983B0000}"/>
    <cellStyle name="40% - Énfasis4 5 5" xfId="15254" xr:uid="{00000000-0005-0000-0000-0000993B0000}"/>
    <cellStyle name="40% - Énfasis4 5 5 2" xfId="15255" xr:uid="{00000000-0005-0000-0000-00009A3B0000}"/>
    <cellStyle name="40% - Énfasis4 5 5 2 2" xfId="15256" xr:uid="{00000000-0005-0000-0000-00009B3B0000}"/>
    <cellStyle name="40% - Énfasis4 5 5 3" xfId="15257" xr:uid="{00000000-0005-0000-0000-00009C3B0000}"/>
    <cellStyle name="40% - Énfasis4 5 6" xfId="15258" xr:uid="{00000000-0005-0000-0000-00009D3B0000}"/>
    <cellStyle name="40% - Énfasis4 5 6 2" xfId="15259" xr:uid="{00000000-0005-0000-0000-00009E3B0000}"/>
    <cellStyle name="40% - Énfasis4 5 6 2 2" xfId="15260" xr:uid="{00000000-0005-0000-0000-00009F3B0000}"/>
    <cellStyle name="40% - Énfasis4 5 6 3" xfId="15261" xr:uid="{00000000-0005-0000-0000-0000A03B0000}"/>
    <cellStyle name="40% - Énfasis4 5 7" xfId="15262" xr:uid="{00000000-0005-0000-0000-0000A13B0000}"/>
    <cellStyle name="40% - Énfasis4 5 7 2" xfId="15263" xr:uid="{00000000-0005-0000-0000-0000A23B0000}"/>
    <cellStyle name="40% - Énfasis4 5 8" xfId="15264" xr:uid="{00000000-0005-0000-0000-0000A33B0000}"/>
    <cellStyle name="40% - Énfasis4 50" xfId="15265" xr:uid="{00000000-0005-0000-0000-0000A43B0000}"/>
    <cellStyle name="40% - Énfasis4 50 2" xfId="15266" xr:uid="{00000000-0005-0000-0000-0000A53B0000}"/>
    <cellStyle name="40% - Énfasis4 51" xfId="15267" xr:uid="{00000000-0005-0000-0000-0000A63B0000}"/>
    <cellStyle name="40% - Énfasis4 51 2" xfId="15268" xr:uid="{00000000-0005-0000-0000-0000A73B0000}"/>
    <cellStyle name="40% - Énfasis4 52" xfId="15269" xr:uid="{00000000-0005-0000-0000-0000A83B0000}"/>
    <cellStyle name="40% - Énfasis4 52 2" xfId="15270" xr:uid="{00000000-0005-0000-0000-0000A93B0000}"/>
    <cellStyle name="40% - Énfasis4 53" xfId="15271" xr:uid="{00000000-0005-0000-0000-0000AA3B0000}"/>
    <cellStyle name="40% - Énfasis4 53 2" xfId="15272" xr:uid="{00000000-0005-0000-0000-0000AB3B0000}"/>
    <cellStyle name="40% - Énfasis4 54" xfId="15273" xr:uid="{00000000-0005-0000-0000-0000AC3B0000}"/>
    <cellStyle name="40% - Énfasis4 54 2" xfId="15274" xr:uid="{00000000-0005-0000-0000-0000AD3B0000}"/>
    <cellStyle name="40% - Énfasis4 55" xfId="15275" xr:uid="{00000000-0005-0000-0000-0000AE3B0000}"/>
    <cellStyle name="40% - Énfasis4 55 2" xfId="15276" xr:uid="{00000000-0005-0000-0000-0000AF3B0000}"/>
    <cellStyle name="40% - Énfasis4 56" xfId="15277" xr:uid="{00000000-0005-0000-0000-0000B03B0000}"/>
    <cellStyle name="40% - Énfasis4 56 2" xfId="15278" xr:uid="{00000000-0005-0000-0000-0000B13B0000}"/>
    <cellStyle name="40% - Énfasis4 57" xfId="15279" xr:uid="{00000000-0005-0000-0000-0000B23B0000}"/>
    <cellStyle name="40% - Énfasis4 57 2" xfId="15280" xr:uid="{00000000-0005-0000-0000-0000B33B0000}"/>
    <cellStyle name="40% - Énfasis4 58" xfId="15281" xr:uid="{00000000-0005-0000-0000-0000B43B0000}"/>
    <cellStyle name="40% - Énfasis4 58 2" xfId="15282" xr:uid="{00000000-0005-0000-0000-0000B53B0000}"/>
    <cellStyle name="40% - Énfasis4 59" xfId="15283" xr:uid="{00000000-0005-0000-0000-0000B63B0000}"/>
    <cellStyle name="40% - Énfasis4 59 2" xfId="15284" xr:uid="{00000000-0005-0000-0000-0000B73B0000}"/>
    <cellStyle name="40% - Énfasis4 6" xfId="15285" xr:uid="{00000000-0005-0000-0000-0000B83B0000}"/>
    <cellStyle name="40% - Énfasis4 6 2" xfId="15286" xr:uid="{00000000-0005-0000-0000-0000B93B0000}"/>
    <cellStyle name="40% - Énfasis4 6 2 2" xfId="15287" xr:uid="{00000000-0005-0000-0000-0000BA3B0000}"/>
    <cellStyle name="40% - Énfasis4 6 2 2 2" xfId="15288" xr:uid="{00000000-0005-0000-0000-0000BB3B0000}"/>
    <cellStyle name="40% - Énfasis4 6 2 2 2 2" xfId="15289" xr:uid="{00000000-0005-0000-0000-0000BC3B0000}"/>
    <cellStyle name="40% - Énfasis4 6 2 2 2 2 2" xfId="15290" xr:uid="{00000000-0005-0000-0000-0000BD3B0000}"/>
    <cellStyle name="40% - Énfasis4 6 2 2 2 3" xfId="15291" xr:uid="{00000000-0005-0000-0000-0000BE3B0000}"/>
    <cellStyle name="40% - Énfasis4 6 2 2 3" xfId="15292" xr:uid="{00000000-0005-0000-0000-0000BF3B0000}"/>
    <cellStyle name="40% - Énfasis4 6 2 2 3 2" xfId="15293" xr:uid="{00000000-0005-0000-0000-0000C03B0000}"/>
    <cellStyle name="40% - Énfasis4 6 2 2 4" xfId="15294" xr:uid="{00000000-0005-0000-0000-0000C13B0000}"/>
    <cellStyle name="40% - Énfasis4 6 2 3" xfId="15295" xr:uid="{00000000-0005-0000-0000-0000C23B0000}"/>
    <cellStyle name="40% - Énfasis4 6 2 3 2" xfId="15296" xr:uid="{00000000-0005-0000-0000-0000C33B0000}"/>
    <cellStyle name="40% - Énfasis4 6 2 3 2 2" xfId="15297" xr:uid="{00000000-0005-0000-0000-0000C43B0000}"/>
    <cellStyle name="40% - Énfasis4 6 2 3 3" xfId="15298" xr:uid="{00000000-0005-0000-0000-0000C53B0000}"/>
    <cellStyle name="40% - Énfasis4 6 2 4" xfId="15299" xr:uid="{00000000-0005-0000-0000-0000C63B0000}"/>
    <cellStyle name="40% - Énfasis4 6 2 4 2" xfId="15300" xr:uid="{00000000-0005-0000-0000-0000C73B0000}"/>
    <cellStyle name="40% - Énfasis4 6 2 4 2 2" xfId="15301" xr:uid="{00000000-0005-0000-0000-0000C83B0000}"/>
    <cellStyle name="40% - Énfasis4 6 2 4 3" xfId="15302" xr:uid="{00000000-0005-0000-0000-0000C93B0000}"/>
    <cellStyle name="40% - Énfasis4 6 2 5" xfId="15303" xr:uid="{00000000-0005-0000-0000-0000CA3B0000}"/>
    <cellStyle name="40% - Énfasis4 6 2 5 2" xfId="15304" xr:uid="{00000000-0005-0000-0000-0000CB3B0000}"/>
    <cellStyle name="40% - Énfasis4 6 2 6" xfId="15305" xr:uid="{00000000-0005-0000-0000-0000CC3B0000}"/>
    <cellStyle name="40% - Énfasis4 6 3" xfId="15306" xr:uid="{00000000-0005-0000-0000-0000CD3B0000}"/>
    <cellStyle name="40% - Énfasis4 6 3 2" xfId="15307" xr:uid="{00000000-0005-0000-0000-0000CE3B0000}"/>
    <cellStyle name="40% - Énfasis4 6 3 2 2" xfId="15308" xr:uid="{00000000-0005-0000-0000-0000CF3B0000}"/>
    <cellStyle name="40% - Énfasis4 6 3 2 2 2" xfId="15309" xr:uid="{00000000-0005-0000-0000-0000D03B0000}"/>
    <cellStyle name="40% - Énfasis4 6 3 2 3" xfId="15310" xr:uid="{00000000-0005-0000-0000-0000D13B0000}"/>
    <cellStyle name="40% - Énfasis4 6 3 3" xfId="15311" xr:uid="{00000000-0005-0000-0000-0000D23B0000}"/>
    <cellStyle name="40% - Énfasis4 6 3 3 2" xfId="15312" xr:uid="{00000000-0005-0000-0000-0000D33B0000}"/>
    <cellStyle name="40% - Énfasis4 6 3 3 2 2" xfId="15313" xr:uid="{00000000-0005-0000-0000-0000D43B0000}"/>
    <cellStyle name="40% - Énfasis4 6 3 3 3" xfId="15314" xr:uid="{00000000-0005-0000-0000-0000D53B0000}"/>
    <cellStyle name="40% - Énfasis4 6 3 4" xfId="15315" xr:uid="{00000000-0005-0000-0000-0000D63B0000}"/>
    <cellStyle name="40% - Énfasis4 6 3 4 2" xfId="15316" xr:uid="{00000000-0005-0000-0000-0000D73B0000}"/>
    <cellStyle name="40% - Énfasis4 6 3 5" xfId="15317" xr:uid="{00000000-0005-0000-0000-0000D83B0000}"/>
    <cellStyle name="40% - Énfasis4 6 4" xfId="15318" xr:uid="{00000000-0005-0000-0000-0000D93B0000}"/>
    <cellStyle name="40% - Énfasis4 6 4 2" xfId="15319" xr:uid="{00000000-0005-0000-0000-0000DA3B0000}"/>
    <cellStyle name="40% - Énfasis4 6 4 2 2" xfId="15320" xr:uid="{00000000-0005-0000-0000-0000DB3B0000}"/>
    <cellStyle name="40% - Énfasis4 6 4 2 2 2" xfId="15321" xr:uid="{00000000-0005-0000-0000-0000DC3B0000}"/>
    <cellStyle name="40% - Énfasis4 6 4 2 3" xfId="15322" xr:uid="{00000000-0005-0000-0000-0000DD3B0000}"/>
    <cellStyle name="40% - Énfasis4 6 4 3" xfId="15323" xr:uid="{00000000-0005-0000-0000-0000DE3B0000}"/>
    <cellStyle name="40% - Énfasis4 6 4 3 2" xfId="15324" xr:uid="{00000000-0005-0000-0000-0000DF3B0000}"/>
    <cellStyle name="40% - Énfasis4 6 4 4" xfId="15325" xr:uid="{00000000-0005-0000-0000-0000E03B0000}"/>
    <cellStyle name="40% - Énfasis4 6 5" xfId="15326" xr:uid="{00000000-0005-0000-0000-0000E13B0000}"/>
    <cellStyle name="40% - Énfasis4 6 5 2" xfId="15327" xr:uid="{00000000-0005-0000-0000-0000E23B0000}"/>
    <cellStyle name="40% - Énfasis4 6 5 2 2" xfId="15328" xr:uid="{00000000-0005-0000-0000-0000E33B0000}"/>
    <cellStyle name="40% - Énfasis4 6 5 3" xfId="15329" xr:uid="{00000000-0005-0000-0000-0000E43B0000}"/>
    <cellStyle name="40% - Énfasis4 6 6" xfId="15330" xr:uid="{00000000-0005-0000-0000-0000E53B0000}"/>
    <cellStyle name="40% - Énfasis4 6 6 2" xfId="15331" xr:uid="{00000000-0005-0000-0000-0000E63B0000}"/>
    <cellStyle name="40% - Énfasis4 6 6 2 2" xfId="15332" xr:uid="{00000000-0005-0000-0000-0000E73B0000}"/>
    <cellStyle name="40% - Énfasis4 6 6 3" xfId="15333" xr:uid="{00000000-0005-0000-0000-0000E83B0000}"/>
    <cellStyle name="40% - Énfasis4 6 7" xfId="15334" xr:uid="{00000000-0005-0000-0000-0000E93B0000}"/>
    <cellStyle name="40% - Énfasis4 6 7 2" xfId="15335" xr:uid="{00000000-0005-0000-0000-0000EA3B0000}"/>
    <cellStyle name="40% - Énfasis4 6 8" xfId="15336" xr:uid="{00000000-0005-0000-0000-0000EB3B0000}"/>
    <cellStyle name="40% - Énfasis4 60" xfId="15337" xr:uid="{00000000-0005-0000-0000-0000EC3B0000}"/>
    <cellStyle name="40% - Énfasis4 60 2" xfId="15338" xr:uid="{00000000-0005-0000-0000-0000ED3B0000}"/>
    <cellStyle name="40% - Énfasis4 61" xfId="15339" xr:uid="{00000000-0005-0000-0000-0000EE3B0000}"/>
    <cellStyle name="40% - Énfasis4 61 2" xfId="15340" xr:uid="{00000000-0005-0000-0000-0000EF3B0000}"/>
    <cellStyle name="40% - Énfasis4 62" xfId="15341" xr:uid="{00000000-0005-0000-0000-0000F03B0000}"/>
    <cellStyle name="40% - Énfasis4 62 2" xfId="15342" xr:uid="{00000000-0005-0000-0000-0000F13B0000}"/>
    <cellStyle name="40% - Énfasis4 63" xfId="15343" xr:uid="{00000000-0005-0000-0000-0000F23B0000}"/>
    <cellStyle name="40% - Énfasis4 63 2" xfId="15344" xr:uid="{00000000-0005-0000-0000-0000F33B0000}"/>
    <cellStyle name="40% - Énfasis4 64" xfId="15345" xr:uid="{00000000-0005-0000-0000-0000F43B0000}"/>
    <cellStyle name="40% - Énfasis4 64 2" xfId="15346" xr:uid="{00000000-0005-0000-0000-0000F53B0000}"/>
    <cellStyle name="40% - Énfasis4 7" xfId="15347" xr:uid="{00000000-0005-0000-0000-0000F63B0000}"/>
    <cellStyle name="40% - Énfasis4 7 2" xfId="15348" xr:uid="{00000000-0005-0000-0000-0000F73B0000}"/>
    <cellStyle name="40% - Énfasis4 7 2 2" xfId="15349" xr:uid="{00000000-0005-0000-0000-0000F83B0000}"/>
    <cellStyle name="40% - Énfasis4 7 2 2 2" xfId="15350" xr:uid="{00000000-0005-0000-0000-0000F93B0000}"/>
    <cellStyle name="40% - Énfasis4 7 2 2 2 2" xfId="15351" xr:uid="{00000000-0005-0000-0000-0000FA3B0000}"/>
    <cellStyle name="40% - Énfasis4 7 2 2 2 2 2" xfId="15352" xr:uid="{00000000-0005-0000-0000-0000FB3B0000}"/>
    <cellStyle name="40% - Énfasis4 7 2 2 2 3" xfId="15353" xr:uid="{00000000-0005-0000-0000-0000FC3B0000}"/>
    <cellStyle name="40% - Énfasis4 7 2 2 3" xfId="15354" xr:uid="{00000000-0005-0000-0000-0000FD3B0000}"/>
    <cellStyle name="40% - Énfasis4 7 2 2 3 2" xfId="15355" xr:uid="{00000000-0005-0000-0000-0000FE3B0000}"/>
    <cellStyle name="40% - Énfasis4 7 2 2 4" xfId="15356" xr:uid="{00000000-0005-0000-0000-0000FF3B0000}"/>
    <cellStyle name="40% - Énfasis4 7 2 3" xfId="15357" xr:uid="{00000000-0005-0000-0000-0000003C0000}"/>
    <cellStyle name="40% - Énfasis4 7 2 3 2" xfId="15358" xr:uid="{00000000-0005-0000-0000-0000013C0000}"/>
    <cellStyle name="40% - Énfasis4 7 2 3 2 2" xfId="15359" xr:uid="{00000000-0005-0000-0000-0000023C0000}"/>
    <cellStyle name="40% - Énfasis4 7 2 3 3" xfId="15360" xr:uid="{00000000-0005-0000-0000-0000033C0000}"/>
    <cellStyle name="40% - Énfasis4 7 2 4" xfId="15361" xr:uid="{00000000-0005-0000-0000-0000043C0000}"/>
    <cellStyle name="40% - Énfasis4 7 2 4 2" xfId="15362" xr:uid="{00000000-0005-0000-0000-0000053C0000}"/>
    <cellStyle name="40% - Énfasis4 7 2 4 2 2" xfId="15363" xr:uid="{00000000-0005-0000-0000-0000063C0000}"/>
    <cellStyle name="40% - Énfasis4 7 2 4 3" xfId="15364" xr:uid="{00000000-0005-0000-0000-0000073C0000}"/>
    <cellStyle name="40% - Énfasis4 7 2 5" xfId="15365" xr:uid="{00000000-0005-0000-0000-0000083C0000}"/>
    <cellStyle name="40% - Énfasis4 7 2 5 2" xfId="15366" xr:uid="{00000000-0005-0000-0000-0000093C0000}"/>
    <cellStyle name="40% - Énfasis4 7 2 6" xfId="15367" xr:uid="{00000000-0005-0000-0000-00000A3C0000}"/>
    <cellStyle name="40% - Énfasis4 7 3" xfId="15368" xr:uid="{00000000-0005-0000-0000-00000B3C0000}"/>
    <cellStyle name="40% - Énfasis4 7 3 2" xfId="15369" xr:uid="{00000000-0005-0000-0000-00000C3C0000}"/>
    <cellStyle name="40% - Énfasis4 7 3 2 2" xfId="15370" xr:uid="{00000000-0005-0000-0000-00000D3C0000}"/>
    <cellStyle name="40% - Énfasis4 7 3 2 2 2" xfId="15371" xr:uid="{00000000-0005-0000-0000-00000E3C0000}"/>
    <cellStyle name="40% - Énfasis4 7 3 2 3" xfId="15372" xr:uid="{00000000-0005-0000-0000-00000F3C0000}"/>
    <cellStyle name="40% - Énfasis4 7 3 3" xfId="15373" xr:uid="{00000000-0005-0000-0000-0000103C0000}"/>
    <cellStyle name="40% - Énfasis4 7 3 3 2" xfId="15374" xr:uid="{00000000-0005-0000-0000-0000113C0000}"/>
    <cellStyle name="40% - Énfasis4 7 3 3 2 2" xfId="15375" xr:uid="{00000000-0005-0000-0000-0000123C0000}"/>
    <cellStyle name="40% - Énfasis4 7 3 3 3" xfId="15376" xr:uid="{00000000-0005-0000-0000-0000133C0000}"/>
    <cellStyle name="40% - Énfasis4 7 3 4" xfId="15377" xr:uid="{00000000-0005-0000-0000-0000143C0000}"/>
    <cellStyle name="40% - Énfasis4 7 3 4 2" xfId="15378" xr:uid="{00000000-0005-0000-0000-0000153C0000}"/>
    <cellStyle name="40% - Énfasis4 7 3 5" xfId="15379" xr:uid="{00000000-0005-0000-0000-0000163C0000}"/>
    <cellStyle name="40% - Énfasis4 7 4" xfId="15380" xr:uid="{00000000-0005-0000-0000-0000173C0000}"/>
    <cellStyle name="40% - Énfasis4 7 4 2" xfId="15381" xr:uid="{00000000-0005-0000-0000-0000183C0000}"/>
    <cellStyle name="40% - Énfasis4 7 4 2 2" xfId="15382" xr:uid="{00000000-0005-0000-0000-0000193C0000}"/>
    <cellStyle name="40% - Énfasis4 7 4 2 2 2" xfId="15383" xr:uid="{00000000-0005-0000-0000-00001A3C0000}"/>
    <cellStyle name="40% - Énfasis4 7 4 2 3" xfId="15384" xr:uid="{00000000-0005-0000-0000-00001B3C0000}"/>
    <cellStyle name="40% - Énfasis4 7 4 3" xfId="15385" xr:uid="{00000000-0005-0000-0000-00001C3C0000}"/>
    <cellStyle name="40% - Énfasis4 7 4 3 2" xfId="15386" xr:uid="{00000000-0005-0000-0000-00001D3C0000}"/>
    <cellStyle name="40% - Énfasis4 7 4 4" xfId="15387" xr:uid="{00000000-0005-0000-0000-00001E3C0000}"/>
    <cellStyle name="40% - Énfasis4 7 5" xfId="15388" xr:uid="{00000000-0005-0000-0000-00001F3C0000}"/>
    <cellStyle name="40% - Énfasis4 7 5 2" xfId="15389" xr:uid="{00000000-0005-0000-0000-0000203C0000}"/>
    <cellStyle name="40% - Énfasis4 7 5 2 2" xfId="15390" xr:uid="{00000000-0005-0000-0000-0000213C0000}"/>
    <cellStyle name="40% - Énfasis4 7 5 3" xfId="15391" xr:uid="{00000000-0005-0000-0000-0000223C0000}"/>
    <cellStyle name="40% - Énfasis4 7 6" xfId="15392" xr:uid="{00000000-0005-0000-0000-0000233C0000}"/>
    <cellStyle name="40% - Énfasis4 7 6 2" xfId="15393" xr:uid="{00000000-0005-0000-0000-0000243C0000}"/>
    <cellStyle name="40% - Énfasis4 7 6 2 2" xfId="15394" xr:uid="{00000000-0005-0000-0000-0000253C0000}"/>
    <cellStyle name="40% - Énfasis4 7 6 3" xfId="15395" xr:uid="{00000000-0005-0000-0000-0000263C0000}"/>
    <cellStyle name="40% - Énfasis4 7 7" xfId="15396" xr:uid="{00000000-0005-0000-0000-0000273C0000}"/>
    <cellStyle name="40% - Énfasis4 7 7 2" xfId="15397" xr:uid="{00000000-0005-0000-0000-0000283C0000}"/>
    <cellStyle name="40% - Énfasis4 7 8" xfId="15398" xr:uid="{00000000-0005-0000-0000-0000293C0000}"/>
    <cellStyle name="40% - Énfasis4 8" xfId="15399" xr:uid="{00000000-0005-0000-0000-00002A3C0000}"/>
    <cellStyle name="40% - Énfasis4 8 2" xfId="15400" xr:uid="{00000000-0005-0000-0000-00002B3C0000}"/>
    <cellStyle name="40% - Énfasis4 8 2 2" xfId="15401" xr:uid="{00000000-0005-0000-0000-00002C3C0000}"/>
    <cellStyle name="40% - Énfasis4 8 2 2 2" xfId="15402" xr:uid="{00000000-0005-0000-0000-00002D3C0000}"/>
    <cellStyle name="40% - Énfasis4 8 2 2 2 2" xfId="15403" xr:uid="{00000000-0005-0000-0000-00002E3C0000}"/>
    <cellStyle name="40% - Énfasis4 8 2 2 2 2 2" xfId="15404" xr:uid="{00000000-0005-0000-0000-00002F3C0000}"/>
    <cellStyle name="40% - Énfasis4 8 2 2 2 3" xfId="15405" xr:uid="{00000000-0005-0000-0000-0000303C0000}"/>
    <cellStyle name="40% - Énfasis4 8 2 2 3" xfId="15406" xr:uid="{00000000-0005-0000-0000-0000313C0000}"/>
    <cellStyle name="40% - Énfasis4 8 2 2 3 2" xfId="15407" xr:uid="{00000000-0005-0000-0000-0000323C0000}"/>
    <cellStyle name="40% - Énfasis4 8 2 2 4" xfId="15408" xr:uid="{00000000-0005-0000-0000-0000333C0000}"/>
    <cellStyle name="40% - Énfasis4 8 2 3" xfId="15409" xr:uid="{00000000-0005-0000-0000-0000343C0000}"/>
    <cellStyle name="40% - Énfasis4 8 2 3 2" xfId="15410" xr:uid="{00000000-0005-0000-0000-0000353C0000}"/>
    <cellStyle name="40% - Énfasis4 8 2 3 2 2" xfId="15411" xr:uid="{00000000-0005-0000-0000-0000363C0000}"/>
    <cellStyle name="40% - Énfasis4 8 2 3 3" xfId="15412" xr:uid="{00000000-0005-0000-0000-0000373C0000}"/>
    <cellStyle name="40% - Énfasis4 8 2 4" xfId="15413" xr:uid="{00000000-0005-0000-0000-0000383C0000}"/>
    <cellStyle name="40% - Énfasis4 8 2 4 2" xfId="15414" xr:uid="{00000000-0005-0000-0000-0000393C0000}"/>
    <cellStyle name="40% - Énfasis4 8 2 4 2 2" xfId="15415" xr:uid="{00000000-0005-0000-0000-00003A3C0000}"/>
    <cellStyle name="40% - Énfasis4 8 2 4 3" xfId="15416" xr:uid="{00000000-0005-0000-0000-00003B3C0000}"/>
    <cellStyle name="40% - Énfasis4 8 2 5" xfId="15417" xr:uid="{00000000-0005-0000-0000-00003C3C0000}"/>
    <cellStyle name="40% - Énfasis4 8 2 5 2" xfId="15418" xr:uid="{00000000-0005-0000-0000-00003D3C0000}"/>
    <cellStyle name="40% - Énfasis4 8 2 6" xfId="15419" xr:uid="{00000000-0005-0000-0000-00003E3C0000}"/>
    <cellStyle name="40% - Énfasis4 8 3" xfId="15420" xr:uid="{00000000-0005-0000-0000-00003F3C0000}"/>
    <cellStyle name="40% - Énfasis4 8 3 2" xfId="15421" xr:uid="{00000000-0005-0000-0000-0000403C0000}"/>
    <cellStyle name="40% - Énfasis4 8 3 2 2" xfId="15422" xr:uid="{00000000-0005-0000-0000-0000413C0000}"/>
    <cellStyle name="40% - Énfasis4 8 3 2 2 2" xfId="15423" xr:uid="{00000000-0005-0000-0000-0000423C0000}"/>
    <cellStyle name="40% - Énfasis4 8 3 2 3" xfId="15424" xr:uid="{00000000-0005-0000-0000-0000433C0000}"/>
    <cellStyle name="40% - Énfasis4 8 3 3" xfId="15425" xr:uid="{00000000-0005-0000-0000-0000443C0000}"/>
    <cellStyle name="40% - Énfasis4 8 3 3 2" xfId="15426" xr:uid="{00000000-0005-0000-0000-0000453C0000}"/>
    <cellStyle name="40% - Énfasis4 8 3 3 2 2" xfId="15427" xr:uid="{00000000-0005-0000-0000-0000463C0000}"/>
    <cellStyle name="40% - Énfasis4 8 3 3 3" xfId="15428" xr:uid="{00000000-0005-0000-0000-0000473C0000}"/>
    <cellStyle name="40% - Énfasis4 8 3 4" xfId="15429" xr:uid="{00000000-0005-0000-0000-0000483C0000}"/>
    <cellStyle name="40% - Énfasis4 8 3 4 2" xfId="15430" xr:uid="{00000000-0005-0000-0000-0000493C0000}"/>
    <cellStyle name="40% - Énfasis4 8 3 5" xfId="15431" xr:uid="{00000000-0005-0000-0000-00004A3C0000}"/>
    <cellStyle name="40% - Énfasis4 8 4" xfId="15432" xr:uid="{00000000-0005-0000-0000-00004B3C0000}"/>
    <cellStyle name="40% - Énfasis4 8 4 2" xfId="15433" xr:uid="{00000000-0005-0000-0000-00004C3C0000}"/>
    <cellStyle name="40% - Énfasis4 8 4 2 2" xfId="15434" xr:uid="{00000000-0005-0000-0000-00004D3C0000}"/>
    <cellStyle name="40% - Énfasis4 8 4 2 2 2" xfId="15435" xr:uid="{00000000-0005-0000-0000-00004E3C0000}"/>
    <cellStyle name="40% - Énfasis4 8 4 2 3" xfId="15436" xr:uid="{00000000-0005-0000-0000-00004F3C0000}"/>
    <cellStyle name="40% - Énfasis4 8 4 3" xfId="15437" xr:uid="{00000000-0005-0000-0000-0000503C0000}"/>
    <cellStyle name="40% - Énfasis4 8 4 3 2" xfId="15438" xr:uid="{00000000-0005-0000-0000-0000513C0000}"/>
    <cellStyle name="40% - Énfasis4 8 4 4" xfId="15439" xr:uid="{00000000-0005-0000-0000-0000523C0000}"/>
    <cellStyle name="40% - Énfasis4 8 5" xfId="15440" xr:uid="{00000000-0005-0000-0000-0000533C0000}"/>
    <cellStyle name="40% - Énfasis4 8 5 2" xfId="15441" xr:uid="{00000000-0005-0000-0000-0000543C0000}"/>
    <cellStyle name="40% - Énfasis4 8 5 2 2" xfId="15442" xr:uid="{00000000-0005-0000-0000-0000553C0000}"/>
    <cellStyle name="40% - Énfasis4 8 5 3" xfId="15443" xr:uid="{00000000-0005-0000-0000-0000563C0000}"/>
    <cellStyle name="40% - Énfasis4 8 6" xfId="15444" xr:uid="{00000000-0005-0000-0000-0000573C0000}"/>
    <cellStyle name="40% - Énfasis4 8 6 2" xfId="15445" xr:uid="{00000000-0005-0000-0000-0000583C0000}"/>
    <cellStyle name="40% - Énfasis4 8 6 2 2" xfId="15446" xr:uid="{00000000-0005-0000-0000-0000593C0000}"/>
    <cellStyle name="40% - Énfasis4 8 6 3" xfId="15447" xr:uid="{00000000-0005-0000-0000-00005A3C0000}"/>
    <cellStyle name="40% - Énfasis4 8 7" xfId="15448" xr:uid="{00000000-0005-0000-0000-00005B3C0000}"/>
    <cellStyle name="40% - Énfasis4 8 7 2" xfId="15449" xr:uid="{00000000-0005-0000-0000-00005C3C0000}"/>
    <cellStyle name="40% - Énfasis4 8 8" xfId="15450" xr:uid="{00000000-0005-0000-0000-00005D3C0000}"/>
    <cellStyle name="40% - Énfasis4 9" xfId="15451" xr:uid="{00000000-0005-0000-0000-00005E3C0000}"/>
    <cellStyle name="40% - Énfasis4 9 2" xfId="15452" xr:uid="{00000000-0005-0000-0000-00005F3C0000}"/>
    <cellStyle name="40% - Énfasis4 9 2 2" xfId="15453" xr:uid="{00000000-0005-0000-0000-0000603C0000}"/>
    <cellStyle name="40% - Énfasis4 9 2 2 2" xfId="15454" xr:uid="{00000000-0005-0000-0000-0000613C0000}"/>
    <cellStyle name="40% - Énfasis4 9 2 2 2 2" xfId="15455" xr:uid="{00000000-0005-0000-0000-0000623C0000}"/>
    <cellStyle name="40% - Énfasis4 9 2 2 2 2 2" xfId="15456" xr:uid="{00000000-0005-0000-0000-0000633C0000}"/>
    <cellStyle name="40% - Énfasis4 9 2 2 2 3" xfId="15457" xr:uid="{00000000-0005-0000-0000-0000643C0000}"/>
    <cellStyle name="40% - Énfasis4 9 2 2 3" xfId="15458" xr:uid="{00000000-0005-0000-0000-0000653C0000}"/>
    <cellStyle name="40% - Énfasis4 9 2 2 3 2" xfId="15459" xr:uid="{00000000-0005-0000-0000-0000663C0000}"/>
    <cellStyle name="40% - Énfasis4 9 2 2 4" xfId="15460" xr:uid="{00000000-0005-0000-0000-0000673C0000}"/>
    <cellStyle name="40% - Énfasis4 9 2 3" xfId="15461" xr:uid="{00000000-0005-0000-0000-0000683C0000}"/>
    <cellStyle name="40% - Énfasis4 9 2 3 2" xfId="15462" xr:uid="{00000000-0005-0000-0000-0000693C0000}"/>
    <cellStyle name="40% - Énfasis4 9 2 3 2 2" xfId="15463" xr:uid="{00000000-0005-0000-0000-00006A3C0000}"/>
    <cellStyle name="40% - Énfasis4 9 2 3 3" xfId="15464" xr:uid="{00000000-0005-0000-0000-00006B3C0000}"/>
    <cellStyle name="40% - Énfasis4 9 2 4" xfId="15465" xr:uid="{00000000-0005-0000-0000-00006C3C0000}"/>
    <cellStyle name="40% - Énfasis4 9 2 4 2" xfId="15466" xr:uid="{00000000-0005-0000-0000-00006D3C0000}"/>
    <cellStyle name="40% - Énfasis4 9 2 4 2 2" xfId="15467" xr:uid="{00000000-0005-0000-0000-00006E3C0000}"/>
    <cellStyle name="40% - Énfasis4 9 2 4 3" xfId="15468" xr:uid="{00000000-0005-0000-0000-00006F3C0000}"/>
    <cellStyle name="40% - Énfasis4 9 2 5" xfId="15469" xr:uid="{00000000-0005-0000-0000-0000703C0000}"/>
    <cellStyle name="40% - Énfasis4 9 2 5 2" xfId="15470" xr:uid="{00000000-0005-0000-0000-0000713C0000}"/>
    <cellStyle name="40% - Énfasis4 9 2 6" xfId="15471" xr:uid="{00000000-0005-0000-0000-0000723C0000}"/>
    <cellStyle name="40% - Énfasis4 9 3" xfId="15472" xr:uid="{00000000-0005-0000-0000-0000733C0000}"/>
    <cellStyle name="40% - Énfasis4 9 3 2" xfId="15473" xr:uid="{00000000-0005-0000-0000-0000743C0000}"/>
    <cellStyle name="40% - Énfasis4 9 3 2 2" xfId="15474" xr:uid="{00000000-0005-0000-0000-0000753C0000}"/>
    <cellStyle name="40% - Énfasis4 9 3 2 2 2" xfId="15475" xr:uid="{00000000-0005-0000-0000-0000763C0000}"/>
    <cellStyle name="40% - Énfasis4 9 3 2 3" xfId="15476" xr:uid="{00000000-0005-0000-0000-0000773C0000}"/>
    <cellStyle name="40% - Énfasis4 9 3 3" xfId="15477" xr:uid="{00000000-0005-0000-0000-0000783C0000}"/>
    <cellStyle name="40% - Énfasis4 9 3 3 2" xfId="15478" xr:uid="{00000000-0005-0000-0000-0000793C0000}"/>
    <cellStyle name="40% - Énfasis4 9 3 3 2 2" xfId="15479" xr:uid="{00000000-0005-0000-0000-00007A3C0000}"/>
    <cellStyle name="40% - Énfasis4 9 3 3 3" xfId="15480" xr:uid="{00000000-0005-0000-0000-00007B3C0000}"/>
    <cellStyle name="40% - Énfasis4 9 3 4" xfId="15481" xr:uid="{00000000-0005-0000-0000-00007C3C0000}"/>
    <cellStyle name="40% - Énfasis4 9 3 4 2" xfId="15482" xr:uid="{00000000-0005-0000-0000-00007D3C0000}"/>
    <cellStyle name="40% - Énfasis4 9 3 5" xfId="15483" xr:uid="{00000000-0005-0000-0000-00007E3C0000}"/>
    <cellStyle name="40% - Énfasis4 9 4" xfId="15484" xr:uid="{00000000-0005-0000-0000-00007F3C0000}"/>
    <cellStyle name="40% - Énfasis4 9 4 2" xfId="15485" xr:uid="{00000000-0005-0000-0000-0000803C0000}"/>
    <cellStyle name="40% - Énfasis4 9 4 2 2" xfId="15486" xr:uid="{00000000-0005-0000-0000-0000813C0000}"/>
    <cellStyle name="40% - Énfasis4 9 4 2 2 2" xfId="15487" xr:uid="{00000000-0005-0000-0000-0000823C0000}"/>
    <cellStyle name="40% - Énfasis4 9 4 2 3" xfId="15488" xr:uid="{00000000-0005-0000-0000-0000833C0000}"/>
    <cellStyle name="40% - Énfasis4 9 4 3" xfId="15489" xr:uid="{00000000-0005-0000-0000-0000843C0000}"/>
    <cellStyle name="40% - Énfasis4 9 4 3 2" xfId="15490" xr:uid="{00000000-0005-0000-0000-0000853C0000}"/>
    <cellStyle name="40% - Énfasis4 9 4 4" xfId="15491" xr:uid="{00000000-0005-0000-0000-0000863C0000}"/>
    <cellStyle name="40% - Énfasis4 9 5" xfId="15492" xr:uid="{00000000-0005-0000-0000-0000873C0000}"/>
    <cellStyle name="40% - Énfasis4 9 5 2" xfId="15493" xr:uid="{00000000-0005-0000-0000-0000883C0000}"/>
    <cellStyle name="40% - Énfasis4 9 5 2 2" xfId="15494" xr:uid="{00000000-0005-0000-0000-0000893C0000}"/>
    <cellStyle name="40% - Énfasis4 9 5 3" xfId="15495" xr:uid="{00000000-0005-0000-0000-00008A3C0000}"/>
    <cellStyle name="40% - Énfasis4 9 6" xfId="15496" xr:uid="{00000000-0005-0000-0000-00008B3C0000}"/>
    <cellStyle name="40% - Énfasis4 9 6 2" xfId="15497" xr:uid="{00000000-0005-0000-0000-00008C3C0000}"/>
    <cellStyle name="40% - Énfasis4 9 6 2 2" xfId="15498" xr:uid="{00000000-0005-0000-0000-00008D3C0000}"/>
    <cellStyle name="40% - Énfasis4 9 6 3" xfId="15499" xr:uid="{00000000-0005-0000-0000-00008E3C0000}"/>
    <cellStyle name="40% - Énfasis4 9 7" xfId="15500" xr:uid="{00000000-0005-0000-0000-00008F3C0000}"/>
    <cellStyle name="40% - Énfasis4 9 7 2" xfId="15501" xr:uid="{00000000-0005-0000-0000-0000903C0000}"/>
    <cellStyle name="40% - Énfasis4 9 8" xfId="15502" xr:uid="{00000000-0005-0000-0000-0000913C0000}"/>
    <cellStyle name="40% - Énfasis5 10" xfId="15503" xr:uid="{00000000-0005-0000-0000-0000923C0000}"/>
    <cellStyle name="40% - Énfasis5 10 2" xfId="15504" xr:uid="{00000000-0005-0000-0000-0000933C0000}"/>
    <cellStyle name="40% - Énfasis5 10 2 2" xfId="15505" xr:uid="{00000000-0005-0000-0000-0000943C0000}"/>
    <cellStyle name="40% - Énfasis5 10 2 2 2" xfId="15506" xr:uid="{00000000-0005-0000-0000-0000953C0000}"/>
    <cellStyle name="40% - Énfasis5 10 2 2 2 2" xfId="15507" xr:uid="{00000000-0005-0000-0000-0000963C0000}"/>
    <cellStyle name="40% - Énfasis5 10 2 2 2 2 2" xfId="15508" xr:uid="{00000000-0005-0000-0000-0000973C0000}"/>
    <cellStyle name="40% - Énfasis5 10 2 2 2 3" xfId="15509" xr:uid="{00000000-0005-0000-0000-0000983C0000}"/>
    <cellStyle name="40% - Énfasis5 10 2 2 3" xfId="15510" xr:uid="{00000000-0005-0000-0000-0000993C0000}"/>
    <cellStyle name="40% - Énfasis5 10 2 2 3 2" xfId="15511" xr:uid="{00000000-0005-0000-0000-00009A3C0000}"/>
    <cellStyle name="40% - Énfasis5 10 2 2 4" xfId="15512" xr:uid="{00000000-0005-0000-0000-00009B3C0000}"/>
    <cellStyle name="40% - Énfasis5 10 2 3" xfId="15513" xr:uid="{00000000-0005-0000-0000-00009C3C0000}"/>
    <cellStyle name="40% - Énfasis5 10 2 3 2" xfId="15514" xr:uid="{00000000-0005-0000-0000-00009D3C0000}"/>
    <cellStyle name="40% - Énfasis5 10 2 3 2 2" xfId="15515" xr:uid="{00000000-0005-0000-0000-00009E3C0000}"/>
    <cellStyle name="40% - Énfasis5 10 2 3 3" xfId="15516" xr:uid="{00000000-0005-0000-0000-00009F3C0000}"/>
    <cellStyle name="40% - Énfasis5 10 2 4" xfId="15517" xr:uid="{00000000-0005-0000-0000-0000A03C0000}"/>
    <cellStyle name="40% - Énfasis5 10 2 4 2" xfId="15518" xr:uid="{00000000-0005-0000-0000-0000A13C0000}"/>
    <cellStyle name="40% - Énfasis5 10 2 4 2 2" xfId="15519" xr:uid="{00000000-0005-0000-0000-0000A23C0000}"/>
    <cellStyle name="40% - Énfasis5 10 2 4 3" xfId="15520" xr:uid="{00000000-0005-0000-0000-0000A33C0000}"/>
    <cellStyle name="40% - Énfasis5 10 2 5" xfId="15521" xr:uid="{00000000-0005-0000-0000-0000A43C0000}"/>
    <cellStyle name="40% - Énfasis5 10 2 5 2" xfId="15522" xr:uid="{00000000-0005-0000-0000-0000A53C0000}"/>
    <cellStyle name="40% - Énfasis5 10 2 6" xfId="15523" xr:uid="{00000000-0005-0000-0000-0000A63C0000}"/>
    <cellStyle name="40% - Énfasis5 10 3" xfId="15524" xr:uid="{00000000-0005-0000-0000-0000A73C0000}"/>
    <cellStyle name="40% - Énfasis5 10 3 2" xfId="15525" xr:uid="{00000000-0005-0000-0000-0000A83C0000}"/>
    <cellStyle name="40% - Énfasis5 10 3 2 2" xfId="15526" xr:uid="{00000000-0005-0000-0000-0000A93C0000}"/>
    <cellStyle name="40% - Énfasis5 10 3 2 2 2" xfId="15527" xr:uid="{00000000-0005-0000-0000-0000AA3C0000}"/>
    <cellStyle name="40% - Énfasis5 10 3 2 3" xfId="15528" xr:uid="{00000000-0005-0000-0000-0000AB3C0000}"/>
    <cellStyle name="40% - Énfasis5 10 3 3" xfId="15529" xr:uid="{00000000-0005-0000-0000-0000AC3C0000}"/>
    <cellStyle name="40% - Énfasis5 10 3 3 2" xfId="15530" xr:uid="{00000000-0005-0000-0000-0000AD3C0000}"/>
    <cellStyle name="40% - Énfasis5 10 3 3 2 2" xfId="15531" xr:uid="{00000000-0005-0000-0000-0000AE3C0000}"/>
    <cellStyle name="40% - Énfasis5 10 3 3 3" xfId="15532" xr:uid="{00000000-0005-0000-0000-0000AF3C0000}"/>
    <cellStyle name="40% - Énfasis5 10 3 4" xfId="15533" xr:uid="{00000000-0005-0000-0000-0000B03C0000}"/>
    <cellStyle name="40% - Énfasis5 10 3 4 2" xfId="15534" xr:uid="{00000000-0005-0000-0000-0000B13C0000}"/>
    <cellStyle name="40% - Énfasis5 10 3 5" xfId="15535" xr:uid="{00000000-0005-0000-0000-0000B23C0000}"/>
    <cellStyle name="40% - Énfasis5 10 4" xfId="15536" xr:uid="{00000000-0005-0000-0000-0000B33C0000}"/>
    <cellStyle name="40% - Énfasis5 10 4 2" xfId="15537" xr:uid="{00000000-0005-0000-0000-0000B43C0000}"/>
    <cellStyle name="40% - Énfasis5 10 4 2 2" xfId="15538" xr:uid="{00000000-0005-0000-0000-0000B53C0000}"/>
    <cellStyle name="40% - Énfasis5 10 4 2 2 2" xfId="15539" xr:uid="{00000000-0005-0000-0000-0000B63C0000}"/>
    <cellStyle name="40% - Énfasis5 10 4 2 3" xfId="15540" xr:uid="{00000000-0005-0000-0000-0000B73C0000}"/>
    <cellStyle name="40% - Énfasis5 10 4 3" xfId="15541" xr:uid="{00000000-0005-0000-0000-0000B83C0000}"/>
    <cellStyle name="40% - Énfasis5 10 4 3 2" xfId="15542" xr:uid="{00000000-0005-0000-0000-0000B93C0000}"/>
    <cellStyle name="40% - Énfasis5 10 4 4" xfId="15543" xr:uid="{00000000-0005-0000-0000-0000BA3C0000}"/>
    <cellStyle name="40% - Énfasis5 10 5" xfId="15544" xr:uid="{00000000-0005-0000-0000-0000BB3C0000}"/>
    <cellStyle name="40% - Énfasis5 10 5 2" xfId="15545" xr:uid="{00000000-0005-0000-0000-0000BC3C0000}"/>
    <cellStyle name="40% - Énfasis5 10 5 2 2" xfId="15546" xr:uid="{00000000-0005-0000-0000-0000BD3C0000}"/>
    <cellStyle name="40% - Énfasis5 10 5 3" xfId="15547" xr:uid="{00000000-0005-0000-0000-0000BE3C0000}"/>
    <cellStyle name="40% - Énfasis5 10 6" xfId="15548" xr:uid="{00000000-0005-0000-0000-0000BF3C0000}"/>
    <cellStyle name="40% - Énfasis5 10 6 2" xfId="15549" xr:uid="{00000000-0005-0000-0000-0000C03C0000}"/>
    <cellStyle name="40% - Énfasis5 10 6 2 2" xfId="15550" xr:uid="{00000000-0005-0000-0000-0000C13C0000}"/>
    <cellStyle name="40% - Énfasis5 10 6 3" xfId="15551" xr:uid="{00000000-0005-0000-0000-0000C23C0000}"/>
    <cellStyle name="40% - Énfasis5 10 7" xfId="15552" xr:uid="{00000000-0005-0000-0000-0000C33C0000}"/>
    <cellStyle name="40% - Énfasis5 10 7 2" xfId="15553" xr:uid="{00000000-0005-0000-0000-0000C43C0000}"/>
    <cellStyle name="40% - Énfasis5 10 8" xfId="15554" xr:uid="{00000000-0005-0000-0000-0000C53C0000}"/>
    <cellStyle name="40% - Énfasis5 11" xfId="15555" xr:uid="{00000000-0005-0000-0000-0000C63C0000}"/>
    <cellStyle name="40% - Énfasis5 11 2" xfId="15556" xr:uid="{00000000-0005-0000-0000-0000C73C0000}"/>
    <cellStyle name="40% - Énfasis5 11 2 2" xfId="15557" xr:uid="{00000000-0005-0000-0000-0000C83C0000}"/>
    <cellStyle name="40% - Énfasis5 11 2 2 2" xfId="15558" xr:uid="{00000000-0005-0000-0000-0000C93C0000}"/>
    <cellStyle name="40% - Énfasis5 11 2 2 2 2" xfId="15559" xr:uid="{00000000-0005-0000-0000-0000CA3C0000}"/>
    <cellStyle name="40% - Énfasis5 11 2 2 2 2 2" xfId="15560" xr:uid="{00000000-0005-0000-0000-0000CB3C0000}"/>
    <cellStyle name="40% - Énfasis5 11 2 2 2 3" xfId="15561" xr:uid="{00000000-0005-0000-0000-0000CC3C0000}"/>
    <cellStyle name="40% - Énfasis5 11 2 2 3" xfId="15562" xr:uid="{00000000-0005-0000-0000-0000CD3C0000}"/>
    <cellStyle name="40% - Énfasis5 11 2 2 3 2" xfId="15563" xr:uid="{00000000-0005-0000-0000-0000CE3C0000}"/>
    <cellStyle name="40% - Énfasis5 11 2 2 4" xfId="15564" xr:uid="{00000000-0005-0000-0000-0000CF3C0000}"/>
    <cellStyle name="40% - Énfasis5 11 2 3" xfId="15565" xr:uid="{00000000-0005-0000-0000-0000D03C0000}"/>
    <cellStyle name="40% - Énfasis5 11 2 3 2" xfId="15566" xr:uid="{00000000-0005-0000-0000-0000D13C0000}"/>
    <cellStyle name="40% - Énfasis5 11 2 3 2 2" xfId="15567" xr:uid="{00000000-0005-0000-0000-0000D23C0000}"/>
    <cellStyle name="40% - Énfasis5 11 2 3 3" xfId="15568" xr:uid="{00000000-0005-0000-0000-0000D33C0000}"/>
    <cellStyle name="40% - Énfasis5 11 2 4" xfId="15569" xr:uid="{00000000-0005-0000-0000-0000D43C0000}"/>
    <cellStyle name="40% - Énfasis5 11 2 4 2" xfId="15570" xr:uid="{00000000-0005-0000-0000-0000D53C0000}"/>
    <cellStyle name="40% - Énfasis5 11 2 4 2 2" xfId="15571" xr:uid="{00000000-0005-0000-0000-0000D63C0000}"/>
    <cellStyle name="40% - Énfasis5 11 2 4 3" xfId="15572" xr:uid="{00000000-0005-0000-0000-0000D73C0000}"/>
    <cellStyle name="40% - Énfasis5 11 2 5" xfId="15573" xr:uid="{00000000-0005-0000-0000-0000D83C0000}"/>
    <cellStyle name="40% - Énfasis5 11 2 5 2" xfId="15574" xr:uid="{00000000-0005-0000-0000-0000D93C0000}"/>
    <cellStyle name="40% - Énfasis5 11 2 6" xfId="15575" xr:uid="{00000000-0005-0000-0000-0000DA3C0000}"/>
    <cellStyle name="40% - Énfasis5 11 3" xfId="15576" xr:uid="{00000000-0005-0000-0000-0000DB3C0000}"/>
    <cellStyle name="40% - Énfasis5 11 3 2" xfId="15577" xr:uid="{00000000-0005-0000-0000-0000DC3C0000}"/>
    <cellStyle name="40% - Énfasis5 11 3 2 2" xfId="15578" xr:uid="{00000000-0005-0000-0000-0000DD3C0000}"/>
    <cellStyle name="40% - Énfasis5 11 3 2 2 2" xfId="15579" xr:uid="{00000000-0005-0000-0000-0000DE3C0000}"/>
    <cellStyle name="40% - Énfasis5 11 3 2 3" xfId="15580" xr:uid="{00000000-0005-0000-0000-0000DF3C0000}"/>
    <cellStyle name="40% - Énfasis5 11 3 3" xfId="15581" xr:uid="{00000000-0005-0000-0000-0000E03C0000}"/>
    <cellStyle name="40% - Énfasis5 11 3 3 2" xfId="15582" xr:uid="{00000000-0005-0000-0000-0000E13C0000}"/>
    <cellStyle name="40% - Énfasis5 11 3 3 2 2" xfId="15583" xr:uid="{00000000-0005-0000-0000-0000E23C0000}"/>
    <cellStyle name="40% - Énfasis5 11 3 3 3" xfId="15584" xr:uid="{00000000-0005-0000-0000-0000E33C0000}"/>
    <cellStyle name="40% - Énfasis5 11 3 4" xfId="15585" xr:uid="{00000000-0005-0000-0000-0000E43C0000}"/>
    <cellStyle name="40% - Énfasis5 11 3 4 2" xfId="15586" xr:uid="{00000000-0005-0000-0000-0000E53C0000}"/>
    <cellStyle name="40% - Énfasis5 11 3 5" xfId="15587" xr:uid="{00000000-0005-0000-0000-0000E63C0000}"/>
    <cellStyle name="40% - Énfasis5 11 4" xfId="15588" xr:uid="{00000000-0005-0000-0000-0000E73C0000}"/>
    <cellStyle name="40% - Énfasis5 11 4 2" xfId="15589" xr:uid="{00000000-0005-0000-0000-0000E83C0000}"/>
    <cellStyle name="40% - Énfasis5 11 4 2 2" xfId="15590" xr:uid="{00000000-0005-0000-0000-0000E93C0000}"/>
    <cellStyle name="40% - Énfasis5 11 4 2 2 2" xfId="15591" xr:uid="{00000000-0005-0000-0000-0000EA3C0000}"/>
    <cellStyle name="40% - Énfasis5 11 4 2 3" xfId="15592" xr:uid="{00000000-0005-0000-0000-0000EB3C0000}"/>
    <cellStyle name="40% - Énfasis5 11 4 3" xfId="15593" xr:uid="{00000000-0005-0000-0000-0000EC3C0000}"/>
    <cellStyle name="40% - Énfasis5 11 4 3 2" xfId="15594" xr:uid="{00000000-0005-0000-0000-0000ED3C0000}"/>
    <cellStyle name="40% - Énfasis5 11 4 4" xfId="15595" xr:uid="{00000000-0005-0000-0000-0000EE3C0000}"/>
    <cellStyle name="40% - Énfasis5 11 5" xfId="15596" xr:uid="{00000000-0005-0000-0000-0000EF3C0000}"/>
    <cellStyle name="40% - Énfasis5 11 5 2" xfId="15597" xr:uid="{00000000-0005-0000-0000-0000F03C0000}"/>
    <cellStyle name="40% - Énfasis5 11 5 2 2" xfId="15598" xr:uid="{00000000-0005-0000-0000-0000F13C0000}"/>
    <cellStyle name="40% - Énfasis5 11 5 3" xfId="15599" xr:uid="{00000000-0005-0000-0000-0000F23C0000}"/>
    <cellStyle name="40% - Énfasis5 11 6" xfId="15600" xr:uid="{00000000-0005-0000-0000-0000F33C0000}"/>
    <cellStyle name="40% - Énfasis5 11 6 2" xfId="15601" xr:uid="{00000000-0005-0000-0000-0000F43C0000}"/>
    <cellStyle name="40% - Énfasis5 11 6 2 2" xfId="15602" xr:uid="{00000000-0005-0000-0000-0000F53C0000}"/>
    <cellStyle name="40% - Énfasis5 11 6 3" xfId="15603" xr:uid="{00000000-0005-0000-0000-0000F63C0000}"/>
    <cellStyle name="40% - Énfasis5 11 7" xfId="15604" xr:uid="{00000000-0005-0000-0000-0000F73C0000}"/>
    <cellStyle name="40% - Énfasis5 11 7 2" xfId="15605" xr:uid="{00000000-0005-0000-0000-0000F83C0000}"/>
    <cellStyle name="40% - Énfasis5 11 8" xfId="15606" xr:uid="{00000000-0005-0000-0000-0000F93C0000}"/>
    <cellStyle name="40% - Énfasis5 12" xfId="15607" xr:uid="{00000000-0005-0000-0000-0000FA3C0000}"/>
    <cellStyle name="40% - Énfasis5 12 2" xfId="15608" xr:uid="{00000000-0005-0000-0000-0000FB3C0000}"/>
    <cellStyle name="40% - Énfasis5 12 2 2" xfId="15609" xr:uid="{00000000-0005-0000-0000-0000FC3C0000}"/>
    <cellStyle name="40% - Énfasis5 12 2 2 2" xfId="15610" xr:uid="{00000000-0005-0000-0000-0000FD3C0000}"/>
    <cellStyle name="40% - Énfasis5 12 2 2 2 2" xfId="15611" xr:uid="{00000000-0005-0000-0000-0000FE3C0000}"/>
    <cellStyle name="40% - Énfasis5 12 2 2 2 2 2" xfId="15612" xr:uid="{00000000-0005-0000-0000-0000FF3C0000}"/>
    <cellStyle name="40% - Énfasis5 12 2 2 2 3" xfId="15613" xr:uid="{00000000-0005-0000-0000-0000003D0000}"/>
    <cellStyle name="40% - Énfasis5 12 2 2 3" xfId="15614" xr:uid="{00000000-0005-0000-0000-0000013D0000}"/>
    <cellStyle name="40% - Énfasis5 12 2 2 3 2" xfId="15615" xr:uid="{00000000-0005-0000-0000-0000023D0000}"/>
    <cellStyle name="40% - Énfasis5 12 2 2 4" xfId="15616" xr:uid="{00000000-0005-0000-0000-0000033D0000}"/>
    <cellStyle name="40% - Énfasis5 12 2 3" xfId="15617" xr:uid="{00000000-0005-0000-0000-0000043D0000}"/>
    <cellStyle name="40% - Énfasis5 12 2 3 2" xfId="15618" xr:uid="{00000000-0005-0000-0000-0000053D0000}"/>
    <cellStyle name="40% - Énfasis5 12 2 3 2 2" xfId="15619" xr:uid="{00000000-0005-0000-0000-0000063D0000}"/>
    <cellStyle name="40% - Énfasis5 12 2 3 3" xfId="15620" xr:uid="{00000000-0005-0000-0000-0000073D0000}"/>
    <cellStyle name="40% - Énfasis5 12 2 4" xfId="15621" xr:uid="{00000000-0005-0000-0000-0000083D0000}"/>
    <cellStyle name="40% - Énfasis5 12 2 4 2" xfId="15622" xr:uid="{00000000-0005-0000-0000-0000093D0000}"/>
    <cellStyle name="40% - Énfasis5 12 2 4 2 2" xfId="15623" xr:uid="{00000000-0005-0000-0000-00000A3D0000}"/>
    <cellStyle name="40% - Énfasis5 12 2 4 3" xfId="15624" xr:uid="{00000000-0005-0000-0000-00000B3D0000}"/>
    <cellStyle name="40% - Énfasis5 12 2 5" xfId="15625" xr:uid="{00000000-0005-0000-0000-00000C3D0000}"/>
    <cellStyle name="40% - Énfasis5 12 2 5 2" xfId="15626" xr:uid="{00000000-0005-0000-0000-00000D3D0000}"/>
    <cellStyle name="40% - Énfasis5 12 2 6" xfId="15627" xr:uid="{00000000-0005-0000-0000-00000E3D0000}"/>
    <cellStyle name="40% - Énfasis5 12 3" xfId="15628" xr:uid="{00000000-0005-0000-0000-00000F3D0000}"/>
    <cellStyle name="40% - Énfasis5 12 3 2" xfId="15629" xr:uid="{00000000-0005-0000-0000-0000103D0000}"/>
    <cellStyle name="40% - Énfasis5 12 3 2 2" xfId="15630" xr:uid="{00000000-0005-0000-0000-0000113D0000}"/>
    <cellStyle name="40% - Énfasis5 12 3 2 2 2" xfId="15631" xr:uid="{00000000-0005-0000-0000-0000123D0000}"/>
    <cellStyle name="40% - Énfasis5 12 3 2 3" xfId="15632" xr:uid="{00000000-0005-0000-0000-0000133D0000}"/>
    <cellStyle name="40% - Énfasis5 12 3 3" xfId="15633" xr:uid="{00000000-0005-0000-0000-0000143D0000}"/>
    <cellStyle name="40% - Énfasis5 12 3 3 2" xfId="15634" xr:uid="{00000000-0005-0000-0000-0000153D0000}"/>
    <cellStyle name="40% - Énfasis5 12 3 3 2 2" xfId="15635" xr:uid="{00000000-0005-0000-0000-0000163D0000}"/>
    <cellStyle name="40% - Énfasis5 12 3 3 3" xfId="15636" xr:uid="{00000000-0005-0000-0000-0000173D0000}"/>
    <cellStyle name="40% - Énfasis5 12 3 4" xfId="15637" xr:uid="{00000000-0005-0000-0000-0000183D0000}"/>
    <cellStyle name="40% - Énfasis5 12 3 4 2" xfId="15638" xr:uid="{00000000-0005-0000-0000-0000193D0000}"/>
    <cellStyle name="40% - Énfasis5 12 3 5" xfId="15639" xr:uid="{00000000-0005-0000-0000-00001A3D0000}"/>
    <cellStyle name="40% - Énfasis5 12 4" xfId="15640" xr:uid="{00000000-0005-0000-0000-00001B3D0000}"/>
    <cellStyle name="40% - Énfasis5 12 4 2" xfId="15641" xr:uid="{00000000-0005-0000-0000-00001C3D0000}"/>
    <cellStyle name="40% - Énfasis5 12 4 2 2" xfId="15642" xr:uid="{00000000-0005-0000-0000-00001D3D0000}"/>
    <cellStyle name="40% - Énfasis5 12 4 2 2 2" xfId="15643" xr:uid="{00000000-0005-0000-0000-00001E3D0000}"/>
    <cellStyle name="40% - Énfasis5 12 4 2 3" xfId="15644" xr:uid="{00000000-0005-0000-0000-00001F3D0000}"/>
    <cellStyle name="40% - Énfasis5 12 4 3" xfId="15645" xr:uid="{00000000-0005-0000-0000-0000203D0000}"/>
    <cellStyle name="40% - Énfasis5 12 4 3 2" xfId="15646" xr:uid="{00000000-0005-0000-0000-0000213D0000}"/>
    <cellStyle name="40% - Énfasis5 12 4 4" xfId="15647" xr:uid="{00000000-0005-0000-0000-0000223D0000}"/>
    <cellStyle name="40% - Énfasis5 12 5" xfId="15648" xr:uid="{00000000-0005-0000-0000-0000233D0000}"/>
    <cellStyle name="40% - Énfasis5 12 5 2" xfId="15649" xr:uid="{00000000-0005-0000-0000-0000243D0000}"/>
    <cellStyle name="40% - Énfasis5 12 5 2 2" xfId="15650" xr:uid="{00000000-0005-0000-0000-0000253D0000}"/>
    <cellStyle name="40% - Énfasis5 12 5 3" xfId="15651" xr:uid="{00000000-0005-0000-0000-0000263D0000}"/>
    <cellStyle name="40% - Énfasis5 12 6" xfId="15652" xr:uid="{00000000-0005-0000-0000-0000273D0000}"/>
    <cellStyle name="40% - Énfasis5 12 6 2" xfId="15653" xr:uid="{00000000-0005-0000-0000-0000283D0000}"/>
    <cellStyle name="40% - Énfasis5 12 6 2 2" xfId="15654" xr:uid="{00000000-0005-0000-0000-0000293D0000}"/>
    <cellStyle name="40% - Énfasis5 12 6 3" xfId="15655" xr:uid="{00000000-0005-0000-0000-00002A3D0000}"/>
    <cellStyle name="40% - Énfasis5 12 7" xfId="15656" xr:uid="{00000000-0005-0000-0000-00002B3D0000}"/>
    <cellStyle name="40% - Énfasis5 12 7 2" xfId="15657" xr:uid="{00000000-0005-0000-0000-00002C3D0000}"/>
    <cellStyle name="40% - Énfasis5 12 8" xfId="15658" xr:uid="{00000000-0005-0000-0000-00002D3D0000}"/>
    <cellStyle name="40% - Énfasis5 13" xfId="15659" xr:uid="{00000000-0005-0000-0000-00002E3D0000}"/>
    <cellStyle name="40% - Énfasis5 13 2" xfId="15660" xr:uid="{00000000-0005-0000-0000-00002F3D0000}"/>
    <cellStyle name="40% - Énfasis5 13 2 2" xfId="15661" xr:uid="{00000000-0005-0000-0000-0000303D0000}"/>
    <cellStyle name="40% - Énfasis5 13 2 2 2" xfId="15662" xr:uid="{00000000-0005-0000-0000-0000313D0000}"/>
    <cellStyle name="40% - Énfasis5 13 2 2 2 2" xfId="15663" xr:uid="{00000000-0005-0000-0000-0000323D0000}"/>
    <cellStyle name="40% - Énfasis5 13 2 2 2 2 2" xfId="15664" xr:uid="{00000000-0005-0000-0000-0000333D0000}"/>
    <cellStyle name="40% - Énfasis5 13 2 2 2 3" xfId="15665" xr:uid="{00000000-0005-0000-0000-0000343D0000}"/>
    <cellStyle name="40% - Énfasis5 13 2 2 3" xfId="15666" xr:uid="{00000000-0005-0000-0000-0000353D0000}"/>
    <cellStyle name="40% - Énfasis5 13 2 2 3 2" xfId="15667" xr:uid="{00000000-0005-0000-0000-0000363D0000}"/>
    <cellStyle name="40% - Énfasis5 13 2 2 4" xfId="15668" xr:uid="{00000000-0005-0000-0000-0000373D0000}"/>
    <cellStyle name="40% - Énfasis5 13 2 3" xfId="15669" xr:uid="{00000000-0005-0000-0000-0000383D0000}"/>
    <cellStyle name="40% - Énfasis5 13 2 3 2" xfId="15670" xr:uid="{00000000-0005-0000-0000-0000393D0000}"/>
    <cellStyle name="40% - Énfasis5 13 2 3 2 2" xfId="15671" xr:uid="{00000000-0005-0000-0000-00003A3D0000}"/>
    <cellStyle name="40% - Énfasis5 13 2 3 3" xfId="15672" xr:uid="{00000000-0005-0000-0000-00003B3D0000}"/>
    <cellStyle name="40% - Énfasis5 13 2 4" xfId="15673" xr:uid="{00000000-0005-0000-0000-00003C3D0000}"/>
    <cellStyle name="40% - Énfasis5 13 2 4 2" xfId="15674" xr:uid="{00000000-0005-0000-0000-00003D3D0000}"/>
    <cellStyle name="40% - Énfasis5 13 2 4 2 2" xfId="15675" xr:uid="{00000000-0005-0000-0000-00003E3D0000}"/>
    <cellStyle name="40% - Énfasis5 13 2 4 3" xfId="15676" xr:uid="{00000000-0005-0000-0000-00003F3D0000}"/>
    <cellStyle name="40% - Énfasis5 13 2 5" xfId="15677" xr:uid="{00000000-0005-0000-0000-0000403D0000}"/>
    <cellStyle name="40% - Énfasis5 13 2 5 2" xfId="15678" xr:uid="{00000000-0005-0000-0000-0000413D0000}"/>
    <cellStyle name="40% - Énfasis5 13 2 6" xfId="15679" xr:uid="{00000000-0005-0000-0000-0000423D0000}"/>
    <cellStyle name="40% - Énfasis5 13 3" xfId="15680" xr:uid="{00000000-0005-0000-0000-0000433D0000}"/>
    <cellStyle name="40% - Énfasis5 13 3 2" xfId="15681" xr:uid="{00000000-0005-0000-0000-0000443D0000}"/>
    <cellStyle name="40% - Énfasis5 13 3 2 2" xfId="15682" xr:uid="{00000000-0005-0000-0000-0000453D0000}"/>
    <cellStyle name="40% - Énfasis5 13 3 2 2 2" xfId="15683" xr:uid="{00000000-0005-0000-0000-0000463D0000}"/>
    <cellStyle name="40% - Énfasis5 13 3 2 3" xfId="15684" xr:uid="{00000000-0005-0000-0000-0000473D0000}"/>
    <cellStyle name="40% - Énfasis5 13 3 3" xfId="15685" xr:uid="{00000000-0005-0000-0000-0000483D0000}"/>
    <cellStyle name="40% - Énfasis5 13 3 3 2" xfId="15686" xr:uid="{00000000-0005-0000-0000-0000493D0000}"/>
    <cellStyle name="40% - Énfasis5 13 3 3 2 2" xfId="15687" xr:uid="{00000000-0005-0000-0000-00004A3D0000}"/>
    <cellStyle name="40% - Énfasis5 13 3 3 3" xfId="15688" xr:uid="{00000000-0005-0000-0000-00004B3D0000}"/>
    <cellStyle name="40% - Énfasis5 13 3 4" xfId="15689" xr:uid="{00000000-0005-0000-0000-00004C3D0000}"/>
    <cellStyle name="40% - Énfasis5 13 3 4 2" xfId="15690" xr:uid="{00000000-0005-0000-0000-00004D3D0000}"/>
    <cellStyle name="40% - Énfasis5 13 3 5" xfId="15691" xr:uid="{00000000-0005-0000-0000-00004E3D0000}"/>
    <cellStyle name="40% - Énfasis5 13 4" xfId="15692" xr:uid="{00000000-0005-0000-0000-00004F3D0000}"/>
    <cellStyle name="40% - Énfasis5 13 4 2" xfId="15693" xr:uid="{00000000-0005-0000-0000-0000503D0000}"/>
    <cellStyle name="40% - Énfasis5 13 4 2 2" xfId="15694" xr:uid="{00000000-0005-0000-0000-0000513D0000}"/>
    <cellStyle name="40% - Énfasis5 13 4 2 2 2" xfId="15695" xr:uid="{00000000-0005-0000-0000-0000523D0000}"/>
    <cellStyle name="40% - Énfasis5 13 4 2 3" xfId="15696" xr:uid="{00000000-0005-0000-0000-0000533D0000}"/>
    <cellStyle name="40% - Énfasis5 13 4 3" xfId="15697" xr:uid="{00000000-0005-0000-0000-0000543D0000}"/>
    <cellStyle name="40% - Énfasis5 13 4 3 2" xfId="15698" xr:uid="{00000000-0005-0000-0000-0000553D0000}"/>
    <cellStyle name="40% - Énfasis5 13 4 4" xfId="15699" xr:uid="{00000000-0005-0000-0000-0000563D0000}"/>
    <cellStyle name="40% - Énfasis5 13 5" xfId="15700" xr:uid="{00000000-0005-0000-0000-0000573D0000}"/>
    <cellStyle name="40% - Énfasis5 13 5 2" xfId="15701" xr:uid="{00000000-0005-0000-0000-0000583D0000}"/>
    <cellStyle name="40% - Énfasis5 13 5 2 2" xfId="15702" xr:uid="{00000000-0005-0000-0000-0000593D0000}"/>
    <cellStyle name="40% - Énfasis5 13 5 3" xfId="15703" xr:uid="{00000000-0005-0000-0000-00005A3D0000}"/>
    <cellStyle name="40% - Énfasis5 13 6" xfId="15704" xr:uid="{00000000-0005-0000-0000-00005B3D0000}"/>
    <cellStyle name="40% - Énfasis5 13 6 2" xfId="15705" xr:uid="{00000000-0005-0000-0000-00005C3D0000}"/>
    <cellStyle name="40% - Énfasis5 13 6 2 2" xfId="15706" xr:uid="{00000000-0005-0000-0000-00005D3D0000}"/>
    <cellStyle name="40% - Énfasis5 13 6 3" xfId="15707" xr:uid="{00000000-0005-0000-0000-00005E3D0000}"/>
    <cellStyle name="40% - Énfasis5 13 7" xfId="15708" xr:uid="{00000000-0005-0000-0000-00005F3D0000}"/>
    <cellStyle name="40% - Énfasis5 13 7 2" xfId="15709" xr:uid="{00000000-0005-0000-0000-0000603D0000}"/>
    <cellStyle name="40% - Énfasis5 13 8" xfId="15710" xr:uid="{00000000-0005-0000-0000-0000613D0000}"/>
    <cellStyle name="40% - Énfasis5 14" xfId="15711" xr:uid="{00000000-0005-0000-0000-0000623D0000}"/>
    <cellStyle name="40% - Énfasis5 14 2" xfId="15712" xr:uid="{00000000-0005-0000-0000-0000633D0000}"/>
    <cellStyle name="40% - Énfasis5 14 2 2" xfId="15713" xr:uid="{00000000-0005-0000-0000-0000643D0000}"/>
    <cellStyle name="40% - Énfasis5 14 2 2 2" xfId="15714" xr:uid="{00000000-0005-0000-0000-0000653D0000}"/>
    <cellStyle name="40% - Énfasis5 14 2 2 2 2" xfId="15715" xr:uid="{00000000-0005-0000-0000-0000663D0000}"/>
    <cellStyle name="40% - Énfasis5 14 2 2 2 2 2" xfId="15716" xr:uid="{00000000-0005-0000-0000-0000673D0000}"/>
    <cellStyle name="40% - Énfasis5 14 2 2 2 3" xfId="15717" xr:uid="{00000000-0005-0000-0000-0000683D0000}"/>
    <cellStyle name="40% - Énfasis5 14 2 2 3" xfId="15718" xr:uid="{00000000-0005-0000-0000-0000693D0000}"/>
    <cellStyle name="40% - Énfasis5 14 2 2 3 2" xfId="15719" xr:uid="{00000000-0005-0000-0000-00006A3D0000}"/>
    <cellStyle name="40% - Énfasis5 14 2 2 4" xfId="15720" xr:uid="{00000000-0005-0000-0000-00006B3D0000}"/>
    <cellStyle name="40% - Énfasis5 14 2 3" xfId="15721" xr:uid="{00000000-0005-0000-0000-00006C3D0000}"/>
    <cellStyle name="40% - Énfasis5 14 2 3 2" xfId="15722" xr:uid="{00000000-0005-0000-0000-00006D3D0000}"/>
    <cellStyle name="40% - Énfasis5 14 2 3 2 2" xfId="15723" xr:uid="{00000000-0005-0000-0000-00006E3D0000}"/>
    <cellStyle name="40% - Énfasis5 14 2 3 3" xfId="15724" xr:uid="{00000000-0005-0000-0000-00006F3D0000}"/>
    <cellStyle name="40% - Énfasis5 14 2 4" xfId="15725" xr:uid="{00000000-0005-0000-0000-0000703D0000}"/>
    <cellStyle name="40% - Énfasis5 14 2 4 2" xfId="15726" xr:uid="{00000000-0005-0000-0000-0000713D0000}"/>
    <cellStyle name="40% - Énfasis5 14 2 4 2 2" xfId="15727" xr:uid="{00000000-0005-0000-0000-0000723D0000}"/>
    <cellStyle name="40% - Énfasis5 14 2 4 3" xfId="15728" xr:uid="{00000000-0005-0000-0000-0000733D0000}"/>
    <cellStyle name="40% - Énfasis5 14 2 5" xfId="15729" xr:uid="{00000000-0005-0000-0000-0000743D0000}"/>
    <cellStyle name="40% - Énfasis5 14 2 5 2" xfId="15730" xr:uid="{00000000-0005-0000-0000-0000753D0000}"/>
    <cellStyle name="40% - Énfasis5 14 2 6" xfId="15731" xr:uid="{00000000-0005-0000-0000-0000763D0000}"/>
    <cellStyle name="40% - Énfasis5 14 3" xfId="15732" xr:uid="{00000000-0005-0000-0000-0000773D0000}"/>
    <cellStyle name="40% - Énfasis5 14 3 2" xfId="15733" xr:uid="{00000000-0005-0000-0000-0000783D0000}"/>
    <cellStyle name="40% - Énfasis5 14 3 2 2" xfId="15734" xr:uid="{00000000-0005-0000-0000-0000793D0000}"/>
    <cellStyle name="40% - Énfasis5 14 3 2 2 2" xfId="15735" xr:uid="{00000000-0005-0000-0000-00007A3D0000}"/>
    <cellStyle name="40% - Énfasis5 14 3 2 3" xfId="15736" xr:uid="{00000000-0005-0000-0000-00007B3D0000}"/>
    <cellStyle name="40% - Énfasis5 14 3 3" xfId="15737" xr:uid="{00000000-0005-0000-0000-00007C3D0000}"/>
    <cellStyle name="40% - Énfasis5 14 3 3 2" xfId="15738" xr:uid="{00000000-0005-0000-0000-00007D3D0000}"/>
    <cellStyle name="40% - Énfasis5 14 3 3 2 2" xfId="15739" xr:uid="{00000000-0005-0000-0000-00007E3D0000}"/>
    <cellStyle name="40% - Énfasis5 14 3 3 3" xfId="15740" xr:uid="{00000000-0005-0000-0000-00007F3D0000}"/>
    <cellStyle name="40% - Énfasis5 14 3 4" xfId="15741" xr:uid="{00000000-0005-0000-0000-0000803D0000}"/>
    <cellStyle name="40% - Énfasis5 14 3 4 2" xfId="15742" xr:uid="{00000000-0005-0000-0000-0000813D0000}"/>
    <cellStyle name="40% - Énfasis5 14 3 5" xfId="15743" xr:uid="{00000000-0005-0000-0000-0000823D0000}"/>
    <cellStyle name="40% - Énfasis5 14 4" xfId="15744" xr:uid="{00000000-0005-0000-0000-0000833D0000}"/>
    <cellStyle name="40% - Énfasis5 14 4 2" xfId="15745" xr:uid="{00000000-0005-0000-0000-0000843D0000}"/>
    <cellStyle name="40% - Énfasis5 14 4 2 2" xfId="15746" xr:uid="{00000000-0005-0000-0000-0000853D0000}"/>
    <cellStyle name="40% - Énfasis5 14 4 2 2 2" xfId="15747" xr:uid="{00000000-0005-0000-0000-0000863D0000}"/>
    <cellStyle name="40% - Énfasis5 14 4 2 3" xfId="15748" xr:uid="{00000000-0005-0000-0000-0000873D0000}"/>
    <cellStyle name="40% - Énfasis5 14 4 3" xfId="15749" xr:uid="{00000000-0005-0000-0000-0000883D0000}"/>
    <cellStyle name="40% - Énfasis5 14 4 3 2" xfId="15750" xr:uid="{00000000-0005-0000-0000-0000893D0000}"/>
    <cellStyle name="40% - Énfasis5 14 4 4" xfId="15751" xr:uid="{00000000-0005-0000-0000-00008A3D0000}"/>
    <cellStyle name="40% - Énfasis5 14 5" xfId="15752" xr:uid="{00000000-0005-0000-0000-00008B3D0000}"/>
    <cellStyle name="40% - Énfasis5 14 5 2" xfId="15753" xr:uid="{00000000-0005-0000-0000-00008C3D0000}"/>
    <cellStyle name="40% - Énfasis5 14 5 2 2" xfId="15754" xr:uid="{00000000-0005-0000-0000-00008D3D0000}"/>
    <cellStyle name="40% - Énfasis5 14 5 3" xfId="15755" xr:uid="{00000000-0005-0000-0000-00008E3D0000}"/>
    <cellStyle name="40% - Énfasis5 14 6" xfId="15756" xr:uid="{00000000-0005-0000-0000-00008F3D0000}"/>
    <cellStyle name="40% - Énfasis5 14 6 2" xfId="15757" xr:uid="{00000000-0005-0000-0000-0000903D0000}"/>
    <cellStyle name="40% - Énfasis5 14 6 2 2" xfId="15758" xr:uid="{00000000-0005-0000-0000-0000913D0000}"/>
    <cellStyle name="40% - Énfasis5 14 6 3" xfId="15759" xr:uid="{00000000-0005-0000-0000-0000923D0000}"/>
    <cellStyle name="40% - Énfasis5 14 7" xfId="15760" xr:uid="{00000000-0005-0000-0000-0000933D0000}"/>
    <cellStyle name="40% - Énfasis5 14 7 2" xfId="15761" xr:uid="{00000000-0005-0000-0000-0000943D0000}"/>
    <cellStyle name="40% - Énfasis5 14 8" xfId="15762" xr:uid="{00000000-0005-0000-0000-0000953D0000}"/>
    <cellStyle name="40% - Énfasis5 15" xfId="15763" xr:uid="{00000000-0005-0000-0000-0000963D0000}"/>
    <cellStyle name="40% - Énfasis5 15 2" xfId="15764" xr:uid="{00000000-0005-0000-0000-0000973D0000}"/>
    <cellStyle name="40% - Énfasis5 15 2 2" xfId="15765" xr:uid="{00000000-0005-0000-0000-0000983D0000}"/>
    <cellStyle name="40% - Énfasis5 15 2 2 2" xfId="15766" xr:uid="{00000000-0005-0000-0000-0000993D0000}"/>
    <cellStyle name="40% - Énfasis5 15 2 2 2 2" xfId="15767" xr:uid="{00000000-0005-0000-0000-00009A3D0000}"/>
    <cellStyle name="40% - Énfasis5 15 2 2 2 2 2" xfId="15768" xr:uid="{00000000-0005-0000-0000-00009B3D0000}"/>
    <cellStyle name="40% - Énfasis5 15 2 2 2 3" xfId="15769" xr:uid="{00000000-0005-0000-0000-00009C3D0000}"/>
    <cellStyle name="40% - Énfasis5 15 2 2 3" xfId="15770" xr:uid="{00000000-0005-0000-0000-00009D3D0000}"/>
    <cellStyle name="40% - Énfasis5 15 2 2 3 2" xfId="15771" xr:uid="{00000000-0005-0000-0000-00009E3D0000}"/>
    <cellStyle name="40% - Énfasis5 15 2 2 4" xfId="15772" xr:uid="{00000000-0005-0000-0000-00009F3D0000}"/>
    <cellStyle name="40% - Énfasis5 15 2 3" xfId="15773" xr:uid="{00000000-0005-0000-0000-0000A03D0000}"/>
    <cellStyle name="40% - Énfasis5 15 2 3 2" xfId="15774" xr:uid="{00000000-0005-0000-0000-0000A13D0000}"/>
    <cellStyle name="40% - Énfasis5 15 2 3 2 2" xfId="15775" xr:uid="{00000000-0005-0000-0000-0000A23D0000}"/>
    <cellStyle name="40% - Énfasis5 15 2 3 3" xfId="15776" xr:uid="{00000000-0005-0000-0000-0000A33D0000}"/>
    <cellStyle name="40% - Énfasis5 15 2 4" xfId="15777" xr:uid="{00000000-0005-0000-0000-0000A43D0000}"/>
    <cellStyle name="40% - Énfasis5 15 2 4 2" xfId="15778" xr:uid="{00000000-0005-0000-0000-0000A53D0000}"/>
    <cellStyle name="40% - Énfasis5 15 2 4 2 2" xfId="15779" xr:uid="{00000000-0005-0000-0000-0000A63D0000}"/>
    <cellStyle name="40% - Énfasis5 15 2 4 3" xfId="15780" xr:uid="{00000000-0005-0000-0000-0000A73D0000}"/>
    <cellStyle name="40% - Énfasis5 15 2 5" xfId="15781" xr:uid="{00000000-0005-0000-0000-0000A83D0000}"/>
    <cellStyle name="40% - Énfasis5 15 2 5 2" xfId="15782" xr:uid="{00000000-0005-0000-0000-0000A93D0000}"/>
    <cellStyle name="40% - Énfasis5 15 2 6" xfId="15783" xr:uid="{00000000-0005-0000-0000-0000AA3D0000}"/>
    <cellStyle name="40% - Énfasis5 15 3" xfId="15784" xr:uid="{00000000-0005-0000-0000-0000AB3D0000}"/>
    <cellStyle name="40% - Énfasis5 15 3 2" xfId="15785" xr:uid="{00000000-0005-0000-0000-0000AC3D0000}"/>
    <cellStyle name="40% - Énfasis5 15 3 2 2" xfId="15786" xr:uid="{00000000-0005-0000-0000-0000AD3D0000}"/>
    <cellStyle name="40% - Énfasis5 15 3 2 2 2" xfId="15787" xr:uid="{00000000-0005-0000-0000-0000AE3D0000}"/>
    <cellStyle name="40% - Énfasis5 15 3 2 3" xfId="15788" xr:uid="{00000000-0005-0000-0000-0000AF3D0000}"/>
    <cellStyle name="40% - Énfasis5 15 3 3" xfId="15789" xr:uid="{00000000-0005-0000-0000-0000B03D0000}"/>
    <cellStyle name="40% - Énfasis5 15 3 3 2" xfId="15790" xr:uid="{00000000-0005-0000-0000-0000B13D0000}"/>
    <cellStyle name="40% - Énfasis5 15 3 3 2 2" xfId="15791" xr:uid="{00000000-0005-0000-0000-0000B23D0000}"/>
    <cellStyle name="40% - Énfasis5 15 3 3 3" xfId="15792" xr:uid="{00000000-0005-0000-0000-0000B33D0000}"/>
    <cellStyle name="40% - Énfasis5 15 3 4" xfId="15793" xr:uid="{00000000-0005-0000-0000-0000B43D0000}"/>
    <cellStyle name="40% - Énfasis5 15 3 4 2" xfId="15794" xr:uid="{00000000-0005-0000-0000-0000B53D0000}"/>
    <cellStyle name="40% - Énfasis5 15 3 5" xfId="15795" xr:uid="{00000000-0005-0000-0000-0000B63D0000}"/>
    <cellStyle name="40% - Énfasis5 15 4" xfId="15796" xr:uid="{00000000-0005-0000-0000-0000B73D0000}"/>
    <cellStyle name="40% - Énfasis5 15 4 2" xfId="15797" xr:uid="{00000000-0005-0000-0000-0000B83D0000}"/>
    <cellStyle name="40% - Énfasis5 15 4 2 2" xfId="15798" xr:uid="{00000000-0005-0000-0000-0000B93D0000}"/>
    <cellStyle name="40% - Énfasis5 15 4 2 2 2" xfId="15799" xr:uid="{00000000-0005-0000-0000-0000BA3D0000}"/>
    <cellStyle name="40% - Énfasis5 15 4 2 3" xfId="15800" xr:uid="{00000000-0005-0000-0000-0000BB3D0000}"/>
    <cellStyle name="40% - Énfasis5 15 4 3" xfId="15801" xr:uid="{00000000-0005-0000-0000-0000BC3D0000}"/>
    <cellStyle name="40% - Énfasis5 15 4 3 2" xfId="15802" xr:uid="{00000000-0005-0000-0000-0000BD3D0000}"/>
    <cellStyle name="40% - Énfasis5 15 4 4" xfId="15803" xr:uid="{00000000-0005-0000-0000-0000BE3D0000}"/>
    <cellStyle name="40% - Énfasis5 15 5" xfId="15804" xr:uid="{00000000-0005-0000-0000-0000BF3D0000}"/>
    <cellStyle name="40% - Énfasis5 15 5 2" xfId="15805" xr:uid="{00000000-0005-0000-0000-0000C03D0000}"/>
    <cellStyle name="40% - Énfasis5 15 5 2 2" xfId="15806" xr:uid="{00000000-0005-0000-0000-0000C13D0000}"/>
    <cellStyle name="40% - Énfasis5 15 5 3" xfId="15807" xr:uid="{00000000-0005-0000-0000-0000C23D0000}"/>
    <cellStyle name="40% - Énfasis5 15 6" xfId="15808" xr:uid="{00000000-0005-0000-0000-0000C33D0000}"/>
    <cellStyle name="40% - Énfasis5 15 6 2" xfId="15809" xr:uid="{00000000-0005-0000-0000-0000C43D0000}"/>
    <cellStyle name="40% - Énfasis5 15 6 2 2" xfId="15810" xr:uid="{00000000-0005-0000-0000-0000C53D0000}"/>
    <cellStyle name="40% - Énfasis5 15 6 3" xfId="15811" xr:uid="{00000000-0005-0000-0000-0000C63D0000}"/>
    <cellStyle name="40% - Énfasis5 15 7" xfId="15812" xr:uid="{00000000-0005-0000-0000-0000C73D0000}"/>
    <cellStyle name="40% - Énfasis5 15 7 2" xfId="15813" xr:uid="{00000000-0005-0000-0000-0000C83D0000}"/>
    <cellStyle name="40% - Énfasis5 15 8" xfId="15814" xr:uid="{00000000-0005-0000-0000-0000C93D0000}"/>
    <cellStyle name="40% - Énfasis5 16" xfId="15815" xr:uid="{00000000-0005-0000-0000-0000CA3D0000}"/>
    <cellStyle name="40% - Énfasis5 16 2" xfId="15816" xr:uid="{00000000-0005-0000-0000-0000CB3D0000}"/>
    <cellStyle name="40% - Énfasis5 16 2 2" xfId="15817" xr:uid="{00000000-0005-0000-0000-0000CC3D0000}"/>
    <cellStyle name="40% - Énfasis5 16 2 2 2" xfId="15818" xr:uid="{00000000-0005-0000-0000-0000CD3D0000}"/>
    <cellStyle name="40% - Énfasis5 16 2 2 2 2" xfId="15819" xr:uid="{00000000-0005-0000-0000-0000CE3D0000}"/>
    <cellStyle name="40% - Énfasis5 16 2 2 3" xfId="15820" xr:uid="{00000000-0005-0000-0000-0000CF3D0000}"/>
    <cellStyle name="40% - Énfasis5 16 2 3" xfId="15821" xr:uid="{00000000-0005-0000-0000-0000D03D0000}"/>
    <cellStyle name="40% - Énfasis5 16 2 3 2" xfId="15822" xr:uid="{00000000-0005-0000-0000-0000D13D0000}"/>
    <cellStyle name="40% - Énfasis5 16 2 3 2 2" xfId="15823" xr:uid="{00000000-0005-0000-0000-0000D23D0000}"/>
    <cellStyle name="40% - Énfasis5 16 2 3 3" xfId="15824" xr:uid="{00000000-0005-0000-0000-0000D33D0000}"/>
    <cellStyle name="40% - Énfasis5 16 2 4" xfId="15825" xr:uid="{00000000-0005-0000-0000-0000D43D0000}"/>
    <cellStyle name="40% - Énfasis5 16 2 4 2" xfId="15826" xr:uid="{00000000-0005-0000-0000-0000D53D0000}"/>
    <cellStyle name="40% - Énfasis5 16 2 5" xfId="15827" xr:uid="{00000000-0005-0000-0000-0000D63D0000}"/>
    <cellStyle name="40% - Énfasis5 16 3" xfId="15828" xr:uid="{00000000-0005-0000-0000-0000D73D0000}"/>
    <cellStyle name="40% - Énfasis5 16 3 2" xfId="15829" xr:uid="{00000000-0005-0000-0000-0000D83D0000}"/>
    <cellStyle name="40% - Énfasis5 16 3 2 2" xfId="15830" xr:uid="{00000000-0005-0000-0000-0000D93D0000}"/>
    <cellStyle name="40% - Énfasis5 16 3 2 2 2" xfId="15831" xr:uid="{00000000-0005-0000-0000-0000DA3D0000}"/>
    <cellStyle name="40% - Énfasis5 16 3 2 3" xfId="15832" xr:uid="{00000000-0005-0000-0000-0000DB3D0000}"/>
    <cellStyle name="40% - Énfasis5 16 3 3" xfId="15833" xr:uid="{00000000-0005-0000-0000-0000DC3D0000}"/>
    <cellStyle name="40% - Énfasis5 16 3 3 2" xfId="15834" xr:uid="{00000000-0005-0000-0000-0000DD3D0000}"/>
    <cellStyle name="40% - Énfasis5 16 3 4" xfId="15835" xr:uid="{00000000-0005-0000-0000-0000DE3D0000}"/>
    <cellStyle name="40% - Énfasis5 16 4" xfId="15836" xr:uid="{00000000-0005-0000-0000-0000DF3D0000}"/>
    <cellStyle name="40% - Énfasis5 16 4 2" xfId="15837" xr:uid="{00000000-0005-0000-0000-0000E03D0000}"/>
    <cellStyle name="40% - Énfasis5 16 4 2 2" xfId="15838" xr:uid="{00000000-0005-0000-0000-0000E13D0000}"/>
    <cellStyle name="40% - Énfasis5 16 4 3" xfId="15839" xr:uid="{00000000-0005-0000-0000-0000E23D0000}"/>
    <cellStyle name="40% - Énfasis5 16 5" xfId="15840" xr:uid="{00000000-0005-0000-0000-0000E33D0000}"/>
    <cellStyle name="40% - Énfasis5 16 5 2" xfId="15841" xr:uid="{00000000-0005-0000-0000-0000E43D0000}"/>
    <cellStyle name="40% - Énfasis5 16 5 2 2" xfId="15842" xr:uid="{00000000-0005-0000-0000-0000E53D0000}"/>
    <cellStyle name="40% - Énfasis5 16 5 3" xfId="15843" xr:uid="{00000000-0005-0000-0000-0000E63D0000}"/>
    <cellStyle name="40% - Énfasis5 16 6" xfId="15844" xr:uid="{00000000-0005-0000-0000-0000E73D0000}"/>
    <cellStyle name="40% - Énfasis5 16 6 2" xfId="15845" xr:uid="{00000000-0005-0000-0000-0000E83D0000}"/>
    <cellStyle name="40% - Énfasis5 16 7" xfId="15846" xr:uid="{00000000-0005-0000-0000-0000E93D0000}"/>
    <cellStyle name="40% - Énfasis5 17" xfId="15847" xr:uid="{00000000-0005-0000-0000-0000EA3D0000}"/>
    <cellStyle name="40% - Énfasis5 17 2" xfId="15848" xr:uid="{00000000-0005-0000-0000-0000EB3D0000}"/>
    <cellStyle name="40% - Énfasis5 17 2 2" xfId="15849" xr:uid="{00000000-0005-0000-0000-0000EC3D0000}"/>
    <cellStyle name="40% - Énfasis5 17 2 2 2" xfId="15850" xr:uid="{00000000-0005-0000-0000-0000ED3D0000}"/>
    <cellStyle name="40% - Énfasis5 17 2 2 2 2" xfId="15851" xr:uid="{00000000-0005-0000-0000-0000EE3D0000}"/>
    <cellStyle name="40% - Énfasis5 17 2 2 3" xfId="15852" xr:uid="{00000000-0005-0000-0000-0000EF3D0000}"/>
    <cellStyle name="40% - Énfasis5 17 2 3" xfId="15853" xr:uid="{00000000-0005-0000-0000-0000F03D0000}"/>
    <cellStyle name="40% - Énfasis5 17 2 3 2" xfId="15854" xr:uid="{00000000-0005-0000-0000-0000F13D0000}"/>
    <cellStyle name="40% - Énfasis5 17 2 3 2 2" xfId="15855" xr:uid="{00000000-0005-0000-0000-0000F23D0000}"/>
    <cellStyle name="40% - Énfasis5 17 2 3 3" xfId="15856" xr:uid="{00000000-0005-0000-0000-0000F33D0000}"/>
    <cellStyle name="40% - Énfasis5 17 2 4" xfId="15857" xr:uid="{00000000-0005-0000-0000-0000F43D0000}"/>
    <cellStyle name="40% - Énfasis5 17 2 4 2" xfId="15858" xr:uid="{00000000-0005-0000-0000-0000F53D0000}"/>
    <cellStyle name="40% - Énfasis5 17 2 5" xfId="15859" xr:uid="{00000000-0005-0000-0000-0000F63D0000}"/>
    <cellStyle name="40% - Énfasis5 17 3" xfId="15860" xr:uid="{00000000-0005-0000-0000-0000F73D0000}"/>
    <cellStyle name="40% - Énfasis5 17 3 2" xfId="15861" xr:uid="{00000000-0005-0000-0000-0000F83D0000}"/>
    <cellStyle name="40% - Énfasis5 17 3 2 2" xfId="15862" xr:uid="{00000000-0005-0000-0000-0000F93D0000}"/>
    <cellStyle name="40% - Énfasis5 17 3 2 2 2" xfId="15863" xr:uid="{00000000-0005-0000-0000-0000FA3D0000}"/>
    <cellStyle name="40% - Énfasis5 17 3 2 3" xfId="15864" xr:uid="{00000000-0005-0000-0000-0000FB3D0000}"/>
    <cellStyle name="40% - Énfasis5 17 3 3" xfId="15865" xr:uid="{00000000-0005-0000-0000-0000FC3D0000}"/>
    <cellStyle name="40% - Énfasis5 17 3 3 2" xfId="15866" xr:uid="{00000000-0005-0000-0000-0000FD3D0000}"/>
    <cellStyle name="40% - Énfasis5 17 3 4" xfId="15867" xr:uid="{00000000-0005-0000-0000-0000FE3D0000}"/>
    <cellStyle name="40% - Énfasis5 17 4" xfId="15868" xr:uid="{00000000-0005-0000-0000-0000FF3D0000}"/>
    <cellStyle name="40% - Énfasis5 17 4 2" xfId="15869" xr:uid="{00000000-0005-0000-0000-0000003E0000}"/>
    <cellStyle name="40% - Énfasis5 17 4 2 2" xfId="15870" xr:uid="{00000000-0005-0000-0000-0000013E0000}"/>
    <cellStyle name="40% - Énfasis5 17 4 3" xfId="15871" xr:uid="{00000000-0005-0000-0000-0000023E0000}"/>
    <cellStyle name="40% - Énfasis5 17 5" xfId="15872" xr:uid="{00000000-0005-0000-0000-0000033E0000}"/>
    <cellStyle name="40% - Énfasis5 17 5 2" xfId="15873" xr:uid="{00000000-0005-0000-0000-0000043E0000}"/>
    <cellStyle name="40% - Énfasis5 17 5 2 2" xfId="15874" xr:uid="{00000000-0005-0000-0000-0000053E0000}"/>
    <cellStyle name="40% - Énfasis5 17 5 3" xfId="15875" xr:uid="{00000000-0005-0000-0000-0000063E0000}"/>
    <cellStyle name="40% - Énfasis5 17 6" xfId="15876" xr:uid="{00000000-0005-0000-0000-0000073E0000}"/>
    <cellStyle name="40% - Énfasis5 17 6 2" xfId="15877" xr:uid="{00000000-0005-0000-0000-0000083E0000}"/>
    <cellStyle name="40% - Énfasis5 17 7" xfId="15878" xr:uid="{00000000-0005-0000-0000-0000093E0000}"/>
    <cellStyle name="40% - Énfasis5 18" xfId="15879" xr:uid="{00000000-0005-0000-0000-00000A3E0000}"/>
    <cellStyle name="40% - Énfasis5 18 2" xfId="15880" xr:uid="{00000000-0005-0000-0000-00000B3E0000}"/>
    <cellStyle name="40% - Énfasis5 18 2 2" xfId="15881" xr:uid="{00000000-0005-0000-0000-00000C3E0000}"/>
    <cellStyle name="40% - Énfasis5 18 2 2 2" xfId="15882" xr:uid="{00000000-0005-0000-0000-00000D3E0000}"/>
    <cellStyle name="40% - Énfasis5 18 2 2 2 2" xfId="15883" xr:uid="{00000000-0005-0000-0000-00000E3E0000}"/>
    <cellStyle name="40% - Énfasis5 18 2 2 3" xfId="15884" xr:uid="{00000000-0005-0000-0000-00000F3E0000}"/>
    <cellStyle name="40% - Énfasis5 18 2 3" xfId="15885" xr:uid="{00000000-0005-0000-0000-0000103E0000}"/>
    <cellStyle name="40% - Énfasis5 18 2 3 2" xfId="15886" xr:uid="{00000000-0005-0000-0000-0000113E0000}"/>
    <cellStyle name="40% - Énfasis5 18 2 3 2 2" xfId="15887" xr:uid="{00000000-0005-0000-0000-0000123E0000}"/>
    <cellStyle name="40% - Énfasis5 18 2 3 3" xfId="15888" xr:uid="{00000000-0005-0000-0000-0000133E0000}"/>
    <cellStyle name="40% - Énfasis5 18 2 4" xfId="15889" xr:uid="{00000000-0005-0000-0000-0000143E0000}"/>
    <cellStyle name="40% - Énfasis5 18 2 4 2" xfId="15890" xr:uid="{00000000-0005-0000-0000-0000153E0000}"/>
    <cellStyle name="40% - Énfasis5 18 2 5" xfId="15891" xr:uid="{00000000-0005-0000-0000-0000163E0000}"/>
    <cellStyle name="40% - Énfasis5 18 3" xfId="15892" xr:uid="{00000000-0005-0000-0000-0000173E0000}"/>
    <cellStyle name="40% - Énfasis5 18 3 2" xfId="15893" xr:uid="{00000000-0005-0000-0000-0000183E0000}"/>
    <cellStyle name="40% - Énfasis5 18 3 2 2" xfId="15894" xr:uid="{00000000-0005-0000-0000-0000193E0000}"/>
    <cellStyle name="40% - Énfasis5 18 3 2 2 2" xfId="15895" xr:uid="{00000000-0005-0000-0000-00001A3E0000}"/>
    <cellStyle name="40% - Énfasis5 18 3 2 3" xfId="15896" xr:uid="{00000000-0005-0000-0000-00001B3E0000}"/>
    <cellStyle name="40% - Énfasis5 18 3 3" xfId="15897" xr:uid="{00000000-0005-0000-0000-00001C3E0000}"/>
    <cellStyle name="40% - Énfasis5 18 3 3 2" xfId="15898" xr:uid="{00000000-0005-0000-0000-00001D3E0000}"/>
    <cellStyle name="40% - Énfasis5 18 3 4" xfId="15899" xr:uid="{00000000-0005-0000-0000-00001E3E0000}"/>
    <cellStyle name="40% - Énfasis5 18 4" xfId="15900" xr:uid="{00000000-0005-0000-0000-00001F3E0000}"/>
    <cellStyle name="40% - Énfasis5 18 4 2" xfId="15901" xr:uid="{00000000-0005-0000-0000-0000203E0000}"/>
    <cellStyle name="40% - Énfasis5 18 4 2 2" xfId="15902" xr:uid="{00000000-0005-0000-0000-0000213E0000}"/>
    <cellStyle name="40% - Énfasis5 18 4 3" xfId="15903" xr:uid="{00000000-0005-0000-0000-0000223E0000}"/>
    <cellStyle name="40% - Énfasis5 18 5" xfId="15904" xr:uid="{00000000-0005-0000-0000-0000233E0000}"/>
    <cellStyle name="40% - Énfasis5 18 5 2" xfId="15905" xr:uid="{00000000-0005-0000-0000-0000243E0000}"/>
    <cellStyle name="40% - Énfasis5 18 5 2 2" xfId="15906" xr:uid="{00000000-0005-0000-0000-0000253E0000}"/>
    <cellStyle name="40% - Énfasis5 18 5 3" xfId="15907" xr:uid="{00000000-0005-0000-0000-0000263E0000}"/>
    <cellStyle name="40% - Énfasis5 18 6" xfId="15908" xr:uid="{00000000-0005-0000-0000-0000273E0000}"/>
    <cellStyle name="40% - Énfasis5 18 6 2" xfId="15909" xr:uid="{00000000-0005-0000-0000-0000283E0000}"/>
    <cellStyle name="40% - Énfasis5 18 7" xfId="15910" xr:uid="{00000000-0005-0000-0000-0000293E0000}"/>
    <cellStyle name="40% - Énfasis5 19" xfId="15911" xr:uid="{00000000-0005-0000-0000-00002A3E0000}"/>
    <cellStyle name="40% - Énfasis5 19 2" xfId="15912" xr:uid="{00000000-0005-0000-0000-00002B3E0000}"/>
    <cellStyle name="40% - Énfasis5 19 2 2" xfId="15913" xr:uid="{00000000-0005-0000-0000-00002C3E0000}"/>
    <cellStyle name="40% - Énfasis5 19 2 2 2" xfId="15914" xr:uid="{00000000-0005-0000-0000-00002D3E0000}"/>
    <cellStyle name="40% - Énfasis5 19 2 2 2 2" xfId="15915" xr:uid="{00000000-0005-0000-0000-00002E3E0000}"/>
    <cellStyle name="40% - Énfasis5 19 2 2 3" xfId="15916" xr:uid="{00000000-0005-0000-0000-00002F3E0000}"/>
    <cellStyle name="40% - Énfasis5 19 2 3" xfId="15917" xr:uid="{00000000-0005-0000-0000-0000303E0000}"/>
    <cellStyle name="40% - Énfasis5 19 2 3 2" xfId="15918" xr:uid="{00000000-0005-0000-0000-0000313E0000}"/>
    <cellStyle name="40% - Énfasis5 19 2 3 2 2" xfId="15919" xr:uid="{00000000-0005-0000-0000-0000323E0000}"/>
    <cellStyle name="40% - Énfasis5 19 2 3 3" xfId="15920" xr:uid="{00000000-0005-0000-0000-0000333E0000}"/>
    <cellStyle name="40% - Énfasis5 19 2 4" xfId="15921" xr:uid="{00000000-0005-0000-0000-0000343E0000}"/>
    <cellStyle name="40% - Énfasis5 19 2 4 2" xfId="15922" xr:uid="{00000000-0005-0000-0000-0000353E0000}"/>
    <cellStyle name="40% - Énfasis5 19 2 5" xfId="15923" xr:uid="{00000000-0005-0000-0000-0000363E0000}"/>
    <cellStyle name="40% - Énfasis5 19 3" xfId="15924" xr:uid="{00000000-0005-0000-0000-0000373E0000}"/>
    <cellStyle name="40% - Énfasis5 19 3 2" xfId="15925" xr:uid="{00000000-0005-0000-0000-0000383E0000}"/>
    <cellStyle name="40% - Énfasis5 19 3 2 2" xfId="15926" xr:uid="{00000000-0005-0000-0000-0000393E0000}"/>
    <cellStyle name="40% - Énfasis5 19 3 2 2 2" xfId="15927" xr:uid="{00000000-0005-0000-0000-00003A3E0000}"/>
    <cellStyle name="40% - Énfasis5 19 3 2 3" xfId="15928" xr:uid="{00000000-0005-0000-0000-00003B3E0000}"/>
    <cellStyle name="40% - Énfasis5 19 3 3" xfId="15929" xr:uid="{00000000-0005-0000-0000-00003C3E0000}"/>
    <cellStyle name="40% - Énfasis5 19 3 3 2" xfId="15930" xr:uid="{00000000-0005-0000-0000-00003D3E0000}"/>
    <cellStyle name="40% - Énfasis5 19 3 4" xfId="15931" xr:uid="{00000000-0005-0000-0000-00003E3E0000}"/>
    <cellStyle name="40% - Énfasis5 19 4" xfId="15932" xr:uid="{00000000-0005-0000-0000-00003F3E0000}"/>
    <cellStyle name="40% - Énfasis5 19 4 2" xfId="15933" xr:uid="{00000000-0005-0000-0000-0000403E0000}"/>
    <cellStyle name="40% - Énfasis5 19 4 2 2" xfId="15934" xr:uid="{00000000-0005-0000-0000-0000413E0000}"/>
    <cellStyle name="40% - Énfasis5 19 4 3" xfId="15935" xr:uid="{00000000-0005-0000-0000-0000423E0000}"/>
    <cellStyle name="40% - Énfasis5 19 5" xfId="15936" xr:uid="{00000000-0005-0000-0000-0000433E0000}"/>
    <cellStyle name="40% - Énfasis5 19 5 2" xfId="15937" xr:uid="{00000000-0005-0000-0000-0000443E0000}"/>
    <cellStyle name="40% - Énfasis5 19 5 2 2" xfId="15938" xr:uid="{00000000-0005-0000-0000-0000453E0000}"/>
    <cellStyle name="40% - Énfasis5 19 5 3" xfId="15939" xr:uid="{00000000-0005-0000-0000-0000463E0000}"/>
    <cellStyle name="40% - Énfasis5 19 6" xfId="15940" xr:uid="{00000000-0005-0000-0000-0000473E0000}"/>
    <cellStyle name="40% - Énfasis5 19 6 2" xfId="15941" xr:uid="{00000000-0005-0000-0000-0000483E0000}"/>
    <cellStyle name="40% - Énfasis5 19 7" xfId="15942" xr:uid="{00000000-0005-0000-0000-0000493E0000}"/>
    <cellStyle name="40% - Énfasis5 2" xfId="15943" xr:uid="{00000000-0005-0000-0000-00004A3E0000}"/>
    <cellStyle name="40% - Énfasis5 2 2" xfId="15944" xr:uid="{00000000-0005-0000-0000-00004B3E0000}"/>
    <cellStyle name="40% - Énfasis5 2 2 2" xfId="15945" xr:uid="{00000000-0005-0000-0000-00004C3E0000}"/>
    <cellStyle name="40% - Énfasis5 2 2 2 2" xfId="15946" xr:uid="{00000000-0005-0000-0000-00004D3E0000}"/>
    <cellStyle name="40% - Énfasis5 2 2 2 2 2" xfId="15947" xr:uid="{00000000-0005-0000-0000-00004E3E0000}"/>
    <cellStyle name="40% - Énfasis5 2 2 2 2 2 2" xfId="15948" xr:uid="{00000000-0005-0000-0000-00004F3E0000}"/>
    <cellStyle name="40% - Énfasis5 2 2 2 2 3" xfId="15949" xr:uid="{00000000-0005-0000-0000-0000503E0000}"/>
    <cellStyle name="40% - Énfasis5 2 2 2 3" xfId="15950" xr:uid="{00000000-0005-0000-0000-0000513E0000}"/>
    <cellStyle name="40% - Énfasis5 2 2 2 3 2" xfId="15951" xr:uid="{00000000-0005-0000-0000-0000523E0000}"/>
    <cellStyle name="40% - Énfasis5 2 2 2 4" xfId="15952" xr:uid="{00000000-0005-0000-0000-0000533E0000}"/>
    <cellStyle name="40% - Énfasis5 2 2 3" xfId="15953" xr:uid="{00000000-0005-0000-0000-0000543E0000}"/>
    <cellStyle name="40% - Énfasis5 2 2 3 2" xfId="15954" xr:uid="{00000000-0005-0000-0000-0000553E0000}"/>
    <cellStyle name="40% - Énfasis5 2 2 3 2 2" xfId="15955" xr:uid="{00000000-0005-0000-0000-0000563E0000}"/>
    <cellStyle name="40% - Énfasis5 2 2 3 3" xfId="15956" xr:uid="{00000000-0005-0000-0000-0000573E0000}"/>
    <cellStyle name="40% - Énfasis5 2 2 4" xfId="15957" xr:uid="{00000000-0005-0000-0000-0000583E0000}"/>
    <cellStyle name="40% - Énfasis5 2 2 4 2" xfId="15958" xr:uid="{00000000-0005-0000-0000-0000593E0000}"/>
    <cellStyle name="40% - Énfasis5 2 2 4 2 2" xfId="15959" xr:uid="{00000000-0005-0000-0000-00005A3E0000}"/>
    <cellStyle name="40% - Énfasis5 2 2 4 3" xfId="15960" xr:uid="{00000000-0005-0000-0000-00005B3E0000}"/>
    <cellStyle name="40% - Énfasis5 2 2 5" xfId="15961" xr:uid="{00000000-0005-0000-0000-00005C3E0000}"/>
    <cellStyle name="40% - Énfasis5 2 2 5 2" xfId="15962" xr:uid="{00000000-0005-0000-0000-00005D3E0000}"/>
    <cellStyle name="40% - Énfasis5 2 2 6" xfId="15963" xr:uid="{00000000-0005-0000-0000-00005E3E0000}"/>
    <cellStyle name="40% - Énfasis5 2 3" xfId="15964" xr:uid="{00000000-0005-0000-0000-00005F3E0000}"/>
    <cellStyle name="40% - Énfasis5 2 3 2" xfId="15965" xr:uid="{00000000-0005-0000-0000-0000603E0000}"/>
    <cellStyle name="40% - Énfasis5 2 3 2 2" xfId="15966" xr:uid="{00000000-0005-0000-0000-0000613E0000}"/>
    <cellStyle name="40% - Énfasis5 2 3 2 2 2" xfId="15967" xr:uid="{00000000-0005-0000-0000-0000623E0000}"/>
    <cellStyle name="40% - Énfasis5 2 3 2 3" xfId="15968" xr:uid="{00000000-0005-0000-0000-0000633E0000}"/>
    <cellStyle name="40% - Énfasis5 2 3 3" xfId="15969" xr:uid="{00000000-0005-0000-0000-0000643E0000}"/>
    <cellStyle name="40% - Énfasis5 2 3 3 2" xfId="15970" xr:uid="{00000000-0005-0000-0000-0000653E0000}"/>
    <cellStyle name="40% - Énfasis5 2 3 3 2 2" xfId="15971" xr:uid="{00000000-0005-0000-0000-0000663E0000}"/>
    <cellStyle name="40% - Énfasis5 2 3 3 3" xfId="15972" xr:uid="{00000000-0005-0000-0000-0000673E0000}"/>
    <cellStyle name="40% - Énfasis5 2 3 4" xfId="15973" xr:uid="{00000000-0005-0000-0000-0000683E0000}"/>
    <cellStyle name="40% - Énfasis5 2 3 4 2" xfId="15974" xr:uid="{00000000-0005-0000-0000-0000693E0000}"/>
    <cellStyle name="40% - Énfasis5 2 3 5" xfId="15975" xr:uid="{00000000-0005-0000-0000-00006A3E0000}"/>
    <cellStyle name="40% - Énfasis5 2 4" xfId="15976" xr:uid="{00000000-0005-0000-0000-00006B3E0000}"/>
    <cellStyle name="40% - Énfasis5 2 4 2" xfId="15977" xr:uid="{00000000-0005-0000-0000-00006C3E0000}"/>
    <cellStyle name="40% - Énfasis5 2 4 2 2" xfId="15978" xr:uid="{00000000-0005-0000-0000-00006D3E0000}"/>
    <cellStyle name="40% - Énfasis5 2 4 2 2 2" xfId="15979" xr:uid="{00000000-0005-0000-0000-00006E3E0000}"/>
    <cellStyle name="40% - Énfasis5 2 4 2 3" xfId="15980" xr:uid="{00000000-0005-0000-0000-00006F3E0000}"/>
    <cellStyle name="40% - Énfasis5 2 4 3" xfId="15981" xr:uid="{00000000-0005-0000-0000-0000703E0000}"/>
    <cellStyle name="40% - Énfasis5 2 4 3 2" xfId="15982" xr:uid="{00000000-0005-0000-0000-0000713E0000}"/>
    <cellStyle name="40% - Énfasis5 2 4 4" xfId="15983" xr:uid="{00000000-0005-0000-0000-0000723E0000}"/>
    <cellStyle name="40% - Énfasis5 2 5" xfId="15984" xr:uid="{00000000-0005-0000-0000-0000733E0000}"/>
    <cellStyle name="40% - Énfasis5 2 5 2" xfId="15985" xr:uid="{00000000-0005-0000-0000-0000743E0000}"/>
    <cellStyle name="40% - Énfasis5 2 5 2 2" xfId="15986" xr:uid="{00000000-0005-0000-0000-0000753E0000}"/>
    <cellStyle name="40% - Énfasis5 2 5 3" xfId="15987" xr:uid="{00000000-0005-0000-0000-0000763E0000}"/>
    <cellStyle name="40% - Énfasis5 2 6" xfId="15988" xr:uid="{00000000-0005-0000-0000-0000773E0000}"/>
    <cellStyle name="40% - Énfasis5 2 6 2" xfId="15989" xr:uid="{00000000-0005-0000-0000-0000783E0000}"/>
    <cellStyle name="40% - Énfasis5 2 6 2 2" xfId="15990" xr:uid="{00000000-0005-0000-0000-0000793E0000}"/>
    <cellStyle name="40% - Énfasis5 2 6 3" xfId="15991" xr:uid="{00000000-0005-0000-0000-00007A3E0000}"/>
    <cellStyle name="40% - Énfasis5 2 7" xfId="15992" xr:uid="{00000000-0005-0000-0000-00007B3E0000}"/>
    <cellStyle name="40% - Énfasis5 2 7 2" xfId="15993" xr:uid="{00000000-0005-0000-0000-00007C3E0000}"/>
    <cellStyle name="40% - Énfasis5 2 8" xfId="15994" xr:uid="{00000000-0005-0000-0000-00007D3E0000}"/>
    <cellStyle name="40% - Énfasis5 20" xfId="15995" xr:uid="{00000000-0005-0000-0000-00007E3E0000}"/>
    <cellStyle name="40% - Énfasis5 20 2" xfId="15996" xr:uid="{00000000-0005-0000-0000-00007F3E0000}"/>
    <cellStyle name="40% - Énfasis5 20 2 2" xfId="15997" xr:uid="{00000000-0005-0000-0000-0000803E0000}"/>
    <cellStyle name="40% - Énfasis5 20 2 2 2" xfId="15998" xr:uid="{00000000-0005-0000-0000-0000813E0000}"/>
    <cellStyle name="40% - Énfasis5 20 2 2 2 2" xfId="15999" xr:uid="{00000000-0005-0000-0000-0000823E0000}"/>
    <cellStyle name="40% - Énfasis5 20 2 2 3" xfId="16000" xr:uid="{00000000-0005-0000-0000-0000833E0000}"/>
    <cellStyle name="40% - Énfasis5 20 2 3" xfId="16001" xr:uid="{00000000-0005-0000-0000-0000843E0000}"/>
    <cellStyle name="40% - Énfasis5 20 2 3 2" xfId="16002" xr:uid="{00000000-0005-0000-0000-0000853E0000}"/>
    <cellStyle name="40% - Énfasis5 20 2 3 2 2" xfId="16003" xr:uid="{00000000-0005-0000-0000-0000863E0000}"/>
    <cellStyle name="40% - Énfasis5 20 2 3 3" xfId="16004" xr:uid="{00000000-0005-0000-0000-0000873E0000}"/>
    <cellStyle name="40% - Énfasis5 20 2 4" xfId="16005" xr:uid="{00000000-0005-0000-0000-0000883E0000}"/>
    <cellStyle name="40% - Énfasis5 20 2 4 2" xfId="16006" xr:uid="{00000000-0005-0000-0000-0000893E0000}"/>
    <cellStyle name="40% - Énfasis5 20 2 5" xfId="16007" xr:uid="{00000000-0005-0000-0000-00008A3E0000}"/>
    <cellStyle name="40% - Énfasis5 20 3" xfId="16008" xr:uid="{00000000-0005-0000-0000-00008B3E0000}"/>
    <cellStyle name="40% - Énfasis5 20 3 2" xfId="16009" xr:uid="{00000000-0005-0000-0000-00008C3E0000}"/>
    <cellStyle name="40% - Énfasis5 20 3 2 2" xfId="16010" xr:uid="{00000000-0005-0000-0000-00008D3E0000}"/>
    <cellStyle name="40% - Énfasis5 20 3 2 2 2" xfId="16011" xr:uid="{00000000-0005-0000-0000-00008E3E0000}"/>
    <cellStyle name="40% - Énfasis5 20 3 2 3" xfId="16012" xr:uid="{00000000-0005-0000-0000-00008F3E0000}"/>
    <cellStyle name="40% - Énfasis5 20 3 3" xfId="16013" xr:uid="{00000000-0005-0000-0000-0000903E0000}"/>
    <cellStyle name="40% - Énfasis5 20 3 3 2" xfId="16014" xr:uid="{00000000-0005-0000-0000-0000913E0000}"/>
    <cellStyle name="40% - Énfasis5 20 3 4" xfId="16015" xr:uid="{00000000-0005-0000-0000-0000923E0000}"/>
    <cellStyle name="40% - Énfasis5 20 4" xfId="16016" xr:uid="{00000000-0005-0000-0000-0000933E0000}"/>
    <cellStyle name="40% - Énfasis5 20 4 2" xfId="16017" xr:uid="{00000000-0005-0000-0000-0000943E0000}"/>
    <cellStyle name="40% - Énfasis5 20 4 2 2" xfId="16018" xr:uid="{00000000-0005-0000-0000-0000953E0000}"/>
    <cellStyle name="40% - Énfasis5 20 4 3" xfId="16019" xr:uid="{00000000-0005-0000-0000-0000963E0000}"/>
    <cellStyle name="40% - Énfasis5 20 5" xfId="16020" xr:uid="{00000000-0005-0000-0000-0000973E0000}"/>
    <cellStyle name="40% - Énfasis5 20 5 2" xfId="16021" xr:uid="{00000000-0005-0000-0000-0000983E0000}"/>
    <cellStyle name="40% - Énfasis5 20 5 2 2" xfId="16022" xr:uid="{00000000-0005-0000-0000-0000993E0000}"/>
    <cellStyle name="40% - Énfasis5 20 5 3" xfId="16023" xr:uid="{00000000-0005-0000-0000-00009A3E0000}"/>
    <cellStyle name="40% - Énfasis5 20 6" xfId="16024" xr:uid="{00000000-0005-0000-0000-00009B3E0000}"/>
    <cellStyle name="40% - Énfasis5 20 6 2" xfId="16025" xr:uid="{00000000-0005-0000-0000-00009C3E0000}"/>
    <cellStyle name="40% - Énfasis5 20 7" xfId="16026" xr:uid="{00000000-0005-0000-0000-00009D3E0000}"/>
    <cellStyle name="40% - Énfasis5 21" xfId="16027" xr:uid="{00000000-0005-0000-0000-00009E3E0000}"/>
    <cellStyle name="40% - Énfasis5 21 2" xfId="16028" xr:uid="{00000000-0005-0000-0000-00009F3E0000}"/>
    <cellStyle name="40% - Énfasis5 21 2 2" xfId="16029" xr:uid="{00000000-0005-0000-0000-0000A03E0000}"/>
    <cellStyle name="40% - Énfasis5 21 2 2 2" xfId="16030" xr:uid="{00000000-0005-0000-0000-0000A13E0000}"/>
    <cellStyle name="40% - Énfasis5 21 2 2 2 2" xfId="16031" xr:uid="{00000000-0005-0000-0000-0000A23E0000}"/>
    <cellStyle name="40% - Énfasis5 21 2 2 3" xfId="16032" xr:uid="{00000000-0005-0000-0000-0000A33E0000}"/>
    <cellStyle name="40% - Énfasis5 21 2 3" xfId="16033" xr:uid="{00000000-0005-0000-0000-0000A43E0000}"/>
    <cellStyle name="40% - Énfasis5 21 2 3 2" xfId="16034" xr:uid="{00000000-0005-0000-0000-0000A53E0000}"/>
    <cellStyle name="40% - Énfasis5 21 2 3 2 2" xfId="16035" xr:uid="{00000000-0005-0000-0000-0000A63E0000}"/>
    <cellStyle name="40% - Énfasis5 21 2 3 3" xfId="16036" xr:uid="{00000000-0005-0000-0000-0000A73E0000}"/>
    <cellStyle name="40% - Énfasis5 21 2 4" xfId="16037" xr:uid="{00000000-0005-0000-0000-0000A83E0000}"/>
    <cellStyle name="40% - Énfasis5 21 2 4 2" xfId="16038" xr:uid="{00000000-0005-0000-0000-0000A93E0000}"/>
    <cellStyle name="40% - Énfasis5 21 2 5" xfId="16039" xr:uid="{00000000-0005-0000-0000-0000AA3E0000}"/>
    <cellStyle name="40% - Énfasis5 21 3" xfId="16040" xr:uid="{00000000-0005-0000-0000-0000AB3E0000}"/>
    <cellStyle name="40% - Énfasis5 21 3 2" xfId="16041" xr:uid="{00000000-0005-0000-0000-0000AC3E0000}"/>
    <cellStyle name="40% - Énfasis5 21 3 2 2" xfId="16042" xr:uid="{00000000-0005-0000-0000-0000AD3E0000}"/>
    <cellStyle name="40% - Énfasis5 21 3 2 2 2" xfId="16043" xr:uid="{00000000-0005-0000-0000-0000AE3E0000}"/>
    <cellStyle name="40% - Énfasis5 21 3 2 3" xfId="16044" xr:uid="{00000000-0005-0000-0000-0000AF3E0000}"/>
    <cellStyle name="40% - Énfasis5 21 3 3" xfId="16045" xr:uid="{00000000-0005-0000-0000-0000B03E0000}"/>
    <cellStyle name="40% - Énfasis5 21 3 3 2" xfId="16046" xr:uid="{00000000-0005-0000-0000-0000B13E0000}"/>
    <cellStyle name="40% - Énfasis5 21 3 4" xfId="16047" xr:uid="{00000000-0005-0000-0000-0000B23E0000}"/>
    <cellStyle name="40% - Énfasis5 21 4" xfId="16048" xr:uid="{00000000-0005-0000-0000-0000B33E0000}"/>
    <cellStyle name="40% - Énfasis5 21 4 2" xfId="16049" xr:uid="{00000000-0005-0000-0000-0000B43E0000}"/>
    <cellStyle name="40% - Énfasis5 21 4 2 2" xfId="16050" xr:uid="{00000000-0005-0000-0000-0000B53E0000}"/>
    <cellStyle name="40% - Énfasis5 21 4 3" xfId="16051" xr:uid="{00000000-0005-0000-0000-0000B63E0000}"/>
    <cellStyle name="40% - Énfasis5 21 5" xfId="16052" xr:uid="{00000000-0005-0000-0000-0000B73E0000}"/>
    <cellStyle name="40% - Énfasis5 21 5 2" xfId="16053" xr:uid="{00000000-0005-0000-0000-0000B83E0000}"/>
    <cellStyle name="40% - Énfasis5 21 5 2 2" xfId="16054" xr:uid="{00000000-0005-0000-0000-0000B93E0000}"/>
    <cellStyle name="40% - Énfasis5 21 5 3" xfId="16055" xr:uid="{00000000-0005-0000-0000-0000BA3E0000}"/>
    <cellStyle name="40% - Énfasis5 21 6" xfId="16056" xr:uid="{00000000-0005-0000-0000-0000BB3E0000}"/>
    <cellStyle name="40% - Énfasis5 21 6 2" xfId="16057" xr:uid="{00000000-0005-0000-0000-0000BC3E0000}"/>
    <cellStyle name="40% - Énfasis5 21 7" xfId="16058" xr:uid="{00000000-0005-0000-0000-0000BD3E0000}"/>
    <cellStyle name="40% - Énfasis5 22" xfId="16059" xr:uid="{00000000-0005-0000-0000-0000BE3E0000}"/>
    <cellStyle name="40% - Énfasis5 22 2" xfId="16060" xr:uid="{00000000-0005-0000-0000-0000BF3E0000}"/>
    <cellStyle name="40% - Énfasis5 22 2 2" xfId="16061" xr:uid="{00000000-0005-0000-0000-0000C03E0000}"/>
    <cellStyle name="40% - Énfasis5 22 2 2 2" xfId="16062" xr:uid="{00000000-0005-0000-0000-0000C13E0000}"/>
    <cellStyle name="40% - Énfasis5 22 2 2 2 2" xfId="16063" xr:uid="{00000000-0005-0000-0000-0000C23E0000}"/>
    <cellStyle name="40% - Énfasis5 22 2 2 3" xfId="16064" xr:uid="{00000000-0005-0000-0000-0000C33E0000}"/>
    <cellStyle name="40% - Énfasis5 22 2 3" xfId="16065" xr:uid="{00000000-0005-0000-0000-0000C43E0000}"/>
    <cellStyle name="40% - Énfasis5 22 2 3 2" xfId="16066" xr:uid="{00000000-0005-0000-0000-0000C53E0000}"/>
    <cellStyle name="40% - Énfasis5 22 2 3 2 2" xfId="16067" xr:uid="{00000000-0005-0000-0000-0000C63E0000}"/>
    <cellStyle name="40% - Énfasis5 22 2 3 3" xfId="16068" xr:uid="{00000000-0005-0000-0000-0000C73E0000}"/>
    <cellStyle name="40% - Énfasis5 22 2 4" xfId="16069" xr:uid="{00000000-0005-0000-0000-0000C83E0000}"/>
    <cellStyle name="40% - Énfasis5 22 2 4 2" xfId="16070" xr:uid="{00000000-0005-0000-0000-0000C93E0000}"/>
    <cellStyle name="40% - Énfasis5 22 2 5" xfId="16071" xr:uid="{00000000-0005-0000-0000-0000CA3E0000}"/>
    <cellStyle name="40% - Énfasis5 22 3" xfId="16072" xr:uid="{00000000-0005-0000-0000-0000CB3E0000}"/>
    <cellStyle name="40% - Énfasis5 22 3 2" xfId="16073" xr:uid="{00000000-0005-0000-0000-0000CC3E0000}"/>
    <cellStyle name="40% - Énfasis5 22 3 2 2" xfId="16074" xr:uid="{00000000-0005-0000-0000-0000CD3E0000}"/>
    <cellStyle name="40% - Énfasis5 22 3 2 2 2" xfId="16075" xr:uid="{00000000-0005-0000-0000-0000CE3E0000}"/>
    <cellStyle name="40% - Énfasis5 22 3 2 3" xfId="16076" xr:uid="{00000000-0005-0000-0000-0000CF3E0000}"/>
    <cellStyle name="40% - Énfasis5 22 3 3" xfId="16077" xr:uid="{00000000-0005-0000-0000-0000D03E0000}"/>
    <cellStyle name="40% - Énfasis5 22 3 3 2" xfId="16078" xr:uid="{00000000-0005-0000-0000-0000D13E0000}"/>
    <cellStyle name="40% - Énfasis5 22 3 4" xfId="16079" xr:uid="{00000000-0005-0000-0000-0000D23E0000}"/>
    <cellStyle name="40% - Énfasis5 22 4" xfId="16080" xr:uid="{00000000-0005-0000-0000-0000D33E0000}"/>
    <cellStyle name="40% - Énfasis5 22 4 2" xfId="16081" xr:uid="{00000000-0005-0000-0000-0000D43E0000}"/>
    <cellStyle name="40% - Énfasis5 22 4 2 2" xfId="16082" xr:uid="{00000000-0005-0000-0000-0000D53E0000}"/>
    <cellStyle name="40% - Énfasis5 22 4 3" xfId="16083" xr:uid="{00000000-0005-0000-0000-0000D63E0000}"/>
    <cellStyle name="40% - Énfasis5 22 5" xfId="16084" xr:uid="{00000000-0005-0000-0000-0000D73E0000}"/>
    <cellStyle name="40% - Énfasis5 22 5 2" xfId="16085" xr:uid="{00000000-0005-0000-0000-0000D83E0000}"/>
    <cellStyle name="40% - Énfasis5 22 5 2 2" xfId="16086" xr:uid="{00000000-0005-0000-0000-0000D93E0000}"/>
    <cellStyle name="40% - Énfasis5 22 5 3" xfId="16087" xr:uid="{00000000-0005-0000-0000-0000DA3E0000}"/>
    <cellStyle name="40% - Énfasis5 22 6" xfId="16088" xr:uid="{00000000-0005-0000-0000-0000DB3E0000}"/>
    <cellStyle name="40% - Énfasis5 22 6 2" xfId="16089" xr:uid="{00000000-0005-0000-0000-0000DC3E0000}"/>
    <cellStyle name="40% - Énfasis5 22 7" xfId="16090" xr:uid="{00000000-0005-0000-0000-0000DD3E0000}"/>
    <cellStyle name="40% - Énfasis5 23" xfId="16091" xr:uid="{00000000-0005-0000-0000-0000DE3E0000}"/>
    <cellStyle name="40% - Énfasis5 23 2" xfId="16092" xr:uid="{00000000-0005-0000-0000-0000DF3E0000}"/>
    <cellStyle name="40% - Énfasis5 23 2 2" xfId="16093" xr:uid="{00000000-0005-0000-0000-0000E03E0000}"/>
    <cellStyle name="40% - Énfasis5 23 2 2 2" xfId="16094" xr:uid="{00000000-0005-0000-0000-0000E13E0000}"/>
    <cellStyle name="40% - Énfasis5 23 2 2 2 2" xfId="16095" xr:uid="{00000000-0005-0000-0000-0000E23E0000}"/>
    <cellStyle name="40% - Énfasis5 23 2 2 3" xfId="16096" xr:uid="{00000000-0005-0000-0000-0000E33E0000}"/>
    <cellStyle name="40% - Énfasis5 23 2 3" xfId="16097" xr:uid="{00000000-0005-0000-0000-0000E43E0000}"/>
    <cellStyle name="40% - Énfasis5 23 2 3 2" xfId="16098" xr:uid="{00000000-0005-0000-0000-0000E53E0000}"/>
    <cellStyle name="40% - Énfasis5 23 2 3 2 2" xfId="16099" xr:uid="{00000000-0005-0000-0000-0000E63E0000}"/>
    <cellStyle name="40% - Énfasis5 23 2 3 3" xfId="16100" xr:uid="{00000000-0005-0000-0000-0000E73E0000}"/>
    <cellStyle name="40% - Énfasis5 23 2 4" xfId="16101" xr:uid="{00000000-0005-0000-0000-0000E83E0000}"/>
    <cellStyle name="40% - Énfasis5 23 2 4 2" xfId="16102" xr:uid="{00000000-0005-0000-0000-0000E93E0000}"/>
    <cellStyle name="40% - Énfasis5 23 2 5" xfId="16103" xr:uid="{00000000-0005-0000-0000-0000EA3E0000}"/>
    <cellStyle name="40% - Énfasis5 23 3" xfId="16104" xr:uid="{00000000-0005-0000-0000-0000EB3E0000}"/>
    <cellStyle name="40% - Énfasis5 23 3 2" xfId="16105" xr:uid="{00000000-0005-0000-0000-0000EC3E0000}"/>
    <cellStyle name="40% - Énfasis5 23 3 2 2" xfId="16106" xr:uid="{00000000-0005-0000-0000-0000ED3E0000}"/>
    <cellStyle name="40% - Énfasis5 23 3 2 2 2" xfId="16107" xr:uid="{00000000-0005-0000-0000-0000EE3E0000}"/>
    <cellStyle name="40% - Énfasis5 23 3 2 3" xfId="16108" xr:uid="{00000000-0005-0000-0000-0000EF3E0000}"/>
    <cellStyle name="40% - Énfasis5 23 3 3" xfId="16109" xr:uid="{00000000-0005-0000-0000-0000F03E0000}"/>
    <cellStyle name="40% - Énfasis5 23 3 3 2" xfId="16110" xr:uid="{00000000-0005-0000-0000-0000F13E0000}"/>
    <cellStyle name="40% - Énfasis5 23 3 4" xfId="16111" xr:uid="{00000000-0005-0000-0000-0000F23E0000}"/>
    <cellStyle name="40% - Énfasis5 23 4" xfId="16112" xr:uid="{00000000-0005-0000-0000-0000F33E0000}"/>
    <cellStyle name="40% - Énfasis5 23 4 2" xfId="16113" xr:uid="{00000000-0005-0000-0000-0000F43E0000}"/>
    <cellStyle name="40% - Énfasis5 23 4 2 2" xfId="16114" xr:uid="{00000000-0005-0000-0000-0000F53E0000}"/>
    <cellStyle name="40% - Énfasis5 23 4 3" xfId="16115" xr:uid="{00000000-0005-0000-0000-0000F63E0000}"/>
    <cellStyle name="40% - Énfasis5 23 5" xfId="16116" xr:uid="{00000000-0005-0000-0000-0000F73E0000}"/>
    <cellStyle name="40% - Énfasis5 23 5 2" xfId="16117" xr:uid="{00000000-0005-0000-0000-0000F83E0000}"/>
    <cellStyle name="40% - Énfasis5 23 5 2 2" xfId="16118" xr:uid="{00000000-0005-0000-0000-0000F93E0000}"/>
    <cellStyle name="40% - Énfasis5 23 5 3" xfId="16119" xr:uid="{00000000-0005-0000-0000-0000FA3E0000}"/>
    <cellStyle name="40% - Énfasis5 23 6" xfId="16120" xr:uid="{00000000-0005-0000-0000-0000FB3E0000}"/>
    <cellStyle name="40% - Énfasis5 23 6 2" xfId="16121" xr:uid="{00000000-0005-0000-0000-0000FC3E0000}"/>
    <cellStyle name="40% - Énfasis5 23 7" xfId="16122" xr:uid="{00000000-0005-0000-0000-0000FD3E0000}"/>
    <cellStyle name="40% - Énfasis5 24" xfId="16123" xr:uid="{00000000-0005-0000-0000-0000FE3E0000}"/>
    <cellStyle name="40% - Énfasis5 24 2" xfId="16124" xr:uid="{00000000-0005-0000-0000-0000FF3E0000}"/>
    <cellStyle name="40% - Énfasis5 24 2 2" xfId="16125" xr:uid="{00000000-0005-0000-0000-0000003F0000}"/>
    <cellStyle name="40% - Énfasis5 24 2 2 2" xfId="16126" xr:uid="{00000000-0005-0000-0000-0000013F0000}"/>
    <cellStyle name="40% - Énfasis5 24 2 2 2 2" xfId="16127" xr:uid="{00000000-0005-0000-0000-0000023F0000}"/>
    <cellStyle name="40% - Énfasis5 24 2 2 3" xfId="16128" xr:uid="{00000000-0005-0000-0000-0000033F0000}"/>
    <cellStyle name="40% - Énfasis5 24 2 3" xfId="16129" xr:uid="{00000000-0005-0000-0000-0000043F0000}"/>
    <cellStyle name="40% - Énfasis5 24 2 3 2" xfId="16130" xr:uid="{00000000-0005-0000-0000-0000053F0000}"/>
    <cellStyle name="40% - Énfasis5 24 2 3 2 2" xfId="16131" xr:uid="{00000000-0005-0000-0000-0000063F0000}"/>
    <cellStyle name="40% - Énfasis5 24 2 3 3" xfId="16132" xr:uid="{00000000-0005-0000-0000-0000073F0000}"/>
    <cellStyle name="40% - Énfasis5 24 2 4" xfId="16133" xr:uid="{00000000-0005-0000-0000-0000083F0000}"/>
    <cellStyle name="40% - Énfasis5 24 2 4 2" xfId="16134" xr:uid="{00000000-0005-0000-0000-0000093F0000}"/>
    <cellStyle name="40% - Énfasis5 24 2 5" xfId="16135" xr:uid="{00000000-0005-0000-0000-00000A3F0000}"/>
    <cellStyle name="40% - Énfasis5 24 3" xfId="16136" xr:uid="{00000000-0005-0000-0000-00000B3F0000}"/>
    <cellStyle name="40% - Énfasis5 24 3 2" xfId="16137" xr:uid="{00000000-0005-0000-0000-00000C3F0000}"/>
    <cellStyle name="40% - Énfasis5 24 3 2 2" xfId="16138" xr:uid="{00000000-0005-0000-0000-00000D3F0000}"/>
    <cellStyle name="40% - Énfasis5 24 3 2 2 2" xfId="16139" xr:uid="{00000000-0005-0000-0000-00000E3F0000}"/>
    <cellStyle name="40% - Énfasis5 24 3 2 3" xfId="16140" xr:uid="{00000000-0005-0000-0000-00000F3F0000}"/>
    <cellStyle name="40% - Énfasis5 24 3 3" xfId="16141" xr:uid="{00000000-0005-0000-0000-0000103F0000}"/>
    <cellStyle name="40% - Énfasis5 24 3 3 2" xfId="16142" xr:uid="{00000000-0005-0000-0000-0000113F0000}"/>
    <cellStyle name="40% - Énfasis5 24 3 4" xfId="16143" xr:uid="{00000000-0005-0000-0000-0000123F0000}"/>
    <cellStyle name="40% - Énfasis5 24 4" xfId="16144" xr:uid="{00000000-0005-0000-0000-0000133F0000}"/>
    <cellStyle name="40% - Énfasis5 24 4 2" xfId="16145" xr:uid="{00000000-0005-0000-0000-0000143F0000}"/>
    <cellStyle name="40% - Énfasis5 24 4 2 2" xfId="16146" xr:uid="{00000000-0005-0000-0000-0000153F0000}"/>
    <cellStyle name="40% - Énfasis5 24 4 3" xfId="16147" xr:uid="{00000000-0005-0000-0000-0000163F0000}"/>
    <cellStyle name="40% - Énfasis5 24 5" xfId="16148" xr:uid="{00000000-0005-0000-0000-0000173F0000}"/>
    <cellStyle name="40% - Énfasis5 24 5 2" xfId="16149" xr:uid="{00000000-0005-0000-0000-0000183F0000}"/>
    <cellStyle name="40% - Énfasis5 24 5 2 2" xfId="16150" xr:uid="{00000000-0005-0000-0000-0000193F0000}"/>
    <cellStyle name="40% - Énfasis5 24 5 3" xfId="16151" xr:uid="{00000000-0005-0000-0000-00001A3F0000}"/>
    <cellStyle name="40% - Énfasis5 24 6" xfId="16152" xr:uid="{00000000-0005-0000-0000-00001B3F0000}"/>
    <cellStyle name="40% - Énfasis5 24 6 2" xfId="16153" xr:uid="{00000000-0005-0000-0000-00001C3F0000}"/>
    <cellStyle name="40% - Énfasis5 24 7" xfId="16154" xr:uid="{00000000-0005-0000-0000-00001D3F0000}"/>
    <cellStyle name="40% - Énfasis5 25" xfId="16155" xr:uid="{00000000-0005-0000-0000-00001E3F0000}"/>
    <cellStyle name="40% - Énfasis5 25 2" xfId="16156" xr:uid="{00000000-0005-0000-0000-00001F3F0000}"/>
    <cellStyle name="40% - Énfasis5 25 2 2" xfId="16157" xr:uid="{00000000-0005-0000-0000-0000203F0000}"/>
    <cellStyle name="40% - Énfasis5 25 2 2 2" xfId="16158" xr:uid="{00000000-0005-0000-0000-0000213F0000}"/>
    <cellStyle name="40% - Énfasis5 25 2 2 2 2" xfId="16159" xr:uid="{00000000-0005-0000-0000-0000223F0000}"/>
    <cellStyle name="40% - Énfasis5 25 2 2 3" xfId="16160" xr:uid="{00000000-0005-0000-0000-0000233F0000}"/>
    <cellStyle name="40% - Énfasis5 25 2 3" xfId="16161" xr:uid="{00000000-0005-0000-0000-0000243F0000}"/>
    <cellStyle name="40% - Énfasis5 25 2 3 2" xfId="16162" xr:uid="{00000000-0005-0000-0000-0000253F0000}"/>
    <cellStyle name="40% - Énfasis5 25 2 3 2 2" xfId="16163" xr:uid="{00000000-0005-0000-0000-0000263F0000}"/>
    <cellStyle name="40% - Énfasis5 25 2 3 3" xfId="16164" xr:uid="{00000000-0005-0000-0000-0000273F0000}"/>
    <cellStyle name="40% - Énfasis5 25 2 4" xfId="16165" xr:uid="{00000000-0005-0000-0000-0000283F0000}"/>
    <cellStyle name="40% - Énfasis5 25 2 4 2" xfId="16166" xr:uid="{00000000-0005-0000-0000-0000293F0000}"/>
    <cellStyle name="40% - Énfasis5 25 2 5" xfId="16167" xr:uid="{00000000-0005-0000-0000-00002A3F0000}"/>
    <cellStyle name="40% - Énfasis5 25 3" xfId="16168" xr:uid="{00000000-0005-0000-0000-00002B3F0000}"/>
    <cellStyle name="40% - Énfasis5 25 3 2" xfId="16169" xr:uid="{00000000-0005-0000-0000-00002C3F0000}"/>
    <cellStyle name="40% - Énfasis5 25 3 2 2" xfId="16170" xr:uid="{00000000-0005-0000-0000-00002D3F0000}"/>
    <cellStyle name="40% - Énfasis5 25 3 2 2 2" xfId="16171" xr:uid="{00000000-0005-0000-0000-00002E3F0000}"/>
    <cellStyle name="40% - Énfasis5 25 3 2 3" xfId="16172" xr:uid="{00000000-0005-0000-0000-00002F3F0000}"/>
    <cellStyle name="40% - Énfasis5 25 3 3" xfId="16173" xr:uid="{00000000-0005-0000-0000-0000303F0000}"/>
    <cellStyle name="40% - Énfasis5 25 3 3 2" xfId="16174" xr:uid="{00000000-0005-0000-0000-0000313F0000}"/>
    <cellStyle name="40% - Énfasis5 25 3 4" xfId="16175" xr:uid="{00000000-0005-0000-0000-0000323F0000}"/>
    <cellStyle name="40% - Énfasis5 25 4" xfId="16176" xr:uid="{00000000-0005-0000-0000-0000333F0000}"/>
    <cellStyle name="40% - Énfasis5 25 4 2" xfId="16177" xr:uid="{00000000-0005-0000-0000-0000343F0000}"/>
    <cellStyle name="40% - Énfasis5 25 4 2 2" xfId="16178" xr:uid="{00000000-0005-0000-0000-0000353F0000}"/>
    <cellStyle name="40% - Énfasis5 25 4 3" xfId="16179" xr:uid="{00000000-0005-0000-0000-0000363F0000}"/>
    <cellStyle name="40% - Énfasis5 25 5" xfId="16180" xr:uid="{00000000-0005-0000-0000-0000373F0000}"/>
    <cellStyle name="40% - Énfasis5 25 5 2" xfId="16181" xr:uid="{00000000-0005-0000-0000-0000383F0000}"/>
    <cellStyle name="40% - Énfasis5 25 5 2 2" xfId="16182" xr:uid="{00000000-0005-0000-0000-0000393F0000}"/>
    <cellStyle name="40% - Énfasis5 25 5 3" xfId="16183" xr:uid="{00000000-0005-0000-0000-00003A3F0000}"/>
    <cellStyle name="40% - Énfasis5 25 6" xfId="16184" xr:uid="{00000000-0005-0000-0000-00003B3F0000}"/>
    <cellStyle name="40% - Énfasis5 25 6 2" xfId="16185" xr:uid="{00000000-0005-0000-0000-00003C3F0000}"/>
    <cellStyle name="40% - Énfasis5 25 7" xfId="16186" xr:uid="{00000000-0005-0000-0000-00003D3F0000}"/>
    <cellStyle name="40% - Énfasis5 26" xfId="16187" xr:uid="{00000000-0005-0000-0000-00003E3F0000}"/>
    <cellStyle name="40% - Énfasis5 26 2" xfId="16188" xr:uid="{00000000-0005-0000-0000-00003F3F0000}"/>
    <cellStyle name="40% - Énfasis5 26 2 2" xfId="16189" xr:uid="{00000000-0005-0000-0000-0000403F0000}"/>
    <cellStyle name="40% - Énfasis5 26 2 2 2" xfId="16190" xr:uid="{00000000-0005-0000-0000-0000413F0000}"/>
    <cellStyle name="40% - Énfasis5 26 2 2 2 2" xfId="16191" xr:uid="{00000000-0005-0000-0000-0000423F0000}"/>
    <cellStyle name="40% - Énfasis5 26 2 2 3" xfId="16192" xr:uid="{00000000-0005-0000-0000-0000433F0000}"/>
    <cellStyle name="40% - Énfasis5 26 2 3" xfId="16193" xr:uid="{00000000-0005-0000-0000-0000443F0000}"/>
    <cellStyle name="40% - Énfasis5 26 2 3 2" xfId="16194" xr:uid="{00000000-0005-0000-0000-0000453F0000}"/>
    <cellStyle name="40% - Énfasis5 26 2 3 2 2" xfId="16195" xr:uid="{00000000-0005-0000-0000-0000463F0000}"/>
    <cellStyle name="40% - Énfasis5 26 2 3 3" xfId="16196" xr:uid="{00000000-0005-0000-0000-0000473F0000}"/>
    <cellStyle name="40% - Énfasis5 26 2 4" xfId="16197" xr:uid="{00000000-0005-0000-0000-0000483F0000}"/>
    <cellStyle name="40% - Énfasis5 26 2 4 2" xfId="16198" xr:uid="{00000000-0005-0000-0000-0000493F0000}"/>
    <cellStyle name="40% - Énfasis5 26 2 5" xfId="16199" xr:uid="{00000000-0005-0000-0000-00004A3F0000}"/>
    <cellStyle name="40% - Énfasis5 26 3" xfId="16200" xr:uid="{00000000-0005-0000-0000-00004B3F0000}"/>
    <cellStyle name="40% - Énfasis5 26 3 2" xfId="16201" xr:uid="{00000000-0005-0000-0000-00004C3F0000}"/>
    <cellStyle name="40% - Énfasis5 26 3 2 2" xfId="16202" xr:uid="{00000000-0005-0000-0000-00004D3F0000}"/>
    <cellStyle name="40% - Énfasis5 26 3 2 2 2" xfId="16203" xr:uid="{00000000-0005-0000-0000-00004E3F0000}"/>
    <cellStyle name="40% - Énfasis5 26 3 2 3" xfId="16204" xr:uid="{00000000-0005-0000-0000-00004F3F0000}"/>
    <cellStyle name="40% - Énfasis5 26 3 3" xfId="16205" xr:uid="{00000000-0005-0000-0000-0000503F0000}"/>
    <cellStyle name="40% - Énfasis5 26 3 3 2" xfId="16206" xr:uid="{00000000-0005-0000-0000-0000513F0000}"/>
    <cellStyle name="40% - Énfasis5 26 3 4" xfId="16207" xr:uid="{00000000-0005-0000-0000-0000523F0000}"/>
    <cellStyle name="40% - Énfasis5 26 4" xfId="16208" xr:uid="{00000000-0005-0000-0000-0000533F0000}"/>
    <cellStyle name="40% - Énfasis5 26 4 2" xfId="16209" xr:uid="{00000000-0005-0000-0000-0000543F0000}"/>
    <cellStyle name="40% - Énfasis5 26 4 2 2" xfId="16210" xr:uid="{00000000-0005-0000-0000-0000553F0000}"/>
    <cellStyle name="40% - Énfasis5 26 4 3" xfId="16211" xr:uid="{00000000-0005-0000-0000-0000563F0000}"/>
    <cellStyle name="40% - Énfasis5 26 5" xfId="16212" xr:uid="{00000000-0005-0000-0000-0000573F0000}"/>
    <cellStyle name="40% - Énfasis5 26 5 2" xfId="16213" xr:uid="{00000000-0005-0000-0000-0000583F0000}"/>
    <cellStyle name="40% - Énfasis5 26 5 2 2" xfId="16214" xr:uid="{00000000-0005-0000-0000-0000593F0000}"/>
    <cellStyle name="40% - Énfasis5 26 5 3" xfId="16215" xr:uid="{00000000-0005-0000-0000-00005A3F0000}"/>
    <cellStyle name="40% - Énfasis5 26 6" xfId="16216" xr:uid="{00000000-0005-0000-0000-00005B3F0000}"/>
    <cellStyle name="40% - Énfasis5 26 6 2" xfId="16217" xr:uid="{00000000-0005-0000-0000-00005C3F0000}"/>
    <cellStyle name="40% - Énfasis5 26 7" xfId="16218" xr:uid="{00000000-0005-0000-0000-00005D3F0000}"/>
    <cellStyle name="40% - Énfasis5 27" xfId="16219" xr:uid="{00000000-0005-0000-0000-00005E3F0000}"/>
    <cellStyle name="40% - Énfasis5 27 2" xfId="16220" xr:uid="{00000000-0005-0000-0000-00005F3F0000}"/>
    <cellStyle name="40% - Énfasis5 27 2 2" xfId="16221" xr:uid="{00000000-0005-0000-0000-0000603F0000}"/>
    <cellStyle name="40% - Énfasis5 27 2 2 2" xfId="16222" xr:uid="{00000000-0005-0000-0000-0000613F0000}"/>
    <cellStyle name="40% - Énfasis5 27 2 2 2 2" xfId="16223" xr:uid="{00000000-0005-0000-0000-0000623F0000}"/>
    <cellStyle name="40% - Énfasis5 27 2 2 3" xfId="16224" xr:uid="{00000000-0005-0000-0000-0000633F0000}"/>
    <cellStyle name="40% - Énfasis5 27 2 3" xfId="16225" xr:uid="{00000000-0005-0000-0000-0000643F0000}"/>
    <cellStyle name="40% - Énfasis5 27 2 3 2" xfId="16226" xr:uid="{00000000-0005-0000-0000-0000653F0000}"/>
    <cellStyle name="40% - Énfasis5 27 2 3 2 2" xfId="16227" xr:uid="{00000000-0005-0000-0000-0000663F0000}"/>
    <cellStyle name="40% - Énfasis5 27 2 3 3" xfId="16228" xr:uid="{00000000-0005-0000-0000-0000673F0000}"/>
    <cellStyle name="40% - Énfasis5 27 2 4" xfId="16229" xr:uid="{00000000-0005-0000-0000-0000683F0000}"/>
    <cellStyle name="40% - Énfasis5 27 2 4 2" xfId="16230" xr:uid="{00000000-0005-0000-0000-0000693F0000}"/>
    <cellStyle name="40% - Énfasis5 27 2 5" xfId="16231" xr:uid="{00000000-0005-0000-0000-00006A3F0000}"/>
    <cellStyle name="40% - Énfasis5 27 3" xfId="16232" xr:uid="{00000000-0005-0000-0000-00006B3F0000}"/>
    <cellStyle name="40% - Énfasis5 27 3 2" xfId="16233" xr:uid="{00000000-0005-0000-0000-00006C3F0000}"/>
    <cellStyle name="40% - Énfasis5 27 3 2 2" xfId="16234" xr:uid="{00000000-0005-0000-0000-00006D3F0000}"/>
    <cellStyle name="40% - Énfasis5 27 3 3" xfId="16235" xr:uid="{00000000-0005-0000-0000-00006E3F0000}"/>
    <cellStyle name="40% - Énfasis5 27 4" xfId="16236" xr:uid="{00000000-0005-0000-0000-00006F3F0000}"/>
    <cellStyle name="40% - Énfasis5 27 4 2" xfId="16237" xr:uid="{00000000-0005-0000-0000-0000703F0000}"/>
    <cellStyle name="40% - Énfasis5 27 4 2 2" xfId="16238" xr:uid="{00000000-0005-0000-0000-0000713F0000}"/>
    <cellStyle name="40% - Énfasis5 27 4 3" xfId="16239" xr:uid="{00000000-0005-0000-0000-0000723F0000}"/>
    <cellStyle name="40% - Énfasis5 27 5" xfId="16240" xr:uid="{00000000-0005-0000-0000-0000733F0000}"/>
    <cellStyle name="40% - Énfasis5 27 5 2" xfId="16241" xr:uid="{00000000-0005-0000-0000-0000743F0000}"/>
    <cellStyle name="40% - Énfasis5 27 6" xfId="16242" xr:uid="{00000000-0005-0000-0000-0000753F0000}"/>
    <cellStyle name="40% - Énfasis5 28" xfId="16243" xr:uid="{00000000-0005-0000-0000-0000763F0000}"/>
    <cellStyle name="40% - Énfasis5 28 2" xfId="16244" xr:uid="{00000000-0005-0000-0000-0000773F0000}"/>
    <cellStyle name="40% - Énfasis5 28 2 2" xfId="16245" xr:uid="{00000000-0005-0000-0000-0000783F0000}"/>
    <cellStyle name="40% - Énfasis5 28 2 2 2" xfId="16246" xr:uid="{00000000-0005-0000-0000-0000793F0000}"/>
    <cellStyle name="40% - Énfasis5 28 2 2 2 2" xfId="16247" xr:uid="{00000000-0005-0000-0000-00007A3F0000}"/>
    <cellStyle name="40% - Énfasis5 28 2 2 3" xfId="16248" xr:uid="{00000000-0005-0000-0000-00007B3F0000}"/>
    <cellStyle name="40% - Énfasis5 28 2 3" xfId="16249" xr:uid="{00000000-0005-0000-0000-00007C3F0000}"/>
    <cellStyle name="40% - Énfasis5 28 2 3 2" xfId="16250" xr:uid="{00000000-0005-0000-0000-00007D3F0000}"/>
    <cellStyle name="40% - Énfasis5 28 2 4" xfId="16251" xr:uid="{00000000-0005-0000-0000-00007E3F0000}"/>
    <cellStyle name="40% - Énfasis5 28 3" xfId="16252" xr:uid="{00000000-0005-0000-0000-00007F3F0000}"/>
    <cellStyle name="40% - Énfasis5 28 3 2" xfId="16253" xr:uid="{00000000-0005-0000-0000-0000803F0000}"/>
    <cellStyle name="40% - Énfasis5 28 3 2 2" xfId="16254" xr:uid="{00000000-0005-0000-0000-0000813F0000}"/>
    <cellStyle name="40% - Énfasis5 28 3 3" xfId="16255" xr:uid="{00000000-0005-0000-0000-0000823F0000}"/>
    <cellStyle name="40% - Énfasis5 28 4" xfId="16256" xr:uid="{00000000-0005-0000-0000-0000833F0000}"/>
    <cellStyle name="40% - Énfasis5 28 4 2" xfId="16257" xr:uid="{00000000-0005-0000-0000-0000843F0000}"/>
    <cellStyle name="40% - Énfasis5 28 5" xfId="16258" xr:uid="{00000000-0005-0000-0000-0000853F0000}"/>
    <cellStyle name="40% - Énfasis5 29" xfId="16259" xr:uid="{00000000-0005-0000-0000-0000863F0000}"/>
    <cellStyle name="40% - Énfasis5 29 2" xfId="16260" xr:uid="{00000000-0005-0000-0000-0000873F0000}"/>
    <cellStyle name="40% - Énfasis5 29 2 2" xfId="16261" xr:uid="{00000000-0005-0000-0000-0000883F0000}"/>
    <cellStyle name="40% - Énfasis5 29 2 2 2" xfId="16262" xr:uid="{00000000-0005-0000-0000-0000893F0000}"/>
    <cellStyle name="40% - Énfasis5 29 2 2 2 2" xfId="16263" xr:uid="{00000000-0005-0000-0000-00008A3F0000}"/>
    <cellStyle name="40% - Énfasis5 29 2 2 3" xfId="16264" xr:uid="{00000000-0005-0000-0000-00008B3F0000}"/>
    <cellStyle name="40% - Énfasis5 29 2 3" xfId="16265" xr:uid="{00000000-0005-0000-0000-00008C3F0000}"/>
    <cellStyle name="40% - Énfasis5 29 2 3 2" xfId="16266" xr:uid="{00000000-0005-0000-0000-00008D3F0000}"/>
    <cellStyle name="40% - Énfasis5 29 2 4" xfId="16267" xr:uid="{00000000-0005-0000-0000-00008E3F0000}"/>
    <cellStyle name="40% - Énfasis5 29 3" xfId="16268" xr:uid="{00000000-0005-0000-0000-00008F3F0000}"/>
    <cellStyle name="40% - Énfasis5 29 3 2" xfId="16269" xr:uid="{00000000-0005-0000-0000-0000903F0000}"/>
    <cellStyle name="40% - Énfasis5 29 3 2 2" xfId="16270" xr:uid="{00000000-0005-0000-0000-0000913F0000}"/>
    <cellStyle name="40% - Énfasis5 29 3 3" xfId="16271" xr:uid="{00000000-0005-0000-0000-0000923F0000}"/>
    <cellStyle name="40% - Énfasis5 29 4" xfId="16272" xr:uid="{00000000-0005-0000-0000-0000933F0000}"/>
    <cellStyle name="40% - Énfasis5 29 4 2" xfId="16273" xr:uid="{00000000-0005-0000-0000-0000943F0000}"/>
    <cellStyle name="40% - Énfasis5 29 5" xfId="16274" xr:uid="{00000000-0005-0000-0000-0000953F0000}"/>
    <cellStyle name="40% - Énfasis5 3" xfId="16275" xr:uid="{00000000-0005-0000-0000-0000963F0000}"/>
    <cellStyle name="40% - Énfasis5 3 2" xfId="16276" xr:uid="{00000000-0005-0000-0000-0000973F0000}"/>
    <cellStyle name="40% - Énfasis5 3 2 2" xfId="16277" xr:uid="{00000000-0005-0000-0000-0000983F0000}"/>
    <cellStyle name="40% - Énfasis5 3 2 2 2" xfId="16278" xr:uid="{00000000-0005-0000-0000-0000993F0000}"/>
    <cellStyle name="40% - Énfasis5 3 2 2 2 2" xfId="16279" xr:uid="{00000000-0005-0000-0000-00009A3F0000}"/>
    <cellStyle name="40% - Énfasis5 3 2 2 2 2 2" xfId="16280" xr:uid="{00000000-0005-0000-0000-00009B3F0000}"/>
    <cellStyle name="40% - Énfasis5 3 2 2 2 3" xfId="16281" xr:uid="{00000000-0005-0000-0000-00009C3F0000}"/>
    <cellStyle name="40% - Énfasis5 3 2 2 3" xfId="16282" xr:uid="{00000000-0005-0000-0000-00009D3F0000}"/>
    <cellStyle name="40% - Énfasis5 3 2 2 3 2" xfId="16283" xr:uid="{00000000-0005-0000-0000-00009E3F0000}"/>
    <cellStyle name="40% - Énfasis5 3 2 2 4" xfId="16284" xr:uid="{00000000-0005-0000-0000-00009F3F0000}"/>
    <cellStyle name="40% - Énfasis5 3 2 3" xfId="16285" xr:uid="{00000000-0005-0000-0000-0000A03F0000}"/>
    <cellStyle name="40% - Énfasis5 3 2 3 2" xfId="16286" xr:uid="{00000000-0005-0000-0000-0000A13F0000}"/>
    <cellStyle name="40% - Énfasis5 3 2 3 2 2" xfId="16287" xr:uid="{00000000-0005-0000-0000-0000A23F0000}"/>
    <cellStyle name="40% - Énfasis5 3 2 3 3" xfId="16288" xr:uid="{00000000-0005-0000-0000-0000A33F0000}"/>
    <cellStyle name="40% - Énfasis5 3 2 4" xfId="16289" xr:uid="{00000000-0005-0000-0000-0000A43F0000}"/>
    <cellStyle name="40% - Énfasis5 3 2 4 2" xfId="16290" xr:uid="{00000000-0005-0000-0000-0000A53F0000}"/>
    <cellStyle name="40% - Énfasis5 3 2 4 2 2" xfId="16291" xr:uid="{00000000-0005-0000-0000-0000A63F0000}"/>
    <cellStyle name="40% - Énfasis5 3 2 4 3" xfId="16292" xr:uid="{00000000-0005-0000-0000-0000A73F0000}"/>
    <cellStyle name="40% - Énfasis5 3 2 5" xfId="16293" xr:uid="{00000000-0005-0000-0000-0000A83F0000}"/>
    <cellStyle name="40% - Énfasis5 3 2 5 2" xfId="16294" xr:uid="{00000000-0005-0000-0000-0000A93F0000}"/>
    <cellStyle name="40% - Énfasis5 3 2 6" xfId="16295" xr:uid="{00000000-0005-0000-0000-0000AA3F0000}"/>
    <cellStyle name="40% - Énfasis5 3 3" xfId="16296" xr:uid="{00000000-0005-0000-0000-0000AB3F0000}"/>
    <cellStyle name="40% - Énfasis5 3 3 2" xfId="16297" xr:uid="{00000000-0005-0000-0000-0000AC3F0000}"/>
    <cellStyle name="40% - Énfasis5 3 3 2 2" xfId="16298" xr:uid="{00000000-0005-0000-0000-0000AD3F0000}"/>
    <cellStyle name="40% - Énfasis5 3 3 2 2 2" xfId="16299" xr:uid="{00000000-0005-0000-0000-0000AE3F0000}"/>
    <cellStyle name="40% - Énfasis5 3 3 2 3" xfId="16300" xr:uid="{00000000-0005-0000-0000-0000AF3F0000}"/>
    <cellStyle name="40% - Énfasis5 3 3 3" xfId="16301" xr:uid="{00000000-0005-0000-0000-0000B03F0000}"/>
    <cellStyle name="40% - Énfasis5 3 3 3 2" xfId="16302" xr:uid="{00000000-0005-0000-0000-0000B13F0000}"/>
    <cellStyle name="40% - Énfasis5 3 3 3 2 2" xfId="16303" xr:uid="{00000000-0005-0000-0000-0000B23F0000}"/>
    <cellStyle name="40% - Énfasis5 3 3 3 3" xfId="16304" xr:uid="{00000000-0005-0000-0000-0000B33F0000}"/>
    <cellStyle name="40% - Énfasis5 3 3 4" xfId="16305" xr:uid="{00000000-0005-0000-0000-0000B43F0000}"/>
    <cellStyle name="40% - Énfasis5 3 3 4 2" xfId="16306" xr:uid="{00000000-0005-0000-0000-0000B53F0000}"/>
    <cellStyle name="40% - Énfasis5 3 3 5" xfId="16307" xr:uid="{00000000-0005-0000-0000-0000B63F0000}"/>
    <cellStyle name="40% - Énfasis5 3 4" xfId="16308" xr:uid="{00000000-0005-0000-0000-0000B73F0000}"/>
    <cellStyle name="40% - Énfasis5 3 4 2" xfId="16309" xr:uid="{00000000-0005-0000-0000-0000B83F0000}"/>
    <cellStyle name="40% - Énfasis5 3 4 2 2" xfId="16310" xr:uid="{00000000-0005-0000-0000-0000B93F0000}"/>
    <cellStyle name="40% - Énfasis5 3 4 2 2 2" xfId="16311" xr:uid="{00000000-0005-0000-0000-0000BA3F0000}"/>
    <cellStyle name="40% - Énfasis5 3 4 2 3" xfId="16312" xr:uid="{00000000-0005-0000-0000-0000BB3F0000}"/>
    <cellStyle name="40% - Énfasis5 3 4 3" xfId="16313" xr:uid="{00000000-0005-0000-0000-0000BC3F0000}"/>
    <cellStyle name="40% - Énfasis5 3 4 3 2" xfId="16314" xr:uid="{00000000-0005-0000-0000-0000BD3F0000}"/>
    <cellStyle name="40% - Énfasis5 3 4 4" xfId="16315" xr:uid="{00000000-0005-0000-0000-0000BE3F0000}"/>
    <cellStyle name="40% - Énfasis5 3 5" xfId="16316" xr:uid="{00000000-0005-0000-0000-0000BF3F0000}"/>
    <cellStyle name="40% - Énfasis5 3 5 2" xfId="16317" xr:uid="{00000000-0005-0000-0000-0000C03F0000}"/>
    <cellStyle name="40% - Énfasis5 3 5 2 2" xfId="16318" xr:uid="{00000000-0005-0000-0000-0000C13F0000}"/>
    <cellStyle name="40% - Énfasis5 3 5 3" xfId="16319" xr:uid="{00000000-0005-0000-0000-0000C23F0000}"/>
    <cellStyle name="40% - Énfasis5 3 6" xfId="16320" xr:uid="{00000000-0005-0000-0000-0000C33F0000}"/>
    <cellStyle name="40% - Énfasis5 3 6 2" xfId="16321" xr:uid="{00000000-0005-0000-0000-0000C43F0000}"/>
    <cellStyle name="40% - Énfasis5 3 6 2 2" xfId="16322" xr:uid="{00000000-0005-0000-0000-0000C53F0000}"/>
    <cellStyle name="40% - Énfasis5 3 6 3" xfId="16323" xr:uid="{00000000-0005-0000-0000-0000C63F0000}"/>
    <cellStyle name="40% - Énfasis5 3 7" xfId="16324" xr:uid="{00000000-0005-0000-0000-0000C73F0000}"/>
    <cellStyle name="40% - Énfasis5 3 7 2" xfId="16325" xr:uid="{00000000-0005-0000-0000-0000C83F0000}"/>
    <cellStyle name="40% - Énfasis5 3 8" xfId="16326" xr:uid="{00000000-0005-0000-0000-0000C93F0000}"/>
    <cellStyle name="40% - Énfasis5 30" xfId="16327" xr:uid="{00000000-0005-0000-0000-0000CA3F0000}"/>
    <cellStyle name="40% - Énfasis5 30 2" xfId="16328" xr:uid="{00000000-0005-0000-0000-0000CB3F0000}"/>
    <cellStyle name="40% - Énfasis5 30 2 2" xfId="16329" xr:uid="{00000000-0005-0000-0000-0000CC3F0000}"/>
    <cellStyle name="40% - Énfasis5 30 2 2 2" xfId="16330" xr:uid="{00000000-0005-0000-0000-0000CD3F0000}"/>
    <cellStyle name="40% - Énfasis5 30 2 3" xfId="16331" xr:uid="{00000000-0005-0000-0000-0000CE3F0000}"/>
    <cellStyle name="40% - Énfasis5 30 3" xfId="16332" xr:uid="{00000000-0005-0000-0000-0000CF3F0000}"/>
    <cellStyle name="40% - Énfasis5 30 3 2" xfId="16333" xr:uid="{00000000-0005-0000-0000-0000D03F0000}"/>
    <cellStyle name="40% - Énfasis5 30 3 2 2" xfId="16334" xr:uid="{00000000-0005-0000-0000-0000D13F0000}"/>
    <cellStyle name="40% - Énfasis5 30 3 3" xfId="16335" xr:uid="{00000000-0005-0000-0000-0000D23F0000}"/>
    <cellStyle name="40% - Énfasis5 30 4" xfId="16336" xr:uid="{00000000-0005-0000-0000-0000D33F0000}"/>
    <cellStyle name="40% - Énfasis5 30 4 2" xfId="16337" xr:uid="{00000000-0005-0000-0000-0000D43F0000}"/>
    <cellStyle name="40% - Énfasis5 30 5" xfId="16338" xr:uid="{00000000-0005-0000-0000-0000D53F0000}"/>
    <cellStyle name="40% - Énfasis5 31" xfId="16339" xr:uid="{00000000-0005-0000-0000-0000D63F0000}"/>
    <cellStyle name="40% - Énfasis5 31 2" xfId="16340" xr:uid="{00000000-0005-0000-0000-0000D73F0000}"/>
    <cellStyle name="40% - Énfasis5 31 2 2" xfId="16341" xr:uid="{00000000-0005-0000-0000-0000D83F0000}"/>
    <cellStyle name="40% - Énfasis5 31 2 2 2" xfId="16342" xr:uid="{00000000-0005-0000-0000-0000D93F0000}"/>
    <cellStyle name="40% - Énfasis5 31 2 3" xfId="16343" xr:uid="{00000000-0005-0000-0000-0000DA3F0000}"/>
    <cellStyle name="40% - Énfasis5 31 3" xfId="16344" xr:uid="{00000000-0005-0000-0000-0000DB3F0000}"/>
    <cellStyle name="40% - Énfasis5 31 3 2" xfId="16345" xr:uid="{00000000-0005-0000-0000-0000DC3F0000}"/>
    <cellStyle name="40% - Énfasis5 31 3 2 2" xfId="16346" xr:uid="{00000000-0005-0000-0000-0000DD3F0000}"/>
    <cellStyle name="40% - Énfasis5 31 3 3" xfId="16347" xr:uid="{00000000-0005-0000-0000-0000DE3F0000}"/>
    <cellStyle name="40% - Énfasis5 31 4" xfId="16348" xr:uid="{00000000-0005-0000-0000-0000DF3F0000}"/>
    <cellStyle name="40% - Énfasis5 31 4 2" xfId="16349" xr:uid="{00000000-0005-0000-0000-0000E03F0000}"/>
    <cellStyle name="40% - Énfasis5 31 5" xfId="16350" xr:uid="{00000000-0005-0000-0000-0000E13F0000}"/>
    <cellStyle name="40% - Énfasis5 32" xfId="16351" xr:uid="{00000000-0005-0000-0000-0000E23F0000}"/>
    <cellStyle name="40% - Énfasis5 32 2" xfId="16352" xr:uid="{00000000-0005-0000-0000-0000E33F0000}"/>
    <cellStyle name="40% - Énfasis5 32 2 2" xfId="16353" xr:uid="{00000000-0005-0000-0000-0000E43F0000}"/>
    <cellStyle name="40% - Énfasis5 32 2 2 2" xfId="16354" xr:uid="{00000000-0005-0000-0000-0000E53F0000}"/>
    <cellStyle name="40% - Énfasis5 32 2 3" xfId="16355" xr:uid="{00000000-0005-0000-0000-0000E63F0000}"/>
    <cellStyle name="40% - Énfasis5 32 3" xfId="16356" xr:uid="{00000000-0005-0000-0000-0000E73F0000}"/>
    <cellStyle name="40% - Énfasis5 32 3 2" xfId="16357" xr:uid="{00000000-0005-0000-0000-0000E83F0000}"/>
    <cellStyle name="40% - Énfasis5 32 3 2 2" xfId="16358" xr:uid="{00000000-0005-0000-0000-0000E93F0000}"/>
    <cellStyle name="40% - Énfasis5 32 3 3" xfId="16359" xr:uid="{00000000-0005-0000-0000-0000EA3F0000}"/>
    <cellStyle name="40% - Énfasis5 32 4" xfId="16360" xr:uid="{00000000-0005-0000-0000-0000EB3F0000}"/>
    <cellStyle name="40% - Énfasis5 32 4 2" xfId="16361" xr:uid="{00000000-0005-0000-0000-0000EC3F0000}"/>
    <cellStyle name="40% - Énfasis5 32 5" xfId="16362" xr:uid="{00000000-0005-0000-0000-0000ED3F0000}"/>
    <cellStyle name="40% - Énfasis5 33" xfId="16363" xr:uid="{00000000-0005-0000-0000-0000EE3F0000}"/>
    <cellStyle name="40% - Énfasis5 33 2" xfId="16364" xr:uid="{00000000-0005-0000-0000-0000EF3F0000}"/>
    <cellStyle name="40% - Énfasis5 33 2 2" xfId="16365" xr:uid="{00000000-0005-0000-0000-0000F03F0000}"/>
    <cellStyle name="40% - Énfasis5 33 2 2 2" xfId="16366" xr:uid="{00000000-0005-0000-0000-0000F13F0000}"/>
    <cellStyle name="40% - Énfasis5 33 2 3" xfId="16367" xr:uid="{00000000-0005-0000-0000-0000F23F0000}"/>
    <cellStyle name="40% - Énfasis5 33 3" xfId="16368" xr:uid="{00000000-0005-0000-0000-0000F33F0000}"/>
    <cellStyle name="40% - Énfasis5 33 3 2" xfId="16369" xr:uid="{00000000-0005-0000-0000-0000F43F0000}"/>
    <cellStyle name="40% - Énfasis5 33 4" xfId="16370" xr:uid="{00000000-0005-0000-0000-0000F53F0000}"/>
    <cellStyle name="40% - Énfasis5 34" xfId="16371" xr:uid="{00000000-0005-0000-0000-0000F63F0000}"/>
    <cellStyle name="40% - Énfasis5 34 2" xfId="16372" xr:uid="{00000000-0005-0000-0000-0000F73F0000}"/>
    <cellStyle name="40% - Énfasis5 34 2 2" xfId="16373" xr:uid="{00000000-0005-0000-0000-0000F83F0000}"/>
    <cellStyle name="40% - Énfasis5 34 2 2 2" xfId="16374" xr:uid="{00000000-0005-0000-0000-0000F93F0000}"/>
    <cellStyle name="40% - Énfasis5 34 2 3" xfId="16375" xr:uid="{00000000-0005-0000-0000-0000FA3F0000}"/>
    <cellStyle name="40% - Énfasis5 34 3" xfId="16376" xr:uid="{00000000-0005-0000-0000-0000FB3F0000}"/>
    <cellStyle name="40% - Énfasis5 34 3 2" xfId="16377" xr:uid="{00000000-0005-0000-0000-0000FC3F0000}"/>
    <cellStyle name="40% - Énfasis5 34 4" xfId="16378" xr:uid="{00000000-0005-0000-0000-0000FD3F0000}"/>
    <cellStyle name="40% - Énfasis5 35" xfId="16379" xr:uid="{00000000-0005-0000-0000-0000FE3F0000}"/>
    <cellStyle name="40% - Énfasis5 35 2" xfId="16380" xr:uid="{00000000-0005-0000-0000-0000FF3F0000}"/>
    <cellStyle name="40% - Énfasis5 35 2 2" xfId="16381" xr:uid="{00000000-0005-0000-0000-000000400000}"/>
    <cellStyle name="40% - Énfasis5 35 2 2 2" xfId="16382" xr:uid="{00000000-0005-0000-0000-000001400000}"/>
    <cellStyle name="40% - Énfasis5 35 2 3" xfId="16383" xr:uid="{00000000-0005-0000-0000-000002400000}"/>
    <cellStyle name="40% - Énfasis5 35 3" xfId="16384" xr:uid="{00000000-0005-0000-0000-000003400000}"/>
    <cellStyle name="40% - Énfasis5 35 3 2" xfId="16385" xr:uid="{00000000-0005-0000-0000-000004400000}"/>
    <cellStyle name="40% - Énfasis5 35 4" xfId="16386" xr:uid="{00000000-0005-0000-0000-000005400000}"/>
    <cellStyle name="40% - Énfasis5 36" xfId="16387" xr:uid="{00000000-0005-0000-0000-000006400000}"/>
    <cellStyle name="40% - Énfasis5 36 2" xfId="16388" xr:uid="{00000000-0005-0000-0000-000007400000}"/>
    <cellStyle name="40% - Énfasis5 36 2 2" xfId="16389" xr:uid="{00000000-0005-0000-0000-000008400000}"/>
    <cellStyle name="40% - Énfasis5 36 2 2 2" xfId="16390" xr:uid="{00000000-0005-0000-0000-000009400000}"/>
    <cellStyle name="40% - Énfasis5 36 2 3" xfId="16391" xr:uid="{00000000-0005-0000-0000-00000A400000}"/>
    <cellStyle name="40% - Énfasis5 36 3" xfId="16392" xr:uid="{00000000-0005-0000-0000-00000B400000}"/>
    <cellStyle name="40% - Énfasis5 36 3 2" xfId="16393" xr:uid="{00000000-0005-0000-0000-00000C400000}"/>
    <cellStyle name="40% - Énfasis5 36 4" xfId="16394" xr:uid="{00000000-0005-0000-0000-00000D400000}"/>
    <cellStyle name="40% - Énfasis5 37" xfId="16395" xr:uid="{00000000-0005-0000-0000-00000E400000}"/>
    <cellStyle name="40% - Énfasis5 37 2" xfId="16396" xr:uid="{00000000-0005-0000-0000-00000F400000}"/>
    <cellStyle name="40% - Énfasis5 37 2 2" xfId="16397" xr:uid="{00000000-0005-0000-0000-000010400000}"/>
    <cellStyle name="40% - Énfasis5 37 2 2 2" xfId="16398" xr:uid="{00000000-0005-0000-0000-000011400000}"/>
    <cellStyle name="40% - Énfasis5 37 2 3" xfId="16399" xr:uid="{00000000-0005-0000-0000-000012400000}"/>
    <cellStyle name="40% - Énfasis5 37 3" xfId="16400" xr:uid="{00000000-0005-0000-0000-000013400000}"/>
    <cellStyle name="40% - Énfasis5 37 3 2" xfId="16401" xr:uid="{00000000-0005-0000-0000-000014400000}"/>
    <cellStyle name="40% - Énfasis5 37 4" xfId="16402" xr:uid="{00000000-0005-0000-0000-000015400000}"/>
    <cellStyle name="40% - Énfasis5 38" xfId="16403" xr:uid="{00000000-0005-0000-0000-000016400000}"/>
    <cellStyle name="40% - Énfasis5 38 2" xfId="16404" xr:uid="{00000000-0005-0000-0000-000017400000}"/>
    <cellStyle name="40% - Énfasis5 38 2 2" xfId="16405" xr:uid="{00000000-0005-0000-0000-000018400000}"/>
    <cellStyle name="40% - Énfasis5 38 3" xfId="16406" xr:uid="{00000000-0005-0000-0000-000019400000}"/>
    <cellStyle name="40% - Énfasis5 39" xfId="16407" xr:uid="{00000000-0005-0000-0000-00001A400000}"/>
    <cellStyle name="40% - Énfasis5 39 2" xfId="16408" xr:uid="{00000000-0005-0000-0000-00001B400000}"/>
    <cellStyle name="40% - Énfasis5 39 2 2" xfId="16409" xr:uid="{00000000-0005-0000-0000-00001C400000}"/>
    <cellStyle name="40% - Énfasis5 39 3" xfId="16410" xr:uid="{00000000-0005-0000-0000-00001D400000}"/>
    <cellStyle name="40% - Énfasis5 4" xfId="16411" xr:uid="{00000000-0005-0000-0000-00001E400000}"/>
    <cellStyle name="40% - Énfasis5 4 2" xfId="16412" xr:uid="{00000000-0005-0000-0000-00001F400000}"/>
    <cellStyle name="40% - Énfasis5 4 2 2" xfId="16413" xr:uid="{00000000-0005-0000-0000-000020400000}"/>
    <cellStyle name="40% - Énfasis5 4 2 2 2" xfId="16414" xr:uid="{00000000-0005-0000-0000-000021400000}"/>
    <cellStyle name="40% - Énfasis5 4 2 2 2 2" xfId="16415" xr:uid="{00000000-0005-0000-0000-000022400000}"/>
    <cellStyle name="40% - Énfasis5 4 2 2 2 2 2" xfId="16416" xr:uid="{00000000-0005-0000-0000-000023400000}"/>
    <cellStyle name="40% - Énfasis5 4 2 2 2 3" xfId="16417" xr:uid="{00000000-0005-0000-0000-000024400000}"/>
    <cellStyle name="40% - Énfasis5 4 2 2 3" xfId="16418" xr:uid="{00000000-0005-0000-0000-000025400000}"/>
    <cellStyle name="40% - Énfasis5 4 2 2 3 2" xfId="16419" xr:uid="{00000000-0005-0000-0000-000026400000}"/>
    <cellStyle name="40% - Énfasis5 4 2 2 4" xfId="16420" xr:uid="{00000000-0005-0000-0000-000027400000}"/>
    <cellStyle name="40% - Énfasis5 4 2 3" xfId="16421" xr:uid="{00000000-0005-0000-0000-000028400000}"/>
    <cellStyle name="40% - Énfasis5 4 2 3 2" xfId="16422" xr:uid="{00000000-0005-0000-0000-000029400000}"/>
    <cellStyle name="40% - Énfasis5 4 2 3 2 2" xfId="16423" xr:uid="{00000000-0005-0000-0000-00002A400000}"/>
    <cellStyle name="40% - Énfasis5 4 2 3 3" xfId="16424" xr:uid="{00000000-0005-0000-0000-00002B400000}"/>
    <cellStyle name="40% - Énfasis5 4 2 4" xfId="16425" xr:uid="{00000000-0005-0000-0000-00002C400000}"/>
    <cellStyle name="40% - Énfasis5 4 2 4 2" xfId="16426" xr:uid="{00000000-0005-0000-0000-00002D400000}"/>
    <cellStyle name="40% - Énfasis5 4 2 4 2 2" xfId="16427" xr:uid="{00000000-0005-0000-0000-00002E400000}"/>
    <cellStyle name="40% - Énfasis5 4 2 4 3" xfId="16428" xr:uid="{00000000-0005-0000-0000-00002F400000}"/>
    <cellStyle name="40% - Énfasis5 4 2 5" xfId="16429" xr:uid="{00000000-0005-0000-0000-000030400000}"/>
    <cellStyle name="40% - Énfasis5 4 2 5 2" xfId="16430" xr:uid="{00000000-0005-0000-0000-000031400000}"/>
    <cellStyle name="40% - Énfasis5 4 2 6" xfId="16431" xr:uid="{00000000-0005-0000-0000-000032400000}"/>
    <cellStyle name="40% - Énfasis5 4 3" xfId="16432" xr:uid="{00000000-0005-0000-0000-000033400000}"/>
    <cellStyle name="40% - Énfasis5 4 3 2" xfId="16433" xr:uid="{00000000-0005-0000-0000-000034400000}"/>
    <cellStyle name="40% - Énfasis5 4 3 2 2" xfId="16434" xr:uid="{00000000-0005-0000-0000-000035400000}"/>
    <cellStyle name="40% - Énfasis5 4 3 2 2 2" xfId="16435" xr:uid="{00000000-0005-0000-0000-000036400000}"/>
    <cellStyle name="40% - Énfasis5 4 3 2 3" xfId="16436" xr:uid="{00000000-0005-0000-0000-000037400000}"/>
    <cellStyle name="40% - Énfasis5 4 3 3" xfId="16437" xr:uid="{00000000-0005-0000-0000-000038400000}"/>
    <cellStyle name="40% - Énfasis5 4 3 3 2" xfId="16438" xr:uid="{00000000-0005-0000-0000-000039400000}"/>
    <cellStyle name="40% - Énfasis5 4 3 3 2 2" xfId="16439" xr:uid="{00000000-0005-0000-0000-00003A400000}"/>
    <cellStyle name="40% - Énfasis5 4 3 3 3" xfId="16440" xr:uid="{00000000-0005-0000-0000-00003B400000}"/>
    <cellStyle name="40% - Énfasis5 4 3 4" xfId="16441" xr:uid="{00000000-0005-0000-0000-00003C400000}"/>
    <cellStyle name="40% - Énfasis5 4 3 4 2" xfId="16442" xr:uid="{00000000-0005-0000-0000-00003D400000}"/>
    <cellStyle name="40% - Énfasis5 4 3 5" xfId="16443" xr:uid="{00000000-0005-0000-0000-00003E400000}"/>
    <cellStyle name="40% - Énfasis5 4 4" xfId="16444" xr:uid="{00000000-0005-0000-0000-00003F400000}"/>
    <cellStyle name="40% - Énfasis5 4 4 2" xfId="16445" xr:uid="{00000000-0005-0000-0000-000040400000}"/>
    <cellStyle name="40% - Énfasis5 4 4 2 2" xfId="16446" xr:uid="{00000000-0005-0000-0000-000041400000}"/>
    <cellStyle name="40% - Énfasis5 4 4 2 2 2" xfId="16447" xr:uid="{00000000-0005-0000-0000-000042400000}"/>
    <cellStyle name="40% - Énfasis5 4 4 2 3" xfId="16448" xr:uid="{00000000-0005-0000-0000-000043400000}"/>
    <cellStyle name="40% - Énfasis5 4 4 3" xfId="16449" xr:uid="{00000000-0005-0000-0000-000044400000}"/>
    <cellStyle name="40% - Énfasis5 4 4 3 2" xfId="16450" xr:uid="{00000000-0005-0000-0000-000045400000}"/>
    <cellStyle name="40% - Énfasis5 4 4 4" xfId="16451" xr:uid="{00000000-0005-0000-0000-000046400000}"/>
    <cellStyle name="40% - Énfasis5 4 5" xfId="16452" xr:uid="{00000000-0005-0000-0000-000047400000}"/>
    <cellStyle name="40% - Énfasis5 4 5 2" xfId="16453" xr:uid="{00000000-0005-0000-0000-000048400000}"/>
    <cellStyle name="40% - Énfasis5 4 5 2 2" xfId="16454" xr:uid="{00000000-0005-0000-0000-000049400000}"/>
    <cellStyle name="40% - Énfasis5 4 5 3" xfId="16455" xr:uid="{00000000-0005-0000-0000-00004A400000}"/>
    <cellStyle name="40% - Énfasis5 4 6" xfId="16456" xr:uid="{00000000-0005-0000-0000-00004B400000}"/>
    <cellStyle name="40% - Énfasis5 4 6 2" xfId="16457" xr:uid="{00000000-0005-0000-0000-00004C400000}"/>
    <cellStyle name="40% - Énfasis5 4 6 2 2" xfId="16458" xr:uid="{00000000-0005-0000-0000-00004D400000}"/>
    <cellStyle name="40% - Énfasis5 4 6 3" xfId="16459" xr:uid="{00000000-0005-0000-0000-00004E400000}"/>
    <cellStyle name="40% - Énfasis5 4 7" xfId="16460" xr:uid="{00000000-0005-0000-0000-00004F400000}"/>
    <cellStyle name="40% - Énfasis5 4 7 2" xfId="16461" xr:uid="{00000000-0005-0000-0000-000050400000}"/>
    <cellStyle name="40% - Énfasis5 4 8" xfId="16462" xr:uid="{00000000-0005-0000-0000-000051400000}"/>
    <cellStyle name="40% - Énfasis5 40" xfId="16463" xr:uid="{00000000-0005-0000-0000-000052400000}"/>
    <cellStyle name="40% - Énfasis5 40 2" xfId="16464" xr:uid="{00000000-0005-0000-0000-000053400000}"/>
    <cellStyle name="40% - Énfasis5 40 2 2" xfId="16465" xr:uid="{00000000-0005-0000-0000-000054400000}"/>
    <cellStyle name="40% - Énfasis5 40 3" xfId="16466" xr:uid="{00000000-0005-0000-0000-000055400000}"/>
    <cellStyle name="40% - Énfasis5 41" xfId="16467" xr:uid="{00000000-0005-0000-0000-000056400000}"/>
    <cellStyle name="40% - Énfasis5 41 2" xfId="16468" xr:uid="{00000000-0005-0000-0000-000057400000}"/>
    <cellStyle name="40% - Énfasis5 41 2 2" xfId="16469" xr:uid="{00000000-0005-0000-0000-000058400000}"/>
    <cellStyle name="40% - Énfasis5 41 3" xfId="16470" xr:uid="{00000000-0005-0000-0000-000059400000}"/>
    <cellStyle name="40% - Énfasis5 42" xfId="16471" xr:uid="{00000000-0005-0000-0000-00005A400000}"/>
    <cellStyle name="40% - Énfasis5 42 2" xfId="16472" xr:uid="{00000000-0005-0000-0000-00005B400000}"/>
    <cellStyle name="40% - Énfasis5 42 2 2" xfId="16473" xr:uid="{00000000-0005-0000-0000-00005C400000}"/>
    <cellStyle name="40% - Énfasis5 42 3" xfId="16474" xr:uid="{00000000-0005-0000-0000-00005D400000}"/>
    <cellStyle name="40% - Énfasis5 43" xfId="16475" xr:uid="{00000000-0005-0000-0000-00005E400000}"/>
    <cellStyle name="40% - Énfasis5 43 2" xfId="16476" xr:uid="{00000000-0005-0000-0000-00005F400000}"/>
    <cellStyle name="40% - Énfasis5 43 2 2" xfId="16477" xr:uid="{00000000-0005-0000-0000-000060400000}"/>
    <cellStyle name="40% - Énfasis5 43 3" xfId="16478" xr:uid="{00000000-0005-0000-0000-000061400000}"/>
    <cellStyle name="40% - Énfasis5 44" xfId="16479" xr:uid="{00000000-0005-0000-0000-000062400000}"/>
    <cellStyle name="40% - Énfasis5 44 2" xfId="16480" xr:uid="{00000000-0005-0000-0000-000063400000}"/>
    <cellStyle name="40% - Énfasis5 44 2 2" xfId="16481" xr:uid="{00000000-0005-0000-0000-000064400000}"/>
    <cellStyle name="40% - Énfasis5 44 3" xfId="16482" xr:uid="{00000000-0005-0000-0000-000065400000}"/>
    <cellStyle name="40% - Énfasis5 45" xfId="16483" xr:uid="{00000000-0005-0000-0000-000066400000}"/>
    <cellStyle name="40% - Énfasis5 45 2" xfId="16484" xr:uid="{00000000-0005-0000-0000-000067400000}"/>
    <cellStyle name="40% - Énfasis5 45 2 2" xfId="16485" xr:uid="{00000000-0005-0000-0000-000068400000}"/>
    <cellStyle name="40% - Énfasis5 45 3" xfId="16486" xr:uid="{00000000-0005-0000-0000-000069400000}"/>
    <cellStyle name="40% - Énfasis5 46" xfId="16487" xr:uid="{00000000-0005-0000-0000-00006A400000}"/>
    <cellStyle name="40% - Énfasis5 46 2" xfId="16488" xr:uid="{00000000-0005-0000-0000-00006B400000}"/>
    <cellStyle name="40% - Énfasis5 47" xfId="16489" xr:uid="{00000000-0005-0000-0000-00006C400000}"/>
    <cellStyle name="40% - Énfasis5 47 2" xfId="16490" xr:uid="{00000000-0005-0000-0000-00006D400000}"/>
    <cellStyle name="40% - Énfasis5 48" xfId="16491" xr:uid="{00000000-0005-0000-0000-00006E400000}"/>
    <cellStyle name="40% - Énfasis5 48 2" xfId="16492" xr:uid="{00000000-0005-0000-0000-00006F400000}"/>
    <cellStyle name="40% - Énfasis5 49" xfId="16493" xr:uid="{00000000-0005-0000-0000-000070400000}"/>
    <cellStyle name="40% - Énfasis5 49 2" xfId="16494" xr:uid="{00000000-0005-0000-0000-000071400000}"/>
    <cellStyle name="40% - Énfasis5 5" xfId="16495" xr:uid="{00000000-0005-0000-0000-000072400000}"/>
    <cellStyle name="40% - Énfasis5 5 2" xfId="16496" xr:uid="{00000000-0005-0000-0000-000073400000}"/>
    <cellStyle name="40% - Énfasis5 5 2 2" xfId="16497" xr:uid="{00000000-0005-0000-0000-000074400000}"/>
    <cellStyle name="40% - Énfasis5 5 2 2 2" xfId="16498" xr:uid="{00000000-0005-0000-0000-000075400000}"/>
    <cellStyle name="40% - Énfasis5 5 2 2 2 2" xfId="16499" xr:uid="{00000000-0005-0000-0000-000076400000}"/>
    <cellStyle name="40% - Énfasis5 5 2 2 2 2 2" xfId="16500" xr:uid="{00000000-0005-0000-0000-000077400000}"/>
    <cellStyle name="40% - Énfasis5 5 2 2 2 3" xfId="16501" xr:uid="{00000000-0005-0000-0000-000078400000}"/>
    <cellStyle name="40% - Énfasis5 5 2 2 3" xfId="16502" xr:uid="{00000000-0005-0000-0000-000079400000}"/>
    <cellStyle name="40% - Énfasis5 5 2 2 3 2" xfId="16503" xr:uid="{00000000-0005-0000-0000-00007A400000}"/>
    <cellStyle name="40% - Énfasis5 5 2 2 4" xfId="16504" xr:uid="{00000000-0005-0000-0000-00007B400000}"/>
    <cellStyle name="40% - Énfasis5 5 2 3" xfId="16505" xr:uid="{00000000-0005-0000-0000-00007C400000}"/>
    <cellStyle name="40% - Énfasis5 5 2 3 2" xfId="16506" xr:uid="{00000000-0005-0000-0000-00007D400000}"/>
    <cellStyle name="40% - Énfasis5 5 2 3 2 2" xfId="16507" xr:uid="{00000000-0005-0000-0000-00007E400000}"/>
    <cellStyle name="40% - Énfasis5 5 2 3 3" xfId="16508" xr:uid="{00000000-0005-0000-0000-00007F400000}"/>
    <cellStyle name="40% - Énfasis5 5 2 4" xfId="16509" xr:uid="{00000000-0005-0000-0000-000080400000}"/>
    <cellStyle name="40% - Énfasis5 5 2 4 2" xfId="16510" xr:uid="{00000000-0005-0000-0000-000081400000}"/>
    <cellStyle name="40% - Énfasis5 5 2 4 2 2" xfId="16511" xr:uid="{00000000-0005-0000-0000-000082400000}"/>
    <cellStyle name="40% - Énfasis5 5 2 4 3" xfId="16512" xr:uid="{00000000-0005-0000-0000-000083400000}"/>
    <cellStyle name="40% - Énfasis5 5 2 5" xfId="16513" xr:uid="{00000000-0005-0000-0000-000084400000}"/>
    <cellStyle name="40% - Énfasis5 5 2 5 2" xfId="16514" xr:uid="{00000000-0005-0000-0000-000085400000}"/>
    <cellStyle name="40% - Énfasis5 5 2 6" xfId="16515" xr:uid="{00000000-0005-0000-0000-000086400000}"/>
    <cellStyle name="40% - Énfasis5 5 3" xfId="16516" xr:uid="{00000000-0005-0000-0000-000087400000}"/>
    <cellStyle name="40% - Énfasis5 5 3 2" xfId="16517" xr:uid="{00000000-0005-0000-0000-000088400000}"/>
    <cellStyle name="40% - Énfasis5 5 3 2 2" xfId="16518" xr:uid="{00000000-0005-0000-0000-000089400000}"/>
    <cellStyle name="40% - Énfasis5 5 3 2 2 2" xfId="16519" xr:uid="{00000000-0005-0000-0000-00008A400000}"/>
    <cellStyle name="40% - Énfasis5 5 3 2 3" xfId="16520" xr:uid="{00000000-0005-0000-0000-00008B400000}"/>
    <cellStyle name="40% - Énfasis5 5 3 3" xfId="16521" xr:uid="{00000000-0005-0000-0000-00008C400000}"/>
    <cellStyle name="40% - Énfasis5 5 3 3 2" xfId="16522" xr:uid="{00000000-0005-0000-0000-00008D400000}"/>
    <cellStyle name="40% - Énfasis5 5 3 3 2 2" xfId="16523" xr:uid="{00000000-0005-0000-0000-00008E400000}"/>
    <cellStyle name="40% - Énfasis5 5 3 3 3" xfId="16524" xr:uid="{00000000-0005-0000-0000-00008F400000}"/>
    <cellStyle name="40% - Énfasis5 5 3 4" xfId="16525" xr:uid="{00000000-0005-0000-0000-000090400000}"/>
    <cellStyle name="40% - Énfasis5 5 3 4 2" xfId="16526" xr:uid="{00000000-0005-0000-0000-000091400000}"/>
    <cellStyle name="40% - Énfasis5 5 3 5" xfId="16527" xr:uid="{00000000-0005-0000-0000-000092400000}"/>
    <cellStyle name="40% - Énfasis5 5 4" xfId="16528" xr:uid="{00000000-0005-0000-0000-000093400000}"/>
    <cellStyle name="40% - Énfasis5 5 4 2" xfId="16529" xr:uid="{00000000-0005-0000-0000-000094400000}"/>
    <cellStyle name="40% - Énfasis5 5 4 2 2" xfId="16530" xr:uid="{00000000-0005-0000-0000-000095400000}"/>
    <cellStyle name="40% - Énfasis5 5 4 2 2 2" xfId="16531" xr:uid="{00000000-0005-0000-0000-000096400000}"/>
    <cellStyle name="40% - Énfasis5 5 4 2 3" xfId="16532" xr:uid="{00000000-0005-0000-0000-000097400000}"/>
    <cellStyle name="40% - Énfasis5 5 4 3" xfId="16533" xr:uid="{00000000-0005-0000-0000-000098400000}"/>
    <cellStyle name="40% - Énfasis5 5 4 3 2" xfId="16534" xr:uid="{00000000-0005-0000-0000-000099400000}"/>
    <cellStyle name="40% - Énfasis5 5 4 4" xfId="16535" xr:uid="{00000000-0005-0000-0000-00009A400000}"/>
    <cellStyle name="40% - Énfasis5 5 5" xfId="16536" xr:uid="{00000000-0005-0000-0000-00009B400000}"/>
    <cellStyle name="40% - Énfasis5 5 5 2" xfId="16537" xr:uid="{00000000-0005-0000-0000-00009C400000}"/>
    <cellStyle name="40% - Énfasis5 5 5 2 2" xfId="16538" xr:uid="{00000000-0005-0000-0000-00009D400000}"/>
    <cellStyle name="40% - Énfasis5 5 5 3" xfId="16539" xr:uid="{00000000-0005-0000-0000-00009E400000}"/>
    <cellStyle name="40% - Énfasis5 5 6" xfId="16540" xr:uid="{00000000-0005-0000-0000-00009F400000}"/>
    <cellStyle name="40% - Énfasis5 5 6 2" xfId="16541" xr:uid="{00000000-0005-0000-0000-0000A0400000}"/>
    <cellStyle name="40% - Énfasis5 5 6 2 2" xfId="16542" xr:uid="{00000000-0005-0000-0000-0000A1400000}"/>
    <cellStyle name="40% - Énfasis5 5 6 3" xfId="16543" xr:uid="{00000000-0005-0000-0000-0000A2400000}"/>
    <cellStyle name="40% - Énfasis5 5 7" xfId="16544" xr:uid="{00000000-0005-0000-0000-0000A3400000}"/>
    <cellStyle name="40% - Énfasis5 5 7 2" xfId="16545" xr:uid="{00000000-0005-0000-0000-0000A4400000}"/>
    <cellStyle name="40% - Énfasis5 5 8" xfId="16546" xr:uid="{00000000-0005-0000-0000-0000A5400000}"/>
    <cellStyle name="40% - Énfasis5 50" xfId="16547" xr:uid="{00000000-0005-0000-0000-0000A6400000}"/>
    <cellStyle name="40% - Énfasis5 50 2" xfId="16548" xr:uid="{00000000-0005-0000-0000-0000A7400000}"/>
    <cellStyle name="40% - Énfasis5 51" xfId="16549" xr:uid="{00000000-0005-0000-0000-0000A8400000}"/>
    <cellStyle name="40% - Énfasis5 51 2" xfId="16550" xr:uid="{00000000-0005-0000-0000-0000A9400000}"/>
    <cellStyle name="40% - Énfasis5 52" xfId="16551" xr:uid="{00000000-0005-0000-0000-0000AA400000}"/>
    <cellStyle name="40% - Énfasis5 52 2" xfId="16552" xr:uid="{00000000-0005-0000-0000-0000AB400000}"/>
    <cellStyle name="40% - Énfasis5 53" xfId="16553" xr:uid="{00000000-0005-0000-0000-0000AC400000}"/>
    <cellStyle name="40% - Énfasis5 53 2" xfId="16554" xr:uid="{00000000-0005-0000-0000-0000AD400000}"/>
    <cellStyle name="40% - Énfasis5 54" xfId="16555" xr:uid="{00000000-0005-0000-0000-0000AE400000}"/>
    <cellStyle name="40% - Énfasis5 54 2" xfId="16556" xr:uid="{00000000-0005-0000-0000-0000AF400000}"/>
    <cellStyle name="40% - Énfasis5 55" xfId="16557" xr:uid="{00000000-0005-0000-0000-0000B0400000}"/>
    <cellStyle name="40% - Énfasis5 55 2" xfId="16558" xr:uid="{00000000-0005-0000-0000-0000B1400000}"/>
    <cellStyle name="40% - Énfasis5 56" xfId="16559" xr:uid="{00000000-0005-0000-0000-0000B2400000}"/>
    <cellStyle name="40% - Énfasis5 56 2" xfId="16560" xr:uid="{00000000-0005-0000-0000-0000B3400000}"/>
    <cellStyle name="40% - Énfasis5 57" xfId="16561" xr:uid="{00000000-0005-0000-0000-0000B4400000}"/>
    <cellStyle name="40% - Énfasis5 57 2" xfId="16562" xr:uid="{00000000-0005-0000-0000-0000B5400000}"/>
    <cellStyle name="40% - Énfasis5 58" xfId="16563" xr:uid="{00000000-0005-0000-0000-0000B6400000}"/>
    <cellStyle name="40% - Énfasis5 58 2" xfId="16564" xr:uid="{00000000-0005-0000-0000-0000B7400000}"/>
    <cellStyle name="40% - Énfasis5 59" xfId="16565" xr:uid="{00000000-0005-0000-0000-0000B8400000}"/>
    <cellStyle name="40% - Énfasis5 59 2" xfId="16566" xr:uid="{00000000-0005-0000-0000-0000B9400000}"/>
    <cellStyle name="40% - Énfasis5 6" xfId="16567" xr:uid="{00000000-0005-0000-0000-0000BA400000}"/>
    <cellStyle name="40% - Énfasis5 6 2" xfId="16568" xr:uid="{00000000-0005-0000-0000-0000BB400000}"/>
    <cellStyle name="40% - Énfasis5 6 2 2" xfId="16569" xr:uid="{00000000-0005-0000-0000-0000BC400000}"/>
    <cellStyle name="40% - Énfasis5 6 2 2 2" xfId="16570" xr:uid="{00000000-0005-0000-0000-0000BD400000}"/>
    <cellStyle name="40% - Énfasis5 6 2 2 2 2" xfId="16571" xr:uid="{00000000-0005-0000-0000-0000BE400000}"/>
    <cellStyle name="40% - Énfasis5 6 2 2 2 2 2" xfId="16572" xr:uid="{00000000-0005-0000-0000-0000BF400000}"/>
    <cellStyle name="40% - Énfasis5 6 2 2 2 3" xfId="16573" xr:uid="{00000000-0005-0000-0000-0000C0400000}"/>
    <cellStyle name="40% - Énfasis5 6 2 2 3" xfId="16574" xr:uid="{00000000-0005-0000-0000-0000C1400000}"/>
    <cellStyle name="40% - Énfasis5 6 2 2 3 2" xfId="16575" xr:uid="{00000000-0005-0000-0000-0000C2400000}"/>
    <cellStyle name="40% - Énfasis5 6 2 2 4" xfId="16576" xr:uid="{00000000-0005-0000-0000-0000C3400000}"/>
    <cellStyle name="40% - Énfasis5 6 2 3" xfId="16577" xr:uid="{00000000-0005-0000-0000-0000C4400000}"/>
    <cellStyle name="40% - Énfasis5 6 2 3 2" xfId="16578" xr:uid="{00000000-0005-0000-0000-0000C5400000}"/>
    <cellStyle name="40% - Énfasis5 6 2 3 2 2" xfId="16579" xr:uid="{00000000-0005-0000-0000-0000C6400000}"/>
    <cellStyle name="40% - Énfasis5 6 2 3 3" xfId="16580" xr:uid="{00000000-0005-0000-0000-0000C7400000}"/>
    <cellStyle name="40% - Énfasis5 6 2 4" xfId="16581" xr:uid="{00000000-0005-0000-0000-0000C8400000}"/>
    <cellStyle name="40% - Énfasis5 6 2 4 2" xfId="16582" xr:uid="{00000000-0005-0000-0000-0000C9400000}"/>
    <cellStyle name="40% - Énfasis5 6 2 4 2 2" xfId="16583" xr:uid="{00000000-0005-0000-0000-0000CA400000}"/>
    <cellStyle name="40% - Énfasis5 6 2 4 3" xfId="16584" xr:uid="{00000000-0005-0000-0000-0000CB400000}"/>
    <cellStyle name="40% - Énfasis5 6 2 5" xfId="16585" xr:uid="{00000000-0005-0000-0000-0000CC400000}"/>
    <cellStyle name="40% - Énfasis5 6 2 5 2" xfId="16586" xr:uid="{00000000-0005-0000-0000-0000CD400000}"/>
    <cellStyle name="40% - Énfasis5 6 2 6" xfId="16587" xr:uid="{00000000-0005-0000-0000-0000CE400000}"/>
    <cellStyle name="40% - Énfasis5 6 3" xfId="16588" xr:uid="{00000000-0005-0000-0000-0000CF400000}"/>
    <cellStyle name="40% - Énfasis5 6 3 2" xfId="16589" xr:uid="{00000000-0005-0000-0000-0000D0400000}"/>
    <cellStyle name="40% - Énfasis5 6 3 2 2" xfId="16590" xr:uid="{00000000-0005-0000-0000-0000D1400000}"/>
    <cellStyle name="40% - Énfasis5 6 3 2 2 2" xfId="16591" xr:uid="{00000000-0005-0000-0000-0000D2400000}"/>
    <cellStyle name="40% - Énfasis5 6 3 2 3" xfId="16592" xr:uid="{00000000-0005-0000-0000-0000D3400000}"/>
    <cellStyle name="40% - Énfasis5 6 3 3" xfId="16593" xr:uid="{00000000-0005-0000-0000-0000D4400000}"/>
    <cellStyle name="40% - Énfasis5 6 3 3 2" xfId="16594" xr:uid="{00000000-0005-0000-0000-0000D5400000}"/>
    <cellStyle name="40% - Énfasis5 6 3 3 2 2" xfId="16595" xr:uid="{00000000-0005-0000-0000-0000D6400000}"/>
    <cellStyle name="40% - Énfasis5 6 3 3 3" xfId="16596" xr:uid="{00000000-0005-0000-0000-0000D7400000}"/>
    <cellStyle name="40% - Énfasis5 6 3 4" xfId="16597" xr:uid="{00000000-0005-0000-0000-0000D8400000}"/>
    <cellStyle name="40% - Énfasis5 6 3 4 2" xfId="16598" xr:uid="{00000000-0005-0000-0000-0000D9400000}"/>
    <cellStyle name="40% - Énfasis5 6 3 5" xfId="16599" xr:uid="{00000000-0005-0000-0000-0000DA400000}"/>
    <cellStyle name="40% - Énfasis5 6 4" xfId="16600" xr:uid="{00000000-0005-0000-0000-0000DB400000}"/>
    <cellStyle name="40% - Énfasis5 6 4 2" xfId="16601" xr:uid="{00000000-0005-0000-0000-0000DC400000}"/>
    <cellStyle name="40% - Énfasis5 6 4 2 2" xfId="16602" xr:uid="{00000000-0005-0000-0000-0000DD400000}"/>
    <cellStyle name="40% - Énfasis5 6 4 2 2 2" xfId="16603" xr:uid="{00000000-0005-0000-0000-0000DE400000}"/>
    <cellStyle name="40% - Énfasis5 6 4 2 3" xfId="16604" xr:uid="{00000000-0005-0000-0000-0000DF400000}"/>
    <cellStyle name="40% - Énfasis5 6 4 3" xfId="16605" xr:uid="{00000000-0005-0000-0000-0000E0400000}"/>
    <cellStyle name="40% - Énfasis5 6 4 3 2" xfId="16606" xr:uid="{00000000-0005-0000-0000-0000E1400000}"/>
    <cellStyle name="40% - Énfasis5 6 4 4" xfId="16607" xr:uid="{00000000-0005-0000-0000-0000E2400000}"/>
    <cellStyle name="40% - Énfasis5 6 5" xfId="16608" xr:uid="{00000000-0005-0000-0000-0000E3400000}"/>
    <cellStyle name="40% - Énfasis5 6 5 2" xfId="16609" xr:uid="{00000000-0005-0000-0000-0000E4400000}"/>
    <cellStyle name="40% - Énfasis5 6 5 2 2" xfId="16610" xr:uid="{00000000-0005-0000-0000-0000E5400000}"/>
    <cellStyle name="40% - Énfasis5 6 5 3" xfId="16611" xr:uid="{00000000-0005-0000-0000-0000E6400000}"/>
    <cellStyle name="40% - Énfasis5 6 6" xfId="16612" xr:uid="{00000000-0005-0000-0000-0000E7400000}"/>
    <cellStyle name="40% - Énfasis5 6 6 2" xfId="16613" xr:uid="{00000000-0005-0000-0000-0000E8400000}"/>
    <cellStyle name="40% - Énfasis5 6 6 2 2" xfId="16614" xr:uid="{00000000-0005-0000-0000-0000E9400000}"/>
    <cellStyle name="40% - Énfasis5 6 6 3" xfId="16615" xr:uid="{00000000-0005-0000-0000-0000EA400000}"/>
    <cellStyle name="40% - Énfasis5 6 7" xfId="16616" xr:uid="{00000000-0005-0000-0000-0000EB400000}"/>
    <cellStyle name="40% - Énfasis5 6 7 2" xfId="16617" xr:uid="{00000000-0005-0000-0000-0000EC400000}"/>
    <cellStyle name="40% - Énfasis5 6 8" xfId="16618" xr:uid="{00000000-0005-0000-0000-0000ED400000}"/>
    <cellStyle name="40% - Énfasis5 60" xfId="16619" xr:uid="{00000000-0005-0000-0000-0000EE400000}"/>
    <cellStyle name="40% - Énfasis5 60 2" xfId="16620" xr:uid="{00000000-0005-0000-0000-0000EF400000}"/>
    <cellStyle name="40% - Énfasis5 61" xfId="16621" xr:uid="{00000000-0005-0000-0000-0000F0400000}"/>
    <cellStyle name="40% - Énfasis5 61 2" xfId="16622" xr:uid="{00000000-0005-0000-0000-0000F1400000}"/>
    <cellStyle name="40% - Énfasis5 62" xfId="16623" xr:uid="{00000000-0005-0000-0000-0000F2400000}"/>
    <cellStyle name="40% - Énfasis5 62 2" xfId="16624" xr:uid="{00000000-0005-0000-0000-0000F3400000}"/>
    <cellStyle name="40% - Énfasis5 63" xfId="16625" xr:uid="{00000000-0005-0000-0000-0000F4400000}"/>
    <cellStyle name="40% - Énfasis5 63 2" xfId="16626" xr:uid="{00000000-0005-0000-0000-0000F5400000}"/>
    <cellStyle name="40% - Énfasis5 64" xfId="16627" xr:uid="{00000000-0005-0000-0000-0000F6400000}"/>
    <cellStyle name="40% - Énfasis5 64 2" xfId="16628" xr:uid="{00000000-0005-0000-0000-0000F7400000}"/>
    <cellStyle name="40% - Énfasis5 7" xfId="16629" xr:uid="{00000000-0005-0000-0000-0000F8400000}"/>
    <cellStyle name="40% - Énfasis5 7 2" xfId="16630" xr:uid="{00000000-0005-0000-0000-0000F9400000}"/>
    <cellStyle name="40% - Énfasis5 7 2 2" xfId="16631" xr:uid="{00000000-0005-0000-0000-0000FA400000}"/>
    <cellStyle name="40% - Énfasis5 7 2 2 2" xfId="16632" xr:uid="{00000000-0005-0000-0000-0000FB400000}"/>
    <cellStyle name="40% - Énfasis5 7 2 2 2 2" xfId="16633" xr:uid="{00000000-0005-0000-0000-0000FC400000}"/>
    <cellStyle name="40% - Énfasis5 7 2 2 2 2 2" xfId="16634" xr:uid="{00000000-0005-0000-0000-0000FD400000}"/>
    <cellStyle name="40% - Énfasis5 7 2 2 2 3" xfId="16635" xr:uid="{00000000-0005-0000-0000-0000FE400000}"/>
    <cellStyle name="40% - Énfasis5 7 2 2 3" xfId="16636" xr:uid="{00000000-0005-0000-0000-0000FF400000}"/>
    <cellStyle name="40% - Énfasis5 7 2 2 3 2" xfId="16637" xr:uid="{00000000-0005-0000-0000-000000410000}"/>
    <cellStyle name="40% - Énfasis5 7 2 2 4" xfId="16638" xr:uid="{00000000-0005-0000-0000-000001410000}"/>
    <cellStyle name="40% - Énfasis5 7 2 3" xfId="16639" xr:uid="{00000000-0005-0000-0000-000002410000}"/>
    <cellStyle name="40% - Énfasis5 7 2 3 2" xfId="16640" xr:uid="{00000000-0005-0000-0000-000003410000}"/>
    <cellStyle name="40% - Énfasis5 7 2 3 2 2" xfId="16641" xr:uid="{00000000-0005-0000-0000-000004410000}"/>
    <cellStyle name="40% - Énfasis5 7 2 3 3" xfId="16642" xr:uid="{00000000-0005-0000-0000-000005410000}"/>
    <cellStyle name="40% - Énfasis5 7 2 4" xfId="16643" xr:uid="{00000000-0005-0000-0000-000006410000}"/>
    <cellStyle name="40% - Énfasis5 7 2 4 2" xfId="16644" xr:uid="{00000000-0005-0000-0000-000007410000}"/>
    <cellStyle name="40% - Énfasis5 7 2 4 2 2" xfId="16645" xr:uid="{00000000-0005-0000-0000-000008410000}"/>
    <cellStyle name="40% - Énfasis5 7 2 4 3" xfId="16646" xr:uid="{00000000-0005-0000-0000-000009410000}"/>
    <cellStyle name="40% - Énfasis5 7 2 5" xfId="16647" xr:uid="{00000000-0005-0000-0000-00000A410000}"/>
    <cellStyle name="40% - Énfasis5 7 2 5 2" xfId="16648" xr:uid="{00000000-0005-0000-0000-00000B410000}"/>
    <cellStyle name="40% - Énfasis5 7 2 6" xfId="16649" xr:uid="{00000000-0005-0000-0000-00000C410000}"/>
    <cellStyle name="40% - Énfasis5 7 3" xfId="16650" xr:uid="{00000000-0005-0000-0000-00000D410000}"/>
    <cellStyle name="40% - Énfasis5 7 3 2" xfId="16651" xr:uid="{00000000-0005-0000-0000-00000E410000}"/>
    <cellStyle name="40% - Énfasis5 7 3 2 2" xfId="16652" xr:uid="{00000000-0005-0000-0000-00000F410000}"/>
    <cellStyle name="40% - Énfasis5 7 3 2 2 2" xfId="16653" xr:uid="{00000000-0005-0000-0000-000010410000}"/>
    <cellStyle name="40% - Énfasis5 7 3 2 3" xfId="16654" xr:uid="{00000000-0005-0000-0000-000011410000}"/>
    <cellStyle name="40% - Énfasis5 7 3 3" xfId="16655" xr:uid="{00000000-0005-0000-0000-000012410000}"/>
    <cellStyle name="40% - Énfasis5 7 3 3 2" xfId="16656" xr:uid="{00000000-0005-0000-0000-000013410000}"/>
    <cellStyle name="40% - Énfasis5 7 3 3 2 2" xfId="16657" xr:uid="{00000000-0005-0000-0000-000014410000}"/>
    <cellStyle name="40% - Énfasis5 7 3 3 3" xfId="16658" xr:uid="{00000000-0005-0000-0000-000015410000}"/>
    <cellStyle name="40% - Énfasis5 7 3 4" xfId="16659" xr:uid="{00000000-0005-0000-0000-000016410000}"/>
    <cellStyle name="40% - Énfasis5 7 3 4 2" xfId="16660" xr:uid="{00000000-0005-0000-0000-000017410000}"/>
    <cellStyle name="40% - Énfasis5 7 3 5" xfId="16661" xr:uid="{00000000-0005-0000-0000-000018410000}"/>
    <cellStyle name="40% - Énfasis5 7 4" xfId="16662" xr:uid="{00000000-0005-0000-0000-000019410000}"/>
    <cellStyle name="40% - Énfasis5 7 4 2" xfId="16663" xr:uid="{00000000-0005-0000-0000-00001A410000}"/>
    <cellStyle name="40% - Énfasis5 7 4 2 2" xfId="16664" xr:uid="{00000000-0005-0000-0000-00001B410000}"/>
    <cellStyle name="40% - Énfasis5 7 4 2 2 2" xfId="16665" xr:uid="{00000000-0005-0000-0000-00001C410000}"/>
    <cellStyle name="40% - Énfasis5 7 4 2 3" xfId="16666" xr:uid="{00000000-0005-0000-0000-00001D410000}"/>
    <cellStyle name="40% - Énfasis5 7 4 3" xfId="16667" xr:uid="{00000000-0005-0000-0000-00001E410000}"/>
    <cellStyle name="40% - Énfasis5 7 4 3 2" xfId="16668" xr:uid="{00000000-0005-0000-0000-00001F410000}"/>
    <cellStyle name="40% - Énfasis5 7 4 4" xfId="16669" xr:uid="{00000000-0005-0000-0000-000020410000}"/>
    <cellStyle name="40% - Énfasis5 7 5" xfId="16670" xr:uid="{00000000-0005-0000-0000-000021410000}"/>
    <cellStyle name="40% - Énfasis5 7 5 2" xfId="16671" xr:uid="{00000000-0005-0000-0000-000022410000}"/>
    <cellStyle name="40% - Énfasis5 7 5 2 2" xfId="16672" xr:uid="{00000000-0005-0000-0000-000023410000}"/>
    <cellStyle name="40% - Énfasis5 7 5 3" xfId="16673" xr:uid="{00000000-0005-0000-0000-000024410000}"/>
    <cellStyle name="40% - Énfasis5 7 6" xfId="16674" xr:uid="{00000000-0005-0000-0000-000025410000}"/>
    <cellStyle name="40% - Énfasis5 7 6 2" xfId="16675" xr:uid="{00000000-0005-0000-0000-000026410000}"/>
    <cellStyle name="40% - Énfasis5 7 6 2 2" xfId="16676" xr:uid="{00000000-0005-0000-0000-000027410000}"/>
    <cellStyle name="40% - Énfasis5 7 6 3" xfId="16677" xr:uid="{00000000-0005-0000-0000-000028410000}"/>
    <cellStyle name="40% - Énfasis5 7 7" xfId="16678" xr:uid="{00000000-0005-0000-0000-000029410000}"/>
    <cellStyle name="40% - Énfasis5 7 7 2" xfId="16679" xr:uid="{00000000-0005-0000-0000-00002A410000}"/>
    <cellStyle name="40% - Énfasis5 7 8" xfId="16680" xr:uid="{00000000-0005-0000-0000-00002B410000}"/>
    <cellStyle name="40% - Énfasis5 8" xfId="16681" xr:uid="{00000000-0005-0000-0000-00002C410000}"/>
    <cellStyle name="40% - Énfasis5 8 2" xfId="16682" xr:uid="{00000000-0005-0000-0000-00002D410000}"/>
    <cellStyle name="40% - Énfasis5 8 2 2" xfId="16683" xr:uid="{00000000-0005-0000-0000-00002E410000}"/>
    <cellStyle name="40% - Énfasis5 8 2 2 2" xfId="16684" xr:uid="{00000000-0005-0000-0000-00002F410000}"/>
    <cellStyle name="40% - Énfasis5 8 2 2 2 2" xfId="16685" xr:uid="{00000000-0005-0000-0000-000030410000}"/>
    <cellStyle name="40% - Énfasis5 8 2 2 2 2 2" xfId="16686" xr:uid="{00000000-0005-0000-0000-000031410000}"/>
    <cellStyle name="40% - Énfasis5 8 2 2 2 3" xfId="16687" xr:uid="{00000000-0005-0000-0000-000032410000}"/>
    <cellStyle name="40% - Énfasis5 8 2 2 3" xfId="16688" xr:uid="{00000000-0005-0000-0000-000033410000}"/>
    <cellStyle name="40% - Énfasis5 8 2 2 3 2" xfId="16689" xr:uid="{00000000-0005-0000-0000-000034410000}"/>
    <cellStyle name="40% - Énfasis5 8 2 2 4" xfId="16690" xr:uid="{00000000-0005-0000-0000-000035410000}"/>
    <cellStyle name="40% - Énfasis5 8 2 3" xfId="16691" xr:uid="{00000000-0005-0000-0000-000036410000}"/>
    <cellStyle name="40% - Énfasis5 8 2 3 2" xfId="16692" xr:uid="{00000000-0005-0000-0000-000037410000}"/>
    <cellStyle name="40% - Énfasis5 8 2 3 2 2" xfId="16693" xr:uid="{00000000-0005-0000-0000-000038410000}"/>
    <cellStyle name="40% - Énfasis5 8 2 3 3" xfId="16694" xr:uid="{00000000-0005-0000-0000-000039410000}"/>
    <cellStyle name="40% - Énfasis5 8 2 4" xfId="16695" xr:uid="{00000000-0005-0000-0000-00003A410000}"/>
    <cellStyle name="40% - Énfasis5 8 2 4 2" xfId="16696" xr:uid="{00000000-0005-0000-0000-00003B410000}"/>
    <cellStyle name="40% - Énfasis5 8 2 4 2 2" xfId="16697" xr:uid="{00000000-0005-0000-0000-00003C410000}"/>
    <cellStyle name="40% - Énfasis5 8 2 4 3" xfId="16698" xr:uid="{00000000-0005-0000-0000-00003D410000}"/>
    <cellStyle name="40% - Énfasis5 8 2 5" xfId="16699" xr:uid="{00000000-0005-0000-0000-00003E410000}"/>
    <cellStyle name="40% - Énfasis5 8 2 5 2" xfId="16700" xr:uid="{00000000-0005-0000-0000-00003F410000}"/>
    <cellStyle name="40% - Énfasis5 8 2 6" xfId="16701" xr:uid="{00000000-0005-0000-0000-000040410000}"/>
    <cellStyle name="40% - Énfasis5 8 3" xfId="16702" xr:uid="{00000000-0005-0000-0000-000041410000}"/>
    <cellStyle name="40% - Énfasis5 8 3 2" xfId="16703" xr:uid="{00000000-0005-0000-0000-000042410000}"/>
    <cellStyle name="40% - Énfasis5 8 3 2 2" xfId="16704" xr:uid="{00000000-0005-0000-0000-000043410000}"/>
    <cellStyle name="40% - Énfasis5 8 3 2 2 2" xfId="16705" xr:uid="{00000000-0005-0000-0000-000044410000}"/>
    <cellStyle name="40% - Énfasis5 8 3 2 3" xfId="16706" xr:uid="{00000000-0005-0000-0000-000045410000}"/>
    <cellStyle name="40% - Énfasis5 8 3 3" xfId="16707" xr:uid="{00000000-0005-0000-0000-000046410000}"/>
    <cellStyle name="40% - Énfasis5 8 3 3 2" xfId="16708" xr:uid="{00000000-0005-0000-0000-000047410000}"/>
    <cellStyle name="40% - Énfasis5 8 3 3 2 2" xfId="16709" xr:uid="{00000000-0005-0000-0000-000048410000}"/>
    <cellStyle name="40% - Énfasis5 8 3 3 3" xfId="16710" xr:uid="{00000000-0005-0000-0000-000049410000}"/>
    <cellStyle name="40% - Énfasis5 8 3 4" xfId="16711" xr:uid="{00000000-0005-0000-0000-00004A410000}"/>
    <cellStyle name="40% - Énfasis5 8 3 4 2" xfId="16712" xr:uid="{00000000-0005-0000-0000-00004B410000}"/>
    <cellStyle name="40% - Énfasis5 8 3 5" xfId="16713" xr:uid="{00000000-0005-0000-0000-00004C410000}"/>
    <cellStyle name="40% - Énfasis5 8 4" xfId="16714" xr:uid="{00000000-0005-0000-0000-00004D410000}"/>
    <cellStyle name="40% - Énfasis5 8 4 2" xfId="16715" xr:uid="{00000000-0005-0000-0000-00004E410000}"/>
    <cellStyle name="40% - Énfasis5 8 4 2 2" xfId="16716" xr:uid="{00000000-0005-0000-0000-00004F410000}"/>
    <cellStyle name="40% - Énfasis5 8 4 2 2 2" xfId="16717" xr:uid="{00000000-0005-0000-0000-000050410000}"/>
    <cellStyle name="40% - Énfasis5 8 4 2 3" xfId="16718" xr:uid="{00000000-0005-0000-0000-000051410000}"/>
    <cellStyle name="40% - Énfasis5 8 4 3" xfId="16719" xr:uid="{00000000-0005-0000-0000-000052410000}"/>
    <cellStyle name="40% - Énfasis5 8 4 3 2" xfId="16720" xr:uid="{00000000-0005-0000-0000-000053410000}"/>
    <cellStyle name="40% - Énfasis5 8 4 4" xfId="16721" xr:uid="{00000000-0005-0000-0000-000054410000}"/>
    <cellStyle name="40% - Énfasis5 8 5" xfId="16722" xr:uid="{00000000-0005-0000-0000-000055410000}"/>
    <cellStyle name="40% - Énfasis5 8 5 2" xfId="16723" xr:uid="{00000000-0005-0000-0000-000056410000}"/>
    <cellStyle name="40% - Énfasis5 8 5 2 2" xfId="16724" xr:uid="{00000000-0005-0000-0000-000057410000}"/>
    <cellStyle name="40% - Énfasis5 8 5 3" xfId="16725" xr:uid="{00000000-0005-0000-0000-000058410000}"/>
    <cellStyle name="40% - Énfasis5 8 6" xfId="16726" xr:uid="{00000000-0005-0000-0000-000059410000}"/>
    <cellStyle name="40% - Énfasis5 8 6 2" xfId="16727" xr:uid="{00000000-0005-0000-0000-00005A410000}"/>
    <cellStyle name="40% - Énfasis5 8 6 2 2" xfId="16728" xr:uid="{00000000-0005-0000-0000-00005B410000}"/>
    <cellStyle name="40% - Énfasis5 8 6 3" xfId="16729" xr:uid="{00000000-0005-0000-0000-00005C410000}"/>
    <cellStyle name="40% - Énfasis5 8 7" xfId="16730" xr:uid="{00000000-0005-0000-0000-00005D410000}"/>
    <cellStyle name="40% - Énfasis5 8 7 2" xfId="16731" xr:uid="{00000000-0005-0000-0000-00005E410000}"/>
    <cellStyle name="40% - Énfasis5 8 8" xfId="16732" xr:uid="{00000000-0005-0000-0000-00005F410000}"/>
    <cellStyle name="40% - Énfasis5 9" xfId="16733" xr:uid="{00000000-0005-0000-0000-000060410000}"/>
    <cellStyle name="40% - Énfasis5 9 2" xfId="16734" xr:uid="{00000000-0005-0000-0000-000061410000}"/>
    <cellStyle name="40% - Énfasis5 9 2 2" xfId="16735" xr:uid="{00000000-0005-0000-0000-000062410000}"/>
    <cellStyle name="40% - Énfasis5 9 2 2 2" xfId="16736" xr:uid="{00000000-0005-0000-0000-000063410000}"/>
    <cellStyle name="40% - Énfasis5 9 2 2 2 2" xfId="16737" xr:uid="{00000000-0005-0000-0000-000064410000}"/>
    <cellStyle name="40% - Énfasis5 9 2 2 2 2 2" xfId="16738" xr:uid="{00000000-0005-0000-0000-000065410000}"/>
    <cellStyle name="40% - Énfasis5 9 2 2 2 3" xfId="16739" xr:uid="{00000000-0005-0000-0000-000066410000}"/>
    <cellStyle name="40% - Énfasis5 9 2 2 3" xfId="16740" xr:uid="{00000000-0005-0000-0000-000067410000}"/>
    <cellStyle name="40% - Énfasis5 9 2 2 3 2" xfId="16741" xr:uid="{00000000-0005-0000-0000-000068410000}"/>
    <cellStyle name="40% - Énfasis5 9 2 2 4" xfId="16742" xr:uid="{00000000-0005-0000-0000-000069410000}"/>
    <cellStyle name="40% - Énfasis5 9 2 3" xfId="16743" xr:uid="{00000000-0005-0000-0000-00006A410000}"/>
    <cellStyle name="40% - Énfasis5 9 2 3 2" xfId="16744" xr:uid="{00000000-0005-0000-0000-00006B410000}"/>
    <cellStyle name="40% - Énfasis5 9 2 3 2 2" xfId="16745" xr:uid="{00000000-0005-0000-0000-00006C410000}"/>
    <cellStyle name="40% - Énfasis5 9 2 3 3" xfId="16746" xr:uid="{00000000-0005-0000-0000-00006D410000}"/>
    <cellStyle name="40% - Énfasis5 9 2 4" xfId="16747" xr:uid="{00000000-0005-0000-0000-00006E410000}"/>
    <cellStyle name="40% - Énfasis5 9 2 4 2" xfId="16748" xr:uid="{00000000-0005-0000-0000-00006F410000}"/>
    <cellStyle name="40% - Énfasis5 9 2 4 2 2" xfId="16749" xr:uid="{00000000-0005-0000-0000-000070410000}"/>
    <cellStyle name="40% - Énfasis5 9 2 4 3" xfId="16750" xr:uid="{00000000-0005-0000-0000-000071410000}"/>
    <cellStyle name="40% - Énfasis5 9 2 5" xfId="16751" xr:uid="{00000000-0005-0000-0000-000072410000}"/>
    <cellStyle name="40% - Énfasis5 9 2 5 2" xfId="16752" xr:uid="{00000000-0005-0000-0000-000073410000}"/>
    <cellStyle name="40% - Énfasis5 9 2 6" xfId="16753" xr:uid="{00000000-0005-0000-0000-000074410000}"/>
    <cellStyle name="40% - Énfasis5 9 3" xfId="16754" xr:uid="{00000000-0005-0000-0000-000075410000}"/>
    <cellStyle name="40% - Énfasis5 9 3 2" xfId="16755" xr:uid="{00000000-0005-0000-0000-000076410000}"/>
    <cellStyle name="40% - Énfasis5 9 3 2 2" xfId="16756" xr:uid="{00000000-0005-0000-0000-000077410000}"/>
    <cellStyle name="40% - Énfasis5 9 3 2 2 2" xfId="16757" xr:uid="{00000000-0005-0000-0000-000078410000}"/>
    <cellStyle name="40% - Énfasis5 9 3 2 3" xfId="16758" xr:uid="{00000000-0005-0000-0000-000079410000}"/>
    <cellStyle name="40% - Énfasis5 9 3 3" xfId="16759" xr:uid="{00000000-0005-0000-0000-00007A410000}"/>
    <cellStyle name="40% - Énfasis5 9 3 3 2" xfId="16760" xr:uid="{00000000-0005-0000-0000-00007B410000}"/>
    <cellStyle name="40% - Énfasis5 9 3 3 2 2" xfId="16761" xr:uid="{00000000-0005-0000-0000-00007C410000}"/>
    <cellStyle name="40% - Énfasis5 9 3 3 3" xfId="16762" xr:uid="{00000000-0005-0000-0000-00007D410000}"/>
    <cellStyle name="40% - Énfasis5 9 3 4" xfId="16763" xr:uid="{00000000-0005-0000-0000-00007E410000}"/>
    <cellStyle name="40% - Énfasis5 9 3 4 2" xfId="16764" xr:uid="{00000000-0005-0000-0000-00007F410000}"/>
    <cellStyle name="40% - Énfasis5 9 3 5" xfId="16765" xr:uid="{00000000-0005-0000-0000-000080410000}"/>
    <cellStyle name="40% - Énfasis5 9 4" xfId="16766" xr:uid="{00000000-0005-0000-0000-000081410000}"/>
    <cellStyle name="40% - Énfasis5 9 4 2" xfId="16767" xr:uid="{00000000-0005-0000-0000-000082410000}"/>
    <cellStyle name="40% - Énfasis5 9 4 2 2" xfId="16768" xr:uid="{00000000-0005-0000-0000-000083410000}"/>
    <cellStyle name="40% - Énfasis5 9 4 2 2 2" xfId="16769" xr:uid="{00000000-0005-0000-0000-000084410000}"/>
    <cellStyle name="40% - Énfasis5 9 4 2 3" xfId="16770" xr:uid="{00000000-0005-0000-0000-000085410000}"/>
    <cellStyle name="40% - Énfasis5 9 4 3" xfId="16771" xr:uid="{00000000-0005-0000-0000-000086410000}"/>
    <cellStyle name="40% - Énfasis5 9 4 3 2" xfId="16772" xr:uid="{00000000-0005-0000-0000-000087410000}"/>
    <cellStyle name="40% - Énfasis5 9 4 4" xfId="16773" xr:uid="{00000000-0005-0000-0000-000088410000}"/>
    <cellStyle name="40% - Énfasis5 9 5" xfId="16774" xr:uid="{00000000-0005-0000-0000-000089410000}"/>
    <cellStyle name="40% - Énfasis5 9 5 2" xfId="16775" xr:uid="{00000000-0005-0000-0000-00008A410000}"/>
    <cellStyle name="40% - Énfasis5 9 5 2 2" xfId="16776" xr:uid="{00000000-0005-0000-0000-00008B410000}"/>
    <cellStyle name="40% - Énfasis5 9 5 3" xfId="16777" xr:uid="{00000000-0005-0000-0000-00008C410000}"/>
    <cellStyle name="40% - Énfasis5 9 6" xfId="16778" xr:uid="{00000000-0005-0000-0000-00008D410000}"/>
    <cellStyle name="40% - Énfasis5 9 6 2" xfId="16779" xr:uid="{00000000-0005-0000-0000-00008E410000}"/>
    <cellStyle name="40% - Énfasis5 9 6 2 2" xfId="16780" xr:uid="{00000000-0005-0000-0000-00008F410000}"/>
    <cellStyle name="40% - Énfasis5 9 6 3" xfId="16781" xr:uid="{00000000-0005-0000-0000-000090410000}"/>
    <cellStyle name="40% - Énfasis5 9 7" xfId="16782" xr:uid="{00000000-0005-0000-0000-000091410000}"/>
    <cellStyle name="40% - Énfasis5 9 7 2" xfId="16783" xr:uid="{00000000-0005-0000-0000-000092410000}"/>
    <cellStyle name="40% - Énfasis5 9 8" xfId="16784" xr:uid="{00000000-0005-0000-0000-000093410000}"/>
    <cellStyle name="40% - Énfasis6 10" xfId="16785" xr:uid="{00000000-0005-0000-0000-000094410000}"/>
    <cellStyle name="40% - Énfasis6 10 2" xfId="16786" xr:uid="{00000000-0005-0000-0000-000095410000}"/>
    <cellStyle name="40% - Énfasis6 10 2 2" xfId="16787" xr:uid="{00000000-0005-0000-0000-000096410000}"/>
    <cellStyle name="40% - Énfasis6 10 2 2 2" xfId="16788" xr:uid="{00000000-0005-0000-0000-000097410000}"/>
    <cellStyle name="40% - Énfasis6 10 2 2 2 2" xfId="16789" xr:uid="{00000000-0005-0000-0000-000098410000}"/>
    <cellStyle name="40% - Énfasis6 10 2 2 2 2 2" xfId="16790" xr:uid="{00000000-0005-0000-0000-000099410000}"/>
    <cellStyle name="40% - Énfasis6 10 2 2 2 3" xfId="16791" xr:uid="{00000000-0005-0000-0000-00009A410000}"/>
    <cellStyle name="40% - Énfasis6 10 2 2 3" xfId="16792" xr:uid="{00000000-0005-0000-0000-00009B410000}"/>
    <cellStyle name="40% - Énfasis6 10 2 2 3 2" xfId="16793" xr:uid="{00000000-0005-0000-0000-00009C410000}"/>
    <cellStyle name="40% - Énfasis6 10 2 2 4" xfId="16794" xr:uid="{00000000-0005-0000-0000-00009D410000}"/>
    <cellStyle name="40% - Énfasis6 10 2 3" xfId="16795" xr:uid="{00000000-0005-0000-0000-00009E410000}"/>
    <cellStyle name="40% - Énfasis6 10 2 3 2" xfId="16796" xr:uid="{00000000-0005-0000-0000-00009F410000}"/>
    <cellStyle name="40% - Énfasis6 10 2 3 2 2" xfId="16797" xr:uid="{00000000-0005-0000-0000-0000A0410000}"/>
    <cellStyle name="40% - Énfasis6 10 2 3 3" xfId="16798" xr:uid="{00000000-0005-0000-0000-0000A1410000}"/>
    <cellStyle name="40% - Énfasis6 10 2 4" xfId="16799" xr:uid="{00000000-0005-0000-0000-0000A2410000}"/>
    <cellStyle name="40% - Énfasis6 10 2 4 2" xfId="16800" xr:uid="{00000000-0005-0000-0000-0000A3410000}"/>
    <cellStyle name="40% - Énfasis6 10 2 4 2 2" xfId="16801" xr:uid="{00000000-0005-0000-0000-0000A4410000}"/>
    <cellStyle name="40% - Énfasis6 10 2 4 3" xfId="16802" xr:uid="{00000000-0005-0000-0000-0000A5410000}"/>
    <cellStyle name="40% - Énfasis6 10 2 5" xfId="16803" xr:uid="{00000000-0005-0000-0000-0000A6410000}"/>
    <cellStyle name="40% - Énfasis6 10 2 5 2" xfId="16804" xr:uid="{00000000-0005-0000-0000-0000A7410000}"/>
    <cellStyle name="40% - Énfasis6 10 2 6" xfId="16805" xr:uid="{00000000-0005-0000-0000-0000A8410000}"/>
    <cellStyle name="40% - Énfasis6 10 3" xfId="16806" xr:uid="{00000000-0005-0000-0000-0000A9410000}"/>
    <cellStyle name="40% - Énfasis6 10 3 2" xfId="16807" xr:uid="{00000000-0005-0000-0000-0000AA410000}"/>
    <cellStyle name="40% - Énfasis6 10 3 2 2" xfId="16808" xr:uid="{00000000-0005-0000-0000-0000AB410000}"/>
    <cellStyle name="40% - Énfasis6 10 3 2 2 2" xfId="16809" xr:uid="{00000000-0005-0000-0000-0000AC410000}"/>
    <cellStyle name="40% - Énfasis6 10 3 2 3" xfId="16810" xr:uid="{00000000-0005-0000-0000-0000AD410000}"/>
    <cellStyle name="40% - Énfasis6 10 3 3" xfId="16811" xr:uid="{00000000-0005-0000-0000-0000AE410000}"/>
    <cellStyle name="40% - Énfasis6 10 3 3 2" xfId="16812" xr:uid="{00000000-0005-0000-0000-0000AF410000}"/>
    <cellStyle name="40% - Énfasis6 10 3 3 2 2" xfId="16813" xr:uid="{00000000-0005-0000-0000-0000B0410000}"/>
    <cellStyle name="40% - Énfasis6 10 3 3 3" xfId="16814" xr:uid="{00000000-0005-0000-0000-0000B1410000}"/>
    <cellStyle name="40% - Énfasis6 10 3 4" xfId="16815" xr:uid="{00000000-0005-0000-0000-0000B2410000}"/>
    <cellStyle name="40% - Énfasis6 10 3 4 2" xfId="16816" xr:uid="{00000000-0005-0000-0000-0000B3410000}"/>
    <cellStyle name="40% - Énfasis6 10 3 5" xfId="16817" xr:uid="{00000000-0005-0000-0000-0000B4410000}"/>
    <cellStyle name="40% - Énfasis6 10 4" xfId="16818" xr:uid="{00000000-0005-0000-0000-0000B5410000}"/>
    <cellStyle name="40% - Énfasis6 10 4 2" xfId="16819" xr:uid="{00000000-0005-0000-0000-0000B6410000}"/>
    <cellStyle name="40% - Énfasis6 10 4 2 2" xfId="16820" xr:uid="{00000000-0005-0000-0000-0000B7410000}"/>
    <cellStyle name="40% - Énfasis6 10 4 2 2 2" xfId="16821" xr:uid="{00000000-0005-0000-0000-0000B8410000}"/>
    <cellStyle name="40% - Énfasis6 10 4 2 3" xfId="16822" xr:uid="{00000000-0005-0000-0000-0000B9410000}"/>
    <cellStyle name="40% - Énfasis6 10 4 3" xfId="16823" xr:uid="{00000000-0005-0000-0000-0000BA410000}"/>
    <cellStyle name="40% - Énfasis6 10 4 3 2" xfId="16824" xr:uid="{00000000-0005-0000-0000-0000BB410000}"/>
    <cellStyle name="40% - Énfasis6 10 4 4" xfId="16825" xr:uid="{00000000-0005-0000-0000-0000BC410000}"/>
    <cellStyle name="40% - Énfasis6 10 5" xfId="16826" xr:uid="{00000000-0005-0000-0000-0000BD410000}"/>
    <cellStyle name="40% - Énfasis6 10 5 2" xfId="16827" xr:uid="{00000000-0005-0000-0000-0000BE410000}"/>
    <cellStyle name="40% - Énfasis6 10 5 2 2" xfId="16828" xr:uid="{00000000-0005-0000-0000-0000BF410000}"/>
    <cellStyle name="40% - Énfasis6 10 5 3" xfId="16829" xr:uid="{00000000-0005-0000-0000-0000C0410000}"/>
    <cellStyle name="40% - Énfasis6 10 6" xfId="16830" xr:uid="{00000000-0005-0000-0000-0000C1410000}"/>
    <cellStyle name="40% - Énfasis6 10 6 2" xfId="16831" xr:uid="{00000000-0005-0000-0000-0000C2410000}"/>
    <cellStyle name="40% - Énfasis6 10 6 2 2" xfId="16832" xr:uid="{00000000-0005-0000-0000-0000C3410000}"/>
    <cellStyle name="40% - Énfasis6 10 6 3" xfId="16833" xr:uid="{00000000-0005-0000-0000-0000C4410000}"/>
    <cellStyle name="40% - Énfasis6 10 7" xfId="16834" xr:uid="{00000000-0005-0000-0000-0000C5410000}"/>
    <cellStyle name="40% - Énfasis6 10 7 2" xfId="16835" xr:uid="{00000000-0005-0000-0000-0000C6410000}"/>
    <cellStyle name="40% - Énfasis6 10 8" xfId="16836" xr:uid="{00000000-0005-0000-0000-0000C7410000}"/>
    <cellStyle name="40% - Énfasis6 11" xfId="16837" xr:uid="{00000000-0005-0000-0000-0000C8410000}"/>
    <cellStyle name="40% - Énfasis6 11 2" xfId="16838" xr:uid="{00000000-0005-0000-0000-0000C9410000}"/>
    <cellStyle name="40% - Énfasis6 11 2 2" xfId="16839" xr:uid="{00000000-0005-0000-0000-0000CA410000}"/>
    <cellStyle name="40% - Énfasis6 11 2 2 2" xfId="16840" xr:uid="{00000000-0005-0000-0000-0000CB410000}"/>
    <cellStyle name="40% - Énfasis6 11 2 2 2 2" xfId="16841" xr:uid="{00000000-0005-0000-0000-0000CC410000}"/>
    <cellStyle name="40% - Énfasis6 11 2 2 2 2 2" xfId="16842" xr:uid="{00000000-0005-0000-0000-0000CD410000}"/>
    <cellStyle name="40% - Énfasis6 11 2 2 2 3" xfId="16843" xr:uid="{00000000-0005-0000-0000-0000CE410000}"/>
    <cellStyle name="40% - Énfasis6 11 2 2 3" xfId="16844" xr:uid="{00000000-0005-0000-0000-0000CF410000}"/>
    <cellStyle name="40% - Énfasis6 11 2 2 3 2" xfId="16845" xr:uid="{00000000-0005-0000-0000-0000D0410000}"/>
    <cellStyle name="40% - Énfasis6 11 2 2 4" xfId="16846" xr:uid="{00000000-0005-0000-0000-0000D1410000}"/>
    <cellStyle name="40% - Énfasis6 11 2 3" xfId="16847" xr:uid="{00000000-0005-0000-0000-0000D2410000}"/>
    <cellStyle name="40% - Énfasis6 11 2 3 2" xfId="16848" xr:uid="{00000000-0005-0000-0000-0000D3410000}"/>
    <cellStyle name="40% - Énfasis6 11 2 3 2 2" xfId="16849" xr:uid="{00000000-0005-0000-0000-0000D4410000}"/>
    <cellStyle name="40% - Énfasis6 11 2 3 3" xfId="16850" xr:uid="{00000000-0005-0000-0000-0000D5410000}"/>
    <cellStyle name="40% - Énfasis6 11 2 4" xfId="16851" xr:uid="{00000000-0005-0000-0000-0000D6410000}"/>
    <cellStyle name="40% - Énfasis6 11 2 4 2" xfId="16852" xr:uid="{00000000-0005-0000-0000-0000D7410000}"/>
    <cellStyle name="40% - Énfasis6 11 2 4 2 2" xfId="16853" xr:uid="{00000000-0005-0000-0000-0000D8410000}"/>
    <cellStyle name="40% - Énfasis6 11 2 4 3" xfId="16854" xr:uid="{00000000-0005-0000-0000-0000D9410000}"/>
    <cellStyle name="40% - Énfasis6 11 2 5" xfId="16855" xr:uid="{00000000-0005-0000-0000-0000DA410000}"/>
    <cellStyle name="40% - Énfasis6 11 2 5 2" xfId="16856" xr:uid="{00000000-0005-0000-0000-0000DB410000}"/>
    <cellStyle name="40% - Énfasis6 11 2 6" xfId="16857" xr:uid="{00000000-0005-0000-0000-0000DC410000}"/>
    <cellStyle name="40% - Énfasis6 11 3" xfId="16858" xr:uid="{00000000-0005-0000-0000-0000DD410000}"/>
    <cellStyle name="40% - Énfasis6 11 3 2" xfId="16859" xr:uid="{00000000-0005-0000-0000-0000DE410000}"/>
    <cellStyle name="40% - Énfasis6 11 3 2 2" xfId="16860" xr:uid="{00000000-0005-0000-0000-0000DF410000}"/>
    <cellStyle name="40% - Énfasis6 11 3 2 2 2" xfId="16861" xr:uid="{00000000-0005-0000-0000-0000E0410000}"/>
    <cellStyle name="40% - Énfasis6 11 3 2 3" xfId="16862" xr:uid="{00000000-0005-0000-0000-0000E1410000}"/>
    <cellStyle name="40% - Énfasis6 11 3 3" xfId="16863" xr:uid="{00000000-0005-0000-0000-0000E2410000}"/>
    <cellStyle name="40% - Énfasis6 11 3 3 2" xfId="16864" xr:uid="{00000000-0005-0000-0000-0000E3410000}"/>
    <cellStyle name="40% - Énfasis6 11 3 3 2 2" xfId="16865" xr:uid="{00000000-0005-0000-0000-0000E4410000}"/>
    <cellStyle name="40% - Énfasis6 11 3 3 3" xfId="16866" xr:uid="{00000000-0005-0000-0000-0000E5410000}"/>
    <cellStyle name="40% - Énfasis6 11 3 4" xfId="16867" xr:uid="{00000000-0005-0000-0000-0000E6410000}"/>
    <cellStyle name="40% - Énfasis6 11 3 4 2" xfId="16868" xr:uid="{00000000-0005-0000-0000-0000E7410000}"/>
    <cellStyle name="40% - Énfasis6 11 3 5" xfId="16869" xr:uid="{00000000-0005-0000-0000-0000E8410000}"/>
    <cellStyle name="40% - Énfasis6 11 4" xfId="16870" xr:uid="{00000000-0005-0000-0000-0000E9410000}"/>
    <cellStyle name="40% - Énfasis6 11 4 2" xfId="16871" xr:uid="{00000000-0005-0000-0000-0000EA410000}"/>
    <cellStyle name="40% - Énfasis6 11 4 2 2" xfId="16872" xr:uid="{00000000-0005-0000-0000-0000EB410000}"/>
    <cellStyle name="40% - Énfasis6 11 4 2 2 2" xfId="16873" xr:uid="{00000000-0005-0000-0000-0000EC410000}"/>
    <cellStyle name="40% - Énfasis6 11 4 2 3" xfId="16874" xr:uid="{00000000-0005-0000-0000-0000ED410000}"/>
    <cellStyle name="40% - Énfasis6 11 4 3" xfId="16875" xr:uid="{00000000-0005-0000-0000-0000EE410000}"/>
    <cellStyle name="40% - Énfasis6 11 4 3 2" xfId="16876" xr:uid="{00000000-0005-0000-0000-0000EF410000}"/>
    <cellStyle name="40% - Énfasis6 11 4 4" xfId="16877" xr:uid="{00000000-0005-0000-0000-0000F0410000}"/>
    <cellStyle name="40% - Énfasis6 11 5" xfId="16878" xr:uid="{00000000-0005-0000-0000-0000F1410000}"/>
    <cellStyle name="40% - Énfasis6 11 5 2" xfId="16879" xr:uid="{00000000-0005-0000-0000-0000F2410000}"/>
    <cellStyle name="40% - Énfasis6 11 5 2 2" xfId="16880" xr:uid="{00000000-0005-0000-0000-0000F3410000}"/>
    <cellStyle name="40% - Énfasis6 11 5 3" xfId="16881" xr:uid="{00000000-0005-0000-0000-0000F4410000}"/>
    <cellStyle name="40% - Énfasis6 11 6" xfId="16882" xr:uid="{00000000-0005-0000-0000-0000F5410000}"/>
    <cellStyle name="40% - Énfasis6 11 6 2" xfId="16883" xr:uid="{00000000-0005-0000-0000-0000F6410000}"/>
    <cellStyle name="40% - Énfasis6 11 6 2 2" xfId="16884" xr:uid="{00000000-0005-0000-0000-0000F7410000}"/>
    <cellStyle name="40% - Énfasis6 11 6 3" xfId="16885" xr:uid="{00000000-0005-0000-0000-0000F8410000}"/>
    <cellStyle name="40% - Énfasis6 11 7" xfId="16886" xr:uid="{00000000-0005-0000-0000-0000F9410000}"/>
    <cellStyle name="40% - Énfasis6 11 7 2" xfId="16887" xr:uid="{00000000-0005-0000-0000-0000FA410000}"/>
    <cellStyle name="40% - Énfasis6 11 8" xfId="16888" xr:uid="{00000000-0005-0000-0000-0000FB410000}"/>
    <cellStyle name="40% - Énfasis6 12" xfId="16889" xr:uid="{00000000-0005-0000-0000-0000FC410000}"/>
    <cellStyle name="40% - Énfasis6 12 2" xfId="16890" xr:uid="{00000000-0005-0000-0000-0000FD410000}"/>
    <cellStyle name="40% - Énfasis6 12 2 2" xfId="16891" xr:uid="{00000000-0005-0000-0000-0000FE410000}"/>
    <cellStyle name="40% - Énfasis6 12 2 2 2" xfId="16892" xr:uid="{00000000-0005-0000-0000-0000FF410000}"/>
    <cellStyle name="40% - Énfasis6 12 2 2 2 2" xfId="16893" xr:uid="{00000000-0005-0000-0000-000000420000}"/>
    <cellStyle name="40% - Énfasis6 12 2 2 2 2 2" xfId="16894" xr:uid="{00000000-0005-0000-0000-000001420000}"/>
    <cellStyle name="40% - Énfasis6 12 2 2 2 3" xfId="16895" xr:uid="{00000000-0005-0000-0000-000002420000}"/>
    <cellStyle name="40% - Énfasis6 12 2 2 3" xfId="16896" xr:uid="{00000000-0005-0000-0000-000003420000}"/>
    <cellStyle name="40% - Énfasis6 12 2 2 3 2" xfId="16897" xr:uid="{00000000-0005-0000-0000-000004420000}"/>
    <cellStyle name="40% - Énfasis6 12 2 2 4" xfId="16898" xr:uid="{00000000-0005-0000-0000-000005420000}"/>
    <cellStyle name="40% - Énfasis6 12 2 3" xfId="16899" xr:uid="{00000000-0005-0000-0000-000006420000}"/>
    <cellStyle name="40% - Énfasis6 12 2 3 2" xfId="16900" xr:uid="{00000000-0005-0000-0000-000007420000}"/>
    <cellStyle name="40% - Énfasis6 12 2 3 2 2" xfId="16901" xr:uid="{00000000-0005-0000-0000-000008420000}"/>
    <cellStyle name="40% - Énfasis6 12 2 3 3" xfId="16902" xr:uid="{00000000-0005-0000-0000-000009420000}"/>
    <cellStyle name="40% - Énfasis6 12 2 4" xfId="16903" xr:uid="{00000000-0005-0000-0000-00000A420000}"/>
    <cellStyle name="40% - Énfasis6 12 2 4 2" xfId="16904" xr:uid="{00000000-0005-0000-0000-00000B420000}"/>
    <cellStyle name="40% - Énfasis6 12 2 4 2 2" xfId="16905" xr:uid="{00000000-0005-0000-0000-00000C420000}"/>
    <cellStyle name="40% - Énfasis6 12 2 4 3" xfId="16906" xr:uid="{00000000-0005-0000-0000-00000D420000}"/>
    <cellStyle name="40% - Énfasis6 12 2 5" xfId="16907" xr:uid="{00000000-0005-0000-0000-00000E420000}"/>
    <cellStyle name="40% - Énfasis6 12 2 5 2" xfId="16908" xr:uid="{00000000-0005-0000-0000-00000F420000}"/>
    <cellStyle name="40% - Énfasis6 12 2 6" xfId="16909" xr:uid="{00000000-0005-0000-0000-000010420000}"/>
    <cellStyle name="40% - Énfasis6 12 3" xfId="16910" xr:uid="{00000000-0005-0000-0000-000011420000}"/>
    <cellStyle name="40% - Énfasis6 12 3 2" xfId="16911" xr:uid="{00000000-0005-0000-0000-000012420000}"/>
    <cellStyle name="40% - Énfasis6 12 3 2 2" xfId="16912" xr:uid="{00000000-0005-0000-0000-000013420000}"/>
    <cellStyle name="40% - Énfasis6 12 3 2 2 2" xfId="16913" xr:uid="{00000000-0005-0000-0000-000014420000}"/>
    <cellStyle name="40% - Énfasis6 12 3 2 3" xfId="16914" xr:uid="{00000000-0005-0000-0000-000015420000}"/>
    <cellStyle name="40% - Énfasis6 12 3 3" xfId="16915" xr:uid="{00000000-0005-0000-0000-000016420000}"/>
    <cellStyle name="40% - Énfasis6 12 3 3 2" xfId="16916" xr:uid="{00000000-0005-0000-0000-000017420000}"/>
    <cellStyle name="40% - Énfasis6 12 3 3 2 2" xfId="16917" xr:uid="{00000000-0005-0000-0000-000018420000}"/>
    <cellStyle name="40% - Énfasis6 12 3 3 3" xfId="16918" xr:uid="{00000000-0005-0000-0000-000019420000}"/>
    <cellStyle name="40% - Énfasis6 12 3 4" xfId="16919" xr:uid="{00000000-0005-0000-0000-00001A420000}"/>
    <cellStyle name="40% - Énfasis6 12 3 4 2" xfId="16920" xr:uid="{00000000-0005-0000-0000-00001B420000}"/>
    <cellStyle name="40% - Énfasis6 12 3 5" xfId="16921" xr:uid="{00000000-0005-0000-0000-00001C420000}"/>
    <cellStyle name="40% - Énfasis6 12 4" xfId="16922" xr:uid="{00000000-0005-0000-0000-00001D420000}"/>
    <cellStyle name="40% - Énfasis6 12 4 2" xfId="16923" xr:uid="{00000000-0005-0000-0000-00001E420000}"/>
    <cellStyle name="40% - Énfasis6 12 4 2 2" xfId="16924" xr:uid="{00000000-0005-0000-0000-00001F420000}"/>
    <cellStyle name="40% - Énfasis6 12 4 2 2 2" xfId="16925" xr:uid="{00000000-0005-0000-0000-000020420000}"/>
    <cellStyle name="40% - Énfasis6 12 4 2 3" xfId="16926" xr:uid="{00000000-0005-0000-0000-000021420000}"/>
    <cellStyle name="40% - Énfasis6 12 4 3" xfId="16927" xr:uid="{00000000-0005-0000-0000-000022420000}"/>
    <cellStyle name="40% - Énfasis6 12 4 3 2" xfId="16928" xr:uid="{00000000-0005-0000-0000-000023420000}"/>
    <cellStyle name="40% - Énfasis6 12 4 4" xfId="16929" xr:uid="{00000000-0005-0000-0000-000024420000}"/>
    <cellStyle name="40% - Énfasis6 12 5" xfId="16930" xr:uid="{00000000-0005-0000-0000-000025420000}"/>
    <cellStyle name="40% - Énfasis6 12 5 2" xfId="16931" xr:uid="{00000000-0005-0000-0000-000026420000}"/>
    <cellStyle name="40% - Énfasis6 12 5 2 2" xfId="16932" xr:uid="{00000000-0005-0000-0000-000027420000}"/>
    <cellStyle name="40% - Énfasis6 12 5 3" xfId="16933" xr:uid="{00000000-0005-0000-0000-000028420000}"/>
    <cellStyle name="40% - Énfasis6 12 6" xfId="16934" xr:uid="{00000000-0005-0000-0000-000029420000}"/>
    <cellStyle name="40% - Énfasis6 12 6 2" xfId="16935" xr:uid="{00000000-0005-0000-0000-00002A420000}"/>
    <cellStyle name="40% - Énfasis6 12 6 2 2" xfId="16936" xr:uid="{00000000-0005-0000-0000-00002B420000}"/>
    <cellStyle name="40% - Énfasis6 12 6 3" xfId="16937" xr:uid="{00000000-0005-0000-0000-00002C420000}"/>
    <cellStyle name="40% - Énfasis6 12 7" xfId="16938" xr:uid="{00000000-0005-0000-0000-00002D420000}"/>
    <cellStyle name="40% - Énfasis6 12 7 2" xfId="16939" xr:uid="{00000000-0005-0000-0000-00002E420000}"/>
    <cellStyle name="40% - Énfasis6 12 8" xfId="16940" xr:uid="{00000000-0005-0000-0000-00002F420000}"/>
    <cellStyle name="40% - Énfasis6 13" xfId="16941" xr:uid="{00000000-0005-0000-0000-000030420000}"/>
    <cellStyle name="40% - Énfasis6 13 2" xfId="16942" xr:uid="{00000000-0005-0000-0000-000031420000}"/>
    <cellStyle name="40% - Énfasis6 13 2 2" xfId="16943" xr:uid="{00000000-0005-0000-0000-000032420000}"/>
    <cellStyle name="40% - Énfasis6 13 2 2 2" xfId="16944" xr:uid="{00000000-0005-0000-0000-000033420000}"/>
    <cellStyle name="40% - Énfasis6 13 2 2 2 2" xfId="16945" xr:uid="{00000000-0005-0000-0000-000034420000}"/>
    <cellStyle name="40% - Énfasis6 13 2 2 2 2 2" xfId="16946" xr:uid="{00000000-0005-0000-0000-000035420000}"/>
    <cellStyle name="40% - Énfasis6 13 2 2 2 3" xfId="16947" xr:uid="{00000000-0005-0000-0000-000036420000}"/>
    <cellStyle name="40% - Énfasis6 13 2 2 3" xfId="16948" xr:uid="{00000000-0005-0000-0000-000037420000}"/>
    <cellStyle name="40% - Énfasis6 13 2 2 3 2" xfId="16949" xr:uid="{00000000-0005-0000-0000-000038420000}"/>
    <cellStyle name="40% - Énfasis6 13 2 2 4" xfId="16950" xr:uid="{00000000-0005-0000-0000-000039420000}"/>
    <cellStyle name="40% - Énfasis6 13 2 3" xfId="16951" xr:uid="{00000000-0005-0000-0000-00003A420000}"/>
    <cellStyle name="40% - Énfasis6 13 2 3 2" xfId="16952" xr:uid="{00000000-0005-0000-0000-00003B420000}"/>
    <cellStyle name="40% - Énfasis6 13 2 3 2 2" xfId="16953" xr:uid="{00000000-0005-0000-0000-00003C420000}"/>
    <cellStyle name="40% - Énfasis6 13 2 3 3" xfId="16954" xr:uid="{00000000-0005-0000-0000-00003D420000}"/>
    <cellStyle name="40% - Énfasis6 13 2 4" xfId="16955" xr:uid="{00000000-0005-0000-0000-00003E420000}"/>
    <cellStyle name="40% - Énfasis6 13 2 4 2" xfId="16956" xr:uid="{00000000-0005-0000-0000-00003F420000}"/>
    <cellStyle name="40% - Énfasis6 13 2 4 2 2" xfId="16957" xr:uid="{00000000-0005-0000-0000-000040420000}"/>
    <cellStyle name="40% - Énfasis6 13 2 4 3" xfId="16958" xr:uid="{00000000-0005-0000-0000-000041420000}"/>
    <cellStyle name="40% - Énfasis6 13 2 5" xfId="16959" xr:uid="{00000000-0005-0000-0000-000042420000}"/>
    <cellStyle name="40% - Énfasis6 13 2 5 2" xfId="16960" xr:uid="{00000000-0005-0000-0000-000043420000}"/>
    <cellStyle name="40% - Énfasis6 13 2 6" xfId="16961" xr:uid="{00000000-0005-0000-0000-000044420000}"/>
    <cellStyle name="40% - Énfasis6 13 3" xfId="16962" xr:uid="{00000000-0005-0000-0000-000045420000}"/>
    <cellStyle name="40% - Énfasis6 13 3 2" xfId="16963" xr:uid="{00000000-0005-0000-0000-000046420000}"/>
    <cellStyle name="40% - Énfasis6 13 3 2 2" xfId="16964" xr:uid="{00000000-0005-0000-0000-000047420000}"/>
    <cellStyle name="40% - Énfasis6 13 3 2 2 2" xfId="16965" xr:uid="{00000000-0005-0000-0000-000048420000}"/>
    <cellStyle name="40% - Énfasis6 13 3 2 3" xfId="16966" xr:uid="{00000000-0005-0000-0000-000049420000}"/>
    <cellStyle name="40% - Énfasis6 13 3 3" xfId="16967" xr:uid="{00000000-0005-0000-0000-00004A420000}"/>
    <cellStyle name="40% - Énfasis6 13 3 3 2" xfId="16968" xr:uid="{00000000-0005-0000-0000-00004B420000}"/>
    <cellStyle name="40% - Énfasis6 13 3 3 2 2" xfId="16969" xr:uid="{00000000-0005-0000-0000-00004C420000}"/>
    <cellStyle name="40% - Énfasis6 13 3 3 3" xfId="16970" xr:uid="{00000000-0005-0000-0000-00004D420000}"/>
    <cellStyle name="40% - Énfasis6 13 3 4" xfId="16971" xr:uid="{00000000-0005-0000-0000-00004E420000}"/>
    <cellStyle name="40% - Énfasis6 13 3 4 2" xfId="16972" xr:uid="{00000000-0005-0000-0000-00004F420000}"/>
    <cellStyle name="40% - Énfasis6 13 3 5" xfId="16973" xr:uid="{00000000-0005-0000-0000-000050420000}"/>
    <cellStyle name="40% - Énfasis6 13 4" xfId="16974" xr:uid="{00000000-0005-0000-0000-000051420000}"/>
    <cellStyle name="40% - Énfasis6 13 4 2" xfId="16975" xr:uid="{00000000-0005-0000-0000-000052420000}"/>
    <cellStyle name="40% - Énfasis6 13 4 2 2" xfId="16976" xr:uid="{00000000-0005-0000-0000-000053420000}"/>
    <cellStyle name="40% - Énfasis6 13 4 2 2 2" xfId="16977" xr:uid="{00000000-0005-0000-0000-000054420000}"/>
    <cellStyle name="40% - Énfasis6 13 4 2 3" xfId="16978" xr:uid="{00000000-0005-0000-0000-000055420000}"/>
    <cellStyle name="40% - Énfasis6 13 4 3" xfId="16979" xr:uid="{00000000-0005-0000-0000-000056420000}"/>
    <cellStyle name="40% - Énfasis6 13 4 3 2" xfId="16980" xr:uid="{00000000-0005-0000-0000-000057420000}"/>
    <cellStyle name="40% - Énfasis6 13 4 4" xfId="16981" xr:uid="{00000000-0005-0000-0000-000058420000}"/>
    <cellStyle name="40% - Énfasis6 13 5" xfId="16982" xr:uid="{00000000-0005-0000-0000-000059420000}"/>
    <cellStyle name="40% - Énfasis6 13 5 2" xfId="16983" xr:uid="{00000000-0005-0000-0000-00005A420000}"/>
    <cellStyle name="40% - Énfasis6 13 5 2 2" xfId="16984" xr:uid="{00000000-0005-0000-0000-00005B420000}"/>
    <cellStyle name="40% - Énfasis6 13 5 3" xfId="16985" xr:uid="{00000000-0005-0000-0000-00005C420000}"/>
    <cellStyle name="40% - Énfasis6 13 6" xfId="16986" xr:uid="{00000000-0005-0000-0000-00005D420000}"/>
    <cellStyle name="40% - Énfasis6 13 6 2" xfId="16987" xr:uid="{00000000-0005-0000-0000-00005E420000}"/>
    <cellStyle name="40% - Énfasis6 13 6 2 2" xfId="16988" xr:uid="{00000000-0005-0000-0000-00005F420000}"/>
    <cellStyle name="40% - Énfasis6 13 6 3" xfId="16989" xr:uid="{00000000-0005-0000-0000-000060420000}"/>
    <cellStyle name="40% - Énfasis6 13 7" xfId="16990" xr:uid="{00000000-0005-0000-0000-000061420000}"/>
    <cellStyle name="40% - Énfasis6 13 7 2" xfId="16991" xr:uid="{00000000-0005-0000-0000-000062420000}"/>
    <cellStyle name="40% - Énfasis6 13 8" xfId="16992" xr:uid="{00000000-0005-0000-0000-000063420000}"/>
    <cellStyle name="40% - Énfasis6 14" xfId="16993" xr:uid="{00000000-0005-0000-0000-000064420000}"/>
    <cellStyle name="40% - Énfasis6 14 2" xfId="16994" xr:uid="{00000000-0005-0000-0000-000065420000}"/>
    <cellStyle name="40% - Énfasis6 14 2 2" xfId="16995" xr:uid="{00000000-0005-0000-0000-000066420000}"/>
    <cellStyle name="40% - Énfasis6 14 2 2 2" xfId="16996" xr:uid="{00000000-0005-0000-0000-000067420000}"/>
    <cellStyle name="40% - Énfasis6 14 2 2 2 2" xfId="16997" xr:uid="{00000000-0005-0000-0000-000068420000}"/>
    <cellStyle name="40% - Énfasis6 14 2 2 2 2 2" xfId="16998" xr:uid="{00000000-0005-0000-0000-000069420000}"/>
    <cellStyle name="40% - Énfasis6 14 2 2 2 3" xfId="16999" xr:uid="{00000000-0005-0000-0000-00006A420000}"/>
    <cellStyle name="40% - Énfasis6 14 2 2 3" xfId="17000" xr:uid="{00000000-0005-0000-0000-00006B420000}"/>
    <cellStyle name="40% - Énfasis6 14 2 2 3 2" xfId="17001" xr:uid="{00000000-0005-0000-0000-00006C420000}"/>
    <cellStyle name="40% - Énfasis6 14 2 2 4" xfId="17002" xr:uid="{00000000-0005-0000-0000-00006D420000}"/>
    <cellStyle name="40% - Énfasis6 14 2 3" xfId="17003" xr:uid="{00000000-0005-0000-0000-00006E420000}"/>
    <cellStyle name="40% - Énfasis6 14 2 3 2" xfId="17004" xr:uid="{00000000-0005-0000-0000-00006F420000}"/>
    <cellStyle name="40% - Énfasis6 14 2 3 2 2" xfId="17005" xr:uid="{00000000-0005-0000-0000-000070420000}"/>
    <cellStyle name="40% - Énfasis6 14 2 3 3" xfId="17006" xr:uid="{00000000-0005-0000-0000-000071420000}"/>
    <cellStyle name="40% - Énfasis6 14 2 4" xfId="17007" xr:uid="{00000000-0005-0000-0000-000072420000}"/>
    <cellStyle name="40% - Énfasis6 14 2 4 2" xfId="17008" xr:uid="{00000000-0005-0000-0000-000073420000}"/>
    <cellStyle name="40% - Énfasis6 14 2 4 2 2" xfId="17009" xr:uid="{00000000-0005-0000-0000-000074420000}"/>
    <cellStyle name="40% - Énfasis6 14 2 4 3" xfId="17010" xr:uid="{00000000-0005-0000-0000-000075420000}"/>
    <cellStyle name="40% - Énfasis6 14 2 5" xfId="17011" xr:uid="{00000000-0005-0000-0000-000076420000}"/>
    <cellStyle name="40% - Énfasis6 14 2 5 2" xfId="17012" xr:uid="{00000000-0005-0000-0000-000077420000}"/>
    <cellStyle name="40% - Énfasis6 14 2 6" xfId="17013" xr:uid="{00000000-0005-0000-0000-000078420000}"/>
    <cellStyle name="40% - Énfasis6 14 3" xfId="17014" xr:uid="{00000000-0005-0000-0000-000079420000}"/>
    <cellStyle name="40% - Énfasis6 14 3 2" xfId="17015" xr:uid="{00000000-0005-0000-0000-00007A420000}"/>
    <cellStyle name="40% - Énfasis6 14 3 2 2" xfId="17016" xr:uid="{00000000-0005-0000-0000-00007B420000}"/>
    <cellStyle name="40% - Énfasis6 14 3 2 2 2" xfId="17017" xr:uid="{00000000-0005-0000-0000-00007C420000}"/>
    <cellStyle name="40% - Énfasis6 14 3 2 3" xfId="17018" xr:uid="{00000000-0005-0000-0000-00007D420000}"/>
    <cellStyle name="40% - Énfasis6 14 3 3" xfId="17019" xr:uid="{00000000-0005-0000-0000-00007E420000}"/>
    <cellStyle name="40% - Énfasis6 14 3 3 2" xfId="17020" xr:uid="{00000000-0005-0000-0000-00007F420000}"/>
    <cellStyle name="40% - Énfasis6 14 3 3 2 2" xfId="17021" xr:uid="{00000000-0005-0000-0000-000080420000}"/>
    <cellStyle name="40% - Énfasis6 14 3 3 3" xfId="17022" xr:uid="{00000000-0005-0000-0000-000081420000}"/>
    <cellStyle name="40% - Énfasis6 14 3 4" xfId="17023" xr:uid="{00000000-0005-0000-0000-000082420000}"/>
    <cellStyle name="40% - Énfasis6 14 3 4 2" xfId="17024" xr:uid="{00000000-0005-0000-0000-000083420000}"/>
    <cellStyle name="40% - Énfasis6 14 3 5" xfId="17025" xr:uid="{00000000-0005-0000-0000-000084420000}"/>
    <cellStyle name="40% - Énfasis6 14 4" xfId="17026" xr:uid="{00000000-0005-0000-0000-000085420000}"/>
    <cellStyle name="40% - Énfasis6 14 4 2" xfId="17027" xr:uid="{00000000-0005-0000-0000-000086420000}"/>
    <cellStyle name="40% - Énfasis6 14 4 2 2" xfId="17028" xr:uid="{00000000-0005-0000-0000-000087420000}"/>
    <cellStyle name="40% - Énfasis6 14 4 2 2 2" xfId="17029" xr:uid="{00000000-0005-0000-0000-000088420000}"/>
    <cellStyle name="40% - Énfasis6 14 4 2 3" xfId="17030" xr:uid="{00000000-0005-0000-0000-000089420000}"/>
    <cellStyle name="40% - Énfasis6 14 4 3" xfId="17031" xr:uid="{00000000-0005-0000-0000-00008A420000}"/>
    <cellStyle name="40% - Énfasis6 14 4 3 2" xfId="17032" xr:uid="{00000000-0005-0000-0000-00008B420000}"/>
    <cellStyle name="40% - Énfasis6 14 4 4" xfId="17033" xr:uid="{00000000-0005-0000-0000-00008C420000}"/>
    <cellStyle name="40% - Énfasis6 14 5" xfId="17034" xr:uid="{00000000-0005-0000-0000-00008D420000}"/>
    <cellStyle name="40% - Énfasis6 14 5 2" xfId="17035" xr:uid="{00000000-0005-0000-0000-00008E420000}"/>
    <cellStyle name="40% - Énfasis6 14 5 2 2" xfId="17036" xr:uid="{00000000-0005-0000-0000-00008F420000}"/>
    <cellStyle name="40% - Énfasis6 14 5 3" xfId="17037" xr:uid="{00000000-0005-0000-0000-000090420000}"/>
    <cellStyle name="40% - Énfasis6 14 6" xfId="17038" xr:uid="{00000000-0005-0000-0000-000091420000}"/>
    <cellStyle name="40% - Énfasis6 14 6 2" xfId="17039" xr:uid="{00000000-0005-0000-0000-000092420000}"/>
    <cellStyle name="40% - Énfasis6 14 6 2 2" xfId="17040" xr:uid="{00000000-0005-0000-0000-000093420000}"/>
    <cellStyle name="40% - Énfasis6 14 6 3" xfId="17041" xr:uid="{00000000-0005-0000-0000-000094420000}"/>
    <cellStyle name="40% - Énfasis6 14 7" xfId="17042" xr:uid="{00000000-0005-0000-0000-000095420000}"/>
    <cellStyle name="40% - Énfasis6 14 7 2" xfId="17043" xr:uid="{00000000-0005-0000-0000-000096420000}"/>
    <cellStyle name="40% - Énfasis6 14 8" xfId="17044" xr:uid="{00000000-0005-0000-0000-000097420000}"/>
    <cellStyle name="40% - Énfasis6 15" xfId="17045" xr:uid="{00000000-0005-0000-0000-000098420000}"/>
    <cellStyle name="40% - Énfasis6 15 2" xfId="17046" xr:uid="{00000000-0005-0000-0000-000099420000}"/>
    <cellStyle name="40% - Énfasis6 15 2 2" xfId="17047" xr:uid="{00000000-0005-0000-0000-00009A420000}"/>
    <cellStyle name="40% - Énfasis6 15 2 2 2" xfId="17048" xr:uid="{00000000-0005-0000-0000-00009B420000}"/>
    <cellStyle name="40% - Énfasis6 15 2 2 2 2" xfId="17049" xr:uid="{00000000-0005-0000-0000-00009C420000}"/>
    <cellStyle name="40% - Énfasis6 15 2 2 2 2 2" xfId="17050" xr:uid="{00000000-0005-0000-0000-00009D420000}"/>
    <cellStyle name="40% - Énfasis6 15 2 2 2 3" xfId="17051" xr:uid="{00000000-0005-0000-0000-00009E420000}"/>
    <cellStyle name="40% - Énfasis6 15 2 2 3" xfId="17052" xr:uid="{00000000-0005-0000-0000-00009F420000}"/>
    <cellStyle name="40% - Énfasis6 15 2 2 3 2" xfId="17053" xr:uid="{00000000-0005-0000-0000-0000A0420000}"/>
    <cellStyle name="40% - Énfasis6 15 2 2 4" xfId="17054" xr:uid="{00000000-0005-0000-0000-0000A1420000}"/>
    <cellStyle name="40% - Énfasis6 15 2 3" xfId="17055" xr:uid="{00000000-0005-0000-0000-0000A2420000}"/>
    <cellStyle name="40% - Énfasis6 15 2 3 2" xfId="17056" xr:uid="{00000000-0005-0000-0000-0000A3420000}"/>
    <cellStyle name="40% - Énfasis6 15 2 3 2 2" xfId="17057" xr:uid="{00000000-0005-0000-0000-0000A4420000}"/>
    <cellStyle name="40% - Énfasis6 15 2 3 3" xfId="17058" xr:uid="{00000000-0005-0000-0000-0000A5420000}"/>
    <cellStyle name="40% - Énfasis6 15 2 4" xfId="17059" xr:uid="{00000000-0005-0000-0000-0000A6420000}"/>
    <cellStyle name="40% - Énfasis6 15 2 4 2" xfId="17060" xr:uid="{00000000-0005-0000-0000-0000A7420000}"/>
    <cellStyle name="40% - Énfasis6 15 2 4 2 2" xfId="17061" xr:uid="{00000000-0005-0000-0000-0000A8420000}"/>
    <cellStyle name="40% - Énfasis6 15 2 4 3" xfId="17062" xr:uid="{00000000-0005-0000-0000-0000A9420000}"/>
    <cellStyle name="40% - Énfasis6 15 2 5" xfId="17063" xr:uid="{00000000-0005-0000-0000-0000AA420000}"/>
    <cellStyle name="40% - Énfasis6 15 2 5 2" xfId="17064" xr:uid="{00000000-0005-0000-0000-0000AB420000}"/>
    <cellStyle name="40% - Énfasis6 15 2 6" xfId="17065" xr:uid="{00000000-0005-0000-0000-0000AC420000}"/>
    <cellStyle name="40% - Énfasis6 15 3" xfId="17066" xr:uid="{00000000-0005-0000-0000-0000AD420000}"/>
    <cellStyle name="40% - Énfasis6 15 3 2" xfId="17067" xr:uid="{00000000-0005-0000-0000-0000AE420000}"/>
    <cellStyle name="40% - Énfasis6 15 3 2 2" xfId="17068" xr:uid="{00000000-0005-0000-0000-0000AF420000}"/>
    <cellStyle name="40% - Énfasis6 15 3 2 2 2" xfId="17069" xr:uid="{00000000-0005-0000-0000-0000B0420000}"/>
    <cellStyle name="40% - Énfasis6 15 3 2 3" xfId="17070" xr:uid="{00000000-0005-0000-0000-0000B1420000}"/>
    <cellStyle name="40% - Énfasis6 15 3 3" xfId="17071" xr:uid="{00000000-0005-0000-0000-0000B2420000}"/>
    <cellStyle name="40% - Énfasis6 15 3 3 2" xfId="17072" xr:uid="{00000000-0005-0000-0000-0000B3420000}"/>
    <cellStyle name="40% - Énfasis6 15 3 3 2 2" xfId="17073" xr:uid="{00000000-0005-0000-0000-0000B4420000}"/>
    <cellStyle name="40% - Énfasis6 15 3 3 3" xfId="17074" xr:uid="{00000000-0005-0000-0000-0000B5420000}"/>
    <cellStyle name="40% - Énfasis6 15 3 4" xfId="17075" xr:uid="{00000000-0005-0000-0000-0000B6420000}"/>
    <cellStyle name="40% - Énfasis6 15 3 4 2" xfId="17076" xr:uid="{00000000-0005-0000-0000-0000B7420000}"/>
    <cellStyle name="40% - Énfasis6 15 3 5" xfId="17077" xr:uid="{00000000-0005-0000-0000-0000B8420000}"/>
    <cellStyle name="40% - Énfasis6 15 4" xfId="17078" xr:uid="{00000000-0005-0000-0000-0000B9420000}"/>
    <cellStyle name="40% - Énfasis6 15 4 2" xfId="17079" xr:uid="{00000000-0005-0000-0000-0000BA420000}"/>
    <cellStyle name="40% - Énfasis6 15 4 2 2" xfId="17080" xr:uid="{00000000-0005-0000-0000-0000BB420000}"/>
    <cellStyle name="40% - Énfasis6 15 4 2 2 2" xfId="17081" xr:uid="{00000000-0005-0000-0000-0000BC420000}"/>
    <cellStyle name="40% - Énfasis6 15 4 2 3" xfId="17082" xr:uid="{00000000-0005-0000-0000-0000BD420000}"/>
    <cellStyle name="40% - Énfasis6 15 4 3" xfId="17083" xr:uid="{00000000-0005-0000-0000-0000BE420000}"/>
    <cellStyle name="40% - Énfasis6 15 4 3 2" xfId="17084" xr:uid="{00000000-0005-0000-0000-0000BF420000}"/>
    <cellStyle name="40% - Énfasis6 15 4 4" xfId="17085" xr:uid="{00000000-0005-0000-0000-0000C0420000}"/>
    <cellStyle name="40% - Énfasis6 15 5" xfId="17086" xr:uid="{00000000-0005-0000-0000-0000C1420000}"/>
    <cellStyle name="40% - Énfasis6 15 5 2" xfId="17087" xr:uid="{00000000-0005-0000-0000-0000C2420000}"/>
    <cellStyle name="40% - Énfasis6 15 5 2 2" xfId="17088" xr:uid="{00000000-0005-0000-0000-0000C3420000}"/>
    <cellStyle name="40% - Énfasis6 15 5 3" xfId="17089" xr:uid="{00000000-0005-0000-0000-0000C4420000}"/>
    <cellStyle name="40% - Énfasis6 15 6" xfId="17090" xr:uid="{00000000-0005-0000-0000-0000C5420000}"/>
    <cellStyle name="40% - Énfasis6 15 6 2" xfId="17091" xr:uid="{00000000-0005-0000-0000-0000C6420000}"/>
    <cellStyle name="40% - Énfasis6 15 6 2 2" xfId="17092" xr:uid="{00000000-0005-0000-0000-0000C7420000}"/>
    <cellStyle name="40% - Énfasis6 15 6 3" xfId="17093" xr:uid="{00000000-0005-0000-0000-0000C8420000}"/>
    <cellStyle name="40% - Énfasis6 15 7" xfId="17094" xr:uid="{00000000-0005-0000-0000-0000C9420000}"/>
    <cellStyle name="40% - Énfasis6 15 7 2" xfId="17095" xr:uid="{00000000-0005-0000-0000-0000CA420000}"/>
    <cellStyle name="40% - Énfasis6 15 8" xfId="17096" xr:uid="{00000000-0005-0000-0000-0000CB420000}"/>
    <cellStyle name="40% - Énfasis6 16" xfId="17097" xr:uid="{00000000-0005-0000-0000-0000CC420000}"/>
    <cellStyle name="40% - Énfasis6 16 2" xfId="17098" xr:uid="{00000000-0005-0000-0000-0000CD420000}"/>
    <cellStyle name="40% - Énfasis6 16 2 2" xfId="17099" xr:uid="{00000000-0005-0000-0000-0000CE420000}"/>
    <cellStyle name="40% - Énfasis6 16 2 2 2" xfId="17100" xr:uid="{00000000-0005-0000-0000-0000CF420000}"/>
    <cellStyle name="40% - Énfasis6 16 2 2 2 2" xfId="17101" xr:uid="{00000000-0005-0000-0000-0000D0420000}"/>
    <cellStyle name="40% - Énfasis6 16 2 2 3" xfId="17102" xr:uid="{00000000-0005-0000-0000-0000D1420000}"/>
    <cellStyle name="40% - Énfasis6 16 2 3" xfId="17103" xr:uid="{00000000-0005-0000-0000-0000D2420000}"/>
    <cellStyle name="40% - Énfasis6 16 2 3 2" xfId="17104" xr:uid="{00000000-0005-0000-0000-0000D3420000}"/>
    <cellStyle name="40% - Énfasis6 16 2 3 2 2" xfId="17105" xr:uid="{00000000-0005-0000-0000-0000D4420000}"/>
    <cellStyle name="40% - Énfasis6 16 2 3 3" xfId="17106" xr:uid="{00000000-0005-0000-0000-0000D5420000}"/>
    <cellStyle name="40% - Énfasis6 16 2 4" xfId="17107" xr:uid="{00000000-0005-0000-0000-0000D6420000}"/>
    <cellStyle name="40% - Énfasis6 16 2 4 2" xfId="17108" xr:uid="{00000000-0005-0000-0000-0000D7420000}"/>
    <cellStyle name="40% - Énfasis6 16 2 5" xfId="17109" xr:uid="{00000000-0005-0000-0000-0000D8420000}"/>
    <cellStyle name="40% - Énfasis6 16 3" xfId="17110" xr:uid="{00000000-0005-0000-0000-0000D9420000}"/>
    <cellStyle name="40% - Énfasis6 16 3 2" xfId="17111" xr:uid="{00000000-0005-0000-0000-0000DA420000}"/>
    <cellStyle name="40% - Énfasis6 16 3 2 2" xfId="17112" xr:uid="{00000000-0005-0000-0000-0000DB420000}"/>
    <cellStyle name="40% - Énfasis6 16 3 2 2 2" xfId="17113" xr:uid="{00000000-0005-0000-0000-0000DC420000}"/>
    <cellStyle name="40% - Énfasis6 16 3 2 3" xfId="17114" xr:uid="{00000000-0005-0000-0000-0000DD420000}"/>
    <cellStyle name="40% - Énfasis6 16 3 3" xfId="17115" xr:uid="{00000000-0005-0000-0000-0000DE420000}"/>
    <cellStyle name="40% - Énfasis6 16 3 3 2" xfId="17116" xr:uid="{00000000-0005-0000-0000-0000DF420000}"/>
    <cellStyle name="40% - Énfasis6 16 3 4" xfId="17117" xr:uid="{00000000-0005-0000-0000-0000E0420000}"/>
    <cellStyle name="40% - Énfasis6 16 4" xfId="17118" xr:uid="{00000000-0005-0000-0000-0000E1420000}"/>
    <cellStyle name="40% - Énfasis6 16 4 2" xfId="17119" xr:uid="{00000000-0005-0000-0000-0000E2420000}"/>
    <cellStyle name="40% - Énfasis6 16 4 2 2" xfId="17120" xr:uid="{00000000-0005-0000-0000-0000E3420000}"/>
    <cellStyle name="40% - Énfasis6 16 4 3" xfId="17121" xr:uid="{00000000-0005-0000-0000-0000E4420000}"/>
    <cellStyle name="40% - Énfasis6 16 5" xfId="17122" xr:uid="{00000000-0005-0000-0000-0000E5420000}"/>
    <cellStyle name="40% - Énfasis6 16 5 2" xfId="17123" xr:uid="{00000000-0005-0000-0000-0000E6420000}"/>
    <cellStyle name="40% - Énfasis6 16 5 2 2" xfId="17124" xr:uid="{00000000-0005-0000-0000-0000E7420000}"/>
    <cellStyle name="40% - Énfasis6 16 5 3" xfId="17125" xr:uid="{00000000-0005-0000-0000-0000E8420000}"/>
    <cellStyle name="40% - Énfasis6 16 6" xfId="17126" xr:uid="{00000000-0005-0000-0000-0000E9420000}"/>
    <cellStyle name="40% - Énfasis6 16 6 2" xfId="17127" xr:uid="{00000000-0005-0000-0000-0000EA420000}"/>
    <cellStyle name="40% - Énfasis6 16 7" xfId="17128" xr:uid="{00000000-0005-0000-0000-0000EB420000}"/>
    <cellStyle name="40% - Énfasis6 17" xfId="17129" xr:uid="{00000000-0005-0000-0000-0000EC420000}"/>
    <cellStyle name="40% - Énfasis6 17 2" xfId="17130" xr:uid="{00000000-0005-0000-0000-0000ED420000}"/>
    <cellStyle name="40% - Énfasis6 17 2 2" xfId="17131" xr:uid="{00000000-0005-0000-0000-0000EE420000}"/>
    <cellStyle name="40% - Énfasis6 17 2 2 2" xfId="17132" xr:uid="{00000000-0005-0000-0000-0000EF420000}"/>
    <cellStyle name="40% - Énfasis6 17 2 2 2 2" xfId="17133" xr:uid="{00000000-0005-0000-0000-0000F0420000}"/>
    <cellStyle name="40% - Énfasis6 17 2 2 3" xfId="17134" xr:uid="{00000000-0005-0000-0000-0000F1420000}"/>
    <cellStyle name="40% - Énfasis6 17 2 3" xfId="17135" xr:uid="{00000000-0005-0000-0000-0000F2420000}"/>
    <cellStyle name="40% - Énfasis6 17 2 3 2" xfId="17136" xr:uid="{00000000-0005-0000-0000-0000F3420000}"/>
    <cellStyle name="40% - Énfasis6 17 2 3 2 2" xfId="17137" xr:uid="{00000000-0005-0000-0000-0000F4420000}"/>
    <cellStyle name="40% - Énfasis6 17 2 3 3" xfId="17138" xr:uid="{00000000-0005-0000-0000-0000F5420000}"/>
    <cellStyle name="40% - Énfasis6 17 2 4" xfId="17139" xr:uid="{00000000-0005-0000-0000-0000F6420000}"/>
    <cellStyle name="40% - Énfasis6 17 2 4 2" xfId="17140" xr:uid="{00000000-0005-0000-0000-0000F7420000}"/>
    <cellStyle name="40% - Énfasis6 17 2 5" xfId="17141" xr:uid="{00000000-0005-0000-0000-0000F8420000}"/>
    <cellStyle name="40% - Énfasis6 17 3" xfId="17142" xr:uid="{00000000-0005-0000-0000-0000F9420000}"/>
    <cellStyle name="40% - Énfasis6 17 3 2" xfId="17143" xr:uid="{00000000-0005-0000-0000-0000FA420000}"/>
    <cellStyle name="40% - Énfasis6 17 3 2 2" xfId="17144" xr:uid="{00000000-0005-0000-0000-0000FB420000}"/>
    <cellStyle name="40% - Énfasis6 17 3 2 2 2" xfId="17145" xr:uid="{00000000-0005-0000-0000-0000FC420000}"/>
    <cellStyle name="40% - Énfasis6 17 3 2 3" xfId="17146" xr:uid="{00000000-0005-0000-0000-0000FD420000}"/>
    <cellStyle name="40% - Énfasis6 17 3 3" xfId="17147" xr:uid="{00000000-0005-0000-0000-0000FE420000}"/>
    <cellStyle name="40% - Énfasis6 17 3 3 2" xfId="17148" xr:uid="{00000000-0005-0000-0000-0000FF420000}"/>
    <cellStyle name="40% - Énfasis6 17 3 4" xfId="17149" xr:uid="{00000000-0005-0000-0000-000000430000}"/>
    <cellStyle name="40% - Énfasis6 17 4" xfId="17150" xr:uid="{00000000-0005-0000-0000-000001430000}"/>
    <cellStyle name="40% - Énfasis6 17 4 2" xfId="17151" xr:uid="{00000000-0005-0000-0000-000002430000}"/>
    <cellStyle name="40% - Énfasis6 17 4 2 2" xfId="17152" xr:uid="{00000000-0005-0000-0000-000003430000}"/>
    <cellStyle name="40% - Énfasis6 17 4 3" xfId="17153" xr:uid="{00000000-0005-0000-0000-000004430000}"/>
    <cellStyle name="40% - Énfasis6 17 5" xfId="17154" xr:uid="{00000000-0005-0000-0000-000005430000}"/>
    <cellStyle name="40% - Énfasis6 17 5 2" xfId="17155" xr:uid="{00000000-0005-0000-0000-000006430000}"/>
    <cellStyle name="40% - Énfasis6 17 5 2 2" xfId="17156" xr:uid="{00000000-0005-0000-0000-000007430000}"/>
    <cellStyle name="40% - Énfasis6 17 5 3" xfId="17157" xr:uid="{00000000-0005-0000-0000-000008430000}"/>
    <cellStyle name="40% - Énfasis6 17 6" xfId="17158" xr:uid="{00000000-0005-0000-0000-000009430000}"/>
    <cellStyle name="40% - Énfasis6 17 6 2" xfId="17159" xr:uid="{00000000-0005-0000-0000-00000A430000}"/>
    <cellStyle name="40% - Énfasis6 17 7" xfId="17160" xr:uid="{00000000-0005-0000-0000-00000B430000}"/>
    <cellStyle name="40% - Énfasis6 18" xfId="17161" xr:uid="{00000000-0005-0000-0000-00000C430000}"/>
    <cellStyle name="40% - Énfasis6 18 2" xfId="17162" xr:uid="{00000000-0005-0000-0000-00000D430000}"/>
    <cellStyle name="40% - Énfasis6 18 2 2" xfId="17163" xr:uid="{00000000-0005-0000-0000-00000E430000}"/>
    <cellStyle name="40% - Énfasis6 18 2 2 2" xfId="17164" xr:uid="{00000000-0005-0000-0000-00000F430000}"/>
    <cellStyle name="40% - Énfasis6 18 2 2 2 2" xfId="17165" xr:uid="{00000000-0005-0000-0000-000010430000}"/>
    <cellStyle name="40% - Énfasis6 18 2 2 3" xfId="17166" xr:uid="{00000000-0005-0000-0000-000011430000}"/>
    <cellStyle name="40% - Énfasis6 18 2 3" xfId="17167" xr:uid="{00000000-0005-0000-0000-000012430000}"/>
    <cellStyle name="40% - Énfasis6 18 2 3 2" xfId="17168" xr:uid="{00000000-0005-0000-0000-000013430000}"/>
    <cellStyle name="40% - Énfasis6 18 2 3 2 2" xfId="17169" xr:uid="{00000000-0005-0000-0000-000014430000}"/>
    <cellStyle name="40% - Énfasis6 18 2 3 3" xfId="17170" xr:uid="{00000000-0005-0000-0000-000015430000}"/>
    <cellStyle name="40% - Énfasis6 18 2 4" xfId="17171" xr:uid="{00000000-0005-0000-0000-000016430000}"/>
    <cellStyle name="40% - Énfasis6 18 2 4 2" xfId="17172" xr:uid="{00000000-0005-0000-0000-000017430000}"/>
    <cellStyle name="40% - Énfasis6 18 2 5" xfId="17173" xr:uid="{00000000-0005-0000-0000-000018430000}"/>
    <cellStyle name="40% - Énfasis6 18 3" xfId="17174" xr:uid="{00000000-0005-0000-0000-000019430000}"/>
    <cellStyle name="40% - Énfasis6 18 3 2" xfId="17175" xr:uid="{00000000-0005-0000-0000-00001A430000}"/>
    <cellStyle name="40% - Énfasis6 18 3 2 2" xfId="17176" xr:uid="{00000000-0005-0000-0000-00001B430000}"/>
    <cellStyle name="40% - Énfasis6 18 3 2 2 2" xfId="17177" xr:uid="{00000000-0005-0000-0000-00001C430000}"/>
    <cellStyle name="40% - Énfasis6 18 3 2 3" xfId="17178" xr:uid="{00000000-0005-0000-0000-00001D430000}"/>
    <cellStyle name="40% - Énfasis6 18 3 3" xfId="17179" xr:uid="{00000000-0005-0000-0000-00001E430000}"/>
    <cellStyle name="40% - Énfasis6 18 3 3 2" xfId="17180" xr:uid="{00000000-0005-0000-0000-00001F430000}"/>
    <cellStyle name="40% - Énfasis6 18 3 4" xfId="17181" xr:uid="{00000000-0005-0000-0000-000020430000}"/>
    <cellStyle name="40% - Énfasis6 18 4" xfId="17182" xr:uid="{00000000-0005-0000-0000-000021430000}"/>
    <cellStyle name="40% - Énfasis6 18 4 2" xfId="17183" xr:uid="{00000000-0005-0000-0000-000022430000}"/>
    <cellStyle name="40% - Énfasis6 18 4 2 2" xfId="17184" xr:uid="{00000000-0005-0000-0000-000023430000}"/>
    <cellStyle name="40% - Énfasis6 18 4 3" xfId="17185" xr:uid="{00000000-0005-0000-0000-000024430000}"/>
    <cellStyle name="40% - Énfasis6 18 5" xfId="17186" xr:uid="{00000000-0005-0000-0000-000025430000}"/>
    <cellStyle name="40% - Énfasis6 18 5 2" xfId="17187" xr:uid="{00000000-0005-0000-0000-000026430000}"/>
    <cellStyle name="40% - Énfasis6 18 5 2 2" xfId="17188" xr:uid="{00000000-0005-0000-0000-000027430000}"/>
    <cellStyle name="40% - Énfasis6 18 5 3" xfId="17189" xr:uid="{00000000-0005-0000-0000-000028430000}"/>
    <cellStyle name="40% - Énfasis6 18 6" xfId="17190" xr:uid="{00000000-0005-0000-0000-000029430000}"/>
    <cellStyle name="40% - Énfasis6 18 6 2" xfId="17191" xr:uid="{00000000-0005-0000-0000-00002A430000}"/>
    <cellStyle name="40% - Énfasis6 18 7" xfId="17192" xr:uid="{00000000-0005-0000-0000-00002B430000}"/>
    <cellStyle name="40% - Énfasis6 19" xfId="17193" xr:uid="{00000000-0005-0000-0000-00002C430000}"/>
    <cellStyle name="40% - Énfasis6 19 2" xfId="17194" xr:uid="{00000000-0005-0000-0000-00002D430000}"/>
    <cellStyle name="40% - Énfasis6 19 2 2" xfId="17195" xr:uid="{00000000-0005-0000-0000-00002E430000}"/>
    <cellStyle name="40% - Énfasis6 19 2 2 2" xfId="17196" xr:uid="{00000000-0005-0000-0000-00002F430000}"/>
    <cellStyle name="40% - Énfasis6 19 2 2 2 2" xfId="17197" xr:uid="{00000000-0005-0000-0000-000030430000}"/>
    <cellStyle name="40% - Énfasis6 19 2 2 3" xfId="17198" xr:uid="{00000000-0005-0000-0000-000031430000}"/>
    <cellStyle name="40% - Énfasis6 19 2 3" xfId="17199" xr:uid="{00000000-0005-0000-0000-000032430000}"/>
    <cellStyle name="40% - Énfasis6 19 2 3 2" xfId="17200" xr:uid="{00000000-0005-0000-0000-000033430000}"/>
    <cellStyle name="40% - Énfasis6 19 2 3 2 2" xfId="17201" xr:uid="{00000000-0005-0000-0000-000034430000}"/>
    <cellStyle name="40% - Énfasis6 19 2 3 3" xfId="17202" xr:uid="{00000000-0005-0000-0000-000035430000}"/>
    <cellStyle name="40% - Énfasis6 19 2 4" xfId="17203" xr:uid="{00000000-0005-0000-0000-000036430000}"/>
    <cellStyle name="40% - Énfasis6 19 2 4 2" xfId="17204" xr:uid="{00000000-0005-0000-0000-000037430000}"/>
    <cellStyle name="40% - Énfasis6 19 2 5" xfId="17205" xr:uid="{00000000-0005-0000-0000-000038430000}"/>
    <cellStyle name="40% - Énfasis6 19 3" xfId="17206" xr:uid="{00000000-0005-0000-0000-000039430000}"/>
    <cellStyle name="40% - Énfasis6 19 3 2" xfId="17207" xr:uid="{00000000-0005-0000-0000-00003A430000}"/>
    <cellStyle name="40% - Énfasis6 19 3 2 2" xfId="17208" xr:uid="{00000000-0005-0000-0000-00003B430000}"/>
    <cellStyle name="40% - Énfasis6 19 3 2 2 2" xfId="17209" xr:uid="{00000000-0005-0000-0000-00003C430000}"/>
    <cellStyle name="40% - Énfasis6 19 3 2 3" xfId="17210" xr:uid="{00000000-0005-0000-0000-00003D430000}"/>
    <cellStyle name="40% - Énfasis6 19 3 3" xfId="17211" xr:uid="{00000000-0005-0000-0000-00003E430000}"/>
    <cellStyle name="40% - Énfasis6 19 3 3 2" xfId="17212" xr:uid="{00000000-0005-0000-0000-00003F430000}"/>
    <cellStyle name="40% - Énfasis6 19 3 4" xfId="17213" xr:uid="{00000000-0005-0000-0000-000040430000}"/>
    <cellStyle name="40% - Énfasis6 19 4" xfId="17214" xr:uid="{00000000-0005-0000-0000-000041430000}"/>
    <cellStyle name="40% - Énfasis6 19 4 2" xfId="17215" xr:uid="{00000000-0005-0000-0000-000042430000}"/>
    <cellStyle name="40% - Énfasis6 19 4 2 2" xfId="17216" xr:uid="{00000000-0005-0000-0000-000043430000}"/>
    <cellStyle name="40% - Énfasis6 19 4 3" xfId="17217" xr:uid="{00000000-0005-0000-0000-000044430000}"/>
    <cellStyle name="40% - Énfasis6 19 5" xfId="17218" xr:uid="{00000000-0005-0000-0000-000045430000}"/>
    <cellStyle name="40% - Énfasis6 19 5 2" xfId="17219" xr:uid="{00000000-0005-0000-0000-000046430000}"/>
    <cellStyle name="40% - Énfasis6 19 5 2 2" xfId="17220" xr:uid="{00000000-0005-0000-0000-000047430000}"/>
    <cellStyle name="40% - Énfasis6 19 5 3" xfId="17221" xr:uid="{00000000-0005-0000-0000-000048430000}"/>
    <cellStyle name="40% - Énfasis6 19 6" xfId="17222" xr:uid="{00000000-0005-0000-0000-000049430000}"/>
    <cellStyle name="40% - Énfasis6 19 6 2" xfId="17223" xr:uid="{00000000-0005-0000-0000-00004A430000}"/>
    <cellStyle name="40% - Énfasis6 19 7" xfId="17224" xr:uid="{00000000-0005-0000-0000-00004B430000}"/>
    <cellStyle name="40% - Énfasis6 2" xfId="17225" xr:uid="{00000000-0005-0000-0000-00004C430000}"/>
    <cellStyle name="40% - Énfasis6 2 2" xfId="17226" xr:uid="{00000000-0005-0000-0000-00004D430000}"/>
    <cellStyle name="40% - Énfasis6 2 2 2" xfId="17227" xr:uid="{00000000-0005-0000-0000-00004E430000}"/>
    <cellStyle name="40% - Énfasis6 2 2 2 2" xfId="17228" xr:uid="{00000000-0005-0000-0000-00004F430000}"/>
    <cellStyle name="40% - Énfasis6 2 2 2 2 2" xfId="17229" xr:uid="{00000000-0005-0000-0000-000050430000}"/>
    <cellStyle name="40% - Énfasis6 2 2 2 2 2 2" xfId="17230" xr:uid="{00000000-0005-0000-0000-000051430000}"/>
    <cellStyle name="40% - Énfasis6 2 2 2 2 3" xfId="17231" xr:uid="{00000000-0005-0000-0000-000052430000}"/>
    <cellStyle name="40% - Énfasis6 2 2 2 3" xfId="17232" xr:uid="{00000000-0005-0000-0000-000053430000}"/>
    <cellStyle name="40% - Énfasis6 2 2 2 3 2" xfId="17233" xr:uid="{00000000-0005-0000-0000-000054430000}"/>
    <cellStyle name="40% - Énfasis6 2 2 2 4" xfId="17234" xr:uid="{00000000-0005-0000-0000-000055430000}"/>
    <cellStyle name="40% - Énfasis6 2 2 3" xfId="17235" xr:uid="{00000000-0005-0000-0000-000056430000}"/>
    <cellStyle name="40% - Énfasis6 2 2 3 2" xfId="17236" xr:uid="{00000000-0005-0000-0000-000057430000}"/>
    <cellStyle name="40% - Énfasis6 2 2 3 2 2" xfId="17237" xr:uid="{00000000-0005-0000-0000-000058430000}"/>
    <cellStyle name="40% - Énfasis6 2 2 3 3" xfId="17238" xr:uid="{00000000-0005-0000-0000-000059430000}"/>
    <cellStyle name="40% - Énfasis6 2 2 4" xfId="17239" xr:uid="{00000000-0005-0000-0000-00005A430000}"/>
    <cellStyle name="40% - Énfasis6 2 2 4 2" xfId="17240" xr:uid="{00000000-0005-0000-0000-00005B430000}"/>
    <cellStyle name="40% - Énfasis6 2 2 4 2 2" xfId="17241" xr:uid="{00000000-0005-0000-0000-00005C430000}"/>
    <cellStyle name="40% - Énfasis6 2 2 4 3" xfId="17242" xr:uid="{00000000-0005-0000-0000-00005D430000}"/>
    <cellStyle name="40% - Énfasis6 2 2 5" xfId="17243" xr:uid="{00000000-0005-0000-0000-00005E430000}"/>
    <cellStyle name="40% - Énfasis6 2 2 5 2" xfId="17244" xr:uid="{00000000-0005-0000-0000-00005F430000}"/>
    <cellStyle name="40% - Énfasis6 2 2 6" xfId="17245" xr:uid="{00000000-0005-0000-0000-000060430000}"/>
    <cellStyle name="40% - Énfasis6 2 3" xfId="17246" xr:uid="{00000000-0005-0000-0000-000061430000}"/>
    <cellStyle name="40% - Énfasis6 2 3 2" xfId="17247" xr:uid="{00000000-0005-0000-0000-000062430000}"/>
    <cellStyle name="40% - Énfasis6 2 3 2 2" xfId="17248" xr:uid="{00000000-0005-0000-0000-000063430000}"/>
    <cellStyle name="40% - Énfasis6 2 3 2 2 2" xfId="17249" xr:uid="{00000000-0005-0000-0000-000064430000}"/>
    <cellStyle name="40% - Énfasis6 2 3 2 3" xfId="17250" xr:uid="{00000000-0005-0000-0000-000065430000}"/>
    <cellStyle name="40% - Énfasis6 2 3 3" xfId="17251" xr:uid="{00000000-0005-0000-0000-000066430000}"/>
    <cellStyle name="40% - Énfasis6 2 3 3 2" xfId="17252" xr:uid="{00000000-0005-0000-0000-000067430000}"/>
    <cellStyle name="40% - Énfasis6 2 3 3 2 2" xfId="17253" xr:uid="{00000000-0005-0000-0000-000068430000}"/>
    <cellStyle name="40% - Énfasis6 2 3 3 3" xfId="17254" xr:uid="{00000000-0005-0000-0000-000069430000}"/>
    <cellStyle name="40% - Énfasis6 2 3 4" xfId="17255" xr:uid="{00000000-0005-0000-0000-00006A430000}"/>
    <cellStyle name="40% - Énfasis6 2 3 4 2" xfId="17256" xr:uid="{00000000-0005-0000-0000-00006B430000}"/>
    <cellStyle name="40% - Énfasis6 2 3 5" xfId="17257" xr:uid="{00000000-0005-0000-0000-00006C430000}"/>
    <cellStyle name="40% - Énfasis6 2 4" xfId="17258" xr:uid="{00000000-0005-0000-0000-00006D430000}"/>
    <cellStyle name="40% - Énfasis6 2 4 2" xfId="17259" xr:uid="{00000000-0005-0000-0000-00006E430000}"/>
    <cellStyle name="40% - Énfasis6 2 4 2 2" xfId="17260" xr:uid="{00000000-0005-0000-0000-00006F430000}"/>
    <cellStyle name="40% - Énfasis6 2 4 2 2 2" xfId="17261" xr:uid="{00000000-0005-0000-0000-000070430000}"/>
    <cellStyle name="40% - Énfasis6 2 4 2 3" xfId="17262" xr:uid="{00000000-0005-0000-0000-000071430000}"/>
    <cellStyle name="40% - Énfasis6 2 4 3" xfId="17263" xr:uid="{00000000-0005-0000-0000-000072430000}"/>
    <cellStyle name="40% - Énfasis6 2 4 3 2" xfId="17264" xr:uid="{00000000-0005-0000-0000-000073430000}"/>
    <cellStyle name="40% - Énfasis6 2 4 4" xfId="17265" xr:uid="{00000000-0005-0000-0000-000074430000}"/>
    <cellStyle name="40% - Énfasis6 2 5" xfId="17266" xr:uid="{00000000-0005-0000-0000-000075430000}"/>
    <cellStyle name="40% - Énfasis6 2 5 2" xfId="17267" xr:uid="{00000000-0005-0000-0000-000076430000}"/>
    <cellStyle name="40% - Énfasis6 2 5 2 2" xfId="17268" xr:uid="{00000000-0005-0000-0000-000077430000}"/>
    <cellStyle name="40% - Énfasis6 2 5 3" xfId="17269" xr:uid="{00000000-0005-0000-0000-000078430000}"/>
    <cellStyle name="40% - Énfasis6 2 6" xfId="17270" xr:uid="{00000000-0005-0000-0000-000079430000}"/>
    <cellStyle name="40% - Énfasis6 2 6 2" xfId="17271" xr:uid="{00000000-0005-0000-0000-00007A430000}"/>
    <cellStyle name="40% - Énfasis6 2 6 2 2" xfId="17272" xr:uid="{00000000-0005-0000-0000-00007B430000}"/>
    <cellStyle name="40% - Énfasis6 2 6 3" xfId="17273" xr:uid="{00000000-0005-0000-0000-00007C430000}"/>
    <cellStyle name="40% - Énfasis6 2 7" xfId="17274" xr:uid="{00000000-0005-0000-0000-00007D430000}"/>
    <cellStyle name="40% - Énfasis6 2 7 2" xfId="17275" xr:uid="{00000000-0005-0000-0000-00007E430000}"/>
    <cellStyle name="40% - Énfasis6 2 8" xfId="17276" xr:uid="{00000000-0005-0000-0000-00007F430000}"/>
    <cellStyle name="40% - Énfasis6 20" xfId="17277" xr:uid="{00000000-0005-0000-0000-000080430000}"/>
    <cellStyle name="40% - Énfasis6 20 2" xfId="17278" xr:uid="{00000000-0005-0000-0000-000081430000}"/>
    <cellStyle name="40% - Énfasis6 20 2 2" xfId="17279" xr:uid="{00000000-0005-0000-0000-000082430000}"/>
    <cellStyle name="40% - Énfasis6 20 2 2 2" xfId="17280" xr:uid="{00000000-0005-0000-0000-000083430000}"/>
    <cellStyle name="40% - Énfasis6 20 2 2 2 2" xfId="17281" xr:uid="{00000000-0005-0000-0000-000084430000}"/>
    <cellStyle name="40% - Énfasis6 20 2 2 3" xfId="17282" xr:uid="{00000000-0005-0000-0000-000085430000}"/>
    <cellStyle name="40% - Énfasis6 20 2 3" xfId="17283" xr:uid="{00000000-0005-0000-0000-000086430000}"/>
    <cellStyle name="40% - Énfasis6 20 2 3 2" xfId="17284" xr:uid="{00000000-0005-0000-0000-000087430000}"/>
    <cellStyle name="40% - Énfasis6 20 2 3 2 2" xfId="17285" xr:uid="{00000000-0005-0000-0000-000088430000}"/>
    <cellStyle name="40% - Énfasis6 20 2 3 3" xfId="17286" xr:uid="{00000000-0005-0000-0000-000089430000}"/>
    <cellStyle name="40% - Énfasis6 20 2 4" xfId="17287" xr:uid="{00000000-0005-0000-0000-00008A430000}"/>
    <cellStyle name="40% - Énfasis6 20 2 4 2" xfId="17288" xr:uid="{00000000-0005-0000-0000-00008B430000}"/>
    <cellStyle name="40% - Énfasis6 20 2 5" xfId="17289" xr:uid="{00000000-0005-0000-0000-00008C430000}"/>
    <cellStyle name="40% - Énfasis6 20 3" xfId="17290" xr:uid="{00000000-0005-0000-0000-00008D430000}"/>
    <cellStyle name="40% - Énfasis6 20 3 2" xfId="17291" xr:uid="{00000000-0005-0000-0000-00008E430000}"/>
    <cellStyle name="40% - Énfasis6 20 3 2 2" xfId="17292" xr:uid="{00000000-0005-0000-0000-00008F430000}"/>
    <cellStyle name="40% - Énfasis6 20 3 2 2 2" xfId="17293" xr:uid="{00000000-0005-0000-0000-000090430000}"/>
    <cellStyle name="40% - Énfasis6 20 3 2 3" xfId="17294" xr:uid="{00000000-0005-0000-0000-000091430000}"/>
    <cellStyle name="40% - Énfasis6 20 3 3" xfId="17295" xr:uid="{00000000-0005-0000-0000-000092430000}"/>
    <cellStyle name="40% - Énfasis6 20 3 3 2" xfId="17296" xr:uid="{00000000-0005-0000-0000-000093430000}"/>
    <cellStyle name="40% - Énfasis6 20 3 4" xfId="17297" xr:uid="{00000000-0005-0000-0000-000094430000}"/>
    <cellStyle name="40% - Énfasis6 20 4" xfId="17298" xr:uid="{00000000-0005-0000-0000-000095430000}"/>
    <cellStyle name="40% - Énfasis6 20 4 2" xfId="17299" xr:uid="{00000000-0005-0000-0000-000096430000}"/>
    <cellStyle name="40% - Énfasis6 20 4 2 2" xfId="17300" xr:uid="{00000000-0005-0000-0000-000097430000}"/>
    <cellStyle name="40% - Énfasis6 20 4 3" xfId="17301" xr:uid="{00000000-0005-0000-0000-000098430000}"/>
    <cellStyle name="40% - Énfasis6 20 5" xfId="17302" xr:uid="{00000000-0005-0000-0000-000099430000}"/>
    <cellStyle name="40% - Énfasis6 20 5 2" xfId="17303" xr:uid="{00000000-0005-0000-0000-00009A430000}"/>
    <cellStyle name="40% - Énfasis6 20 5 2 2" xfId="17304" xr:uid="{00000000-0005-0000-0000-00009B430000}"/>
    <cellStyle name="40% - Énfasis6 20 5 3" xfId="17305" xr:uid="{00000000-0005-0000-0000-00009C430000}"/>
    <cellStyle name="40% - Énfasis6 20 6" xfId="17306" xr:uid="{00000000-0005-0000-0000-00009D430000}"/>
    <cellStyle name="40% - Énfasis6 20 6 2" xfId="17307" xr:uid="{00000000-0005-0000-0000-00009E430000}"/>
    <cellStyle name="40% - Énfasis6 20 7" xfId="17308" xr:uid="{00000000-0005-0000-0000-00009F430000}"/>
    <cellStyle name="40% - Énfasis6 21" xfId="17309" xr:uid="{00000000-0005-0000-0000-0000A0430000}"/>
    <cellStyle name="40% - Énfasis6 21 2" xfId="17310" xr:uid="{00000000-0005-0000-0000-0000A1430000}"/>
    <cellStyle name="40% - Énfasis6 21 2 2" xfId="17311" xr:uid="{00000000-0005-0000-0000-0000A2430000}"/>
    <cellStyle name="40% - Énfasis6 21 2 2 2" xfId="17312" xr:uid="{00000000-0005-0000-0000-0000A3430000}"/>
    <cellStyle name="40% - Énfasis6 21 2 2 2 2" xfId="17313" xr:uid="{00000000-0005-0000-0000-0000A4430000}"/>
    <cellStyle name="40% - Énfasis6 21 2 2 3" xfId="17314" xr:uid="{00000000-0005-0000-0000-0000A5430000}"/>
    <cellStyle name="40% - Énfasis6 21 2 3" xfId="17315" xr:uid="{00000000-0005-0000-0000-0000A6430000}"/>
    <cellStyle name="40% - Énfasis6 21 2 3 2" xfId="17316" xr:uid="{00000000-0005-0000-0000-0000A7430000}"/>
    <cellStyle name="40% - Énfasis6 21 2 3 2 2" xfId="17317" xr:uid="{00000000-0005-0000-0000-0000A8430000}"/>
    <cellStyle name="40% - Énfasis6 21 2 3 3" xfId="17318" xr:uid="{00000000-0005-0000-0000-0000A9430000}"/>
    <cellStyle name="40% - Énfasis6 21 2 4" xfId="17319" xr:uid="{00000000-0005-0000-0000-0000AA430000}"/>
    <cellStyle name="40% - Énfasis6 21 2 4 2" xfId="17320" xr:uid="{00000000-0005-0000-0000-0000AB430000}"/>
    <cellStyle name="40% - Énfasis6 21 2 5" xfId="17321" xr:uid="{00000000-0005-0000-0000-0000AC430000}"/>
    <cellStyle name="40% - Énfasis6 21 3" xfId="17322" xr:uid="{00000000-0005-0000-0000-0000AD430000}"/>
    <cellStyle name="40% - Énfasis6 21 3 2" xfId="17323" xr:uid="{00000000-0005-0000-0000-0000AE430000}"/>
    <cellStyle name="40% - Énfasis6 21 3 2 2" xfId="17324" xr:uid="{00000000-0005-0000-0000-0000AF430000}"/>
    <cellStyle name="40% - Énfasis6 21 3 2 2 2" xfId="17325" xr:uid="{00000000-0005-0000-0000-0000B0430000}"/>
    <cellStyle name="40% - Énfasis6 21 3 2 3" xfId="17326" xr:uid="{00000000-0005-0000-0000-0000B1430000}"/>
    <cellStyle name="40% - Énfasis6 21 3 3" xfId="17327" xr:uid="{00000000-0005-0000-0000-0000B2430000}"/>
    <cellStyle name="40% - Énfasis6 21 3 3 2" xfId="17328" xr:uid="{00000000-0005-0000-0000-0000B3430000}"/>
    <cellStyle name="40% - Énfasis6 21 3 4" xfId="17329" xr:uid="{00000000-0005-0000-0000-0000B4430000}"/>
    <cellStyle name="40% - Énfasis6 21 4" xfId="17330" xr:uid="{00000000-0005-0000-0000-0000B5430000}"/>
    <cellStyle name="40% - Énfasis6 21 4 2" xfId="17331" xr:uid="{00000000-0005-0000-0000-0000B6430000}"/>
    <cellStyle name="40% - Énfasis6 21 4 2 2" xfId="17332" xr:uid="{00000000-0005-0000-0000-0000B7430000}"/>
    <cellStyle name="40% - Énfasis6 21 4 3" xfId="17333" xr:uid="{00000000-0005-0000-0000-0000B8430000}"/>
    <cellStyle name="40% - Énfasis6 21 5" xfId="17334" xr:uid="{00000000-0005-0000-0000-0000B9430000}"/>
    <cellStyle name="40% - Énfasis6 21 5 2" xfId="17335" xr:uid="{00000000-0005-0000-0000-0000BA430000}"/>
    <cellStyle name="40% - Énfasis6 21 5 2 2" xfId="17336" xr:uid="{00000000-0005-0000-0000-0000BB430000}"/>
    <cellStyle name="40% - Énfasis6 21 5 3" xfId="17337" xr:uid="{00000000-0005-0000-0000-0000BC430000}"/>
    <cellStyle name="40% - Énfasis6 21 6" xfId="17338" xr:uid="{00000000-0005-0000-0000-0000BD430000}"/>
    <cellStyle name="40% - Énfasis6 21 6 2" xfId="17339" xr:uid="{00000000-0005-0000-0000-0000BE430000}"/>
    <cellStyle name="40% - Énfasis6 21 7" xfId="17340" xr:uid="{00000000-0005-0000-0000-0000BF430000}"/>
    <cellStyle name="40% - Énfasis6 22" xfId="17341" xr:uid="{00000000-0005-0000-0000-0000C0430000}"/>
    <cellStyle name="40% - Énfasis6 22 2" xfId="17342" xr:uid="{00000000-0005-0000-0000-0000C1430000}"/>
    <cellStyle name="40% - Énfasis6 22 2 2" xfId="17343" xr:uid="{00000000-0005-0000-0000-0000C2430000}"/>
    <cellStyle name="40% - Énfasis6 22 2 2 2" xfId="17344" xr:uid="{00000000-0005-0000-0000-0000C3430000}"/>
    <cellStyle name="40% - Énfasis6 22 2 2 2 2" xfId="17345" xr:uid="{00000000-0005-0000-0000-0000C4430000}"/>
    <cellStyle name="40% - Énfasis6 22 2 2 3" xfId="17346" xr:uid="{00000000-0005-0000-0000-0000C5430000}"/>
    <cellStyle name="40% - Énfasis6 22 2 3" xfId="17347" xr:uid="{00000000-0005-0000-0000-0000C6430000}"/>
    <cellStyle name="40% - Énfasis6 22 2 3 2" xfId="17348" xr:uid="{00000000-0005-0000-0000-0000C7430000}"/>
    <cellStyle name="40% - Énfasis6 22 2 3 2 2" xfId="17349" xr:uid="{00000000-0005-0000-0000-0000C8430000}"/>
    <cellStyle name="40% - Énfasis6 22 2 3 3" xfId="17350" xr:uid="{00000000-0005-0000-0000-0000C9430000}"/>
    <cellStyle name="40% - Énfasis6 22 2 4" xfId="17351" xr:uid="{00000000-0005-0000-0000-0000CA430000}"/>
    <cellStyle name="40% - Énfasis6 22 2 4 2" xfId="17352" xr:uid="{00000000-0005-0000-0000-0000CB430000}"/>
    <cellStyle name="40% - Énfasis6 22 2 5" xfId="17353" xr:uid="{00000000-0005-0000-0000-0000CC430000}"/>
    <cellStyle name="40% - Énfasis6 22 3" xfId="17354" xr:uid="{00000000-0005-0000-0000-0000CD430000}"/>
    <cellStyle name="40% - Énfasis6 22 3 2" xfId="17355" xr:uid="{00000000-0005-0000-0000-0000CE430000}"/>
    <cellStyle name="40% - Énfasis6 22 3 2 2" xfId="17356" xr:uid="{00000000-0005-0000-0000-0000CF430000}"/>
    <cellStyle name="40% - Énfasis6 22 3 2 2 2" xfId="17357" xr:uid="{00000000-0005-0000-0000-0000D0430000}"/>
    <cellStyle name="40% - Énfasis6 22 3 2 3" xfId="17358" xr:uid="{00000000-0005-0000-0000-0000D1430000}"/>
    <cellStyle name="40% - Énfasis6 22 3 3" xfId="17359" xr:uid="{00000000-0005-0000-0000-0000D2430000}"/>
    <cellStyle name="40% - Énfasis6 22 3 3 2" xfId="17360" xr:uid="{00000000-0005-0000-0000-0000D3430000}"/>
    <cellStyle name="40% - Énfasis6 22 3 4" xfId="17361" xr:uid="{00000000-0005-0000-0000-0000D4430000}"/>
    <cellStyle name="40% - Énfasis6 22 4" xfId="17362" xr:uid="{00000000-0005-0000-0000-0000D5430000}"/>
    <cellStyle name="40% - Énfasis6 22 4 2" xfId="17363" xr:uid="{00000000-0005-0000-0000-0000D6430000}"/>
    <cellStyle name="40% - Énfasis6 22 4 2 2" xfId="17364" xr:uid="{00000000-0005-0000-0000-0000D7430000}"/>
    <cellStyle name="40% - Énfasis6 22 4 3" xfId="17365" xr:uid="{00000000-0005-0000-0000-0000D8430000}"/>
    <cellStyle name="40% - Énfasis6 22 5" xfId="17366" xr:uid="{00000000-0005-0000-0000-0000D9430000}"/>
    <cellStyle name="40% - Énfasis6 22 5 2" xfId="17367" xr:uid="{00000000-0005-0000-0000-0000DA430000}"/>
    <cellStyle name="40% - Énfasis6 22 5 2 2" xfId="17368" xr:uid="{00000000-0005-0000-0000-0000DB430000}"/>
    <cellStyle name="40% - Énfasis6 22 5 3" xfId="17369" xr:uid="{00000000-0005-0000-0000-0000DC430000}"/>
    <cellStyle name="40% - Énfasis6 22 6" xfId="17370" xr:uid="{00000000-0005-0000-0000-0000DD430000}"/>
    <cellStyle name="40% - Énfasis6 22 6 2" xfId="17371" xr:uid="{00000000-0005-0000-0000-0000DE430000}"/>
    <cellStyle name="40% - Énfasis6 22 7" xfId="17372" xr:uid="{00000000-0005-0000-0000-0000DF430000}"/>
    <cellStyle name="40% - Énfasis6 23" xfId="17373" xr:uid="{00000000-0005-0000-0000-0000E0430000}"/>
    <cellStyle name="40% - Énfasis6 23 2" xfId="17374" xr:uid="{00000000-0005-0000-0000-0000E1430000}"/>
    <cellStyle name="40% - Énfasis6 23 2 2" xfId="17375" xr:uid="{00000000-0005-0000-0000-0000E2430000}"/>
    <cellStyle name="40% - Énfasis6 23 2 2 2" xfId="17376" xr:uid="{00000000-0005-0000-0000-0000E3430000}"/>
    <cellStyle name="40% - Énfasis6 23 2 2 2 2" xfId="17377" xr:uid="{00000000-0005-0000-0000-0000E4430000}"/>
    <cellStyle name="40% - Énfasis6 23 2 2 3" xfId="17378" xr:uid="{00000000-0005-0000-0000-0000E5430000}"/>
    <cellStyle name="40% - Énfasis6 23 2 3" xfId="17379" xr:uid="{00000000-0005-0000-0000-0000E6430000}"/>
    <cellStyle name="40% - Énfasis6 23 2 3 2" xfId="17380" xr:uid="{00000000-0005-0000-0000-0000E7430000}"/>
    <cellStyle name="40% - Énfasis6 23 2 3 2 2" xfId="17381" xr:uid="{00000000-0005-0000-0000-0000E8430000}"/>
    <cellStyle name="40% - Énfasis6 23 2 3 3" xfId="17382" xr:uid="{00000000-0005-0000-0000-0000E9430000}"/>
    <cellStyle name="40% - Énfasis6 23 2 4" xfId="17383" xr:uid="{00000000-0005-0000-0000-0000EA430000}"/>
    <cellStyle name="40% - Énfasis6 23 2 4 2" xfId="17384" xr:uid="{00000000-0005-0000-0000-0000EB430000}"/>
    <cellStyle name="40% - Énfasis6 23 2 5" xfId="17385" xr:uid="{00000000-0005-0000-0000-0000EC430000}"/>
    <cellStyle name="40% - Énfasis6 23 3" xfId="17386" xr:uid="{00000000-0005-0000-0000-0000ED430000}"/>
    <cellStyle name="40% - Énfasis6 23 3 2" xfId="17387" xr:uid="{00000000-0005-0000-0000-0000EE430000}"/>
    <cellStyle name="40% - Énfasis6 23 3 2 2" xfId="17388" xr:uid="{00000000-0005-0000-0000-0000EF430000}"/>
    <cellStyle name="40% - Énfasis6 23 3 2 2 2" xfId="17389" xr:uid="{00000000-0005-0000-0000-0000F0430000}"/>
    <cellStyle name="40% - Énfasis6 23 3 2 3" xfId="17390" xr:uid="{00000000-0005-0000-0000-0000F1430000}"/>
    <cellStyle name="40% - Énfasis6 23 3 3" xfId="17391" xr:uid="{00000000-0005-0000-0000-0000F2430000}"/>
    <cellStyle name="40% - Énfasis6 23 3 3 2" xfId="17392" xr:uid="{00000000-0005-0000-0000-0000F3430000}"/>
    <cellStyle name="40% - Énfasis6 23 3 4" xfId="17393" xr:uid="{00000000-0005-0000-0000-0000F4430000}"/>
    <cellStyle name="40% - Énfasis6 23 4" xfId="17394" xr:uid="{00000000-0005-0000-0000-0000F5430000}"/>
    <cellStyle name="40% - Énfasis6 23 4 2" xfId="17395" xr:uid="{00000000-0005-0000-0000-0000F6430000}"/>
    <cellStyle name="40% - Énfasis6 23 4 2 2" xfId="17396" xr:uid="{00000000-0005-0000-0000-0000F7430000}"/>
    <cellStyle name="40% - Énfasis6 23 4 3" xfId="17397" xr:uid="{00000000-0005-0000-0000-0000F8430000}"/>
    <cellStyle name="40% - Énfasis6 23 5" xfId="17398" xr:uid="{00000000-0005-0000-0000-0000F9430000}"/>
    <cellStyle name="40% - Énfasis6 23 5 2" xfId="17399" xr:uid="{00000000-0005-0000-0000-0000FA430000}"/>
    <cellStyle name="40% - Énfasis6 23 5 2 2" xfId="17400" xr:uid="{00000000-0005-0000-0000-0000FB430000}"/>
    <cellStyle name="40% - Énfasis6 23 5 3" xfId="17401" xr:uid="{00000000-0005-0000-0000-0000FC430000}"/>
    <cellStyle name="40% - Énfasis6 23 6" xfId="17402" xr:uid="{00000000-0005-0000-0000-0000FD430000}"/>
    <cellStyle name="40% - Énfasis6 23 6 2" xfId="17403" xr:uid="{00000000-0005-0000-0000-0000FE430000}"/>
    <cellStyle name="40% - Énfasis6 23 7" xfId="17404" xr:uid="{00000000-0005-0000-0000-0000FF430000}"/>
    <cellStyle name="40% - Énfasis6 24" xfId="17405" xr:uid="{00000000-0005-0000-0000-000000440000}"/>
    <cellStyle name="40% - Énfasis6 24 2" xfId="17406" xr:uid="{00000000-0005-0000-0000-000001440000}"/>
    <cellStyle name="40% - Énfasis6 24 2 2" xfId="17407" xr:uid="{00000000-0005-0000-0000-000002440000}"/>
    <cellStyle name="40% - Énfasis6 24 2 2 2" xfId="17408" xr:uid="{00000000-0005-0000-0000-000003440000}"/>
    <cellStyle name="40% - Énfasis6 24 2 2 2 2" xfId="17409" xr:uid="{00000000-0005-0000-0000-000004440000}"/>
    <cellStyle name="40% - Énfasis6 24 2 2 3" xfId="17410" xr:uid="{00000000-0005-0000-0000-000005440000}"/>
    <cellStyle name="40% - Énfasis6 24 2 3" xfId="17411" xr:uid="{00000000-0005-0000-0000-000006440000}"/>
    <cellStyle name="40% - Énfasis6 24 2 3 2" xfId="17412" xr:uid="{00000000-0005-0000-0000-000007440000}"/>
    <cellStyle name="40% - Énfasis6 24 2 3 2 2" xfId="17413" xr:uid="{00000000-0005-0000-0000-000008440000}"/>
    <cellStyle name="40% - Énfasis6 24 2 3 3" xfId="17414" xr:uid="{00000000-0005-0000-0000-000009440000}"/>
    <cellStyle name="40% - Énfasis6 24 2 4" xfId="17415" xr:uid="{00000000-0005-0000-0000-00000A440000}"/>
    <cellStyle name="40% - Énfasis6 24 2 4 2" xfId="17416" xr:uid="{00000000-0005-0000-0000-00000B440000}"/>
    <cellStyle name="40% - Énfasis6 24 2 5" xfId="17417" xr:uid="{00000000-0005-0000-0000-00000C440000}"/>
    <cellStyle name="40% - Énfasis6 24 3" xfId="17418" xr:uid="{00000000-0005-0000-0000-00000D440000}"/>
    <cellStyle name="40% - Énfasis6 24 3 2" xfId="17419" xr:uid="{00000000-0005-0000-0000-00000E440000}"/>
    <cellStyle name="40% - Énfasis6 24 3 2 2" xfId="17420" xr:uid="{00000000-0005-0000-0000-00000F440000}"/>
    <cellStyle name="40% - Énfasis6 24 3 2 2 2" xfId="17421" xr:uid="{00000000-0005-0000-0000-000010440000}"/>
    <cellStyle name="40% - Énfasis6 24 3 2 3" xfId="17422" xr:uid="{00000000-0005-0000-0000-000011440000}"/>
    <cellStyle name="40% - Énfasis6 24 3 3" xfId="17423" xr:uid="{00000000-0005-0000-0000-000012440000}"/>
    <cellStyle name="40% - Énfasis6 24 3 3 2" xfId="17424" xr:uid="{00000000-0005-0000-0000-000013440000}"/>
    <cellStyle name="40% - Énfasis6 24 3 4" xfId="17425" xr:uid="{00000000-0005-0000-0000-000014440000}"/>
    <cellStyle name="40% - Énfasis6 24 4" xfId="17426" xr:uid="{00000000-0005-0000-0000-000015440000}"/>
    <cellStyle name="40% - Énfasis6 24 4 2" xfId="17427" xr:uid="{00000000-0005-0000-0000-000016440000}"/>
    <cellStyle name="40% - Énfasis6 24 4 2 2" xfId="17428" xr:uid="{00000000-0005-0000-0000-000017440000}"/>
    <cellStyle name="40% - Énfasis6 24 4 3" xfId="17429" xr:uid="{00000000-0005-0000-0000-000018440000}"/>
    <cellStyle name="40% - Énfasis6 24 5" xfId="17430" xr:uid="{00000000-0005-0000-0000-000019440000}"/>
    <cellStyle name="40% - Énfasis6 24 5 2" xfId="17431" xr:uid="{00000000-0005-0000-0000-00001A440000}"/>
    <cellStyle name="40% - Énfasis6 24 5 2 2" xfId="17432" xr:uid="{00000000-0005-0000-0000-00001B440000}"/>
    <cellStyle name="40% - Énfasis6 24 5 3" xfId="17433" xr:uid="{00000000-0005-0000-0000-00001C440000}"/>
    <cellStyle name="40% - Énfasis6 24 6" xfId="17434" xr:uid="{00000000-0005-0000-0000-00001D440000}"/>
    <cellStyle name="40% - Énfasis6 24 6 2" xfId="17435" xr:uid="{00000000-0005-0000-0000-00001E440000}"/>
    <cellStyle name="40% - Énfasis6 24 7" xfId="17436" xr:uid="{00000000-0005-0000-0000-00001F440000}"/>
    <cellStyle name="40% - Énfasis6 25" xfId="17437" xr:uid="{00000000-0005-0000-0000-000020440000}"/>
    <cellStyle name="40% - Énfasis6 25 2" xfId="17438" xr:uid="{00000000-0005-0000-0000-000021440000}"/>
    <cellStyle name="40% - Énfasis6 25 2 2" xfId="17439" xr:uid="{00000000-0005-0000-0000-000022440000}"/>
    <cellStyle name="40% - Énfasis6 25 2 2 2" xfId="17440" xr:uid="{00000000-0005-0000-0000-000023440000}"/>
    <cellStyle name="40% - Énfasis6 25 2 2 2 2" xfId="17441" xr:uid="{00000000-0005-0000-0000-000024440000}"/>
    <cellStyle name="40% - Énfasis6 25 2 2 3" xfId="17442" xr:uid="{00000000-0005-0000-0000-000025440000}"/>
    <cellStyle name="40% - Énfasis6 25 2 3" xfId="17443" xr:uid="{00000000-0005-0000-0000-000026440000}"/>
    <cellStyle name="40% - Énfasis6 25 2 3 2" xfId="17444" xr:uid="{00000000-0005-0000-0000-000027440000}"/>
    <cellStyle name="40% - Énfasis6 25 2 3 2 2" xfId="17445" xr:uid="{00000000-0005-0000-0000-000028440000}"/>
    <cellStyle name="40% - Énfasis6 25 2 3 3" xfId="17446" xr:uid="{00000000-0005-0000-0000-000029440000}"/>
    <cellStyle name="40% - Énfasis6 25 2 4" xfId="17447" xr:uid="{00000000-0005-0000-0000-00002A440000}"/>
    <cellStyle name="40% - Énfasis6 25 2 4 2" xfId="17448" xr:uid="{00000000-0005-0000-0000-00002B440000}"/>
    <cellStyle name="40% - Énfasis6 25 2 5" xfId="17449" xr:uid="{00000000-0005-0000-0000-00002C440000}"/>
    <cellStyle name="40% - Énfasis6 25 3" xfId="17450" xr:uid="{00000000-0005-0000-0000-00002D440000}"/>
    <cellStyle name="40% - Énfasis6 25 3 2" xfId="17451" xr:uid="{00000000-0005-0000-0000-00002E440000}"/>
    <cellStyle name="40% - Énfasis6 25 3 2 2" xfId="17452" xr:uid="{00000000-0005-0000-0000-00002F440000}"/>
    <cellStyle name="40% - Énfasis6 25 3 2 2 2" xfId="17453" xr:uid="{00000000-0005-0000-0000-000030440000}"/>
    <cellStyle name="40% - Énfasis6 25 3 2 3" xfId="17454" xr:uid="{00000000-0005-0000-0000-000031440000}"/>
    <cellStyle name="40% - Énfasis6 25 3 3" xfId="17455" xr:uid="{00000000-0005-0000-0000-000032440000}"/>
    <cellStyle name="40% - Énfasis6 25 3 3 2" xfId="17456" xr:uid="{00000000-0005-0000-0000-000033440000}"/>
    <cellStyle name="40% - Énfasis6 25 3 4" xfId="17457" xr:uid="{00000000-0005-0000-0000-000034440000}"/>
    <cellStyle name="40% - Énfasis6 25 4" xfId="17458" xr:uid="{00000000-0005-0000-0000-000035440000}"/>
    <cellStyle name="40% - Énfasis6 25 4 2" xfId="17459" xr:uid="{00000000-0005-0000-0000-000036440000}"/>
    <cellStyle name="40% - Énfasis6 25 4 2 2" xfId="17460" xr:uid="{00000000-0005-0000-0000-000037440000}"/>
    <cellStyle name="40% - Énfasis6 25 4 3" xfId="17461" xr:uid="{00000000-0005-0000-0000-000038440000}"/>
    <cellStyle name="40% - Énfasis6 25 5" xfId="17462" xr:uid="{00000000-0005-0000-0000-000039440000}"/>
    <cellStyle name="40% - Énfasis6 25 5 2" xfId="17463" xr:uid="{00000000-0005-0000-0000-00003A440000}"/>
    <cellStyle name="40% - Énfasis6 25 5 2 2" xfId="17464" xr:uid="{00000000-0005-0000-0000-00003B440000}"/>
    <cellStyle name="40% - Énfasis6 25 5 3" xfId="17465" xr:uid="{00000000-0005-0000-0000-00003C440000}"/>
    <cellStyle name="40% - Énfasis6 25 6" xfId="17466" xr:uid="{00000000-0005-0000-0000-00003D440000}"/>
    <cellStyle name="40% - Énfasis6 25 6 2" xfId="17467" xr:uid="{00000000-0005-0000-0000-00003E440000}"/>
    <cellStyle name="40% - Énfasis6 25 7" xfId="17468" xr:uid="{00000000-0005-0000-0000-00003F440000}"/>
    <cellStyle name="40% - Énfasis6 26" xfId="17469" xr:uid="{00000000-0005-0000-0000-000040440000}"/>
    <cellStyle name="40% - Énfasis6 26 2" xfId="17470" xr:uid="{00000000-0005-0000-0000-000041440000}"/>
    <cellStyle name="40% - Énfasis6 26 2 2" xfId="17471" xr:uid="{00000000-0005-0000-0000-000042440000}"/>
    <cellStyle name="40% - Énfasis6 26 2 2 2" xfId="17472" xr:uid="{00000000-0005-0000-0000-000043440000}"/>
    <cellStyle name="40% - Énfasis6 26 2 2 2 2" xfId="17473" xr:uid="{00000000-0005-0000-0000-000044440000}"/>
    <cellStyle name="40% - Énfasis6 26 2 2 3" xfId="17474" xr:uid="{00000000-0005-0000-0000-000045440000}"/>
    <cellStyle name="40% - Énfasis6 26 2 3" xfId="17475" xr:uid="{00000000-0005-0000-0000-000046440000}"/>
    <cellStyle name="40% - Énfasis6 26 2 3 2" xfId="17476" xr:uid="{00000000-0005-0000-0000-000047440000}"/>
    <cellStyle name="40% - Énfasis6 26 2 3 2 2" xfId="17477" xr:uid="{00000000-0005-0000-0000-000048440000}"/>
    <cellStyle name="40% - Énfasis6 26 2 3 3" xfId="17478" xr:uid="{00000000-0005-0000-0000-000049440000}"/>
    <cellStyle name="40% - Énfasis6 26 2 4" xfId="17479" xr:uid="{00000000-0005-0000-0000-00004A440000}"/>
    <cellStyle name="40% - Énfasis6 26 2 4 2" xfId="17480" xr:uid="{00000000-0005-0000-0000-00004B440000}"/>
    <cellStyle name="40% - Énfasis6 26 2 5" xfId="17481" xr:uid="{00000000-0005-0000-0000-00004C440000}"/>
    <cellStyle name="40% - Énfasis6 26 3" xfId="17482" xr:uid="{00000000-0005-0000-0000-00004D440000}"/>
    <cellStyle name="40% - Énfasis6 26 3 2" xfId="17483" xr:uid="{00000000-0005-0000-0000-00004E440000}"/>
    <cellStyle name="40% - Énfasis6 26 3 2 2" xfId="17484" xr:uid="{00000000-0005-0000-0000-00004F440000}"/>
    <cellStyle name="40% - Énfasis6 26 3 2 2 2" xfId="17485" xr:uid="{00000000-0005-0000-0000-000050440000}"/>
    <cellStyle name="40% - Énfasis6 26 3 2 3" xfId="17486" xr:uid="{00000000-0005-0000-0000-000051440000}"/>
    <cellStyle name="40% - Énfasis6 26 3 3" xfId="17487" xr:uid="{00000000-0005-0000-0000-000052440000}"/>
    <cellStyle name="40% - Énfasis6 26 3 3 2" xfId="17488" xr:uid="{00000000-0005-0000-0000-000053440000}"/>
    <cellStyle name="40% - Énfasis6 26 3 4" xfId="17489" xr:uid="{00000000-0005-0000-0000-000054440000}"/>
    <cellStyle name="40% - Énfasis6 26 4" xfId="17490" xr:uid="{00000000-0005-0000-0000-000055440000}"/>
    <cellStyle name="40% - Énfasis6 26 4 2" xfId="17491" xr:uid="{00000000-0005-0000-0000-000056440000}"/>
    <cellStyle name="40% - Énfasis6 26 4 2 2" xfId="17492" xr:uid="{00000000-0005-0000-0000-000057440000}"/>
    <cellStyle name="40% - Énfasis6 26 4 3" xfId="17493" xr:uid="{00000000-0005-0000-0000-000058440000}"/>
    <cellStyle name="40% - Énfasis6 26 5" xfId="17494" xr:uid="{00000000-0005-0000-0000-000059440000}"/>
    <cellStyle name="40% - Énfasis6 26 5 2" xfId="17495" xr:uid="{00000000-0005-0000-0000-00005A440000}"/>
    <cellStyle name="40% - Énfasis6 26 5 2 2" xfId="17496" xr:uid="{00000000-0005-0000-0000-00005B440000}"/>
    <cellStyle name="40% - Énfasis6 26 5 3" xfId="17497" xr:uid="{00000000-0005-0000-0000-00005C440000}"/>
    <cellStyle name="40% - Énfasis6 26 6" xfId="17498" xr:uid="{00000000-0005-0000-0000-00005D440000}"/>
    <cellStyle name="40% - Énfasis6 26 6 2" xfId="17499" xr:uid="{00000000-0005-0000-0000-00005E440000}"/>
    <cellStyle name="40% - Énfasis6 26 7" xfId="17500" xr:uid="{00000000-0005-0000-0000-00005F440000}"/>
    <cellStyle name="40% - Énfasis6 27" xfId="17501" xr:uid="{00000000-0005-0000-0000-000060440000}"/>
    <cellStyle name="40% - Énfasis6 27 2" xfId="17502" xr:uid="{00000000-0005-0000-0000-000061440000}"/>
    <cellStyle name="40% - Énfasis6 27 2 2" xfId="17503" xr:uid="{00000000-0005-0000-0000-000062440000}"/>
    <cellStyle name="40% - Énfasis6 27 2 2 2" xfId="17504" xr:uid="{00000000-0005-0000-0000-000063440000}"/>
    <cellStyle name="40% - Énfasis6 27 2 2 2 2" xfId="17505" xr:uid="{00000000-0005-0000-0000-000064440000}"/>
    <cellStyle name="40% - Énfasis6 27 2 2 3" xfId="17506" xr:uid="{00000000-0005-0000-0000-000065440000}"/>
    <cellStyle name="40% - Énfasis6 27 2 3" xfId="17507" xr:uid="{00000000-0005-0000-0000-000066440000}"/>
    <cellStyle name="40% - Énfasis6 27 2 3 2" xfId="17508" xr:uid="{00000000-0005-0000-0000-000067440000}"/>
    <cellStyle name="40% - Énfasis6 27 2 3 2 2" xfId="17509" xr:uid="{00000000-0005-0000-0000-000068440000}"/>
    <cellStyle name="40% - Énfasis6 27 2 3 3" xfId="17510" xr:uid="{00000000-0005-0000-0000-000069440000}"/>
    <cellStyle name="40% - Énfasis6 27 2 4" xfId="17511" xr:uid="{00000000-0005-0000-0000-00006A440000}"/>
    <cellStyle name="40% - Énfasis6 27 2 4 2" xfId="17512" xr:uid="{00000000-0005-0000-0000-00006B440000}"/>
    <cellStyle name="40% - Énfasis6 27 2 5" xfId="17513" xr:uid="{00000000-0005-0000-0000-00006C440000}"/>
    <cellStyle name="40% - Énfasis6 27 3" xfId="17514" xr:uid="{00000000-0005-0000-0000-00006D440000}"/>
    <cellStyle name="40% - Énfasis6 27 3 2" xfId="17515" xr:uid="{00000000-0005-0000-0000-00006E440000}"/>
    <cellStyle name="40% - Énfasis6 27 3 2 2" xfId="17516" xr:uid="{00000000-0005-0000-0000-00006F440000}"/>
    <cellStyle name="40% - Énfasis6 27 3 3" xfId="17517" xr:uid="{00000000-0005-0000-0000-000070440000}"/>
    <cellStyle name="40% - Énfasis6 27 4" xfId="17518" xr:uid="{00000000-0005-0000-0000-000071440000}"/>
    <cellStyle name="40% - Énfasis6 27 4 2" xfId="17519" xr:uid="{00000000-0005-0000-0000-000072440000}"/>
    <cellStyle name="40% - Énfasis6 27 4 2 2" xfId="17520" xr:uid="{00000000-0005-0000-0000-000073440000}"/>
    <cellStyle name="40% - Énfasis6 27 4 3" xfId="17521" xr:uid="{00000000-0005-0000-0000-000074440000}"/>
    <cellStyle name="40% - Énfasis6 27 5" xfId="17522" xr:uid="{00000000-0005-0000-0000-000075440000}"/>
    <cellStyle name="40% - Énfasis6 27 5 2" xfId="17523" xr:uid="{00000000-0005-0000-0000-000076440000}"/>
    <cellStyle name="40% - Énfasis6 27 6" xfId="17524" xr:uid="{00000000-0005-0000-0000-000077440000}"/>
    <cellStyle name="40% - Énfasis6 28" xfId="17525" xr:uid="{00000000-0005-0000-0000-000078440000}"/>
    <cellStyle name="40% - Énfasis6 28 2" xfId="17526" xr:uid="{00000000-0005-0000-0000-000079440000}"/>
    <cellStyle name="40% - Énfasis6 28 2 2" xfId="17527" xr:uid="{00000000-0005-0000-0000-00007A440000}"/>
    <cellStyle name="40% - Énfasis6 28 2 2 2" xfId="17528" xr:uid="{00000000-0005-0000-0000-00007B440000}"/>
    <cellStyle name="40% - Énfasis6 28 2 2 2 2" xfId="17529" xr:uid="{00000000-0005-0000-0000-00007C440000}"/>
    <cellStyle name="40% - Énfasis6 28 2 2 3" xfId="17530" xr:uid="{00000000-0005-0000-0000-00007D440000}"/>
    <cellStyle name="40% - Énfasis6 28 2 3" xfId="17531" xr:uid="{00000000-0005-0000-0000-00007E440000}"/>
    <cellStyle name="40% - Énfasis6 28 2 3 2" xfId="17532" xr:uid="{00000000-0005-0000-0000-00007F440000}"/>
    <cellStyle name="40% - Énfasis6 28 2 4" xfId="17533" xr:uid="{00000000-0005-0000-0000-000080440000}"/>
    <cellStyle name="40% - Énfasis6 28 3" xfId="17534" xr:uid="{00000000-0005-0000-0000-000081440000}"/>
    <cellStyle name="40% - Énfasis6 28 3 2" xfId="17535" xr:uid="{00000000-0005-0000-0000-000082440000}"/>
    <cellStyle name="40% - Énfasis6 28 3 2 2" xfId="17536" xr:uid="{00000000-0005-0000-0000-000083440000}"/>
    <cellStyle name="40% - Énfasis6 28 3 3" xfId="17537" xr:uid="{00000000-0005-0000-0000-000084440000}"/>
    <cellStyle name="40% - Énfasis6 28 4" xfId="17538" xr:uid="{00000000-0005-0000-0000-000085440000}"/>
    <cellStyle name="40% - Énfasis6 28 4 2" xfId="17539" xr:uid="{00000000-0005-0000-0000-000086440000}"/>
    <cellStyle name="40% - Énfasis6 28 5" xfId="17540" xr:uid="{00000000-0005-0000-0000-000087440000}"/>
    <cellStyle name="40% - Énfasis6 29" xfId="17541" xr:uid="{00000000-0005-0000-0000-000088440000}"/>
    <cellStyle name="40% - Énfasis6 29 2" xfId="17542" xr:uid="{00000000-0005-0000-0000-000089440000}"/>
    <cellStyle name="40% - Énfasis6 29 2 2" xfId="17543" xr:uid="{00000000-0005-0000-0000-00008A440000}"/>
    <cellStyle name="40% - Énfasis6 29 2 2 2" xfId="17544" xr:uid="{00000000-0005-0000-0000-00008B440000}"/>
    <cellStyle name="40% - Énfasis6 29 2 2 2 2" xfId="17545" xr:uid="{00000000-0005-0000-0000-00008C440000}"/>
    <cellStyle name="40% - Énfasis6 29 2 2 3" xfId="17546" xr:uid="{00000000-0005-0000-0000-00008D440000}"/>
    <cellStyle name="40% - Énfasis6 29 2 3" xfId="17547" xr:uid="{00000000-0005-0000-0000-00008E440000}"/>
    <cellStyle name="40% - Énfasis6 29 2 3 2" xfId="17548" xr:uid="{00000000-0005-0000-0000-00008F440000}"/>
    <cellStyle name="40% - Énfasis6 29 2 4" xfId="17549" xr:uid="{00000000-0005-0000-0000-000090440000}"/>
    <cellStyle name="40% - Énfasis6 29 3" xfId="17550" xr:uid="{00000000-0005-0000-0000-000091440000}"/>
    <cellStyle name="40% - Énfasis6 29 3 2" xfId="17551" xr:uid="{00000000-0005-0000-0000-000092440000}"/>
    <cellStyle name="40% - Énfasis6 29 3 2 2" xfId="17552" xr:uid="{00000000-0005-0000-0000-000093440000}"/>
    <cellStyle name="40% - Énfasis6 29 3 3" xfId="17553" xr:uid="{00000000-0005-0000-0000-000094440000}"/>
    <cellStyle name="40% - Énfasis6 29 4" xfId="17554" xr:uid="{00000000-0005-0000-0000-000095440000}"/>
    <cellStyle name="40% - Énfasis6 29 4 2" xfId="17555" xr:uid="{00000000-0005-0000-0000-000096440000}"/>
    <cellStyle name="40% - Énfasis6 29 5" xfId="17556" xr:uid="{00000000-0005-0000-0000-000097440000}"/>
    <cellStyle name="40% - Énfasis6 3" xfId="17557" xr:uid="{00000000-0005-0000-0000-000098440000}"/>
    <cellStyle name="40% - Énfasis6 3 2" xfId="17558" xr:uid="{00000000-0005-0000-0000-000099440000}"/>
    <cellStyle name="40% - Énfasis6 3 2 2" xfId="17559" xr:uid="{00000000-0005-0000-0000-00009A440000}"/>
    <cellStyle name="40% - Énfasis6 3 2 2 2" xfId="17560" xr:uid="{00000000-0005-0000-0000-00009B440000}"/>
    <cellStyle name="40% - Énfasis6 3 2 2 2 2" xfId="17561" xr:uid="{00000000-0005-0000-0000-00009C440000}"/>
    <cellStyle name="40% - Énfasis6 3 2 2 2 2 2" xfId="17562" xr:uid="{00000000-0005-0000-0000-00009D440000}"/>
    <cellStyle name="40% - Énfasis6 3 2 2 2 3" xfId="17563" xr:uid="{00000000-0005-0000-0000-00009E440000}"/>
    <cellStyle name="40% - Énfasis6 3 2 2 3" xfId="17564" xr:uid="{00000000-0005-0000-0000-00009F440000}"/>
    <cellStyle name="40% - Énfasis6 3 2 2 3 2" xfId="17565" xr:uid="{00000000-0005-0000-0000-0000A0440000}"/>
    <cellStyle name="40% - Énfasis6 3 2 2 4" xfId="17566" xr:uid="{00000000-0005-0000-0000-0000A1440000}"/>
    <cellStyle name="40% - Énfasis6 3 2 3" xfId="17567" xr:uid="{00000000-0005-0000-0000-0000A2440000}"/>
    <cellStyle name="40% - Énfasis6 3 2 3 2" xfId="17568" xr:uid="{00000000-0005-0000-0000-0000A3440000}"/>
    <cellStyle name="40% - Énfasis6 3 2 3 2 2" xfId="17569" xr:uid="{00000000-0005-0000-0000-0000A4440000}"/>
    <cellStyle name="40% - Énfasis6 3 2 3 3" xfId="17570" xr:uid="{00000000-0005-0000-0000-0000A5440000}"/>
    <cellStyle name="40% - Énfasis6 3 2 4" xfId="17571" xr:uid="{00000000-0005-0000-0000-0000A6440000}"/>
    <cellStyle name="40% - Énfasis6 3 2 4 2" xfId="17572" xr:uid="{00000000-0005-0000-0000-0000A7440000}"/>
    <cellStyle name="40% - Énfasis6 3 2 4 2 2" xfId="17573" xr:uid="{00000000-0005-0000-0000-0000A8440000}"/>
    <cellStyle name="40% - Énfasis6 3 2 4 3" xfId="17574" xr:uid="{00000000-0005-0000-0000-0000A9440000}"/>
    <cellStyle name="40% - Énfasis6 3 2 5" xfId="17575" xr:uid="{00000000-0005-0000-0000-0000AA440000}"/>
    <cellStyle name="40% - Énfasis6 3 2 5 2" xfId="17576" xr:uid="{00000000-0005-0000-0000-0000AB440000}"/>
    <cellStyle name="40% - Énfasis6 3 2 6" xfId="17577" xr:uid="{00000000-0005-0000-0000-0000AC440000}"/>
    <cellStyle name="40% - Énfasis6 3 3" xfId="17578" xr:uid="{00000000-0005-0000-0000-0000AD440000}"/>
    <cellStyle name="40% - Énfasis6 3 3 2" xfId="17579" xr:uid="{00000000-0005-0000-0000-0000AE440000}"/>
    <cellStyle name="40% - Énfasis6 3 3 2 2" xfId="17580" xr:uid="{00000000-0005-0000-0000-0000AF440000}"/>
    <cellStyle name="40% - Énfasis6 3 3 2 2 2" xfId="17581" xr:uid="{00000000-0005-0000-0000-0000B0440000}"/>
    <cellStyle name="40% - Énfasis6 3 3 2 3" xfId="17582" xr:uid="{00000000-0005-0000-0000-0000B1440000}"/>
    <cellStyle name="40% - Énfasis6 3 3 3" xfId="17583" xr:uid="{00000000-0005-0000-0000-0000B2440000}"/>
    <cellStyle name="40% - Énfasis6 3 3 3 2" xfId="17584" xr:uid="{00000000-0005-0000-0000-0000B3440000}"/>
    <cellStyle name="40% - Énfasis6 3 3 3 2 2" xfId="17585" xr:uid="{00000000-0005-0000-0000-0000B4440000}"/>
    <cellStyle name="40% - Énfasis6 3 3 3 3" xfId="17586" xr:uid="{00000000-0005-0000-0000-0000B5440000}"/>
    <cellStyle name="40% - Énfasis6 3 3 4" xfId="17587" xr:uid="{00000000-0005-0000-0000-0000B6440000}"/>
    <cellStyle name="40% - Énfasis6 3 3 4 2" xfId="17588" xr:uid="{00000000-0005-0000-0000-0000B7440000}"/>
    <cellStyle name="40% - Énfasis6 3 3 5" xfId="17589" xr:uid="{00000000-0005-0000-0000-0000B8440000}"/>
    <cellStyle name="40% - Énfasis6 3 4" xfId="17590" xr:uid="{00000000-0005-0000-0000-0000B9440000}"/>
    <cellStyle name="40% - Énfasis6 3 4 2" xfId="17591" xr:uid="{00000000-0005-0000-0000-0000BA440000}"/>
    <cellStyle name="40% - Énfasis6 3 4 2 2" xfId="17592" xr:uid="{00000000-0005-0000-0000-0000BB440000}"/>
    <cellStyle name="40% - Énfasis6 3 4 2 2 2" xfId="17593" xr:uid="{00000000-0005-0000-0000-0000BC440000}"/>
    <cellStyle name="40% - Énfasis6 3 4 2 3" xfId="17594" xr:uid="{00000000-0005-0000-0000-0000BD440000}"/>
    <cellStyle name="40% - Énfasis6 3 4 3" xfId="17595" xr:uid="{00000000-0005-0000-0000-0000BE440000}"/>
    <cellStyle name="40% - Énfasis6 3 4 3 2" xfId="17596" xr:uid="{00000000-0005-0000-0000-0000BF440000}"/>
    <cellStyle name="40% - Énfasis6 3 4 4" xfId="17597" xr:uid="{00000000-0005-0000-0000-0000C0440000}"/>
    <cellStyle name="40% - Énfasis6 3 5" xfId="17598" xr:uid="{00000000-0005-0000-0000-0000C1440000}"/>
    <cellStyle name="40% - Énfasis6 3 5 2" xfId="17599" xr:uid="{00000000-0005-0000-0000-0000C2440000}"/>
    <cellStyle name="40% - Énfasis6 3 5 2 2" xfId="17600" xr:uid="{00000000-0005-0000-0000-0000C3440000}"/>
    <cellStyle name="40% - Énfasis6 3 5 3" xfId="17601" xr:uid="{00000000-0005-0000-0000-0000C4440000}"/>
    <cellStyle name="40% - Énfasis6 3 6" xfId="17602" xr:uid="{00000000-0005-0000-0000-0000C5440000}"/>
    <cellStyle name="40% - Énfasis6 3 6 2" xfId="17603" xr:uid="{00000000-0005-0000-0000-0000C6440000}"/>
    <cellStyle name="40% - Énfasis6 3 6 2 2" xfId="17604" xr:uid="{00000000-0005-0000-0000-0000C7440000}"/>
    <cellStyle name="40% - Énfasis6 3 6 3" xfId="17605" xr:uid="{00000000-0005-0000-0000-0000C8440000}"/>
    <cellStyle name="40% - Énfasis6 3 7" xfId="17606" xr:uid="{00000000-0005-0000-0000-0000C9440000}"/>
    <cellStyle name="40% - Énfasis6 3 7 2" xfId="17607" xr:uid="{00000000-0005-0000-0000-0000CA440000}"/>
    <cellStyle name="40% - Énfasis6 3 8" xfId="17608" xr:uid="{00000000-0005-0000-0000-0000CB440000}"/>
    <cellStyle name="40% - Énfasis6 30" xfId="17609" xr:uid="{00000000-0005-0000-0000-0000CC440000}"/>
    <cellStyle name="40% - Énfasis6 30 2" xfId="17610" xr:uid="{00000000-0005-0000-0000-0000CD440000}"/>
    <cellStyle name="40% - Énfasis6 30 2 2" xfId="17611" xr:uid="{00000000-0005-0000-0000-0000CE440000}"/>
    <cellStyle name="40% - Énfasis6 30 2 2 2" xfId="17612" xr:uid="{00000000-0005-0000-0000-0000CF440000}"/>
    <cellStyle name="40% - Énfasis6 30 2 3" xfId="17613" xr:uid="{00000000-0005-0000-0000-0000D0440000}"/>
    <cellStyle name="40% - Énfasis6 30 3" xfId="17614" xr:uid="{00000000-0005-0000-0000-0000D1440000}"/>
    <cellStyle name="40% - Énfasis6 30 3 2" xfId="17615" xr:uid="{00000000-0005-0000-0000-0000D2440000}"/>
    <cellStyle name="40% - Énfasis6 30 3 2 2" xfId="17616" xr:uid="{00000000-0005-0000-0000-0000D3440000}"/>
    <cellStyle name="40% - Énfasis6 30 3 3" xfId="17617" xr:uid="{00000000-0005-0000-0000-0000D4440000}"/>
    <cellStyle name="40% - Énfasis6 30 4" xfId="17618" xr:uid="{00000000-0005-0000-0000-0000D5440000}"/>
    <cellStyle name="40% - Énfasis6 30 4 2" xfId="17619" xr:uid="{00000000-0005-0000-0000-0000D6440000}"/>
    <cellStyle name="40% - Énfasis6 30 5" xfId="17620" xr:uid="{00000000-0005-0000-0000-0000D7440000}"/>
    <cellStyle name="40% - Énfasis6 31" xfId="17621" xr:uid="{00000000-0005-0000-0000-0000D8440000}"/>
    <cellStyle name="40% - Énfasis6 31 2" xfId="17622" xr:uid="{00000000-0005-0000-0000-0000D9440000}"/>
    <cellStyle name="40% - Énfasis6 31 2 2" xfId="17623" xr:uid="{00000000-0005-0000-0000-0000DA440000}"/>
    <cellStyle name="40% - Énfasis6 31 2 2 2" xfId="17624" xr:uid="{00000000-0005-0000-0000-0000DB440000}"/>
    <cellStyle name="40% - Énfasis6 31 2 3" xfId="17625" xr:uid="{00000000-0005-0000-0000-0000DC440000}"/>
    <cellStyle name="40% - Énfasis6 31 3" xfId="17626" xr:uid="{00000000-0005-0000-0000-0000DD440000}"/>
    <cellStyle name="40% - Énfasis6 31 3 2" xfId="17627" xr:uid="{00000000-0005-0000-0000-0000DE440000}"/>
    <cellStyle name="40% - Énfasis6 31 3 2 2" xfId="17628" xr:uid="{00000000-0005-0000-0000-0000DF440000}"/>
    <cellStyle name="40% - Énfasis6 31 3 3" xfId="17629" xr:uid="{00000000-0005-0000-0000-0000E0440000}"/>
    <cellStyle name="40% - Énfasis6 31 4" xfId="17630" xr:uid="{00000000-0005-0000-0000-0000E1440000}"/>
    <cellStyle name="40% - Énfasis6 31 4 2" xfId="17631" xr:uid="{00000000-0005-0000-0000-0000E2440000}"/>
    <cellStyle name="40% - Énfasis6 31 5" xfId="17632" xr:uid="{00000000-0005-0000-0000-0000E3440000}"/>
    <cellStyle name="40% - Énfasis6 32" xfId="17633" xr:uid="{00000000-0005-0000-0000-0000E4440000}"/>
    <cellStyle name="40% - Énfasis6 32 2" xfId="17634" xr:uid="{00000000-0005-0000-0000-0000E5440000}"/>
    <cellStyle name="40% - Énfasis6 32 2 2" xfId="17635" xr:uid="{00000000-0005-0000-0000-0000E6440000}"/>
    <cellStyle name="40% - Énfasis6 32 2 2 2" xfId="17636" xr:uid="{00000000-0005-0000-0000-0000E7440000}"/>
    <cellStyle name="40% - Énfasis6 32 2 3" xfId="17637" xr:uid="{00000000-0005-0000-0000-0000E8440000}"/>
    <cellStyle name="40% - Énfasis6 32 3" xfId="17638" xr:uid="{00000000-0005-0000-0000-0000E9440000}"/>
    <cellStyle name="40% - Énfasis6 32 3 2" xfId="17639" xr:uid="{00000000-0005-0000-0000-0000EA440000}"/>
    <cellStyle name="40% - Énfasis6 32 3 2 2" xfId="17640" xr:uid="{00000000-0005-0000-0000-0000EB440000}"/>
    <cellStyle name="40% - Énfasis6 32 3 3" xfId="17641" xr:uid="{00000000-0005-0000-0000-0000EC440000}"/>
    <cellStyle name="40% - Énfasis6 32 4" xfId="17642" xr:uid="{00000000-0005-0000-0000-0000ED440000}"/>
    <cellStyle name="40% - Énfasis6 32 4 2" xfId="17643" xr:uid="{00000000-0005-0000-0000-0000EE440000}"/>
    <cellStyle name="40% - Énfasis6 32 5" xfId="17644" xr:uid="{00000000-0005-0000-0000-0000EF440000}"/>
    <cellStyle name="40% - Énfasis6 33" xfId="17645" xr:uid="{00000000-0005-0000-0000-0000F0440000}"/>
    <cellStyle name="40% - Énfasis6 33 2" xfId="17646" xr:uid="{00000000-0005-0000-0000-0000F1440000}"/>
    <cellStyle name="40% - Énfasis6 33 2 2" xfId="17647" xr:uid="{00000000-0005-0000-0000-0000F2440000}"/>
    <cellStyle name="40% - Énfasis6 33 2 2 2" xfId="17648" xr:uid="{00000000-0005-0000-0000-0000F3440000}"/>
    <cellStyle name="40% - Énfasis6 33 2 3" xfId="17649" xr:uid="{00000000-0005-0000-0000-0000F4440000}"/>
    <cellStyle name="40% - Énfasis6 33 3" xfId="17650" xr:uid="{00000000-0005-0000-0000-0000F5440000}"/>
    <cellStyle name="40% - Énfasis6 33 3 2" xfId="17651" xr:uid="{00000000-0005-0000-0000-0000F6440000}"/>
    <cellStyle name="40% - Énfasis6 33 4" xfId="17652" xr:uid="{00000000-0005-0000-0000-0000F7440000}"/>
    <cellStyle name="40% - Énfasis6 34" xfId="17653" xr:uid="{00000000-0005-0000-0000-0000F8440000}"/>
    <cellStyle name="40% - Énfasis6 34 2" xfId="17654" xr:uid="{00000000-0005-0000-0000-0000F9440000}"/>
    <cellStyle name="40% - Énfasis6 34 2 2" xfId="17655" xr:uid="{00000000-0005-0000-0000-0000FA440000}"/>
    <cellStyle name="40% - Énfasis6 34 2 2 2" xfId="17656" xr:uid="{00000000-0005-0000-0000-0000FB440000}"/>
    <cellStyle name="40% - Énfasis6 34 2 3" xfId="17657" xr:uid="{00000000-0005-0000-0000-0000FC440000}"/>
    <cellStyle name="40% - Énfasis6 34 3" xfId="17658" xr:uid="{00000000-0005-0000-0000-0000FD440000}"/>
    <cellStyle name="40% - Énfasis6 34 3 2" xfId="17659" xr:uid="{00000000-0005-0000-0000-0000FE440000}"/>
    <cellStyle name="40% - Énfasis6 34 4" xfId="17660" xr:uid="{00000000-0005-0000-0000-0000FF440000}"/>
    <cellStyle name="40% - Énfasis6 35" xfId="17661" xr:uid="{00000000-0005-0000-0000-000000450000}"/>
    <cellStyle name="40% - Énfasis6 35 2" xfId="17662" xr:uid="{00000000-0005-0000-0000-000001450000}"/>
    <cellStyle name="40% - Énfasis6 35 2 2" xfId="17663" xr:uid="{00000000-0005-0000-0000-000002450000}"/>
    <cellStyle name="40% - Énfasis6 35 2 2 2" xfId="17664" xr:uid="{00000000-0005-0000-0000-000003450000}"/>
    <cellStyle name="40% - Énfasis6 35 2 3" xfId="17665" xr:uid="{00000000-0005-0000-0000-000004450000}"/>
    <cellStyle name="40% - Énfasis6 35 3" xfId="17666" xr:uid="{00000000-0005-0000-0000-000005450000}"/>
    <cellStyle name="40% - Énfasis6 35 3 2" xfId="17667" xr:uid="{00000000-0005-0000-0000-000006450000}"/>
    <cellStyle name="40% - Énfasis6 35 4" xfId="17668" xr:uid="{00000000-0005-0000-0000-000007450000}"/>
    <cellStyle name="40% - Énfasis6 36" xfId="17669" xr:uid="{00000000-0005-0000-0000-000008450000}"/>
    <cellStyle name="40% - Énfasis6 36 2" xfId="17670" xr:uid="{00000000-0005-0000-0000-000009450000}"/>
    <cellStyle name="40% - Énfasis6 36 2 2" xfId="17671" xr:uid="{00000000-0005-0000-0000-00000A450000}"/>
    <cellStyle name="40% - Énfasis6 36 2 2 2" xfId="17672" xr:uid="{00000000-0005-0000-0000-00000B450000}"/>
    <cellStyle name="40% - Énfasis6 36 2 3" xfId="17673" xr:uid="{00000000-0005-0000-0000-00000C450000}"/>
    <cellStyle name="40% - Énfasis6 36 3" xfId="17674" xr:uid="{00000000-0005-0000-0000-00000D450000}"/>
    <cellStyle name="40% - Énfasis6 36 3 2" xfId="17675" xr:uid="{00000000-0005-0000-0000-00000E450000}"/>
    <cellStyle name="40% - Énfasis6 36 4" xfId="17676" xr:uid="{00000000-0005-0000-0000-00000F450000}"/>
    <cellStyle name="40% - Énfasis6 37" xfId="17677" xr:uid="{00000000-0005-0000-0000-000010450000}"/>
    <cellStyle name="40% - Énfasis6 37 2" xfId="17678" xr:uid="{00000000-0005-0000-0000-000011450000}"/>
    <cellStyle name="40% - Énfasis6 37 2 2" xfId="17679" xr:uid="{00000000-0005-0000-0000-000012450000}"/>
    <cellStyle name="40% - Énfasis6 37 2 2 2" xfId="17680" xr:uid="{00000000-0005-0000-0000-000013450000}"/>
    <cellStyle name="40% - Énfasis6 37 2 3" xfId="17681" xr:uid="{00000000-0005-0000-0000-000014450000}"/>
    <cellStyle name="40% - Énfasis6 37 3" xfId="17682" xr:uid="{00000000-0005-0000-0000-000015450000}"/>
    <cellStyle name="40% - Énfasis6 37 3 2" xfId="17683" xr:uid="{00000000-0005-0000-0000-000016450000}"/>
    <cellStyle name="40% - Énfasis6 37 4" xfId="17684" xr:uid="{00000000-0005-0000-0000-000017450000}"/>
    <cellStyle name="40% - Énfasis6 38" xfId="17685" xr:uid="{00000000-0005-0000-0000-000018450000}"/>
    <cellStyle name="40% - Énfasis6 38 2" xfId="17686" xr:uid="{00000000-0005-0000-0000-000019450000}"/>
    <cellStyle name="40% - Énfasis6 38 2 2" xfId="17687" xr:uid="{00000000-0005-0000-0000-00001A450000}"/>
    <cellStyle name="40% - Énfasis6 38 3" xfId="17688" xr:uid="{00000000-0005-0000-0000-00001B450000}"/>
    <cellStyle name="40% - Énfasis6 39" xfId="17689" xr:uid="{00000000-0005-0000-0000-00001C450000}"/>
    <cellStyle name="40% - Énfasis6 39 2" xfId="17690" xr:uid="{00000000-0005-0000-0000-00001D450000}"/>
    <cellStyle name="40% - Énfasis6 39 2 2" xfId="17691" xr:uid="{00000000-0005-0000-0000-00001E450000}"/>
    <cellStyle name="40% - Énfasis6 39 3" xfId="17692" xr:uid="{00000000-0005-0000-0000-00001F450000}"/>
    <cellStyle name="40% - Énfasis6 4" xfId="17693" xr:uid="{00000000-0005-0000-0000-000020450000}"/>
    <cellStyle name="40% - Énfasis6 4 2" xfId="17694" xr:uid="{00000000-0005-0000-0000-000021450000}"/>
    <cellStyle name="40% - Énfasis6 4 2 2" xfId="17695" xr:uid="{00000000-0005-0000-0000-000022450000}"/>
    <cellStyle name="40% - Énfasis6 4 2 2 2" xfId="17696" xr:uid="{00000000-0005-0000-0000-000023450000}"/>
    <cellStyle name="40% - Énfasis6 4 2 2 2 2" xfId="17697" xr:uid="{00000000-0005-0000-0000-000024450000}"/>
    <cellStyle name="40% - Énfasis6 4 2 2 2 2 2" xfId="17698" xr:uid="{00000000-0005-0000-0000-000025450000}"/>
    <cellStyle name="40% - Énfasis6 4 2 2 2 3" xfId="17699" xr:uid="{00000000-0005-0000-0000-000026450000}"/>
    <cellStyle name="40% - Énfasis6 4 2 2 3" xfId="17700" xr:uid="{00000000-0005-0000-0000-000027450000}"/>
    <cellStyle name="40% - Énfasis6 4 2 2 3 2" xfId="17701" xr:uid="{00000000-0005-0000-0000-000028450000}"/>
    <cellStyle name="40% - Énfasis6 4 2 2 4" xfId="17702" xr:uid="{00000000-0005-0000-0000-000029450000}"/>
    <cellStyle name="40% - Énfasis6 4 2 3" xfId="17703" xr:uid="{00000000-0005-0000-0000-00002A450000}"/>
    <cellStyle name="40% - Énfasis6 4 2 3 2" xfId="17704" xr:uid="{00000000-0005-0000-0000-00002B450000}"/>
    <cellStyle name="40% - Énfasis6 4 2 3 2 2" xfId="17705" xr:uid="{00000000-0005-0000-0000-00002C450000}"/>
    <cellStyle name="40% - Énfasis6 4 2 3 3" xfId="17706" xr:uid="{00000000-0005-0000-0000-00002D450000}"/>
    <cellStyle name="40% - Énfasis6 4 2 4" xfId="17707" xr:uid="{00000000-0005-0000-0000-00002E450000}"/>
    <cellStyle name="40% - Énfasis6 4 2 4 2" xfId="17708" xr:uid="{00000000-0005-0000-0000-00002F450000}"/>
    <cellStyle name="40% - Énfasis6 4 2 4 2 2" xfId="17709" xr:uid="{00000000-0005-0000-0000-000030450000}"/>
    <cellStyle name="40% - Énfasis6 4 2 4 3" xfId="17710" xr:uid="{00000000-0005-0000-0000-000031450000}"/>
    <cellStyle name="40% - Énfasis6 4 2 5" xfId="17711" xr:uid="{00000000-0005-0000-0000-000032450000}"/>
    <cellStyle name="40% - Énfasis6 4 2 5 2" xfId="17712" xr:uid="{00000000-0005-0000-0000-000033450000}"/>
    <cellStyle name="40% - Énfasis6 4 2 6" xfId="17713" xr:uid="{00000000-0005-0000-0000-000034450000}"/>
    <cellStyle name="40% - Énfasis6 4 3" xfId="17714" xr:uid="{00000000-0005-0000-0000-000035450000}"/>
    <cellStyle name="40% - Énfasis6 4 3 2" xfId="17715" xr:uid="{00000000-0005-0000-0000-000036450000}"/>
    <cellStyle name="40% - Énfasis6 4 3 2 2" xfId="17716" xr:uid="{00000000-0005-0000-0000-000037450000}"/>
    <cellStyle name="40% - Énfasis6 4 3 2 2 2" xfId="17717" xr:uid="{00000000-0005-0000-0000-000038450000}"/>
    <cellStyle name="40% - Énfasis6 4 3 2 3" xfId="17718" xr:uid="{00000000-0005-0000-0000-000039450000}"/>
    <cellStyle name="40% - Énfasis6 4 3 3" xfId="17719" xr:uid="{00000000-0005-0000-0000-00003A450000}"/>
    <cellStyle name="40% - Énfasis6 4 3 3 2" xfId="17720" xr:uid="{00000000-0005-0000-0000-00003B450000}"/>
    <cellStyle name="40% - Énfasis6 4 3 3 2 2" xfId="17721" xr:uid="{00000000-0005-0000-0000-00003C450000}"/>
    <cellStyle name="40% - Énfasis6 4 3 3 3" xfId="17722" xr:uid="{00000000-0005-0000-0000-00003D450000}"/>
    <cellStyle name="40% - Énfasis6 4 3 4" xfId="17723" xr:uid="{00000000-0005-0000-0000-00003E450000}"/>
    <cellStyle name="40% - Énfasis6 4 3 4 2" xfId="17724" xr:uid="{00000000-0005-0000-0000-00003F450000}"/>
    <cellStyle name="40% - Énfasis6 4 3 5" xfId="17725" xr:uid="{00000000-0005-0000-0000-000040450000}"/>
    <cellStyle name="40% - Énfasis6 4 4" xfId="17726" xr:uid="{00000000-0005-0000-0000-000041450000}"/>
    <cellStyle name="40% - Énfasis6 4 4 2" xfId="17727" xr:uid="{00000000-0005-0000-0000-000042450000}"/>
    <cellStyle name="40% - Énfasis6 4 4 2 2" xfId="17728" xr:uid="{00000000-0005-0000-0000-000043450000}"/>
    <cellStyle name="40% - Énfasis6 4 4 2 2 2" xfId="17729" xr:uid="{00000000-0005-0000-0000-000044450000}"/>
    <cellStyle name="40% - Énfasis6 4 4 2 3" xfId="17730" xr:uid="{00000000-0005-0000-0000-000045450000}"/>
    <cellStyle name="40% - Énfasis6 4 4 3" xfId="17731" xr:uid="{00000000-0005-0000-0000-000046450000}"/>
    <cellStyle name="40% - Énfasis6 4 4 3 2" xfId="17732" xr:uid="{00000000-0005-0000-0000-000047450000}"/>
    <cellStyle name="40% - Énfasis6 4 4 4" xfId="17733" xr:uid="{00000000-0005-0000-0000-000048450000}"/>
    <cellStyle name="40% - Énfasis6 4 5" xfId="17734" xr:uid="{00000000-0005-0000-0000-000049450000}"/>
    <cellStyle name="40% - Énfasis6 4 5 2" xfId="17735" xr:uid="{00000000-0005-0000-0000-00004A450000}"/>
    <cellStyle name="40% - Énfasis6 4 5 2 2" xfId="17736" xr:uid="{00000000-0005-0000-0000-00004B450000}"/>
    <cellStyle name="40% - Énfasis6 4 5 3" xfId="17737" xr:uid="{00000000-0005-0000-0000-00004C450000}"/>
    <cellStyle name="40% - Énfasis6 4 6" xfId="17738" xr:uid="{00000000-0005-0000-0000-00004D450000}"/>
    <cellStyle name="40% - Énfasis6 4 6 2" xfId="17739" xr:uid="{00000000-0005-0000-0000-00004E450000}"/>
    <cellStyle name="40% - Énfasis6 4 6 2 2" xfId="17740" xr:uid="{00000000-0005-0000-0000-00004F450000}"/>
    <cellStyle name="40% - Énfasis6 4 6 3" xfId="17741" xr:uid="{00000000-0005-0000-0000-000050450000}"/>
    <cellStyle name="40% - Énfasis6 4 7" xfId="17742" xr:uid="{00000000-0005-0000-0000-000051450000}"/>
    <cellStyle name="40% - Énfasis6 4 7 2" xfId="17743" xr:uid="{00000000-0005-0000-0000-000052450000}"/>
    <cellStyle name="40% - Énfasis6 4 8" xfId="17744" xr:uid="{00000000-0005-0000-0000-000053450000}"/>
    <cellStyle name="40% - Énfasis6 40" xfId="17745" xr:uid="{00000000-0005-0000-0000-000054450000}"/>
    <cellStyle name="40% - Énfasis6 40 2" xfId="17746" xr:uid="{00000000-0005-0000-0000-000055450000}"/>
    <cellStyle name="40% - Énfasis6 40 2 2" xfId="17747" xr:uid="{00000000-0005-0000-0000-000056450000}"/>
    <cellStyle name="40% - Énfasis6 40 3" xfId="17748" xr:uid="{00000000-0005-0000-0000-000057450000}"/>
    <cellStyle name="40% - Énfasis6 41" xfId="17749" xr:uid="{00000000-0005-0000-0000-000058450000}"/>
    <cellStyle name="40% - Énfasis6 41 2" xfId="17750" xr:uid="{00000000-0005-0000-0000-000059450000}"/>
    <cellStyle name="40% - Énfasis6 41 2 2" xfId="17751" xr:uid="{00000000-0005-0000-0000-00005A450000}"/>
    <cellStyle name="40% - Énfasis6 41 3" xfId="17752" xr:uid="{00000000-0005-0000-0000-00005B450000}"/>
    <cellStyle name="40% - Énfasis6 42" xfId="17753" xr:uid="{00000000-0005-0000-0000-00005C450000}"/>
    <cellStyle name="40% - Énfasis6 42 2" xfId="17754" xr:uid="{00000000-0005-0000-0000-00005D450000}"/>
    <cellStyle name="40% - Énfasis6 42 2 2" xfId="17755" xr:uid="{00000000-0005-0000-0000-00005E450000}"/>
    <cellStyle name="40% - Énfasis6 42 3" xfId="17756" xr:uid="{00000000-0005-0000-0000-00005F450000}"/>
    <cellStyle name="40% - Énfasis6 43" xfId="17757" xr:uid="{00000000-0005-0000-0000-000060450000}"/>
    <cellStyle name="40% - Énfasis6 43 2" xfId="17758" xr:uid="{00000000-0005-0000-0000-000061450000}"/>
    <cellStyle name="40% - Énfasis6 43 2 2" xfId="17759" xr:uid="{00000000-0005-0000-0000-000062450000}"/>
    <cellStyle name="40% - Énfasis6 43 3" xfId="17760" xr:uid="{00000000-0005-0000-0000-000063450000}"/>
    <cellStyle name="40% - Énfasis6 44" xfId="17761" xr:uid="{00000000-0005-0000-0000-000064450000}"/>
    <cellStyle name="40% - Énfasis6 44 2" xfId="17762" xr:uid="{00000000-0005-0000-0000-000065450000}"/>
    <cellStyle name="40% - Énfasis6 44 2 2" xfId="17763" xr:uid="{00000000-0005-0000-0000-000066450000}"/>
    <cellStyle name="40% - Énfasis6 44 3" xfId="17764" xr:uid="{00000000-0005-0000-0000-000067450000}"/>
    <cellStyle name="40% - Énfasis6 45" xfId="17765" xr:uid="{00000000-0005-0000-0000-000068450000}"/>
    <cellStyle name="40% - Énfasis6 45 2" xfId="17766" xr:uid="{00000000-0005-0000-0000-000069450000}"/>
    <cellStyle name="40% - Énfasis6 45 2 2" xfId="17767" xr:uid="{00000000-0005-0000-0000-00006A450000}"/>
    <cellStyle name="40% - Énfasis6 45 3" xfId="17768" xr:uid="{00000000-0005-0000-0000-00006B450000}"/>
    <cellStyle name="40% - Énfasis6 46" xfId="17769" xr:uid="{00000000-0005-0000-0000-00006C450000}"/>
    <cellStyle name="40% - Énfasis6 46 2" xfId="17770" xr:uid="{00000000-0005-0000-0000-00006D450000}"/>
    <cellStyle name="40% - Énfasis6 47" xfId="17771" xr:uid="{00000000-0005-0000-0000-00006E450000}"/>
    <cellStyle name="40% - Énfasis6 47 2" xfId="17772" xr:uid="{00000000-0005-0000-0000-00006F450000}"/>
    <cellStyle name="40% - Énfasis6 48" xfId="17773" xr:uid="{00000000-0005-0000-0000-000070450000}"/>
    <cellStyle name="40% - Énfasis6 48 2" xfId="17774" xr:uid="{00000000-0005-0000-0000-000071450000}"/>
    <cellStyle name="40% - Énfasis6 49" xfId="17775" xr:uid="{00000000-0005-0000-0000-000072450000}"/>
    <cellStyle name="40% - Énfasis6 49 2" xfId="17776" xr:uid="{00000000-0005-0000-0000-000073450000}"/>
    <cellStyle name="40% - Énfasis6 5" xfId="17777" xr:uid="{00000000-0005-0000-0000-000074450000}"/>
    <cellStyle name="40% - Énfasis6 5 2" xfId="17778" xr:uid="{00000000-0005-0000-0000-000075450000}"/>
    <cellStyle name="40% - Énfasis6 5 2 2" xfId="17779" xr:uid="{00000000-0005-0000-0000-000076450000}"/>
    <cellStyle name="40% - Énfasis6 5 2 2 2" xfId="17780" xr:uid="{00000000-0005-0000-0000-000077450000}"/>
    <cellStyle name="40% - Énfasis6 5 2 2 2 2" xfId="17781" xr:uid="{00000000-0005-0000-0000-000078450000}"/>
    <cellStyle name="40% - Énfasis6 5 2 2 2 2 2" xfId="17782" xr:uid="{00000000-0005-0000-0000-000079450000}"/>
    <cellStyle name="40% - Énfasis6 5 2 2 2 3" xfId="17783" xr:uid="{00000000-0005-0000-0000-00007A450000}"/>
    <cellStyle name="40% - Énfasis6 5 2 2 3" xfId="17784" xr:uid="{00000000-0005-0000-0000-00007B450000}"/>
    <cellStyle name="40% - Énfasis6 5 2 2 3 2" xfId="17785" xr:uid="{00000000-0005-0000-0000-00007C450000}"/>
    <cellStyle name="40% - Énfasis6 5 2 2 4" xfId="17786" xr:uid="{00000000-0005-0000-0000-00007D450000}"/>
    <cellStyle name="40% - Énfasis6 5 2 3" xfId="17787" xr:uid="{00000000-0005-0000-0000-00007E450000}"/>
    <cellStyle name="40% - Énfasis6 5 2 3 2" xfId="17788" xr:uid="{00000000-0005-0000-0000-00007F450000}"/>
    <cellStyle name="40% - Énfasis6 5 2 3 2 2" xfId="17789" xr:uid="{00000000-0005-0000-0000-000080450000}"/>
    <cellStyle name="40% - Énfasis6 5 2 3 3" xfId="17790" xr:uid="{00000000-0005-0000-0000-000081450000}"/>
    <cellStyle name="40% - Énfasis6 5 2 4" xfId="17791" xr:uid="{00000000-0005-0000-0000-000082450000}"/>
    <cellStyle name="40% - Énfasis6 5 2 4 2" xfId="17792" xr:uid="{00000000-0005-0000-0000-000083450000}"/>
    <cellStyle name="40% - Énfasis6 5 2 4 2 2" xfId="17793" xr:uid="{00000000-0005-0000-0000-000084450000}"/>
    <cellStyle name="40% - Énfasis6 5 2 4 3" xfId="17794" xr:uid="{00000000-0005-0000-0000-000085450000}"/>
    <cellStyle name="40% - Énfasis6 5 2 5" xfId="17795" xr:uid="{00000000-0005-0000-0000-000086450000}"/>
    <cellStyle name="40% - Énfasis6 5 2 5 2" xfId="17796" xr:uid="{00000000-0005-0000-0000-000087450000}"/>
    <cellStyle name="40% - Énfasis6 5 2 6" xfId="17797" xr:uid="{00000000-0005-0000-0000-000088450000}"/>
    <cellStyle name="40% - Énfasis6 5 3" xfId="17798" xr:uid="{00000000-0005-0000-0000-000089450000}"/>
    <cellStyle name="40% - Énfasis6 5 3 2" xfId="17799" xr:uid="{00000000-0005-0000-0000-00008A450000}"/>
    <cellStyle name="40% - Énfasis6 5 3 2 2" xfId="17800" xr:uid="{00000000-0005-0000-0000-00008B450000}"/>
    <cellStyle name="40% - Énfasis6 5 3 2 2 2" xfId="17801" xr:uid="{00000000-0005-0000-0000-00008C450000}"/>
    <cellStyle name="40% - Énfasis6 5 3 2 3" xfId="17802" xr:uid="{00000000-0005-0000-0000-00008D450000}"/>
    <cellStyle name="40% - Énfasis6 5 3 3" xfId="17803" xr:uid="{00000000-0005-0000-0000-00008E450000}"/>
    <cellStyle name="40% - Énfasis6 5 3 3 2" xfId="17804" xr:uid="{00000000-0005-0000-0000-00008F450000}"/>
    <cellStyle name="40% - Énfasis6 5 3 3 2 2" xfId="17805" xr:uid="{00000000-0005-0000-0000-000090450000}"/>
    <cellStyle name="40% - Énfasis6 5 3 3 3" xfId="17806" xr:uid="{00000000-0005-0000-0000-000091450000}"/>
    <cellStyle name="40% - Énfasis6 5 3 4" xfId="17807" xr:uid="{00000000-0005-0000-0000-000092450000}"/>
    <cellStyle name="40% - Énfasis6 5 3 4 2" xfId="17808" xr:uid="{00000000-0005-0000-0000-000093450000}"/>
    <cellStyle name="40% - Énfasis6 5 3 5" xfId="17809" xr:uid="{00000000-0005-0000-0000-000094450000}"/>
    <cellStyle name="40% - Énfasis6 5 4" xfId="17810" xr:uid="{00000000-0005-0000-0000-000095450000}"/>
    <cellStyle name="40% - Énfasis6 5 4 2" xfId="17811" xr:uid="{00000000-0005-0000-0000-000096450000}"/>
    <cellStyle name="40% - Énfasis6 5 4 2 2" xfId="17812" xr:uid="{00000000-0005-0000-0000-000097450000}"/>
    <cellStyle name="40% - Énfasis6 5 4 2 2 2" xfId="17813" xr:uid="{00000000-0005-0000-0000-000098450000}"/>
    <cellStyle name="40% - Énfasis6 5 4 2 3" xfId="17814" xr:uid="{00000000-0005-0000-0000-000099450000}"/>
    <cellStyle name="40% - Énfasis6 5 4 3" xfId="17815" xr:uid="{00000000-0005-0000-0000-00009A450000}"/>
    <cellStyle name="40% - Énfasis6 5 4 3 2" xfId="17816" xr:uid="{00000000-0005-0000-0000-00009B450000}"/>
    <cellStyle name="40% - Énfasis6 5 4 4" xfId="17817" xr:uid="{00000000-0005-0000-0000-00009C450000}"/>
    <cellStyle name="40% - Énfasis6 5 5" xfId="17818" xr:uid="{00000000-0005-0000-0000-00009D450000}"/>
    <cellStyle name="40% - Énfasis6 5 5 2" xfId="17819" xr:uid="{00000000-0005-0000-0000-00009E450000}"/>
    <cellStyle name="40% - Énfasis6 5 5 2 2" xfId="17820" xr:uid="{00000000-0005-0000-0000-00009F450000}"/>
    <cellStyle name="40% - Énfasis6 5 5 3" xfId="17821" xr:uid="{00000000-0005-0000-0000-0000A0450000}"/>
    <cellStyle name="40% - Énfasis6 5 6" xfId="17822" xr:uid="{00000000-0005-0000-0000-0000A1450000}"/>
    <cellStyle name="40% - Énfasis6 5 6 2" xfId="17823" xr:uid="{00000000-0005-0000-0000-0000A2450000}"/>
    <cellStyle name="40% - Énfasis6 5 6 2 2" xfId="17824" xr:uid="{00000000-0005-0000-0000-0000A3450000}"/>
    <cellStyle name="40% - Énfasis6 5 6 3" xfId="17825" xr:uid="{00000000-0005-0000-0000-0000A4450000}"/>
    <cellStyle name="40% - Énfasis6 5 7" xfId="17826" xr:uid="{00000000-0005-0000-0000-0000A5450000}"/>
    <cellStyle name="40% - Énfasis6 5 7 2" xfId="17827" xr:uid="{00000000-0005-0000-0000-0000A6450000}"/>
    <cellStyle name="40% - Énfasis6 5 8" xfId="17828" xr:uid="{00000000-0005-0000-0000-0000A7450000}"/>
    <cellStyle name="40% - Énfasis6 50" xfId="17829" xr:uid="{00000000-0005-0000-0000-0000A8450000}"/>
    <cellStyle name="40% - Énfasis6 50 2" xfId="17830" xr:uid="{00000000-0005-0000-0000-0000A9450000}"/>
    <cellStyle name="40% - Énfasis6 51" xfId="17831" xr:uid="{00000000-0005-0000-0000-0000AA450000}"/>
    <cellStyle name="40% - Énfasis6 51 2" xfId="17832" xr:uid="{00000000-0005-0000-0000-0000AB450000}"/>
    <cellStyle name="40% - Énfasis6 52" xfId="17833" xr:uid="{00000000-0005-0000-0000-0000AC450000}"/>
    <cellStyle name="40% - Énfasis6 52 2" xfId="17834" xr:uid="{00000000-0005-0000-0000-0000AD450000}"/>
    <cellStyle name="40% - Énfasis6 53" xfId="17835" xr:uid="{00000000-0005-0000-0000-0000AE450000}"/>
    <cellStyle name="40% - Énfasis6 53 2" xfId="17836" xr:uid="{00000000-0005-0000-0000-0000AF450000}"/>
    <cellStyle name="40% - Énfasis6 54" xfId="17837" xr:uid="{00000000-0005-0000-0000-0000B0450000}"/>
    <cellStyle name="40% - Énfasis6 54 2" xfId="17838" xr:uid="{00000000-0005-0000-0000-0000B1450000}"/>
    <cellStyle name="40% - Énfasis6 55" xfId="17839" xr:uid="{00000000-0005-0000-0000-0000B2450000}"/>
    <cellStyle name="40% - Énfasis6 55 2" xfId="17840" xr:uid="{00000000-0005-0000-0000-0000B3450000}"/>
    <cellStyle name="40% - Énfasis6 56" xfId="17841" xr:uid="{00000000-0005-0000-0000-0000B4450000}"/>
    <cellStyle name="40% - Énfasis6 56 2" xfId="17842" xr:uid="{00000000-0005-0000-0000-0000B5450000}"/>
    <cellStyle name="40% - Énfasis6 57" xfId="17843" xr:uid="{00000000-0005-0000-0000-0000B6450000}"/>
    <cellStyle name="40% - Énfasis6 57 2" xfId="17844" xr:uid="{00000000-0005-0000-0000-0000B7450000}"/>
    <cellStyle name="40% - Énfasis6 58" xfId="17845" xr:uid="{00000000-0005-0000-0000-0000B8450000}"/>
    <cellStyle name="40% - Énfasis6 58 2" xfId="17846" xr:uid="{00000000-0005-0000-0000-0000B9450000}"/>
    <cellStyle name="40% - Énfasis6 59" xfId="17847" xr:uid="{00000000-0005-0000-0000-0000BA450000}"/>
    <cellStyle name="40% - Énfasis6 59 2" xfId="17848" xr:uid="{00000000-0005-0000-0000-0000BB450000}"/>
    <cellStyle name="40% - Énfasis6 6" xfId="17849" xr:uid="{00000000-0005-0000-0000-0000BC450000}"/>
    <cellStyle name="40% - Énfasis6 6 2" xfId="17850" xr:uid="{00000000-0005-0000-0000-0000BD450000}"/>
    <cellStyle name="40% - Énfasis6 6 2 2" xfId="17851" xr:uid="{00000000-0005-0000-0000-0000BE450000}"/>
    <cellStyle name="40% - Énfasis6 6 2 2 2" xfId="17852" xr:uid="{00000000-0005-0000-0000-0000BF450000}"/>
    <cellStyle name="40% - Énfasis6 6 2 2 2 2" xfId="17853" xr:uid="{00000000-0005-0000-0000-0000C0450000}"/>
    <cellStyle name="40% - Énfasis6 6 2 2 2 2 2" xfId="17854" xr:uid="{00000000-0005-0000-0000-0000C1450000}"/>
    <cellStyle name="40% - Énfasis6 6 2 2 2 3" xfId="17855" xr:uid="{00000000-0005-0000-0000-0000C2450000}"/>
    <cellStyle name="40% - Énfasis6 6 2 2 3" xfId="17856" xr:uid="{00000000-0005-0000-0000-0000C3450000}"/>
    <cellStyle name="40% - Énfasis6 6 2 2 3 2" xfId="17857" xr:uid="{00000000-0005-0000-0000-0000C4450000}"/>
    <cellStyle name="40% - Énfasis6 6 2 2 4" xfId="17858" xr:uid="{00000000-0005-0000-0000-0000C5450000}"/>
    <cellStyle name="40% - Énfasis6 6 2 3" xfId="17859" xr:uid="{00000000-0005-0000-0000-0000C6450000}"/>
    <cellStyle name="40% - Énfasis6 6 2 3 2" xfId="17860" xr:uid="{00000000-0005-0000-0000-0000C7450000}"/>
    <cellStyle name="40% - Énfasis6 6 2 3 2 2" xfId="17861" xr:uid="{00000000-0005-0000-0000-0000C8450000}"/>
    <cellStyle name="40% - Énfasis6 6 2 3 3" xfId="17862" xr:uid="{00000000-0005-0000-0000-0000C9450000}"/>
    <cellStyle name="40% - Énfasis6 6 2 4" xfId="17863" xr:uid="{00000000-0005-0000-0000-0000CA450000}"/>
    <cellStyle name="40% - Énfasis6 6 2 4 2" xfId="17864" xr:uid="{00000000-0005-0000-0000-0000CB450000}"/>
    <cellStyle name="40% - Énfasis6 6 2 4 2 2" xfId="17865" xr:uid="{00000000-0005-0000-0000-0000CC450000}"/>
    <cellStyle name="40% - Énfasis6 6 2 4 3" xfId="17866" xr:uid="{00000000-0005-0000-0000-0000CD450000}"/>
    <cellStyle name="40% - Énfasis6 6 2 5" xfId="17867" xr:uid="{00000000-0005-0000-0000-0000CE450000}"/>
    <cellStyle name="40% - Énfasis6 6 2 5 2" xfId="17868" xr:uid="{00000000-0005-0000-0000-0000CF450000}"/>
    <cellStyle name="40% - Énfasis6 6 2 6" xfId="17869" xr:uid="{00000000-0005-0000-0000-0000D0450000}"/>
    <cellStyle name="40% - Énfasis6 6 3" xfId="17870" xr:uid="{00000000-0005-0000-0000-0000D1450000}"/>
    <cellStyle name="40% - Énfasis6 6 3 2" xfId="17871" xr:uid="{00000000-0005-0000-0000-0000D2450000}"/>
    <cellStyle name="40% - Énfasis6 6 3 2 2" xfId="17872" xr:uid="{00000000-0005-0000-0000-0000D3450000}"/>
    <cellStyle name="40% - Énfasis6 6 3 2 2 2" xfId="17873" xr:uid="{00000000-0005-0000-0000-0000D4450000}"/>
    <cellStyle name="40% - Énfasis6 6 3 2 3" xfId="17874" xr:uid="{00000000-0005-0000-0000-0000D5450000}"/>
    <cellStyle name="40% - Énfasis6 6 3 3" xfId="17875" xr:uid="{00000000-0005-0000-0000-0000D6450000}"/>
    <cellStyle name="40% - Énfasis6 6 3 3 2" xfId="17876" xr:uid="{00000000-0005-0000-0000-0000D7450000}"/>
    <cellStyle name="40% - Énfasis6 6 3 3 2 2" xfId="17877" xr:uid="{00000000-0005-0000-0000-0000D8450000}"/>
    <cellStyle name="40% - Énfasis6 6 3 3 3" xfId="17878" xr:uid="{00000000-0005-0000-0000-0000D9450000}"/>
    <cellStyle name="40% - Énfasis6 6 3 4" xfId="17879" xr:uid="{00000000-0005-0000-0000-0000DA450000}"/>
    <cellStyle name="40% - Énfasis6 6 3 4 2" xfId="17880" xr:uid="{00000000-0005-0000-0000-0000DB450000}"/>
    <cellStyle name="40% - Énfasis6 6 3 5" xfId="17881" xr:uid="{00000000-0005-0000-0000-0000DC450000}"/>
    <cellStyle name="40% - Énfasis6 6 4" xfId="17882" xr:uid="{00000000-0005-0000-0000-0000DD450000}"/>
    <cellStyle name="40% - Énfasis6 6 4 2" xfId="17883" xr:uid="{00000000-0005-0000-0000-0000DE450000}"/>
    <cellStyle name="40% - Énfasis6 6 4 2 2" xfId="17884" xr:uid="{00000000-0005-0000-0000-0000DF450000}"/>
    <cellStyle name="40% - Énfasis6 6 4 2 2 2" xfId="17885" xr:uid="{00000000-0005-0000-0000-0000E0450000}"/>
    <cellStyle name="40% - Énfasis6 6 4 2 3" xfId="17886" xr:uid="{00000000-0005-0000-0000-0000E1450000}"/>
    <cellStyle name="40% - Énfasis6 6 4 3" xfId="17887" xr:uid="{00000000-0005-0000-0000-0000E2450000}"/>
    <cellStyle name="40% - Énfasis6 6 4 3 2" xfId="17888" xr:uid="{00000000-0005-0000-0000-0000E3450000}"/>
    <cellStyle name="40% - Énfasis6 6 4 4" xfId="17889" xr:uid="{00000000-0005-0000-0000-0000E4450000}"/>
    <cellStyle name="40% - Énfasis6 6 5" xfId="17890" xr:uid="{00000000-0005-0000-0000-0000E5450000}"/>
    <cellStyle name="40% - Énfasis6 6 5 2" xfId="17891" xr:uid="{00000000-0005-0000-0000-0000E6450000}"/>
    <cellStyle name="40% - Énfasis6 6 5 2 2" xfId="17892" xr:uid="{00000000-0005-0000-0000-0000E7450000}"/>
    <cellStyle name="40% - Énfasis6 6 5 3" xfId="17893" xr:uid="{00000000-0005-0000-0000-0000E8450000}"/>
    <cellStyle name="40% - Énfasis6 6 6" xfId="17894" xr:uid="{00000000-0005-0000-0000-0000E9450000}"/>
    <cellStyle name="40% - Énfasis6 6 6 2" xfId="17895" xr:uid="{00000000-0005-0000-0000-0000EA450000}"/>
    <cellStyle name="40% - Énfasis6 6 6 2 2" xfId="17896" xr:uid="{00000000-0005-0000-0000-0000EB450000}"/>
    <cellStyle name="40% - Énfasis6 6 6 3" xfId="17897" xr:uid="{00000000-0005-0000-0000-0000EC450000}"/>
    <cellStyle name="40% - Énfasis6 6 7" xfId="17898" xr:uid="{00000000-0005-0000-0000-0000ED450000}"/>
    <cellStyle name="40% - Énfasis6 6 7 2" xfId="17899" xr:uid="{00000000-0005-0000-0000-0000EE450000}"/>
    <cellStyle name="40% - Énfasis6 6 8" xfId="17900" xr:uid="{00000000-0005-0000-0000-0000EF450000}"/>
    <cellStyle name="40% - Énfasis6 60" xfId="17901" xr:uid="{00000000-0005-0000-0000-0000F0450000}"/>
    <cellStyle name="40% - Énfasis6 60 2" xfId="17902" xr:uid="{00000000-0005-0000-0000-0000F1450000}"/>
    <cellStyle name="40% - Énfasis6 61" xfId="17903" xr:uid="{00000000-0005-0000-0000-0000F2450000}"/>
    <cellStyle name="40% - Énfasis6 61 2" xfId="17904" xr:uid="{00000000-0005-0000-0000-0000F3450000}"/>
    <cellStyle name="40% - Énfasis6 62" xfId="17905" xr:uid="{00000000-0005-0000-0000-0000F4450000}"/>
    <cellStyle name="40% - Énfasis6 62 2" xfId="17906" xr:uid="{00000000-0005-0000-0000-0000F5450000}"/>
    <cellStyle name="40% - Énfasis6 63" xfId="17907" xr:uid="{00000000-0005-0000-0000-0000F6450000}"/>
    <cellStyle name="40% - Énfasis6 63 2" xfId="17908" xr:uid="{00000000-0005-0000-0000-0000F7450000}"/>
    <cellStyle name="40% - Énfasis6 64" xfId="17909" xr:uid="{00000000-0005-0000-0000-0000F8450000}"/>
    <cellStyle name="40% - Énfasis6 64 2" xfId="17910" xr:uid="{00000000-0005-0000-0000-0000F9450000}"/>
    <cellStyle name="40% - Énfasis6 7" xfId="17911" xr:uid="{00000000-0005-0000-0000-0000FA450000}"/>
    <cellStyle name="40% - Énfasis6 7 2" xfId="17912" xr:uid="{00000000-0005-0000-0000-0000FB450000}"/>
    <cellStyle name="40% - Énfasis6 7 2 2" xfId="17913" xr:uid="{00000000-0005-0000-0000-0000FC450000}"/>
    <cellStyle name="40% - Énfasis6 7 2 2 2" xfId="17914" xr:uid="{00000000-0005-0000-0000-0000FD450000}"/>
    <cellStyle name="40% - Énfasis6 7 2 2 2 2" xfId="17915" xr:uid="{00000000-0005-0000-0000-0000FE450000}"/>
    <cellStyle name="40% - Énfasis6 7 2 2 2 2 2" xfId="17916" xr:uid="{00000000-0005-0000-0000-0000FF450000}"/>
    <cellStyle name="40% - Énfasis6 7 2 2 2 3" xfId="17917" xr:uid="{00000000-0005-0000-0000-000000460000}"/>
    <cellStyle name="40% - Énfasis6 7 2 2 3" xfId="17918" xr:uid="{00000000-0005-0000-0000-000001460000}"/>
    <cellStyle name="40% - Énfasis6 7 2 2 3 2" xfId="17919" xr:uid="{00000000-0005-0000-0000-000002460000}"/>
    <cellStyle name="40% - Énfasis6 7 2 2 4" xfId="17920" xr:uid="{00000000-0005-0000-0000-000003460000}"/>
    <cellStyle name="40% - Énfasis6 7 2 3" xfId="17921" xr:uid="{00000000-0005-0000-0000-000004460000}"/>
    <cellStyle name="40% - Énfasis6 7 2 3 2" xfId="17922" xr:uid="{00000000-0005-0000-0000-000005460000}"/>
    <cellStyle name="40% - Énfasis6 7 2 3 2 2" xfId="17923" xr:uid="{00000000-0005-0000-0000-000006460000}"/>
    <cellStyle name="40% - Énfasis6 7 2 3 3" xfId="17924" xr:uid="{00000000-0005-0000-0000-000007460000}"/>
    <cellStyle name="40% - Énfasis6 7 2 4" xfId="17925" xr:uid="{00000000-0005-0000-0000-000008460000}"/>
    <cellStyle name="40% - Énfasis6 7 2 4 2" xfId="17926" xr:uid="{00000000-0005-0000-0000-000009460000}"/>
    <cellStyle name="40% - Énfasis6 7 2 4 2 2" xfId="17927" xr:uid="{00000000-0005-0000-0000-00000A460000}"/>
    <cellStyle name="40% - Énfasis6 7 2 4 3" xfId="17928" xr:uid="{00000000-0005-0000-0000-00000B460000}"/>
    <cellStyle name="40% - Énfasis6 7 2 5" xfId="17929" xr:uid="{00000000-0005-0000-0000-00000C460000}"/>
    <cellStyle name="40% - Énfasis6 7 2 5 2" xfId="17930" xr:uid="{00000000-0005-0000-0000-00000D460000}"/>
    <cellStyle name="40% - Énfasis6 7 2 6" xfId="17931" xr:uid="{00000000-0005-0000-0000-00000E460000}"/>
    <cellStyle name="40% - Énfasis6 7 3" xfId="17932" xr:uid="{00000000-0005-0000-0000-00000F460000}"/>
    <cellStyle name="40% - Énfasis6 7 3 2" xfId="17933" xr:uid="{00000000-0005-0000-0000-000010460000}"/>
    <cellStyle name="40% - Énfasis6 7 3 2 2" xfId="17934" xr:uid="{00000000-0005-0000-0000-000011460000}"/>
    <cellStyle name="40% - Énfasis6 7 3 2 2 2" xfId="17935" xr:uid="{00000000-0005-0000-0000-000012460000}"/>
    <cellStyle name="40% - Énfasis6 7 3 2 3" xfId="17936" xr:uid="{00000000-0005-0000-0000-000013460000}"/>
    <cellStyle name="40% - Énfasis6 7 3 3" xfId="17937" xr:uid="{00000000-0005-0000-0000-000014460000}"/>
    <cellStyle name="40% - Énfasis6 7 3 3 2" xfId="17938" xr:uid="{00000000-0005-0000-0000-000015460000}"/>
    <cellStyle name="40% - Énfasis6 7 3 3 2 2" xfId="17939" xr:uid="{00000000-0005-0000-0000-000016460000}"/>
    <cellStyle name="40% - Énfasis6 7 3 3 3" xfId="17940" xr:uid="{00000000-0005-0000-0000-000017460000}"/>
    <cellStyle name="40% - Énfasis6 7 3 4" xfId="17941" xr:uid="{00000000-0005-0000-0000-000018460000}"/>
    <cellStyle name="40% - Énfasis6 7 3 4 2" xfId="17942" xr:uid="{00000000-0005-0000-0000-000019460000}"/>
    <cellStyle name="40% - Énfasis6 7 3 5" xfId="17943" xr:uid="{00000000-0005-0000-0000-00001A460000}"/>
    <cellStyle name="40% - Énfasis6 7 4" xfId="17944" xr:uid="{00000000-0005-0000-0000-00001B460000}"/>
    <cellStyle name="40% - Énfasis6 7 4 2" xfId="17945" xr:uid="{00000000-0005-0000-0000-00001C460000}"/>
    <cellStyle name="40% - Énfasis6 7 4 2 2" xfId="17946" xr:uid="{00000000-0005-0000-0000-00001D460000}"/>
    <cellStyle name="40% - Énfasis6 7 4 2 2 2" xfId="17947" xr:uid="{00000000-0005-0000-0000-00001E460000}"/>
    <cellStyle name="40% - Énfasis6 7 4 2 3" xfId="17948" xr:uid="{00000000-0005-0000-0000-00001F460000}"/>
    <cellStyle name="40% - Énfasis6 7 4 3" xfId="17949" xr:uid="{00000000-0005-0000-0000-000020460000}"/>
    <cellStyle name="40% - Énfasis6 7 4 3 2" xfId="17950" xr:uid="{00000000-0005-0000-0000-000021460000}"/>
    <cellStyle name="40% - Énfasis6 7 4 4" xfId="17951" xr:uid="{00000000-0005-0000-0000-000022460000}"/>
    <cellStyle name="40% - Énfasis6 7 5" xfId="17952" xr:uid="{00000000-0005-0000-0000-000023460000}"/>
    <cellStyle name="40% - Énfasis6 7 5 2" xfId="17953" xr:uid="{00000000-0005-0000-0000-000024460000}"/>
    <cellStyle name="40% - Énfasis6 7 5 2 2" xfId="17954" xr:uid="{00000000-0005-0000-0000-000025460000}"/>
    <cellStyle name="40% - Énfasis6 7 5 3" xfId="17955" xr:uid="{00000000-0005-0000-0000-000026460000}"/>
    <cellStyle name="40% - Énfasis6 7 6" xfId="17956" xr:uid="{00000000-0005-0000-0000-000027460000}"/>
    <cellStyle name="40% - Énfasis6 7 6 2" xfId="17957" xr:uid="{00000000-0005-0000-0000-000028460000}"/>
    <cellStyle name="40% - Énfasis6 7 6 2 2" xfId="17958" xr:uid="{00000000-0005-0000-0000-000029460000}"/>
    <cellStyle name="40% - Énfasis6 7 6 3" xfId="17959" xr:uid="{00000000-0005-0000-0000-00002A460000}"/>
    <cellStyle name="40% - Énfasis6 7 7" xfId="17960" xr:uid="{00000000-0005-0000-0000-00002B460000}"/>
    <cellStyle name="40% - Énfasis6 7 7 2" xfId="17961" xr:uid="{00000000-0005-0000-0000-00002C460000}"/>
    <cellStyle name="40% - Énfasis6 7 8" xfId="17962" xr:uid="{00000000-0005-0000-0000-00002D460000}"/>
    <cellStyle name="40% - Énfasis6 8" xfId="17963" xr:uid="{00000000-0005-0000-0000-00002E460000}"/>
    <cellStyle name="40% - Énfasis6 8 2" xfId="17964" xr:uid="{00000000-0005-0000-0000-00002F460000}"/>
    <cellStyle name="40% - Énfasis6 8 2 2" xfId="17965" xr:uid="{00000000-0005-0000-0000-000030460000}"/>
    <cellStyle name="40% - Énfasis6 8 2 2 2" xfId="17966" xr:uid="{00000000-0005-0000-0000-000031460000}"/>
    <cellStyle name="40% - Énfasis6 8 2 2 2 2" xfId="17967" xr:uid="{00000000-0005-0000-0000-000032460000}"/>
    <cellStyle name="40% - Énfasis6 8 2 2 2 2 2" xfId="17968" xr:uid="{00000000-0005-0000-0000-000033460000}"/>
    <cellStyle name="40% - Énfasis6 8 2 2 2 3" xfId="17969" xr:uid="{00000000-0005-0000-0000-000034460000}"/>
    <cellStyle name="40% - Énfasis6 8 2 2 3" xfId="17970" xr:uid="{00000000-0005-0000-0000-000035460000}"/>
    <cellStyle name="40% - Énfasis6 8 2 2 3 2" xfId="17971" xr:uid="{00000000-0005-0000-0000-000036460000}"/>
    <cellStyle name="40% - Énfasis6 8 2 2 4" xfId="17972" xr:uid="{00000000-0005-0000-0000-000037460000}"/>
    <cellStyle name="40% - Énfasis6 8 2 3" xfId="17973" xr:uid="{00000000-0005-0000-0000-000038460000}"/>
    <cellStyle name="40% - Énfasis6 8 2 3 2" xfId="17974" xr:uid="{00000000-0005-0000-0000-000039460000}"/>
    <cellStyle name="40% - Énfasis6 8 2 3 2 2" xfId="17975" xr:uid="{00000000-0005-0000-0000-00003A460000}"/>
    <cellStyle name="40% - Énfasis6 8 2 3 3" xfId="17976" xr:uid="{00000000-0005-0000-0000-00003B460000}"/>
    <cellStyle name="40% - Énfasis6 8 2 4" xfId="17977" xr:uid="{00000000-0005-0000-0000-00003C460000}"/>
    <cellStyle name="40% - Énfasis6 8 2 4 2" xfId="17978" xr:uid="{00000000-0005-0000-0000-00003D460000}"/>
    <cellStyle name="40% - Énfasis6 8 2 4 2 2" xfId="17979" xr:uid="{00000000-0005-0000-0000-00003E460000}"/>
    <cellStyle name="40% - Énfasis6 8 2 4 3" xfId="17980" xr:uid="{00000000-0005-0000-0000-00003F460000}"/>
    <cellStyle name="40% - Énfasis6 8 2 5" xfId="17981" xr:uid="{00000000-0005-0000-0000-000040460000}"/>
    <cellStyle name="40% - Énfasis6 8 2 5 2" xfId="17982" xr:uid="{00000000-0005-0000-0000-000041460000}"/>
    <cellStyle name="40% - Énfasis6 8 2 6" xfId="17983" xr:uid="{00000000-0005-0000-0000-000042460000}"/>
    <cellStyle name="40% - Énfasis6 8 3" xfId="17984" xr:uid="{00000000-0005-0000-0000-000043460000}"/>
    <cellStyle name="40% - Énfasis6 8 3 2" xfId="17985" xr:uid="{00000000-0005-0000-0000-000044460000}"/>
    <cellStyle name="40% - Énfasis6 8 3 2 2" xfId="17986" xr:uid="{00000000-0005-0000-0000-000045460000}"/>
    <cellStyle name="40% - Énfasis6 8 3 2 2 2" xfId="17987" xr:uid="{00000000-0005-0000-0000-000046460000}"/>
    <cellStyle name="40% - Énfasis6 8 3 2 3" xfId="17988" xr:uid="{00000000-0005-0000-0000-000047460000}"/>
    <cellStyle name="40% - Énfasis6 8 3 3" xfId="17989" xr:uid="{00000000-0005-0000-0000-000048460000}"/>
    <cellStyle name="40% - Énfasis6 8 3 3 2" xfId="17990" xr:uid="{00000000-0005-0000-0000-000049460000}"/>
    <cellStyle name="40% - Énfasis6 8 3 3 2 2" xfId="17991" xr:uid="{00000000-0005-0000-0000-00004A460000}"/>
    <cellStyle name="40% - Énfasis6 8 3 3 3" xfId="17992" xr:uid="{00000000-0005-0000-0000-00004B460000}"/>
    <cellStyle name="40% - Énfasis6 8 3 4" xfId="17993" xr:uid="{00000000-0005-0000-0000-00004C460000}"/>
    <cellStyle name="40% - Énfasis6 8 3 4 2" xfId="17994" xr:uid="{00000000-0005-0000-0000-00004D460000}"/>
    <cellStyle name="40% - Énfasis6 8 3 5" xfId="17995" xr:uid="{00000000-0005-0000-0000-00004E460000}"/>
    <cellStyle name="40% - Énfasis6 8 4" xfId="17996" xr:uid="{00000000-0005-0000-0000-00004F460000}"/>
    <cellStyle name="40% - Énfasis6 8 4 2" xfId="17997" xr:uid="{00000000-0005-0000-0000-000050460000}"/>
    <cellStyle name="40% - Énfasis6 8 4 2 2" xfId="17998" xr:uid="{00000000-0005-0000-0000-000051460000}"/>
    <cellStyle name="40% - Énfasis6 8 4 2 2 2" xfId="17999" xr:uid="{00000000-0005-0000-0000-000052460000}"/>
    <cellStyle name="40% - Énfasis6 8 4 2 3" xfId="18000" xr:uid="{00000000-0005-0000-0000-000053460000}"/>
    <cellStyle name="40% - Énfasis6 8 4 3" xfId="18001" xr:uid="{00000000-0005-0000-0000-000054460000}"/>
    <cellStyle name="40% - Énfasis6 8 4 3 2" xfId="18002" xr:uid="{00000000-0005-0000-0000-000055460000}"/>
    <cellStyle name="40% - Énfasis6 8 4 4" xfId="18003" xr:uid="{00000000-0005-0000-0000-000056460000}"/>
    <cellStyle name="40% - Énfasis6 8 5" xfId="18004" xr:uid="{00000000-0005-0000-0000-000057460000}"/>
    <cellStyle name="40% - Énfasis6 8 5 2" xfId="18005" xr:uid="{00000000-0005-0000-0000-000058460000}"/>
    <cellStyle name="40% - Énfasis6 8 5 2 2" xfId="18006" xr:uid="{00000000-0005-0000-0000-000059460000}"/>
    <cellStyle name="40% - Énfasis6 8 5 3" xfId="18007" xr:uid="{00000000-0005-0000-0000-00005A460000}"/>
    <cellStyle name="40% - Énfasis6 8 6" xfId="18008" xr:uid="{00000000-0005-0000-0000-00005B460000}"/>
    <cellStyle name="40% - Énfasis6 8 6 2" xfId="18009" xr:uid="{00000000-0005-0000-0000-00005C460000}"/>
    <cellStyle name="40% - Énfasis6 8 6 2 2" xfId="18010" xr:uid="{00000000-0005-0000-0000-00005D460000}"/>
    <cellStyle name="40% - Énfasis6 8 6 3" xfId="18011" xr:uid="{00000000-0005-0000-0000-00005E460000}"/>
    <cellStyle name="40% - Énfasis6 8 7" xfId="18012" xr:uid="{00000000-0005-0000-0000-00005F460000}"/>
    <cellStyle name="40% - Énfasis6 8 7 2" xfId="18013" xr:uid="{00000000-0005-0000-0000-000060460000}"/>
    <cellStyle name="40% - Énfasis6 8 8" xfId="18014" xr:uid="{00000000-0005-0000-0000-000061460000}"/>
    <cellStyle name="40% - Énfasis6 9" xfId="18015" xr:uid="{00000000-0005-0000-0000-000062460000}"/>
    <cellStyle name="40% - Énfasis6 9 2" xfId="18016" xr:uid="{00000000-0005-0000-0000-000063460000}"/>
    <cellStyle name="40% - Énfasis6 9 2 2" xfId="18017" xr:uid="{00000000-0005-0000-0000-000064460000}"/>
    <cellStyle name="40% - Énfasis6 9 2 2 2" xfId="18018" xr:uid="{00000000-0005-0000-0000-000065460000}"/>
    <cellStyle name="40% - Énfasis6 9 2 2 2 2" xfId="18019" xr:uid="{00000000-0005-0000-0000-000066460000}"/>
    <cellStyle name="40% - Énfasis6 9 2 2 2 2 2" xfId="18020" xr:uid="{00000000-0005-0000-0000-000067460000}"/>
    <cellStyle name="40% - Énfasis6 9 2 2 2 3" xfId="18021" xr:uid="{00000000-0005-0000-0000-000068460000}"/>
    <cellStyle name="40% - Énfasis6 9 2 2 3" xfId="18022" xr:uid="{00000000-0005-0000-0000-000069460000}"/>
    <cellStyle name="40% - Énfasis6 9 2 2 3 2" xfId="18023" xr:uid="{00000000-0005-0000-0000-00006A460000}"/>
    <cellStyle name="40% - Énfasis6 9 2 2 4" xfId="18024" xr:uid="{00000000-0005-0000-0000-00006B460000}"/>
    <cellStyle name="40% - Énfasis6 9 2 3" xfId="18025" xr:uid="{00000000-0005-0000-0000-00006C460000}"/>
    <cellStyle name="40% - Énfasis6 9 2 3 2" xfId="18026" xr:uid="{00000000-0005-0000-0000-00006D460000}"/>
    <cellStyle name="40% - Énfasis6 9 2 3 2 2" xfId="18027" xr:uid="{00000000-0005-0000-0000-00006E460000}"/>
    <cellStyle name="40% - Énfasis6 9 2 3 3" xfId="18028" xr:uid="{00000000-0005-0000-0000-00006F460000}"/>
    <cellStyle name="40% - Énfasis6 9 2 4" xfId="18029" xr:uid="{00000000-0005-0000-0000-000070460000}"/>
    <cellStyle name="40% - Énfasis6 9 2 4 2" xfId="18030" xr:uid="{00000000-0005-0000-0000-000071460000}"/>
    <cellStyle name="40% - Énfasis6 9 2 4 2 2" xfId="18031" xr:uid="{00000000-0005-0000-0000-000072460000}"/>
    <cellStyle name="40% - Énfasis6 9 2 4 3" xfId="18032" xr:uid="{00000000-0005-0000-0000-000073460000}"/>
    <cellStyle name="40% - Énfasis6 9 2 5" xfId="18033" xr:uid="{00000000-0005-0000-0000-000074460000}"/>
    <cellStyle name="40% - Énfasis6 9 2 5 2" xfId="18034" xr:uid="{00000000-0005-0000-0000-000075460000}"/>
    <cellStyle name="40% - Énfasis6 9 2 6" xfId="18035" xr:uid="{00000000-0005-0000-0000-000076460000}"/>
    <cellStyle name="40% - Énfasis6 9 3" xfId="18036" xr:uid="{00000000-0005-0000-0000-000077460000}"/>
    <cellStyle name="40% - Énfasis6 9 3 2" xfId="18037" xr:uid="{00000000-0005-0000-0000-000078460000}"/>
    <cellStyle name="40% - Énfasis6 9 3 2 2" xfId="18038" xr:uid="{00000000-0005-0000-0000-000079460000}"/>
    <cellStyle name="40% - Énfasis6 9 3 2 2 2" xfId="18039" xr:uid="{00000000-0005-0000-0000-00007A460000}"/>
    <cellStyle name="40% - Énfasis6 9 3 2 3" xfId="18040" xr:uid="{00000000-0005-0000-0000-00007B460000}"/>
    <cellStyle name="40% - Énfasis6 9 3 3" xfId="18041" xr:uid="{00000000-0005-0000-0000-00007C460000}"/>
    <cellStyle name="40% - Énfasis6 9 3 3 2" xfId="18042" xr:uid="{00000000-0005-0000-0000-00007D460000}"/>
    <cellStyle name="40% - Énfasis6 9 3 3 2 2" xfId="18043" xr:uid="{00000000-0005-0000-0000-00007E460000}"/>
    <cellStyle name="40% - Énfasis6 9 3 3 3" xfId="18044" xr:uid="{00000000-0005-0000-0000-00007F460000}"/>
    <cellStyle name="40% - Énfasis6 9 3 4" xfId="18045" xr:uid="{00000000-0005-0000-0000-000080460000}"/>
    <cellStyle name="40% - Énfasis6 9 3 4 2" xfId="18046" xr:uid="{00000000-0005-0000-0000-000081460000}"/>
    <cellStyle name="40% - Énfasis6 9 3 5" xfId="18047" xr:uid="{00000000-0005-0000-0000-000082460000}"/>
    <cellStyle name="40% - Énfasis6 9 4" xfId="18048" xr:uid="{00000000-0005-0000-0000-000083460000}"/>
    <cellStyle name="40% - Énfasis6 9 4 2" xfId="18049" xr:uid="{00000000-0005-0000-0000-000084460000}"/>
    <cellStyle name="40% - Énfasis6 9 4 2 2" xfId="18050" xr:uid="{00000000-0005-0000-0000-000085460000}"/>
    <cellStyle name="40% - Énfasis6 9 4 2 2 2" xfId="18051" xr:uid="{00000000-0005-0000-0000-000086460000}"/>
    <cellStyle name="40% - Énfasis6 9 4 2 3" xfId="18052" xr:uid="{00000000-0005-0000-0000-000087460000}"/>
    <cellStyle name="40% - Énfasis6 9 4 3" xfId="18053" xr:uid="{00000000-0005-0000-0000-000088460000}"/>
    <cellStyle name="40% - Énfasis6 9 4 3 2" xfId="18054" xr:uid="{00000000-0005-0000-0000-000089460000}"/>
    <cellStyle name="40% - Énfasis6 9 4 4" xfId="18055" xr:uid="{00000000-0005-0000-0000-00008A460000}"/>
    <cellStyle name="40% - Énfasis6 9 5" xfId="18056" xr:uid="{00000000-0005-0000-0000-00008B460000}"/>
    <cellStyle name="40% - Énfasis6 9 5 2" xfId="18057" xr:uid="{00000000-0005-0000-0000-00008C460000}"/>
    <cellStyle name="40% - Énfasis6 9 5 2 2" xfId="18058" xr:uid="{00000000-0005-0000-0000-00008D460000}"/>
    <cellStyle name="40% - Énfasis6 9 5 3" xfId="18059" xr:uid="{00000000-0005-0000-0000-00008E460000}"/>
    <cellStyle name="40% - Énfasis6 9 6" xfId="18060" xr:uid="{00000000-0005-0000-0000-00008F460000}"/>
    <cellStyle name="40% - Énfasis6 9 6 2" xfId="18061" xr:uid="{00000000-0005-0000-0000-000090460000}"/>
    <cellStyle name="40% - Énfasis6 9 6 2 2" xfId="18062" xr:uid="{00000000-0005-0000-0000-000091460000}"/>
    <cellStyle name="40% - Énfasis6 9 6 3" xfId="18063" xr:uid="{00000000-0005-0000-0000-000092460000}"/>
    <cellStyle name="40% - Énfasis6 9 7" xfId="18064" xr:uid="{00000000-0005-0000-0000-000093460000}"/>
    <cellStyle name="40% - Énfasis6 9 7 2" xfId="18065" xr:uid="{00000000-0005-0000-0000-000094460000}"/>
    <cellStyle name="40% - Énfasis6 9 8" xfId="18066" xr:uid="{00000000-0005-0000-0000-000095460000}"/>
    <cellStyle name="60% - Énfasis3 2" xfId="18067" xr:uid="{00000000-0005-0000-0000-000096460000}"/>
    <cellStyle name="60% - Énfasis3 2 2" xfId="18068" xr:uid="{00000000-0005-0000-0000-000097460000}"/>
    <cellStyle name="60% - Énfasis3 2 3" xfId="18069" xr:uid="{00000000-0005-0000-0000-000098460000}"/>
    <cellStyle name="60% - Énfasis3 2 4" xfId="18070" xr:uid="{00000000-0005-0000-0000-000099460000}"/>
    <cellStyle name="60% - Énfasis3 3" xfId="18071" xr:uid="{00000000-0005-0000-0000-00009A460000}"/>
    <cellStyle name="60% - Énfasis3 3 2" xfId="18072" xr:uid="{00000000-0005-0000-0000-00009B460000}"/>
    <cellStyle name="60% - Énfasis3 3 3" xfId="18073" xr:uid="{00000000-0005-0000-0000-00009C460000}"/>
    <cellStyle name="60% - Énfasis3 3 4" xfId="18074" xr:uid="{00000000-0005-0000-0000-00009D460000}"/>
    <cellStyle name="60% - Énfasis3 4" xfId="18075" xr:uid="{00000000-0005-0000-0000-00009E460000}"/>
    <cellStyle name="60% - Énfasis3 4 2" xfId="18076" xr:uid="{00000000-0005-0000-0000-00009F460000}"/>
    <cellStyle name="60% - Énfasis3 4 3" xfId="18077" xr:uid="{00000000-0005-0000-0000-0000A0460000}"/>
    <cellStyle name="60% - Énfasis3 4 4" xfId="18078" xr:uid="{00000000-0005-0000-0000-0000A1460000}"/>
    <cellStyle name="60% - Énfasis3 5" xfId="18079" xr:uid="{00000000-0005-0000-0000-0000A2460000}"/>
    <cellStyle name="60% - Énfasis3 5 2" xfId="18080" xr:uid="{00000000-0005-0000-0000-0000A3460000}"/>
    <cellStyle name="60% - Énfasis4 2" xfId="18081" xr:uid="{00000000-0005-0000-0000-0000A4460000}"/>
    <cellStyle name="60% - Énfasis4 2 2" xfId="18082" xr:uid="{00000000-0005-0000-0000-0000A5460000}"/>
    <cellStyle name="60% - Énfasis4 2 3" xfId="18083" xr:uid="{00000000-0005-0000-0000-0000A6460000}"/>
    <cellStyle name="60% - Énfasis4 2 4" xfId="18084" xr:uid="{00000000-0005-0000-0000-0000A7460000}"/>
    <cellStyle name="60% - Énfasis4 3" xfId="18085" xr:uid="{00000000-0005-0000-0000-0000A8460000}"/>
    <cellStyle name="60% - Énfasis4 3 2" xfId="18086" xr:uid="{00000000-0005-0000-0000-0000A9460000}"/>
    <cellStyle name="60% - Énfasis4 3 3" xfId="18087" xr:uid="{00000000-0005-0000-0000-0000AA460000}"/>
    <cellStyle name="60% - Énfasis4 3 4" xfId="18088" xr:uid="{00000000-0005-0000-0000-0000AB460000}"/>
    <cellStyle name="60% - Énfasis4 4" xfId="18089" xr:uid="{00000000-0005-0000-0000-0000AC460000}"/>
    <cellStyle name="60% - Énfasis4 4 2" xfId="18090" xr:uid="{00000000-0005-0000-0000-0000AD460000}"/>
    <cellStyle name="60% - Énfasis4 4 3" xfId="18091" xr:uid="{00000000-0005-0000-0000-0000AE460000}"/>
    <cellStyle name="60% - Énfasis4 4 4" xfId="18092" xr:uid="{00000000-0005-0000-0000-0000AF460000}"/>
    <cellStyle name="60% - Énfasis4 5" xfId="18093" xr:uid="{00000000-0005-0000-0000-0000B0460000}"/>
    <cellStyle name="60% - Énfasis4 5 2" xfId="18094" xr:uid="{00000000-0005-0000-0000-0000B1460000}"/>
    <cellStyle name="60% - Énfasis6 2" xfId="18095" xr:uid="{00000000-0005-0000-0000-0000B2460000}"/>
    <cellStyle name="60% - Énfasis6 2 2" xfId="18096" xr:uid="{00000000-0005-0000-0000-0000B3460000}"/>
    <cellStyle name="60% - Énfasis6 2 3" xfId="18097" xr:uid="{00000000-0005-0000-0000-0000B4460000}"/>
    <cellStyle name="60% - Énfasis6 2 4" xfId="18098" xr:uid="{00000000-0005-0000-0000-0000B5460000}"/>
    <cellStyle name="60% - Énfasis6 3" xfId="18099" xr:uid="{00000000-0005-0000-0000-0000B6460000}"/>
    <cellStyle name="60% - Énfasis6 3 2" xfId="18100" xr:uid="{00000000-0005-0000-0000-0000B7460000}"/>
    <cellStyle name="60% - Énfasis6 3 3" xfId="18101" xr:uid="{00000000-0005-0000-0000-0000B8460000}"/>
    <cellStyle name="60% - Énfasis6 3 4" xfId="18102" xr:uid="{00000000-0005-0000-0000-0000B9460000}"/>
    <cellStyle name="60% - Énfasis6 4" xfId="18103" xr:uid="{00000000-0005-0000-0000-0000BA460000}"/>
    <cellStyle name="60% - Énfasis6 4 2" xfId="18104" xr:uid="{00000000-0005-0000-0000-0000BB460000}"/>
    <cellStyle name="60% - Énfasis6 4 3" xfId="18105" xr:uid="{00000000-0005-0000-0000-0000BC460000}"/>
    <cellStyle name="60% - Énfasis6 4 4" xfId="18106" xr:uid="{00000000-0005-0000-0000-0000BD460000}"/>
    <cellStyle name="60% - Énfasis6 5" xfId="18107" xr:uid="{00000000-0005-0000-0000-0000BE460000}"/>
    <cellStyle name="60% - Énfasis6 5 2" xfId="18108" xr:uid="{00000000-0005-0000-0000-0000BF460000}"/>
    <cellStyle name="Estilo 1" xfId="18109" xr:uid="{00000000-0005-0000-0000-0000C0460000}"/>
    <cellStyle name="Euro" xfId="18110" xr:uid="{00000000-0005-0000-0000-0000C1460000}"/>
    <cellStyle name="Euro 2" xfId="18111" xr:uid="{00000000-0005-0000-0000-0000C2460000}"/>
    <cellStyle name="Euro 2 2" xfId="18112" xr:uid="{00000000-0005-0000-0000-0000C3460000}"/>
    <cellStyle name="Euro 2 2 2" xfId="18113" xr:uid="{00000000-0005-0000-0000-0000C4460000}"/>
    <cellStyle name="Euro 2 2 2 2" xfId="18114" xr:uid="{00000000-0005-0000-0000-0000C5460000}"/>
    <cellStyle name="Euro 2 2 2 2 2" xfId="18115" xr:uid="{00000000-0005-0000-0000-0000C6460000}"/>
    <cellStyle name="Euro 2 2 2 3" xfId="18116" xr:uid="{00000000-0005-0000-0000-0000C7460000}"/>
    <cellStyle name="Euro 2 2 3" xfId="18117" xr:uid="{00000000-0005-0000-0000-0000C8460000}"/>
    <cellStyle name="Euro 2 2 3 2" xfId="18118" xr:uid="{00000000-0005-0000-0000-0000C9460000}"/>
    <cellStyle name="Euro 2 2 4" xfId="18119" xr:uid="{00000000-0005-0000-0000-0000CA460000}"/>
    <cellStyle name="Euro 2 3" xfId="18120" xr:uid="{00000000-0005-0000-0000-0000CB460000}"/>
    <cellStyle name="Euro 2 3 2" xfId="18121" xr:uid="{00000000-0005-0000-0000-0000CC460000}"/>
    <cellStyle name="Euro 2 3 2 2" xfId="18122" xr:uid="{00000000-0005-0000-0000-0000CD460000}"/>
    <cellStyle name="Euro 2 3 3" xfId="18123" xr:uid="{00000000-0005-0000-0000-0000CE460000}"/>
    <cellStyle name="Euro 2 4" xfId="18124" xr:uid="{00000000-0005-0000-0000-0000CF460000}"/>
    <cellStyle name="Euro 2 4 2" xfId="18125" xr:uid="{00000000-0005-0000-0000-0000D0460000}"/>
    <cellStyle name="Euro 2 5" xfId="18126" xr:uid="{00000000-0005-0000-0000-0000D1460000}"/>
    <cellStyle name="Euro 3" xfId="18127" xr:uid="{00000000-0005-0000-0000-0000D2460000}"/>
    <cellStyle name="Euro 3 2" xfId="18128" xr:uid="{00000000-0005-0000-0000-0000D3460000}"/>
    <cellStyle name="Euro 3 2 2" xfId="18129" xr:uid="{00000000-0005-0000-0000-0000D4460000}"/>
    <cellStyle name="Euro 3 2 2 2" xfId="18130" xr:uid="{00000000-0005-0000-0000-0000D5460000}"/>
    <cellStyle name="Euro 3 2 3" xfId="18131" xr:uid="{00000000-0005-0000-0000-0000D6460000}"/>
    <cellStyle name="Euro 3 3" xfId="18132" xr:uid="{00000000-0005-0000-0000-0000D7460000}"/>
    <cellStyle name="Euro 3 3 2" xfId="18133" xr:uid="{00000000-0005-0000-0000-0000D8460000}"/>
    <cellStyle name="Euro 3 4" xfId="18134" xr:uid="{00000000-0005-0000-0000-0000D9460000}"/>
    <cellStyle name="Euro 4" xfId="18135" xr:uid="{00000000-0005-0000-0000-0000DA460000}"/>
    <cellStyle name="Euro 4 2" xfId="18136" xr:uid="{00000000-0005-0000-0000-0000DB460000}"/>
    <cellStyle name="Euro 4 2 2" xfId="18137" xr:uid="{00000000-0005-0000-0000-0000DC460000}"/>
    <cellStyle name="Euro 4 2 2 2" xfId="18138" xr:uid="{00000000-0005-0000-0000-0000DD460000}"/>
    <cellStyle name="Euro 4 2 3" xfId="18139" xr:uid="{00000000-0005-0000-0000-0000DE460000}"/>
    <cellStyle name="Euro 4 3" xfId="18140" xr:uid="{00000000-0005-0000-0000-0000DF460000}"/>
    <cellStyle name="Euro 4 3 2" xfId="18141" xr:uid="{00000000-0005-0000-0000-0000E0460000}"/>
    <cellStyle name="Euro 4 4" xfId="18142" xr:uid="{00000000-0005-0000-0000-0000E1460000}"/>
    <cellStyle name="Euro 5" xfId="18143" xr:uid="{00000000-0005-0000-0000-0000E2460000}"/>
    <cellStyle name="Millares" xfId="1" builtinId="3"/>
    <cellStyle name="Millares 10" xfId="18144" xr:uid="{00000000-0005-0000-0000-0000E3460000}"/>
    <cellStyle name="Millares 10 2" xfId="18145" xr:uid="{00000000-0005-0000-0000-0000E4460000}"/>
    <cellStyle name="Millares 10 2 2" xfId="18146" xr:uid="{00000000-0005-0000-0000-0000E5460000}"/>
    <cellStyle name="Millares 10 3" xfId="18147" xr:uid="{00000000-0005-0000-0000-0000E6460000}"/>
    <cellStyle name="Millares 10 3 2" xfId="18148" xr:uid="{00000000-0005-0000-0000-0000E7460000}"/>
    <cellStyle name="Millares 10 3 2 2" xfId="18149" xr:uid="{00000000-0005-0000-0000-0000E8460000}"/>
    <cellStyle name="Millares 10 3 2 2 2" xfId="18150" xr:uid="{00000000-0005-0000-0000-0000E9460000}"/>
    <cellStyle name="Millares 10 3 2 3" xfId="18151" xr:uid="{00000000-0005-0000-0000-0000EA460000}"/>
    <cellStyle name="Millares 10 3 3" xfId="18152" xr:uid="{00000000-0005-0000-0000-0000EB460000}"/>
    <cellStyle name="Millares 10 3 3 2" xfId="18153" xr:uid="{00000000-0005-0000-0000-0000EC460000}"/>
    <cellStyle name="Millares 10 3 3 2 2" xfId="18154" xr:uid="{00000000-0005-0000-0000-0000ED460000}"/>
    <cellStyle name="Millares 10 3 3 3" xfId="18155" xr:uid="{00000000-0005-0000-0000-0000EE460000}"/>
    <cellStyle name="Millares 10 3 4" xfId="18156" xr:uid="{00000000-0005-0000-0000-0000EF460000}"/>
    <cellStyle name="Millares 10 3 4 2" xfId="18157" xr:uid="{00000000-0005-0000-0000-0000F0460000}"/>
    <cellStyle name="Millares 10 3 5" xfId="18158" xr:uid="{00000000-0005-0000-0000-0000F1460000}"/>
    <cellStyle name="Millares 10 4" xfId="18159" xr:uid="{00000000-0005-0000-0000-0000F2460000}"/>
    <cellStyle name="Millares 10 4 2" xfId="18160" xr:uid="{00000000-0005-0000-0000-0000F3460000}"/>
    <cellStyle name="Millares 10 4 2 2" xfId="18161" xr:uid="{00000000-0005-0000-0000-0000F4460000}"/>
    <cellStyle name="Millares 10 4 3" xfId="18162" xr:uid="{00000000-0005-0000-0000-0000F5460000}"/>
    <cellStyle name="Millares 10 5" xfId="18163" xr:uid="{00000000-0005-0000-0000-0000F6460000}"/>
    <cellStyle name="Millares 11" xfId="18164" xr:uid="{00000000-0005-0000-0000-0000F7460000}"/>
    <cellStyle name="Millares 11 2" xfId="18165" xr:uid="{00000000-0005-0000-0000-0000F8460000}"/>
    <cellStyle name="Millares 11 2 2" xfId="18166" xr:uid="{00000000-0005-0000-0000-0000F9460000}"/>
    <cellStyle name="Millares 11 2 2 2" xfId="18167" xr:uid="{00000000-0005-0000-0000-0000FA460000}"/>
    <cellStyle name="Millares 11 2 2 2 2" xfId="18168" xr:uid="{00000000-0005-0000-0000-0000FB460000}"/>
    <cellStyle name="Millares 11 2 2 3" xfId="18169" xr:uid="{00000000-0005-0000-0000-0000FC460000}"/>
    <cellStyle name="Millares 11 2 3" xfId="18170" xr:uid="{00000000-0005-0000-0000-0000FD460000}"/>
    <cellStyle name="Millares 11 2 3 2" xfId="18171" xr:uid="{00000000-0005-0000-0000-0000FE460000}"/>
    <cellStyle name="Millares 11 2 4" xfId="18172" xr:uid="{00000000-0005-0000-0000-0000FF460000}"/>
    <cellStyle name="Millares 11 3" xfId="18173" xr:uid="{00000000-0005-0000-0000-000000470000}"/>
    <cellStyle name="Millares 11 3 2" xfId="18174" xr:uid="{00000000-0005-0000-0000-000001470000}"/>
    <cellStyle name="Millares 11 3 2 2" xfId="18175" xr:uid="{00000000-0005-0000-0000-000002470000}"/>
    <cellStyle name="Millares 11 3 3" xfId="18176" xr:uid="{00000000-0005-0000-0000-000003470000}"/>
    <cellStyle name="Millares 11 4" xfId="18177" xr:uid="{00000000-0005-0000-0000-000004470000}"/>
    <cellStyle name="Millares 11 4 2" xfId="18178" xr:uid="{00000000-0005-0000-0000-000005470000}"/>
    <cellStyle name="Millares 11 4 2 2" xfId="18179" xr:uid="{00000000-0005-0000-0000-000006470000}"/>
    <cellStyle name="Millares 11 4 3" xfId="18180" xr:uid="{00000000-0005-0000-0000-000007470000}"/>
    <cellStyle name="Millares 11 5" xfId="18181" xr:uid="{00000000-0005-0000-0000-000008470000}"/>
    <cellStyle name="Millares 11 5 2" xfId="18182" xr:uid="{00000000-0005-0000-0000-000009470000}"/>
    <cellStyle name="Millares 11 6" xfId="18183" xr:uid="{00000000-0005-0000-0000-00000A470000}"/>
    <cellStyle name="Millares 12" xfId="18184" xr:uid="{00000000-0005-0000-0000-00000B470000}"/>
    <cellStyle name="Millares 12 2" xfId="18185" xr:uid="{00000000-0005-0000-0000-00000C470000}"/>
    <cellStyle name="Millares 13" xfId="18186" xr:uid="{00000000-0005-0000-0000-00000D470000}"/>
    <cellStyle name="Millares 13 2" xfId="18187" xr:uid="{00000000-0005-0000-0000-00000E470000}"/>
    <cellStyle name="Millares 14" xfId="18188" xr:uid="{00000000-0005-0000-0000-00000F470000}"/>
    <cellStyle name="Millares 14 2" xfId="18189" xr:uid="{00000000-0005-0000-0000-000010470000}"/>
    <cellStyle name="Millares 15" xfId="18190" xr:uid="{00000000-0005-0000-0000-000011470000}"/>
    <cellStyle name="Millares 15 2" xfId="18191" xr:uid="{00000000-0005-0000-0000-000012470000}"/>
    <cellStyle name="Millares 16" xfId="18192" xr:uid="{00000000-0005-0000-0000-000013470000}"/>
    <cellStyle name="Millares 16 2" xfId="18193" xr:uid="{00000000-0005-0000-0000-000014470000}"/>
    <cellStyle name="Millares 17" xfId="18194" xr:uid="{00000000-0005-0000-0000-000015470000}"/>
    <cellStyle name="Millares 18" xfId="18195" xr:uid="{00000000-0005-0000-0000-000016470000}"/>
    <cellStyle name="Millares 19" xfId="18196" xr:uid="{00000000-0005-0000-0000-000017470000}"/>
    <cellStyle name="Millares 2" xfId="18197" xr:uid="{00000000-0005-0000-0000-000018470000}"/>
    <cellStyle name="Millares 2 10" xfId="18198" xr:uid="{00000000-0005-0000-0000-000019470000}"/>
    <cellStyle name="Millares 2 2" xfId="18199" xr:uid="{00000000-0005-0000-0000-00001A470000}"/>
    <cellStyle name="Millares 2 2 2" xfId="18200" xr:uid="{00000000-0005-0000-0000-00001B470000}"/>
    <cellStyle name="Millares 2 2 2 2" xfId="18201" xr:uid="{00000000-0005-0000-0000-00001C470000}"/>
    <cellStyle name="Millares 2 2 3" xfId="18202" xr:uid="{00000000-0005-0000-0000-00001D470000}"/>
    <cellStyle name="Millares 2 3" xfId="18203" xr:uid="{00000000-0005-0000-0000-00001E470000}"/>
    <cellStyle name="Millares 2 3 2" xfId="18204" xr:uid="{00000000-0005-0000-0000-00001F470000}"/>
    <cellStyle name="Millares 2 3 2 2" xfId="18205" xr:uid="{00000000-0005-0000-0000-000020470000}"/>
    <cellStyle name="Millares 2 3 2 2 2" xfId="18206" xr:uid="{00000000-0005-0000-0000-000021470000}"/>
    <cellStyle name="Millares 2 3 2 2 2 2" xfId="18207" xr:uid="{00000000-0005-0000-0000-000022470000}"/>
    <cellStyle name="Millares 2 3 2 2 2 2 2" xfId="18208" xr:uid="{00000000-0005-0000-0000-000023470000}"/>
    <cellStyle name="Millares 2 3 2 2 2 3" xfId="18209" xr:uid="{00000000-0005-0000-0000-000024470000}"/>
    <cellStyle name="Millares 2 3 2 2 3" xfId="18210" xr:uid="{00000000-0005-0000-0000-000025470000}"/>
    <cellStyle name="Millares 2 3 2 2 3 2" xfId="18211" xr:uid="{00000000-0005-0000-0000-000026470000}"/>
    <cellStyle name="Millares 2 3 2 2 4" xfId="18212" xr:uid="{00000000-0005-0000-0000-000027470000}"/>
    <cellStyle name="Millares 2 3 2 3" xfId="18213" xr:uid="{00000000-0005-0000-0000-000028470000}"/>
    <cellStyle name="Millares 2 3 2 3 2" xfId="18214" xr:uid="{00000000-0005-0000-0000-000029470000}"/>
    <cellStyle name="Millares 2 3 2 3 2 2" xfId="18215" xr:uid="{00000000-0005-0000-0000-00002A470000}"/>
    <cellStyle name="Millares 2 3 2 3 3" xfId="18216" xr:uid="{00000000-0005-0000-0000-00002B470000}"/>
    <cellStyle name="Millares 2 3 2 4" xfId="18217" xr:uid="{00000000-0005-0000-0000-00002C470000}"/>
    <cellStyle name="Millares 2 3 2 4 2" xfId="18218" xr:uid="{00000000-0005-0000-0000-00002D470000}"/>
    <cellStyle name="Millares 2 3 2 4 2 2" xfId="18219" xr:uid="{00000000-0005-0000-0000-00002E470000}"/>
    <cellStyle name="Millares 2 3 2 4 3" xfId="18220" xr:uid="{00000000-0005-0000-0000-00002F470000}"/>
    <cellStyle name="Millares 2 3 2 5" xfId="18221" xr:uid="{00000000-0005-0000-0000-000030470000}"/>
    <cellStyle name="Millares 2 3 2 5 2" xfId="18222" xr:uid="{00000000-0005-0000-0000-000031470000}"/>
    <cellStyle name="Millares 2 3 2 6" xfId="18223" xr:uid="{00000000-0005-0000-0000-000032470000}"/>
    <cellStyle name="Millares 2 3 3" xfId="18224" xr:uid="{00000000-0005-0000-0000-000033470000}"/>
    <cellStyle name="Millares 2 3 3 2" xfId="18225" xr:uid="{00000000-0005-0000-0000-000034470000}"/>
    <cellStyle name="Millares 2 3 3 2 2" xfId="18226" xr:uid="{00000000-0005-0000-0000-000035470000}"/>
    <cellStyle name="Millares 2 3 3 2 2 2" xfId="18227" xr:uid="{00000000-0005-0000-0000-000036470000}"/>
    <cellStyle name="Millares 2 3 3 2 3" xfId="18228" xr:uid="{00000000-0005-0000-0000-000037470000}"/>
    <cellStyle name="Millares 2 3 3 3" xfId="18229" xr:uid="{00000000-0005-0000-0000-000038470000}"/>
    <cellStyle name="Millares 2 3 3 3 2" xfId="18230" xr:uid="{00000000-0005-0000-0000-000039470000}"/>
    <cellStyle name="Millares 2 3 3 4" xfId="18231" xr:uid="{00000000-0005-0000-0000-00003A470000}"/>
    <cellStyle name="Millares 2 3 4" xfId="18232" xr:uid="{00000000-0005-0000-0000-00003B470000}"/>
    <cellStyle name="Millares 2 3 4 2" xfId="18233" xr:uid="{00000000-0005-0000-0000-00003C470000}"/>
    <cellStyle name="Millares 2 3 4 2 2" xfId="18234" xr:uid="{00000000-0005-0000-0000-00003D470000}"/>
    <cellStyle name="Millares 2 3 4 3" xfId="18235" xr:uid="{00000000-0005-0000-0000-00003E470000}"/>
    <cellStyle name="Millares 2 3 5" xfId="18236" xr:uid="{00000000-0005-0000-0000-00003F470000}"/>
    <cellStyle name="Millares 2 3 5 2" xfId="18237" xr:uid="{00000000-0005-0000-0000-000040470000}"/>
    <cellStyle name="Millares 2 3 5 2 2" xfId="18238" xr:uid="{00000000-0005-0000-0000-000041470000}"/>
    <cellStyle name="Millares 2 3 5 3" xfId="18239" xr:uid="{00000000-0005-0000-0000-000042470000}"/>
    <cellStyle name="Millares 2 3 6" xfId="18240" xr:uid="{00000000-0005-0000-0000-000043470000}"/>
    <cellStyle name="Millares 2 3 6 2" xfId="18241" xr:uid="{00000000-0005-0000-0000-000044470000}"/>
    <cellStyle name="Millares 2 3 7" xfId="18242" xr:uid="{00000000-0005-0000-0000-000045470000}"/>
    <cellStyle name="Millares 2 4" xfId="18243" xr:uid="{00000000-0005-0000-0000-000046470000}"/>
    <cellStyle name="Millares 2 4 2" xfId="18244" xr:uid="{00000000-0005-0000-0000-000047470000}"/>
    <cellStyle name="Millares 2 4 2 2" xfId="18245" xr:uid="{00000000-0005-0000-0000-000048470000}"/>
    <cellStyle name="Millares 2 4 2 2 2" xfId="18246" xr:uid="{00000000-0005-0000-0000-000049470000}"/>
    <cellStyle name="Millares 2 4 2 2 2 2" xfId="18247" xr:uid="{00000000-0005-0000-0000-00004A470000}"/>
    <cellStyle name="Millares 2 4 2 2 3" xfId="18248" xr:uid="{00000000-0005-0000-0000-00004B470000}"/>
    <cellStyle name="Millares 2 4 2 3" xfId="18249" xr:uid="{00000000-0005-0000-0000-00004C470000}"/>
    <cellStyle name="Millares 2 4 2 3 2" xfId="18250" xr:uid="{00000000-0005-0000-0000-00004D470000}"/>
    <cellStyle name="Millares 2 4 2 4" xfId="18251" xr:uid="{00000000-0005-0000-0000-00004E470000}"/>
    <cellStyle name="Millares 2 4 3" xfId="18252" xr:uid="{00000000-0005-0000-0000-00004F470000}"/>
    <cellStyle name="Millares 2 4 3 2" xfId="18253" xr:uid="{00000000-0005-0000-0000-000050470000}"/>
    <cellStyle name="Millares 2 4 3 2 2" xfId="18254" xr:uid="{00000000-0005-0000-0000-000051470000}"/>
    <cellStyle name="Millares 2 4 3 3" xfId="18255" xr:uid="{00000000-0005-0000-0000-000052470000}"/>
    <cellStyle name="Millares 2 4 4" xfId="18256" xr:uid="{00000000-0005-0000-0000-000053470000}"/>
    <cellStyle name="Millares 2 4 4 2" xfId="18257" xr:uid="{00000000-0005-0000-0000-000054470000}"/>
    <cellStyle name="Millares 2 4 4 2 2" xfId="18258" xr:uid="{00000000-0005-0000-0000-000055470000}"/>
    <cellStyle name="Millares 2 4 4 3" xfId="18259" xr:uid="{00000000-0005-0000-0000-000056470000}"/>
    <cellStyle name="Millares 2 4 5" xfId="18260" xr:uid="{00000000-0005-0000-0000-000057470000}"/>
    <cellStyle name="Millares 2 4 5 2" xfId="18261" xr:uid="{00000000-0005-0000-0000-000058470000}"/>
    <cellStyle name="Millares 2 4 6" xfId="18262" xr:uid="{00000000-0005-0000-0000-000059470000}"/>
    <cellStyle name="Millares 2 5" xfId="18263" xr:uid="{00000000-0005-0000-0000-00005A470000}"/>
    <cellStyle name="Millares 2 5 2" xfId="18264" xr:uid="{00000000-0005-0000-0000-00005B470000}"/>
    <cellStyle name="Millares 2 5 2 2" xfId="18265" xr:uid="{00000000-0005-0000-0000-00005C470000}"/>
    <cellStyle name="Millares 2 5 2 2 2" xfId="18266" xr:uid="{00000000-0005-0000-0000-00005D470000}"/>
    <cellStyle name="Millares 2 5 2 3" xfId="18267" xr:uid="{00000000-0005-0000-0000-00005E470000}"/>
    <cellStyle name="Millares 2 5 3" xfId="18268" xr:uid="{00000000-0005-0000-0000-00005F470000}"/>
    <cellStyle name="Millares 2 5 3 2" xfId="18269" xr:uid="{00000000-0005-0000-0000-000060470000}"/>
    <cellStyle name="Millares 2 5 3 2 2" xfId="18270" xr:uid="{00000000-0005-0000-0000-000061470000}"/>
    <cellStyle name="Millares 2 5 3 3" xfId="18271" xr:uid="{00000000-0005-0000-0000-000062470000}"/>
    <cellStyle name="Millares 2 5 4" xfId="18272" xr:uid="{00000000-0005-0000-0000-000063470000}"/>
    <cellStyle name="Millares 2 5 4 2" xfId="18273" xr:uid="{00000000-0005-0000-0000-000064470000}"/>
    <cellStyle name="Millares 2 5 5" xfId="18274" xr:uid="{00000000-0005-0000-0000-000065470000}"/>
    <cellStyle name="Millares 2 6" xfId="18275" xr:uid="{00000000-0005-0000-0000-000066470000}"/>
    <cellStyle name="Millares 2 6 2" xfId="18276" xr:uid="{00000000-0005-0000-0000-000067470000}"/>
    <cellStyle name="Millares 2 6 2 2" xfId="18277" xr:uid="{00000000-0005-0000-0000-000068470000}"/>
    <cellStyle name="Millares 2 6 2 2 2" xfId="18278" xr:uid="{00000000-0005-0000-0000-000069470000}"/>
    <cellStyle name="Millares 2 6 2 3" xfId="18279" xr:uid="{00000000-0005-0000-0000-00006A470000}"/>
    <cellStyle name="Millares 2 6 3" xfId="18280" xr:uid="{00000000-0005-0000-0000-00006B470000}"/>
    <cellStyle name="Millares 2 6 3 2" xfId="18281" xr:uid="{00000000-0005-0000-0000-00006C470000}"/>
    <cellStyle name="Millares 2 6 4" xfId="18282" xr:uid="{00000000-0005-0000-0000-00006D470000}"/>
    <cellStyle name="Millares 2 7" xfId="18283" xr:uid="{00000000-0005-0000-0000-00006E470000}"/>
    <cellStyle name="Millares 2 7 2" xfId="18284" xr:uid="{00000000-0005-0000-0000-00006F470000}"/>
    <cellStyle name="Millares 2 7 2 2" xfId="18285" xr:uid="{00000000-0005-0000-0000-000070470000}"/>
    <cellStyle name="Millares 2 7 3" xfId="18286" xr:uid="{00000000-0005-0000-0000-000071470000}"/>
    <cellStyle name="Millares 2 8" xfId="18287" xr:uid="{00000000-0005-0000-0000-000072470000}"/>
    <cellStyle name="Millares 2 8 2" xfId="18288" xr:uid="{00000000-0005-0000-0000-000073470000}"/>
    <cellStyle name="Millares 2 9" xfId="18289" xr:uid="{00000000-0005-0000-0000-000074470000}"/>
    <cellStyle name="Millares 20" xfId="18290" xr:uid="{00000000-0005-0000-0000-000075470000}"/>
    <cellStyle name="Millares 21" xfId="18291" xr:uid="{00000000-0005-0000-0000-000076470000}"/>
    <cellStyle name="Millares 22" xfId="18292" xr:uid="{00000000-0005-0000-0000-000077470000}"/>
    <cellStyle name="Millares 22 2" xfId="21693" xr:uid="{FCE3AF1E-21CC-473C-BA37-16E6E3E68AAD}"/>
    <cellStyle name="Millares 3" xfId="18293" xr:uid="{00000000-0005-0000-0000-000078470000}"/>
    <cellStyle name="Millares 3 2" xfId="18294" xr:uid="{00000000-0005-0000-0000-000079470000}"/>
    <cellStyle name="Millares 3 2 2" xfId="18295" xr:uid="{00000000-0005-0000-0000-00007A470000}"/>
    <cellStyle name="Millares 3 2 2 2" xfId="18296" xr:uid="{00000000-0005-0000-0000-00007B470000}"/>
    <cellStyle name="Millares 3 2 2 2 2" xfId="18297" xr:uid="{00000000-0005-0000-0000-00007C470000}"/>
    <cellStyle name="Millares 3 2 2 3" xfId="18298" xr:uid="{00000000-0005-0000-0000-00007D470000}"/>
    <cellStyle name="Millares 3 2 2 3 2" xfId="18299" xr:uid="{00000000-0005-0000-0000-00007E470000}"/>
    <cellStyle name="Millares 3 2 2 4" xfId="18300" xr:uid="{00000000-0005-0000-0000-00007F470000}"/>
    <cellStyle name="Millares 3 2 3" xfId="18301" xr:uid="{00000000-0005-0000-0000-000080470000}"/>
    <cellStyle name="Millares 3 2 3 2" xfId="18302" xr:uid="{00000000-0005-0000-0000-000081470000}"/>
    <cellStyle name="Millares 3 2 4" xfId="18303" xr:uid="{00000000-0005-0000-0000-000082470000}"/>
    <cellStyle name="Millares 3 3" xfId="18304" xr:uid="{00000000-0005-0000-0000-000083470000}"/>
    <cellStyle name="Millares 3 3 2" xfId="18305" xr:uid="{00000000-0005-0000-0000-000084470000}"/>
    <cellStyle name="Millares 3 3 2 2" xfId="18306" xr:uid="{00000000-0005-0000-0000-000085470000}"/>
    <cellStyle name="Millares 3 3 3" xfId="18307" xr:uid="{00000000-0005-0000-0000-000086470000}"/>
    <cellStyle name="Millares 3 4" xfId="18308" xr:uid="{00000000-0005-0000-0000-000087470000}"/>
    <cellStyle name="Millares 3 4 2" xfId="18309" xr:uid="{00000000-0005-0000-0000-000088470000}"/>
    <cellStyle name="Millares 3 5" xfId="18310" xr:uid="{00000000-0005-0000-0000-000089470000}"/>
    <cellStyle name="Millares 3 6" xfId="18311" xr:uid="{00000000-0005-0000-0000-00008A470000}"/>
    <cellStyle name="Millares 4" xfId="18312" xr:uid="{00000000-0005-0000-0000-00008B470000}"/>
    <cellStyle name="Millares 4 2" xfId="18313" xr:uid="{00000000-0005-0000-0000-00008C470000}"/>
    <cellStyle name="Millares 4 2 2" xfId="18314" xr:uid="{00000000-0005-0000-0000-00008D470000}"/>
    <cellStyle name="Millares 4 2 2 2" xfId="18315" xr:uid="{00000000-0005-0000-0000-00008E470000}"/>
    <cellStyle name="Millares 4 2 3" xfId="18316" xr:uid="{00000000-0005-0000-0000-00008F470000}"/>
    <cellStyle name="Millares 4 3" xfId="18317" xr:uid="{00000000-0005-0000-0000-000090470000}"/>
    <cellStyle name="Millares 4 3 2" xfId="18318" xr:uid="{00000000-0005-0000-0000-000091470000}"/>
    <cellStyle name="Millares 4 4" xfId="18319" xr:uid="{00000000-0005-0000-0000-000092470000}"/>
    <cellStyle name="Millares 5" xfId="18320" xr:uid="{00000000-0005-0000-0000-000093470000}"/>
    <cellStyle name="Millares 5 2" xfId="18321" xr:uid="{00000000-0005-0000-0000-000094470000}"/>
    <cellStyle name="Millares 5 2 2" xfId="18322" xr:uid="{00000000-0005-0000-0000-000095470000}"/>
    <cellStyle name="Millares 5 2 2 2" xfId="18323" xr:uid="{00000000-0005-0000-0000-000096470000}"/>
    <cellStyle name="Millares 5 2 2 2 2" xfId="18324" xr:uid="{00000000-0005-0000-0000-000097470000}"/>
    <cellStyle name="Millares 5 2 2 2 2 2" xfId="18325" xr:uid="{00000000-0005-0000-0000-000098470000}"/>
    <cellStyle name="Millares 5 2 2 2 3" xfId="18326" xr:uid="{00000000-0005-0000-0000-000099470000}"/>
    <cellStyle name="Millares 5 2 2 3" xfId="18327" xr:uid="{00000000-0005-0000-0000-00009A470000}"/>
    <cellStyle name="Millares 5 2 2 3 2" xfId="18328" xr:uid="{00000000-0005-0000-0000-00009B470000}"/>
    <cellStyle name="Millares 5 2 2 3 2 2" xfId="18329" xr:uid="{00000000-0005-0000-0000-00009C470000}"/>
    <cellStyle name="Millares 5 2 2 3 3" xfId="18330" xr:uid="{00000000-0005-0000-0000-00009D470000}"/>
    <cellStyle name="Millares 5 2 2 4" xfId="18331" xr:uid="{00000000-0005-0000-0000-00009E470000}"/>
    <cellStyle name="Millares 5 2 2 4 2" xfId="18332" xr:uid="{00000000-0005-0000-0000-00009F470000}"/>
    <cellStyle name="Millares 5 2 2 5" xfId="18333" xr:uid="{00000000-0005-0000-0000-0000A0470000}"/>
    <cellStyle name="Millares 5 2 3" xfId="18334" xr:uid="{00000000-0005-0000-0000-0000A1470000}"/>
    <cellStyle name="Millares 5 2 3 2" xfId="18335" xr:uid="{00000000-0005-0000-0000-0000A2470000}"/>
    <cellStyle name="Millares 5 2 4" xfId="18336" xr:uid="{00000000-0005-0000-0000-0000A3470000}"/>
    <cellStyle name="Millares 5 2 4 2" xfId="18337" xr:uid="{00000000-0005-0000-0000-0000A4470000}"/>
    <cellStyle name="Millares 5 2 4 2 2" xfId="18338" xr:uid="{00000000-0005-0000-0000-0000A5470000}"/>
    <cellStyle name="Millares 5 2 4 2 2 2" xfId="18339" xr:uid="{00000000-0005-0000-0000-0000A6470000}"/>
    <cellStyle name="Millares 5 2 4 2 3" xfId="18340" xr:uid="{00000000-0005-0000-0000-0000A7470000}"/>
    <cellStyle name="Millares 5 2 4 3" xfId="18341" xr:uid="{00000000-0005-0000-0000-0000A8470000}"/>
    <cellStyle name="Millares 5 2 4 3 2" xfId="18342" xr:uid="{00000000-0005-0000-0000-0000A9470000}"/>
    <cellStyle name="Millares 5 2 4 4" xfId="18343" xr:uid="{00000000-0005-0000-0000-0000AA470000}"/>
    <cellStyle name="Millares 5 2 5" xfId="18344" xr:uid="{00000000-0005-0000-0000-0000AB470000}"/>
    <cellStyle name="Millares 5 2 5 2" xfId="18345" xr:uid="{00000000-0005-0000-0000-0000AC470000}"/>
    <cellStyle name="Millares 5 2 5 2 2" xfId="18346" xr:uid="{00000000-0005-0000-0000-0000AD470000}"/>
    <cellStyle name="Millares 5 2 5 3" xfId="18347" xr:uid="{00000000-0005-0000-0000-0000AE470000}"/>
    <cellStyle name="Millares 5 2 6" xfId="18348" xr:uid="{00000000-0005-0000-0000-0000AF470000}"/>
    <cellStyle name="Millares 5 2 6 2" xfId="18349" xr:uid="{00000000-0005-0000-0000-0000B0470000}"/>
    <cellStyle name="Millares 5 2 7" xfId="18350" xr:uid="{00000000-0005-0000-0000-0000B1470000}"/>
    <cellStyle name="Millares 5 3" xfId="18351" xr:uid="{00000000-0005-0000-0000-0000B2470000}"/>
    <cellStyle name="Millares 5 3 2" xfId="18352" xr:uid="{00000000-0005-0000-0000-0000B3470000}"/>
    <cellStyle name="Millares 5 3 2 2" xfId="18353" xr:uid="{00000000-0005-0000-0000-0000B4470000}"/>
    <cellStyle name="Millares 5 3 2 2 2" xfId="18354" xr:uid="{00000000-0005-0000-0000-0000B5470000}"/>
    <cellStyle name="Millares 5 3 2 3" xfId="18355" xr:uid="{00000000-0005-0000-0000-0000B6470000}"/>
    <cellStyle name="Millares 5 3 3" xfId="18356" xr:uid="{00000000-0005-0000-0000-0000B7470000}"/>
    <cellStyle name="Millares 5 3 3 2" xfId="18357" xr:uid="{00000000-0005-0000-0000-0000B8470000}"/>
    <cellStyle name="Millares 5 3 3 2 2" xfId="18358" xr:uid="{00000000-0005-0000-0000-0000B9470000}"/>
    <cellStyle name="Millares 5 3 3 3" xfId="18359" xr:uid="{00000000-0005-0000-0000-0000BA470000}"/>
    <cellStyle name="Millares 5 3 4" xfId="18360" xr:uid="{00000000-0005-0000-0000-0000BB470000}"/>
    <cellStyle name="Millares 5 3 4 2" xfId="18361" xr:uid="{00000000-0005-0000-0000-0000BC470000}"/>
    <cellStyle name="Millares 5 3 5" xfId="18362" xr:uid="{00000000-0005-0000-0000-0000BD470000}"/>
    <cellStyle name="Millares 5 4" xfId="18363" xr:uid="{00000000-0005-0000-0000-0000BE470000}"/>
    <cellStyle name="Millares 5 4 2" xfId="18364" xr:uid="{00000000-0005-0000-0000-0000BF470000}"/>
    <cellStyle name="Millares 5 5" xfId="18365" xr:uid="{00000000-0005-0000-0000-0000C0470000}"/>
    <cellStyle name="Millares 5 5 2" xfId="18366" xr:uid="{00000000-0005-0000-0000-0000C1470000}"/>
    <cellStyle name="Millares 5 5 2 2" xfId="18367" xr:uid="{00000000-0005-0000-0000-0000C2470000}"/>
    <cellStyle name="Millares 5 5 2 2 2" xfId="18368" xr:uid="{00000000-0005-0000-0000-0000C3470000}"/>
    <cellStyle name="Millares 5 5 2 3" xfId="18369" xr:uid="{00000000-0005-0000-0000-0000C4470000}"/>
    <cellStyle name="Millares 5 5 3" xfId="18370" xr:uid="{00000000-0005-0000-0000-0000C5470000}"/>
    <cellStyle name="Millares 5 5 3 2" xfId="18371" xr:uid="{00000000-0005-0000-0000-0000C6470000}"/>
    <cellStyle name="Millares 5 5 4" xfId="18372" xr:uid="{00000000-0005-0000-0000-0000C7470000}"/>
    <cellStyle name="Millares 5 6" xfId="18373" xr:uid="{00000000-0005-0000-0000-0000C8470000}"/>
    <cellStyle name="Millares 5 6 2" xfId="18374" xr:uid="{00000000-0005-0000-0000-0000C9470000}"/>
    <cellStyle name="Millares 5 6 2 2" xfId="18375" xr:uid="{00000000-0005-0000-0000-0000CA470000}"/>
    <cellStyle name="Millares 5 6 3" xfId="18376" xr:uid="{00000000-0005-0000-0000-0000CB470000}"/>
    <cellStyle name="Millares 5 7" xfId="18377" xr:uid="{00000000-0005-0000-0000-0000CC470000}"/>
    <cellStyle name="Millares 5 7 2" xfId="18378" xr:uid="{00000000-0005-0000-0000-0000CD470000}"/>
    <cellStyle name="Millares 5 8" xfId="18379" xr:uid="{00000000-0005-0000-0000-0000CE470000}"/>
    <cellStyle name="Millares 6" xfId="18380" xr:uid="{00000000-0005-0000-0000-0000CF470000}"/>
    <cellStyle name="Millares 6 2" xfId="18381" xr:uid="{00000000-0005-0000-0000-0000D0470000}"/>
    <cellStyle name="Millares 6 2 2" xfId="18382" xr:uid="{00000000-0005-0000-0000-0000D1470000}"/>
    <cellStyle name="Millares 6 2 2 2" xfId="18383" xr:uid="{00000000-0005-0000-0000-0000D2470000}"/>
    <cellStyle name="Millares 6 2 2 2 2" xfId="18384" xr:uid="{00000000-0005-0000-0000-0000D3470000}"/>
    <cellStyle name="Millares 6 2 2 2 2 2" xfId="18385" xr:uid="{00000000-0005-0000-0000-0000D4470000}"/>
    <cellStyle name="Millares 6 2 2 2 3" xfId="18386" xr:uid="{00000000-0005-0000-0000-0000D5470000}"/>
    <cellStyle name="Millares 6 2 2 3" xfId="18387" xr:uid="{00000000-0005-0000-0000-0000D6470000}"/>
    <cellStyle name="Millares 6 2 2 3 2" xfId="18388" xr:uid="{00000000-0005-0000-0000-0000D7470000}"/>
    <cellStyle name="Millares 6 2 2 3 2 2" xfId="18389" xr:uid="{00000000-0005-0000-0000-0000D8470000}"/>
    <cellStyle name="Millares 6 2 2 3 3" xfId="18390" xr:uid="{00000000-0005-0000-0000-0000D9470000}"/>
    <cellStyle name="Millares 6 2 2 4" xfId="18391" xr:uid="{00000000-0005-0000-0000-0000DA470000}"/>
    <cellStyle name="Millares 6 2 2 4 2" xfId="18392" xr:uid="{00000000-0005-0000-0000-0000DB470000}"/>
    <cellStyle name="Millares 6 2 2 5" xfId="18393" xr:uid="{00000000-0005-0000-0000-0000DC470000}"/>
    <cellStyle name="Millares 6 2 3" xfId="18394" xr:uid="{00000000-0005-0000-0000-0000DD470000}"/>
    <cellStyle name="Millares 6 2 4" xfId="18395" xr:uid="{00000000-0005-0000-0000-0000DE470000}"/>
    <cellStyle name="Millares 6 2 4 2" xfId="18396" xr:uid="{00000000-0005-0000-0000-0000DF470000}"/>
    <cellStyle name="Millares 6 2 4 2 2" xfId="18397" xr:uid="{00000000-0005-0000-0000-0000E0470000}"/>
    <cellStyle name="Millares 6 2 4 2 2 2" xfId="18398" xr:uid="{00000000-0005-0000-0000-0000E1470000}"/>
    <cellStyle name="Millares 6 2 4 2 3" xfId="18399" xr:uid="{00000000-0005-0000-0000-0000E2470000}"/>
    <cellStyle name="Millares 6 2 4 3" xfId="18400" xr:uid="{00000000-0005-0000-0000-0000E3470000}"/>
    <cellStyle name="Millares 6 2 4 3 2" xfId="18401" xr:uid="{00000000-0005-0000-0000-0000E4470000}"/>
    <cellStyle name="Millares 6 2 4 4" xfId="18402" xr:uid="{00000000-0005-0000-0000-0000E5470000}"/>
    <cellStyle name="Millares 6 2 5" xfId="18403" xr:uid="{00000000-0005-0000-0000-0000E6470000}"/>
    <cellStyle name="Millares 6 2 5 2" xfId="18404" xr:uid="{00000000-0005-0000-0000-0000E7470000}"/>
    <cellStyle name="Millares 6 2 5 2 2" xfId="18405" xr:uid="{00000000-0005-0000-0000-0000E8470000}"/>
    <cellStyle name="Millares 6 2 5 3" xfId="18406" xr:uid="{00000000-0005-0000-0000-0000E9470000}"/>
    <cellStyle name="Millares 6 2 6" xfId="18407" xr:uid="{00000000-0005-0000-0000-0000EA470000}"/>
    <cellStyle name="Millares 6 2 6 2" xfId="18408" xr:uid="{00000000-0005-0000-0000-0000EB470000}"/>
    <cellStyle name="Millares 6 2 7" xfId="18409" xr:uid="{00000000-0005-0000-0000-0000EC470000}"/>
    <cellStyle name="Millares 6 3" xfId="18410" xr:uid="{00000000-0005-0000-0000-0000ED470000}"/>
    <cellStyle name="Millares 6 3 2" xfId="18411" xr:uid="{00000000-0005-0000-0000-0000EE470000}"/>
    <cellStyle name="Millares 6 3 2 2" xfId="18412" xr:uid="{00000000-0005-0000-0000-0000EF470000}"/>
    <cellStyle name="Millares 6 3 2 2 2" xfId="18413" xr:uid="{00000000-0005-0000-0000-0000F0470000}"/>
    <cellStyle name="Millares 6 3 2 3" xfId="18414" xr:uid="{00000000-0005-0000-0000-0000F1470000}"/>
    <cellStyle name="Millares 6 3 3" xfId="18415" xr:uid="{00000000-0005-0000-0000-0000F2470000}"/>
    <cellStyle name="Millares 6 3 3 2" xfId="18416" xr:uid="{00000000-0005-0000-0000-0000F3470000}"/>
    <cellStyle name="Millares 6 3 3 2 2" xfId="18417" xr:uid="{00000000-0005-0000-0000-0000F4470000}"/>
    <cellStyle name="Millares 6 3 3 3" xfId="18418" xr:uid="{00000000-0005-0000-0000-0000F5470000}"/>
    <cellStyle name="Millares 6 3 4" xfId="18419" xr:uid="{00000000-0005-0000-0000-0000F6470000}"/>
    <cellStyle name="Millares 6 3 4 2" xfId="18420" xr:uid="{00000000-0005-0000-0000-0000F7470000}"/>
    <cellStyle name="Millares 6 3 5" xfId="18421" xr:uid="{00000000-0005-0000-0000-0000F8470000}"/>
    <cellStyle name="Millares 6 4" xfId="18422" xr:uid="{00000000-0005-0000-0000-0000F9470000}"/>
    <cellStyle name="Millares 6 5" xfId="18423" xr:uid="{00000000-0005-0000-0000-0000FA470000}"/>
    <cellStyle name="Millares 6 5 2" xfId="18424" xr:uid="{00000000-0005-0000-0000-0000FB470000}"/>
    <cellStyle name="Millares 6 5 2 2" xfId="18425" xr:uid="{00000000-0005-0000-0000-0000FC470000}"/>
    <cellStyle name="Millares 6 5 2 2 2" xfId="18426" xr:uid="{00000000-0005-0000-0000-0000FD470000}"/>
    <cellStyle name="Millares 6 5 2 3" xfId="18427" xr:uid="{00000000-0005-0000-0000-0000FE470000}"/>
    <cellStyle name="Millares 6 5 3" xfId="18428" xr:uid="{00000000-0005-0000-0000-0000FF470000}"/>
    <cellStyle name="Millares 6 5 3 2" xfId="18429" xr:uid="{00000000-0005-0000-0000-000000480000}"/>
    <cellStyle name="Millares 6 5 4" xfId="18430" xr:uid="{00000000-0005-0000-0000-000001480000}"/>
    <cellStyle name="Millares 6 6" xfId="18431" xr:uid="{00000000-0005-0000-0000-000002480000}"/>
    <cellStyle name="Millares 6 6 2" xfId="18432" xr:uid="{00000000-0005-0000-0000-000003480000}"/>
    <cellStyle name="Millares 6 6 2 2" xfId="18433" xr:uid="{00000000-0005-0000-0000-000004480000}"/>
    <cellStyle name="Millares 6 6 3" xfId="18434" xr:uid="{00000000-0005-0000-0000-000005480000}"/>
    <cellStyle name="Millares 6 7" xfId="18435" xr:uid="{00000000-0005-0000-0000-000006480000}"/>
    <cellStyle name="Millares 6 7 2" xfId="18436" xr:uid="{00000000-0005-0000-0000-000007480000}"/>
    <cellStyle name="Millares 6 8" xfId="18437" xr:uid="{00000000-0005-0000-0000-000008480000}"/>
    <cellStyle name="Millares 7" xfId="18438" xr:uid="{00000000-0005-0000-0000-000009480000}"/>
    <cellStyle name="Millares 7 2" xfId="18439" xr:uid="{00000000-0005-0000-0000-00000A480000}"/>
    <cellStyle name="Millares 7 2 2" xfId="18440" xr:uid="{00000000-0005-0000-0000-00000B480000}"/>
    <cellStyle name="Millares 7 2 2 2" xfId="18441" xr:uid="{00000000-0005-0000-0000-00000C480000}"/>
    <cellStyle name="Millares 7 2 2 2 2" xfId="18442" xr:uid="{00000000-0005-0000-0000-00000D480000}"/>
    <cellStyle name="Millares 7 2 2 2 2 2" xfId="18443" xr:uid="{00000000-0005-0000-0000-00000E480000}"/>
    <cellStyle name="Millares 7 2 2 2 3" xfId="18444" xr:uid="{00000000-0005-0000-0000-00000F480000}"/>
    <cellStyle name="Millares 7 2 2 3" xfId="18445" xr:uid="{00000000-0005-0000-0000-000010480000}"/>
    <cellStyle name="Millares 7 2 2 3 2" xfId="18446" xr:uid="{00000000-0005-0000-0000-000011480000}"/>
    <cellStyle name="Millares 7 2 2 3 2 2" xfId="18447" xr:uid="{00000000-0005-0000-0000-000012480000}"/>
    <cellStyle name="Millares 7 2 2 3 3" xfId="18448" xr:uid="{00000000-0005-0000-0000-000013480000}"/>
    <cellStyle name="Millares 7 2 2 4" xfId="18449" xr:uid="{00000000-0005-0000-0000-000014480000}"/>
    <cellStyle name="Millares 7 2 2 4 2" xfId="18450" xr:uid="{00000000-0005-0000-0000-000015480000}"/>
    <cellStyle name="Millares 7 2 2 5" xfId="18451" xr:uid="{00000000-0005-0000-0000-000016480000}"/>
    <cellStyle name="Millares 7 2 3" xfId="18452" xr:uid="{00000000-0005-0000-0000-000017480000}"/>
    <cellStyle name="Millares 7 2 4" xfId="18453" xr:uid="{00000000-0005-0000-0000-000018480000}"/>
    <cellStyle name="Millares 7 2 4 2" xfId="18454" xr:uid="{00000000-0005-0000-0000-000019480000}"/>
    <cellStyle name="Millares 7 2 4 2 2" xfId="18455" xr:uid="{00000000-0005-0000-0000-00001A480000}"/>
    <cellStyle name="Millares 7 2 4 2 2 2" xfId="18456" xr:uid="{00000000-0005-0000-0000-00001B480000}"/>
    <cellStyle name="Millares 7 2 4 2 3" xfId="18457" xr:uid="{00000000-0005-0000-0000-00001C480000}"/>
    <cellStyle name="Millares 7 2 4 3" xfId="18458" xr:uid="{00000000-0005-0000-0000-00001D480000}"/>
    <cellStyle name="Millares 7 2 4 3 2" xfId="18459" xr:uid="{00000000-0005-0000-0000-00001E480000}"/>
    <cellStyle name="Millares 7 2 4 4" xfId="18460" xr:uid="{00000000-0005-0000-0000-00001F480000}"/>
    <cellStyle name="Millares 7 2 5" xfId="18461" xr:uid="{00000000-0005-0000-0000-000020480000}"/>
    <cellStyle name="Millares 7 2 5 2" xfId="18462" xr:uid="{00000000-0005-0000-0000-000021480000}"/>
    <cellStyle name="Millares 7 2 5 2 2" xfId="18463" xr:uid="{00000000-0005-0000-0000-000022480000}"/>
    <cellStyle name="Millares 7 2 5 3" xfId="18464" xr:uid="{00000000-0005-0000-0000-000023480000}"/>
    <cellStyle name="Millares 7 2 6" xfId="18465" xr:uid="{00000000-0005-0000-0000-000024480000}"/>
    <cellStyle name="Millares 7 2 6 2" xfId="18466" xr:uid="{00000000-0005-0000-0000-000025480000}"/>
    <cellStyle name="Millares 7 2 7" xfId="18467" xr:uid="{00000000-0005-0000-0000-000026480000}"/>
    <cellStyle name="Millares 7 3" xfId="18468" xr:uid="{00000000-0005-0000-0000-000027480000}"/>
    <cellStyle name="Millares 7 3 2" xfId="18469" xr:uid="{00000000-0005-0000-0000-000028480000}"/>
    <cellStyle name="Millares 7 3 2 2" xfId="18470" xr:uid="{00000000-0005-0000-0000-000029480000}"/>
    <cellStyle name="Millares 7 3 2 2 2" xfId="18471" xr:uid="{00000000-0005-0000-0000-00002A480000}"/>
    <cellStyle name="Millares 7 3 2 3" xfId="18472" xr:uid="{00000000-0005-0000-0000-00002B480000}"/>
    <cellStyle name="Millares 7 3 3" xfId="18473" xr:uid="{00000000-0005-0000-0000-00002C480000}"/>
    <cellStyle name="Millares 7 3 3 2" xfId="18474" xr:uid="{00000000-0005-0000-0000-00002D480000}"/>
    <cellStyle name="Millares 7 3 3 2 2" xfId="18475" xr:uid="{00000000-0005-0000-0000-00002E480000}"/>
    <cellStyle name="Millares 7 3 3 3" xfId="18476" xr:uid="{00000000-0005-0000-0000-00002F480000}"/>
    <cellStyle name="Millares 7 3 4" xfId="18477" xr:uid="{00000000-0005-0000-0000-000030480000}"/>
    <cellStyle name="Millares 7 3 4 2" xfId="18478" xr:uid="{00000000-0005-0000-0000-000031480000}"/>
    <cellStyle name="Millares 7 3 5" xfId="18479" xr:uid="{00000000-0005-0000-0000-000032480000}"/>
    <cellStyle name="Millares 7 4" xfId="18480" xr:uid="{00000000-0005-0000-0000-000033480000}"/>
    <cellStyle name="Millares 7 5" xfId="18481" xr:uid="{00000000-0005-0000-0000-000034480000}"/>
    <cellStyle name="Millares 7 5 2" xfId="18482" xr:uid="{00000000-0005-0000-0000-000035480000}"/>
    <cellStyle name="Millares 7 5 2 2" xfId="18483" xr:uid="{00000000-0005-0000-0000-000036480000}"/>
    <cellStyle name="Millares 7 5 2 2 2" xfId="18484" xr:uid="{00000000-0005-0000-0000-000037480000}"/>
    <cellStyle name="Millares 7 5 2 3" xfId="18485" xr:uid="{00000000-0005-0000-0000-000038480000}"/>
    <cellStyle name="Millares 7 5 3" xfId="18486" xr:uid="{00000000-0005-0000-0000-000039480000}"/>
    <cellStyle name="Millares 7 5 3 2" xfId="18487" xr:uid="{00000000-0005-0000-0000-00003A480000}"/>
    <cellStyle name="Millares 7 5 4" xfId="18488" xr:uid="{00000000-0005-0000-0000-00003B480000}"/>
    <cellStyle name="Millares 7 6" xfId="18489" xr:uid="{00000000-0005-0000-0000-00003C480000}"/>
    <cellStyle name="Millares 7 6 2" xfId="18490" xr:uid="{00000000-0005-0000-0000-00003D480000}"/>
    <cellStyle name="Millares 7 6 2 2" xfId="18491" xr:uid="{00000000-0005-0000-0000-00003E480000}"/>
    <cellStyle name="Millares 7 6 3" xfId="18492" xr:uid="{00000000-0005-0000-0000-00003F480000}"/>
    <cellStyle name="Millares 7 7" xfId="18493" xr:uid="{00000000-0005-0000-0000-000040480000}"/>
    <cellStyle name="Millares 7 7 2" xfId="18494" xr:uid="{00000000-0005-0000-0000-000041480000}"/>
    <cellStyle name="Millares 7 8" xfId="18495" xr:uid="{00000000-0005-0000-0000-000042480000}"/>
    <cellStyle name="Millares 8" xfId="18496" xr:uid="{00000000-0005-0000-0000-000043480000}"/>
    <cellStyle name="Millares 8 2" xfId="18497" xr:uid="{00000000-0005-0000-0000-000044480000}"/>
    <cellStyle name="Millares 8 2 2" xfId="18498" xr:uid="{00000000-0005-0000-0000-000045480000}"/>
    <cellStyle name="Millares 8 2 2 2" xfId="18499" xr:uid="{00000000-0005-0000-0000-000046480000}"/>
    <cellStyle name="Millares 8 2 2 2 2" xfId="18500" xr:uid="{00000000-0005-0000-0000-000047480000}"/>
    <cellStyle name="Millares 8 2 2 2 2 2" xfId="18501" xr:uid="{00000000-0005-0000-0000-000048480000}"/>
    <cellStyle name="Millares 8 2 2 2 3" xfId="18502" xr:uid="{00000000-0005-0000-0000-000049480000}"/>
    <cellStyle name="Millares 8 2 2 3" xfId="18503" xr:uid="{00000000-0005-0000-0000-00004A480000}"/>
    <cellStyle name="Millares 8 2 2 3 2" xfId="18504" xr:uid="{00000000-0005-0000-0000-00004B480000}"/>
    <cellStyle name="Millares 8 2 2 4" xfId="18505" xr:uid="{00000000-0005-0000-0000-00004C480000}"/>
    <cellStyle name="Millares 8 2 3" xfId="18506" xr:uid="{00000000-0005-0000-0000-00004D480000}"/>
    <cellStyle name="Millares 8 2 3 2" xfId="18507" xr:uid="{00000000-0005-0000-0000-00004E480000}"/>
    <cellStyle name="Millares 8 2 3 2 2" xfId="18508" xr:uid="{00000000-0005-0000-0000-00004F480000}"/>
    <cellStyle name="Millares 8 2 3 3" xfId="18509" xr:uid="{00000000-0005-0000-0000-000050480000}"/>
    <cellStyle name="Millares 8 2 4" xfId="18510" xr:uid="{00000000-0005-0000-0000-000051480000}"/>
    <cellStyle name="Millares 8 2 4 2" xfId="18511" xr:uid="{00000000-0005-0000-0000-000052480000}"/>
    <cellStyle name="Millares 8 2 4 2 2" xfId="18512" xr:uid="{00000000-0005-0000-0000-000053480000}"/>
    <cellStyle name="Millares 8 2 4 3" xfId="18513" xr:uid="{00000000-0005-0000-0000-000054480000}"/>
    <cellStyle name="Millares 8 2 5" xfId="18514" xr:uid="{00000000-0005-0000-0000-000055480000}"/>
    <cellStyle name="Millares 8 2 5 2" xfId="18515" xr:uid="{00000000-0005-0000-0000-000056480000}"/>
    <cellStyle name="Millares 8 2 6" xfId="18516" xr:uid="{00000000-0005-0000-0000-000057480000}"/>
    <cellStyle name="Millares 8 3" xfId="18517" xr:uid="{00000000-0005-0000-0000-000058480000}"/>
    <cellStyle name="Millares 8 3 2" xfId="18518" xr:uid="{00000000-0005-0000-0000-000059480000}"/>
    <cellStyle name="Millares 8 3 2 2" xfId="18519" xr:uid="{00000000-0005-0000-0000-00005A480000}"/>
    <cellStyle name="Millares 8 3 2 2 2" xfId="18520" xr:uid="{00000000-0005-0000-0000-00005B480000}"/>
    <cellStyle name="Millares 8 3 2 3" xfId="18521" xr:uid="{00000000-0005-0000-0000-00005C480000}"/>
    <cellStyle name="Millares 8 3 3" xfId="18522" xr:uid="{00000000-0005-0000-0000-00005D480000}"/>
    <cellStyle name="Millares 8 3 3 2" xfId="18523" xr:uid="{00000000-0005-0000-0000-00005E480000}"/>
    <cellStyle name="Millares 8 3 3 2 2" xfId="18524" xr:uid="{00000000-0005-0000-0000-00005F480000}"/>
    <cellStyle name="Millares 8 3 3 3" xfId="18525" xr:uid="{00000000-0005-0000-0000-000060480000}"/>
    <cellStyle name="Millares 8 3 4" xfId="18526" xr:uid="{00000000-0005-0000-0000-000061480000}"/>
    <cellStyle name="Millares 8 3 4 2" xfId="18527" xr:uid="{00000000-0005-0000-0000-000062480000}"/>
    <cellStyle name="Millares 8 3 5" xfId="18528" xr:uid="{00000000-0005-0000-0000-000063480000}"/>
    <cellStyle name="Millares 8 4" xfId="18529" xr:uid="{00000000-0005-0000-0000-000064480000}"/>
    <cellStyle name="Millares 8 4 2" xfId="18530" xr:uid="{00000000-0005-0000-0000-000065480000}"/>
    <cellStyle name="Millares 8 4 2 2" xfId="18531" xr:uid="{00000000-0005-0000-0000-000066480000}"/>
    <cellStyle name="Millares 8 4 2 2 2" xfId="18532" xr:uid="{00000000-0005-0000-0000-000067480000}"/>
    <cellStyle name="Millares 8 4 2 3" xfId="18533" xr:uid="{00000000-0005-0000-0000-000068480000}"/>
    <cellStyle name="Millares 8 4 3" xfId="18534" xr:uid="{00000000-0005-0000-0000-000069480000}"/>
    <cellStyle name="Millares 8 4 3 2" xfId="18535" xr:uid="{00000000-0005-0000-0000-00006A480000}"/>
    <cellStyle name="Millares 8 4 4" xfId="18536" xr:uid="{00000000-0005-0000-0000-00006B480000}"/>
    <cellStyle name="Millares 8 5" xfId="18537" xr:uid="{00000000-0005-0000-0000-00006C480000}"/>
    <cellStyle name="Millares 8 5 2" xfId="18538" xr:uid="{00000000-0005-0000-0000-00006D480000}"/>
    <cellStyle name="Millares 8 5 2 2" xfId="18539" xr:uid="{00000000-0005-0000-0000-00006E480000}"/>
    <cellStyle name="Millares 8 5 3" xfId="18540" xr:uid="{00000000-0005-0000-0000-00006F480000}"/>
    <cellStyle name="Millares 8 6" xfId="18541" xr:uid="{00000000-0005-0000-0000-000070480000}"/>
    <cellStyle name="Millares 8 6 2" xfId="18542" xr:uid="{00000000-0005-0000-0000-000071480000}"/>
    <cellStyle name="Millares 8 6 2 2" xfId="18543" xr:uid="{00000000-0005-0000-0000-000072480000}"/>
    <cellStyle name="Millares 8 6 3" xfId="18544" xr:uid="{00000000-0005-0000-0000-000073480000}"/>
    <cellStyle name="Millares 8 7" xfId="18545" xr:uid="{00000000-0005-0000-0000-000074480000}"/>
    <cellStyle name="Millares 8 7 2" xfId="18546" xr:uid="{00000000-0005-0000-0000-000075480000}"/>
    <cellStyle name="Millares 8 8" xfId="18547" xr:uid="{00000000-0005-0000-0000-000076480000}"/>
    <cellStyle name="Millares 9" xfId="18548" xr:uid="{00000000-0005-0000-0000-000077480000}"/>
    <cellStyle name="Millares 9 2" xfId="18549" xr:uid="{00000000-0005-0000-0000-000078480000}"/>
    <cellStyle name="Millares 9 2 2" xfId="18550" xr:uid="{00000000-0005-0000-0000-000079480000}"/>
    <cellStyle name="Millares 9 3" xfId="18551" xr:uid="{00000000-0005-0000-0000-00007A480000}"/>
    <cellStyle name="Normal" xfId="0" builtinId="0"/>
    <cellStyle name="Normal 10" xfId="18552" xr:uid="{00000000-0005-0000-0000-00007B480000}"/>
    <cellStyle name="Normal 10 2" xfId="18553" xr:uid="{00000000-0005-0000-0000-00007C480000}"/>
    <cellStyle name="Normal 10 3" xfId="18554" xr:uid="{00000000-0005-0000-0000-00007D480000}"/>
    <cellStyle name="Normal 10 3 2" xfId="18555" xr:uid="{00000000-0005-0000-0000-00007E480000}"/>
    <cellStyle name="Normal 10 3 2 2" xfId="18556" xr:uid="{00000000-0005-0000-0000-00007F480000}"/>
    <cellStyle name="Normal 10 3 2 2 2" xfId="18557" xr:uid="{00000000-0005-0000-0000-000080480000}"/>
    <cellStyle name="Normal 10 3 2 3" xfId="18558" xr:uid="{00000000-0005-0000-0000-000081480000}"/>
    <cellStyle name="Normal 10 3 3" xfId="18559" xr:uid="{00000000-0005-0000-0000-000082480000}"/>
    <cellStyle name="Normal 10 3 3 2" xfId="18560" xr:uid="{00000000-0005-0000-0000-000083480000}"/>
    <cellStyle name="Normal 10 3 3 2 2" xfId="18561" xr:uid="{00000000-0005-0000-0000-000084480000}"/>
    <cellStyle name="Normal 10 3 3 3" xfId="18562" xr:uid="{00000000-0005-0000-0000-000085480000}"/>
    <cellStyle name="Normal 10 3 4" xfId="18563" xr:uid="{00000000-0005-0000-0000-000086480000}"/>
    <cellStyle name="Normal 10 3 4 2" xfId="18564" xr:uid="{00000000-0005-0000-0000-000087480000}"/>
    <cellStyle name="Normal 10 3 5" xfId="18565" xr:uid="{00000000-0005-0000-0000-000088480000}"/>
    <cellStyle name="Normal 10 4" xfId="18566" xr:uid="{00000000-0005-0000-0000-000089480000}"/>
    <cellStyle name="Normal 10 4 2" xfId="18567" xr:uid="{00000000-0005-0000-0000-00008A480000}"/>
    <cellStyle name="Normal 10 4 2 2" xfId="18568" xr:uid="{00000000-0005-0000-0000-00008B480000}"/>
    <cellStyle name="Normal 10 4 3" xfId="18569" xr:uid="{00000000-0005-0000-0000-00008C480000}"/>
    <cellStyle name="Normal 11" xfId="18570" xr:uid="{00000000-0005-0000-0000-00008D480000}"/>
    <cellStyle name="Normal 11 2" xfId="18571" xr:uid="{00000000-0005-0000-0000-00008E480000}"/>
    <cellStyle name="Normal 11 2 2" xfId="18572" xr:uid="{00000000-0005-0000-0000-00008F480000}"/>
    <cellStyle name="Normal 11 2 2 2" xfId="18573" xr:uid="{00000000-0005-0000-0000-000090480000}"/>
    <cellStyle name="Normal 11 2 2 2 2" xfId="18574" xr:uid="{00000000-0005-0000-0000-000091480000}"/>
    <cellStyle name="Normal 11 2 2 2 2 2" xfId="18575" xr:uid="{00000000-0005-0000-0000-000092480000}"/>
    <cellStyle name="Normal 11 2 2 2 3" xfId="18576" xr:uid="{00000000-0005-0000-0000-000093480000}"/>
    <cellStyle name="Normal 11 2 2 3" xfId="18577" xr:uid="{00000000-0005-0000-0000-000094480000}"/>
    <cellStyle name="Normal 11 2 2 3 2" xfId="18578" xr:uid="{00000000-0005-0000-0000-000095480000}"/>
    <cellStyle name="Normal 11 2 2 4" xfId="18579" xr:uid="{00000000-0005-0000-0000-000096480000}"/>
    <cellStyle name="Normal 11 2 3" xfId="18580" xr:uid="{00000000-0005-0000-0000-000097480000}"/>
    <cellStyle name="Normal 11 2 3 2" xfId="18581" xr:uid="{00000000-0005-0000-0000-000098480000}"/>
    <cellStyle name="Normal 11 2 3 2 2" xfId="18582" xr:uid="{00000000-0005-0000-0000-000099480000}"/>
    <cellStyle name="Normal 11 2 3 3" xfId="18583" xr:uid="{00000000-0005-0000-0000-00009A480000}"/>
    <cellStyle name="Normal 11 2 4" xfId="18584" xr:uid="{00000000-0005-0000-0000-00009B480000}"/>
    <cellStyle name="Normal 11 2 4 2" xfId="18585" xr:uid="{00000000-0005-0000-0000-00009C480000}"/>
    <cellStyle name="Normal 11 2 4 2 2" xfId="18586" xr:uid="{00000000-0005-0000-0000-00009D480000}"/>
    <cellStyle name="Normal 11 2 4 3" xfId="18587" xr:uid="{00000000-0005-0000-0000-00009E480000}"/>
    <cellStyle name="Normal 11 2 5" xfId="18588" xr:uid="{00000000-0005-0000-0000-00009F480000}"/>
    <cellStyle name="Normal 11 2 5 2" xfId="18589" xr:uid="{00000000-0005-0000-0000-0000A0480000}"/>
    <cellStyle name="Normal 11 2 6" xfId="18590" xr:uid="{00000000-0005-0000-0000-0000A1480000}"/>
    <cellStyle name="Normal 11 3" xfId="18591" xr:uid="{00000000-0005-0000-0000-0000A2480000}"/>
    <cellStyle name="Normal 11 3 2" xfId="18592" xr:uid="{00000000-0005-0000-0000-0000A3480000}"/>
    <cellStyle name="Normal 11 3 2 2" xfId="18593" xr:uid="{00000000-0005-0000-0000-0000A4480000}"/>
    <cellStyle name="Normal 11 3 2 2 2" xfId="18594" xr:uid="{00000000-0005-0000-0000-0000A5480000}"/>
    <cellStyle name="Normal 11 3 2 3" xfId="18595" xr:uid="{00000000-0005-0000-0000-0000A6480000}"/>
    <cellStyle name="Normal 11 3 3" xfId="18596" xr:uid="{00000000-0005-0000-0000-0000A7480000}"/>
    <cellStyle name="Normal 11 3 3 2" xfId="18597" xr:uid="{00000000-0005-0000-0000-0000A8480000}"/>
    <cellStyle name="Normal 11 3 3 2 2" xfId="18598" xr:uid="{00000000-0005-0000-0000-0000A9480000}"/>
    <cellStyle name="Normal 11 3 3 3" xfId="18599" xr:uid="{00000000-0005-0000-0000-0000AA480000}"/>
    <cellStyle name="Normal 11 3 4" xfId="18600" xr:uid="{00000000-0005-0000-0000-0000AB480000}"/>
    <cellStyle name="Normal 11 3 4 2" xfId="18601" xr:uid="{00000000-0005-0000-0000-0000AC480000}"/>
    <cellStyle name="Normal 11 3 5" xfId="18602" xr:uid="{00000000-0005-0000-0000-0000AD480000}"/>
    <cellStyle name="Normal 11 4" xfId="18603" xr:uid="{00000000-0005-0000-0000-0000AE480000}"/>
    <cellStyle name="Normal 11 4 2" xfId="18604" xr:uid="{00000000-0005-0000-0000-0000AF480000}"/>
    <cellStyle name="Normal 11 4 2 2" xfId="18605" xr:uid="{00000000-0005-0000-0000-0000B0480000}"/>
    <cellStyle name="Normal 11 4 2 2 2" xfId="18606" xr:uid="{00000000-0005-0000-0000-0000B1480000}"/>
    <cellStyle name="Normal 11 4 2 3" xfId="18607" xr:uid="{00000000-0005-0000-0000-0000B2480000}"/>
    <cellStyle name="Normal 11 4 3" xfId="18608" xr:uid="{00000000-0005-0000-0000-0000B3480000}"/>
    <cellStyle name="Normal 11 4 3 2" xfId="18609" xr:uid="{00000000-0005-0000-0000-0000B4480000}"/>
    <cellStyle name="Normal 11 4 4" xfId="18610" xr:uid="{00000000-0005-0000-0000-0000B5480000}"/>
    <cellStyle name="Normal 11 5" xfId="18611" xr:uid="{00000000-0005-0000-0000-0000B6480000}"/>
    <cellStyle name="Normal 11 5 2" xfId="18612" xr:uid="{00000000-0005-0000-0000-0000B7480000}"/>
    <cellStyle name="Normal 11 5 2 2" xfId="18613" xr:uid="{00000000-0005-0000-0000-0000B8480000}"/>
    <cellStyle name="Normal 11 5 3" xfId="18614" xr:uid="{00000000-0005-0000-0000-0000B9480000}"/>
    <cellStyle name="Normal 11 6" xfId="18615" xr:uid="{00000000-0005-0000-0000-0000BA480000}"/>
    <cellStyle name="Normal 11 6 2" xfId="18616" xr:uid="{00000000-0005-0000-0000-0000BB480000}"/>
    <cellStyle name="Normal 11 6 2 2" xfId="18617" xr:uid="{00000000-0005-0000-0000-0000BC480000}"/>
    <cellStyle name="Normal 11 6 3" xfId="18618" xr:uid="{00000000-0005-0000-0000-0000BD480000}"/>
    <cellStyle name="Normal 11 7" xfId="18619" xr:uid="{00000000-0005-0000-0000-0000BE480000}"/>
    <cellStyle name="Normal 11 7 2" xfId="18620" xr:uid="{00000000-0005-0000-0000-0000BF480000}"/>
    <cellStyle name="Normal 11 8" xfId="18621" xr:uid="{00000000-0005-0000-0000-0000C0480000}"/>
    <cellStyle name="Normal 12" xfId="18622" xr:uid="{00000000-0005-0000-0000-0000C1480000}"/>
    <cellStyle name="Normal 12 2" xfId="18623" xr:uid="{00000000-0005-0000-0000-0000C2480000}"/>
    <cellStyle name="Normal 13" xfId="18624" xr:uid="{00000000-0005-0000-0000-0000C3480000}"/>
    <cellStyle name="Normal 13 2" xfId="18625" xr:uid="{00000000-0005-0000-0000-0000C4480000}"/>
    <cellStyle name="Normal 13 2 2" xfId="18626" xr:uid="{00000000-0005-0000-0000-0000C5480000}"/>
    <cellStyle name="Normal 13 2 2 2" xfId="18627" xr:uid="{00000000-0005-0000-0000-0000C6480000}"/>
    <cellStyle name="Normal 13 2 2 2 2" xfId="18628" xr:uid="{00000000-0005-0000-0000-0000C7480000}"/>
    <cellStyle name="Normal 13 2 2 2 2 2" xfId="18629" xr:uid="{00000000-0005-0000-0000-0000C8480000}"/>
    <cellStyle name="Normal 13 2 2 2 3" xfId="18630" xr:uid="{00000000-0005-0000-0000-0000C9480000}"/>
    <cellStyle name="Normal 13 2 2 3" xfId="18631" xr:uid="{00000000-0005-0000-0000-0000CA480000}"/>
    <cellStyle name="Normal 13 2 2 3 2" xfId="18632" xr:uid="{00000000-0005-0000-0000-0000CB480000}"/>
    <cellStyle name="Normal 13 2 2 4" xfId="18633" xr:uid="{00000000-0005-0000-0000-0000CC480000}"/>
    <cellStyle name="Normal 13 2 3" xfId="18634" xr:uid="{00000000-0005-0000-0000-0000CD480000}"/>
    <cellStyle name="Normal 13 2 3 2" xfId="18635" xr:uid="{00000000-0005-0000-0000-0000CE480000}"/>
    <cellStyle name="Normal 13 2 3 2 2" xfId="18636" xr:uid="{00000000-0005-0000-0000-0000CF480000}"/>
    <cellStyle name="Normal 13 2 3 3" xfId="18637" xr:uid="{00000000-0005-0000-0000-0000D0480000}"/>
    <cellStyle name="Normal 13 2 4" xfId="18638" xr:uid="{00000000-0005-0000-0000-0000D1480000}"/>
    <cellStyle name="Normal 13 2 4 2" xfId="18639" xr:uid="{00000000-0005-0000-0000-0000D2480000}"/>
    <cellStyle name="Normal 13 2 4 2 2" xfId="18640" xr:uid="{00000000-0005-0000-0000-0000D3480000}"/>
    <cellStyle name="Normal 13 2 4 3" xfId="18641" xr:uid="{00000000-0005-0000-0000-0000D4480000}"/>
    <cellStyle name="Normal 13 2 5" xfId="18642" xr:uid="{00000000-0005-0000-0000-0000D5480000}"/>
    <cellStyle name="Normal 13 2 5 2" xfId="18643" xr:uid="{00000000-0005-0000-0000-0000D6480000}"/>
    <cellStyle name="Normal 13 2 6" xfId="18644" xr:uid="{00000000-0005-0000-0000-0000D7480000}"/>
    <cellStyle name="Normal 13 3" xfId="18645" xr:uid="{00000000-0005-0000-0000-0000D8480000}"/>
    <cellStyle name="Normal 13 3 2" xfId="18646" xr:uid="{00000000-0005-0000-0000-0000D9480000}"/>
    <cellStyle name="Normal 13 3 2 2" xfId="18647" xr:uid="{00000000-0005-0000-0000-0000DA480000}"/>
    <cellStyle name="Normal 13 3 2 2 2" xfId="18648" xr:uid="{00000000-0005-0000-0000-0000DB480000}"/>
    <cellStyle name="Normal 13 3 2 3" xfId="18649" xr:uid="{00000000-0005-0000-0000-0000DC480000}"/>
    <cellStyle name="Normal 13 3 3" xfId="18650" xr:uid="{00000000-0005-0000-0000-0000DD480000}"/>
    <cellStyle name="Normal 13 3 3 2" xfId="18651" xr:uid="{00000000-0005-0000-0000-0000DE480000}"/>
    <cellStyle name="Normal 13 3 3 2 2" xfId="18652" xr:uid="{00000000-0005-0000-0000-0000DF480000}"/>
    <cellStyle name="Normal 13 3 3 3" xfId="18653" xr:uid="{00000000-0005-0000-0000-0000E0480000}"/>
    <cellStyle name="Normal 13 3 4" xfId="18654" xr:uid="{00000000-0005-0000-0000-0000E1480000}"/>
    <cellStyle name="Normal 13 3 4 2" xfId="18655" xr:uid="{00000000-0005-0000-0000-0000E2480000}"/>
    <cellStyle name="Normal 13 3 5" xfId="18656" xr:uid="{00000000-0005-0000-0000-0000E3480000}"/>
    <cellStyle name="Normal 13 4" xfId="18657" xr:uid="{00000000-0005-0000-0000-0000E4480000}"/>
    <cellStyle name="Normal 13 4 2" xfId="18658" xr:uid="{00000000-0005-0000-0000-0000E5480000}"/>
    <cellStyle name="Normal 13 4 2 2" xfId="18659" xr:uid="{00000000-0005-0000-0000-0000E6480000}"/>
    <cellStyle name="Normal 13 4 2 2 2" xfId="18660" xr:uid="{00000000-0005-0000-0000-0000E7480000}"/>
    <cellStyle name="Normal 13 4 2 3" xfId="18661" xr:uid="{00000000-0005-0000-0000-0000E8480000}"/>
    <cellStyle name="Normal 13 4 3" xfId="18662" xr:uid="{00000000-0005-0000-0000-0000E9480000}"/>
    <cellStyle name="Normal 13 4 3 2" xfId="18663" xr:uid="{00000000-0005-0000-0000-0000EA480000}"/>
    <cellStyle name="Normal 13 4 4" xfId="18664" xr:uid="{00000000-0005-0000-0000-0000EB480000}"/>
    <cellStyle name="Normal 13 5" xfId="18665" xr:uid="{00000000-0005-0000-0000-0000EC480000}"/>
    <cellStyle name="Normal 13 5 2" xfId="18666" xr:uid="{00000000-0005-0000-0000-0000ED480000}"/>
    <cellStyle name="Normal 13 5 2 2" xfId="18667" xr:uid="{00000000-0005-0000-0000-0000EE480000}"/>
    <cellStyle name="Normal 13 5 3" xfId="18668" xr:uid="{00000000-0005-0000-0000-0000EF480000}"/>
    <cellStyle name="Normal 13 6" xfId="18669" xr:uid="{00000000-0005-0000-0000-0000F0480000}"/>
    <cellStyle name="Normal 13 6 2" xfId="18670" xr:uid="{00000000-0005-0000-0000-0000F1480000}"/>
    <cellStyle name="Normal 13 6 2 2" xfId="18671" xr:uid="{00000000-0005-0000-0000-0000F2480000}"/>
    <cellStyle name="Normal 13 6 3" xfId="18672" xr:uid="{00000000-0005-0000-0000-0000F3480000}"/>
    <cellStyle name="Normal 13 7" xfId="18673" xr:uid="{00000000-0005-0000-0000-0000F4480000}"/>
    <cellStyle name="Normal 13 7 2" xfId="18674" xr:uid="{00000000-0005-0000-0000-0000F5480000}"/>
    <cellStyle name="Normal 13 8" xfId="18675" xr:uid="{00000000-0005-0000-0000-0000F6480000}"/>
    <cellStyle name="Normal 14" xfId="18676" xr:uid="{00000000-0005-0000-0000-0000F7480000}"/>
    <cellStyle name="Normal 14 2" xfId="18677" xr:uid="{00000000-0005-0000-0000-0000F8480000}"/>
    <cellStyle name="Normal 14 2 2" xfId="18678" xr:uid="{00000000-0005-0000-0000-0000F9480000}"/>
    <cellStyle name="Normal 14 2 2 2" xfId="18679" xr:uid="{00000000-0005-0000-0000-0000FA480000}"/>
    <cellStyle name="Normal 14 2 2 2 2" xfId="18680" xr:uid="{00000000-0005-0000-0000-0000FB480000}"/>
    <cellStyle name="Normal 14 2 2 2 2 2" xfId="18681" xr:uid="{00000000-0005-0000-0000-0000FC480000}"/>
    <cellStyle name="Normal 14 2 2 2 3" xfId="18682" xr:uid="{00000000-0005-0000-0000-0000FD480000}"/>
    <cellStyle name="Normal 14 2 2 3" xfId="18683" xr:uid="{00000000-0005-0000-0000-0000FE480000}"/>
    <cellStyle name="Normal 14 2 2 3 2" xfId="18684" xr:uid="{00000000-0005-0000-0000-0000FF480000}"/>
    <cellStyle name="Normal 14 2 2 4" xfId="18685" xr:uid="{00000000-0005-0000-0000-000000490000}"/>
    <cellStyle name="Normal 14 2 3" xfId="18686" xr:uid="{00000000-0005-0000-0000-000001490000}"/>
    <cellStyle name="Normal 14 2 3 2" xfId="18687" xr:uid="{00000000-0005-0000-0000-000002490000}"/>
    <cellStyle name="Normal 14 2 3 2 2" xfId="18688" xr:uid="{00000000-0005-0000-0000-000003490000}"/>
    <cellStyle name="Normal 14 2 3 3" xfId="18689" xr:uid="{00000000-0005-0000-0000-000004490000}"/>
    <cellStyle name="Normal 14 2 4" xfId="18690" xr:uid="{00000000-0005-0000-0000-000005490000}"/>
    <cellStyle name="Normal 14 2 4 2" xfId="18691" xr:uid="{00000000-0005-0000-0000-000006490000}"/>
    <cellStyle name="Normal 14 2 4 2 2" xfId="18692" xr:uid="{00000000-0005-0000-0000-000007490000}"/>
    <cellStyle name="Normal 14 2 4 3" xfId="18693" xr:uid="{00000000-0005-0000-0000-000008490000}"/>
    <cellStyle name="Normal 14 2 5" xfId="18694" xr:uid="{00000000-0005-0000-0000-000009490000}"/>
    <cellStyle name="Normal 14 2 5 2" xfId="18695" xr:uid="{00000000-0005-0000-0000-00000A490000}"/>
    <cellStyle name="Normal 14 2 6" xfId="18696" xr:uid="{00000000-0005-0000-0000-00000B490000}"/>
    <cellStyle name="Normal 14 3" xfId="18697" xr:uid="{00000000-0005-0000-0000-00000C490000}"/>
    <cellStyle name="Normal 14 3 2" xfId="18698" xr:uid="{00000000-0005-0000-0000-00000D490000}"/>
    <cellStyle name="Normal 14 3 2 2" xfId="18699" xr:uid="{00000000-0005-0000-0000-00000E490000}"/>
    <cellStyle name="Normal 14 3 2 2 2" xfId="18700" xr:uid="{00000000-0005-0000-0000-00000F490000}"/>
    <cellStyle name="Normal 14 3 2 3" xfId="18701" xr:uid="{00000000-0005-0000-0000-000010490000}"/>
    <cellStyle name="Normal 14 3 3" xfId="18702" xr:uid="{00000000-0005-0000-0000-000011490000}"/>
    <cellStyle name="Normal 14 3 3 2" xfId="18703" xr:uid="{00000000-0005-0000-0000-000012490000}"/>
    <cellStyle name="Normal 14 3 3 2 2" xfId="18704" xr:uid="{00000000-0005-0000-0000-000013490000}"/>
    <cellStyle name="Normal 14 3 3 3" xfId="18705" xr:uid="{00000000-0005-0000-0000-000014490000}"/>
    <cellStyle name="Normal 14 3 4" xfId="18706" xr:uid="{00000000-0005-0000-0000-000015490000}"/>
    <cellStyle name="Normal 14 3 4 2" xfId="18707" xr:uid="{00000000-0005-0000-0000-000016490000}"/>
    <cellStyle name="Normal 14 3 5" xfId="18708" xr:uid="{00000000-0005-0000-0000-000017490000}"/>
    <cellStyle name="Normal 14 4" xfId="18709" xr:uid="{00000000-0005-0000-0000-000018490000}"/>
    <cellStyle name="Normal 14 4 2" xfId="18710" xr:uid="{00000000-0005-0000-0000-000019490000}"/>
    <cellStyle name="Normal 14 4 2 2" xfId="18711" xr:uid="{00000000-0005-0000-0000-00001A490000}"/>
    <cellStyle name="Normal 14 4 2 2 2" xfId="18712" xr:uid="{00000000-0005-0000-0000-00001B490000}"/>
    <cellStyle name="Normal 14 4 2 3" xfId="18713" xr:uid="{00000000-0005-0000-0000-00001C490000}"/>
    <cellStyle name="Normal 14 4 3" xfId="18714" xr:uid="{00000000-0005-0000-0000-00001D490000}"/>
    <cellStyle name="Normal 14 4 3 2" xfId="18715" xr:uid="{00000000-0005-0000-0000-00001E490000}"/>
    <cellStyle name="Normal 14 4 4" xfId="18716" xr:uid="{00000000-0005-0000-0000-00001F490000}"/>
    <cellStyle name="Normal 14 5" xfId="18717" xr:uid="{00000000-0005-0000-0000-000020490000}"/>
    <cellStyle name="Normal 14 5 2" xfId="18718" xr:uid="{00000000-0005-0000-0000-000021490000}"/>
    <cellStyle name="Normal 14 5 2 2" xfId="18719" xr:uid="{00000000-0005-0000-0000-000022490000}"/>
    <cellStyle name="Normal 14 5 3" xfId="18720" xr:uid="{00000000-0005-0000-0000-000023490000}"/>
    <cellStyle name="Normal 14 6" xfId="18721" xr:uid="{00000000-0005-0000-0000-000024490000}"/>
    <cellStyle name="Normal 14 6 2" xfId="18722" xr:uid="{00000000-0005-0000-0000-000025490000}"/>
    <cellStyle name="Normal 14 6 2 2" xfId="18723" xr:uid="{00000000-0005-0000-0000-000026490000}"/>
    <cellStyle name="Normal 14 6 3" xfId="18724" xr:uid="{00000000-0005-0000-0000-000027490000}"/>
    <cellStyle name="Normal 14 7" xfId="18725" xr:uid="{00000000-0005-0000-0000-000028490000}"/>
    <cellStyle name="Normal 14 7 2" xfId="18726" xr:uid="{00000000-0005-0000-0000-000029490000}"/>
    <cellStyle name="Normal 14 8" xfId="18727" xr:uid="{00000000-0005-0000-0000-00002A490000}"/>
    <cellStyle name="Normal 15" xfId="18728" xr:uid="{00000000-0005-0000-0000-00002B490000}"/>
    <cellStyle name="Normal 15 2" xfId="18729" xr:uid="{00000000-0005-0000-0000-00002C490000}"/>
    <cellStyle name="Normal 15 2 2" xfId="18730" xr:uid="{00000000-0005-0000-0000-00002D490000}"/>
    <cellStyle name="Normal 15 2 2 2" xfId="18731" xr:uid="{00000000-0005-0000-0000-00002E490000}"/>
    <cellStyle name="Normal 15 2 2 2 2" xfId="18732" xr:uid="{00000000-0005-0000-0000-00002F490000}"/>
    <cellStyle name="Normal 15 2 2 2 2 2" xfId="18733" xr:uid="{00000000-0005-0000-0000-000030490000}"/>
    <cellStyle name="Normal 15 2 2 2 3" xfId="18734" xr:uid="{00000000-0005-0000-0000-000031490000}"/>
    <cellStyle name="Normal 15 2 2 3" xfId="18735" xr:uid="{00000000-0005-0000-0000-000032490000}"/>
    <cellStyle name="Normal 15 2 2 3 2" xfId="18736" xr:uid="{00000000-0005-0000-0000-000033490000}"/>
    <cellStyle name="Normal 15 2 2 4" xfId="18737" xr:uid="{00000000-0005-0000-0000-000034490000}"/>
    <cellStyle name="Normal 15 2 3" xfId="18738" xr:uid="{00000000-0005-0000-0000-000035490000}"/>
    <cellStyle name="Normal 15 2 3 2" xfId="18739" xr:uid="{00000000-0005-0000-0000-000036490000}"/>
    <cellStyle name="Normal 15 2 3 2 2" xfId="18740" xr:uid="{00000000-0005-0000-0000-000037490000}"/>
    <cellStyle name="Normal 15 2 3 3" xfId="18741" xr:uid="{00000000-0005-0000-0000-000038490000}"/>
    <cellStyle name="Normal 15 2 4" xfId="18742" xr:uid="{00000000-0005-0000-0000-000039490000}"/>
    <cellStyle name="Normal 15 2 4 2" xfId="18743" xr:uid="{00000000-0005-0000-0000-00003A490000}"/>
    <cellStyle name="Normal 15 2 4 2 2" xfId="18744" xr:uid="{00000000-0005-0000-0000-00003B490000}"/>
    <cellStyle name="Normal 15 2 4 3" xfId="18745" xr:uid="{00000000-0005-0000-0000-00003C490000}"/>
    <cellStyle name="Normal 15 2 5" xfId="18746" xr:uid="{00000000-0005-0000-0000-00003D490000}"/>
    <cellStyle name="Normal 15 2 5 2" xfId="18747" xr:uid="{00000000-0005-0000-0000-00003E490000}"/>
    <cellStyle name="Normal 15 2 6" xfId="18748" xr:uid="{00000000-0005-0000-0000-00003F490000}"/>
    <cellStyle name="Normal 15 3" xfId="18749" xr:uid="{00000000-0005-0000-0000-000040490000}"/>
    <cellStyle name="Normal 15 3 2" xfId="18750" xr:uid="{00000000-0005-0000-0000-000041490000}"/>
    <cellStyle name="Normal 15 3 2 2" xfId="18751" xr:uid="{00000000-0005-0000-0000-000042490000}"/>
    <cellStyle name="Normal 15 3 2 2 2" xfId="18752" xr:uid="{00000000-0005-0000-0000-000043490000}"/>
    <cellStyle name="Normal 15 3 2 3" xfId="18753" xr:uid="{00000000-0005-0000-0000-000044490000}"/>
    <cellStyle name="Normal 15 3 3" xfId="18754" xr:uid="{00000000-0005-0000-0000-000045490000}"/>
    <cellStyle name="Normal 15 3 3 2" xfId="18755" xr:uid="{00000000-0005-0000-0000-000046490000}"/>
    <cellStyle name="Normal 15 3 3 2 2" xfId="18756" xr:uid="{00000000-0005-0000-0000-000047490000}"/>
    <cellStyle name="Normal 15 3 3 3" xfId="18757" xr:uid="{00000000-0005-0000-0000-000048490000}"/>
    <cellStyle name="Normal 15 3 4" xfId="18758" xr:uid="{00000000-0005-0000-0000-000049490000}"/>
    <cellStyle name="Normal 15 3 4 2" xfId="18759" xr:uid="{00000000-0005-0000-0000-00004A490000}"/>
    <cellStyle name="Normal 15 3 5" xfId="18760" xr:uid="{00000000-0005-0000-0000-00004B490000}"/>
    <cellStyle name="Normal 15 4" xfId="18761" xr:uid="{00000000-0005-0000-0000-00004C490000}"/>
    <cellStyle name="Normal 15 5" xfId="18762" xr:uid="{00000000-0005-0000-0000-00004D490000}"/>
    <cellStyle name="Normal 15 5 2" xfId="18763" xr:uid="{00000000-0005-0000-0000-00004E490000}"/>
    <cellStyle name="Normal 15 5 2 2" xfId="18764" xr:uid="{00000000-0005-0000-0000-00004F490000}"/>
    <cellStyle name="Normal 15 5 2 2 2" xfId="18765" xr:uid="{00000000-0005-0000-0000-000050490000}"/>
    <cellStyle name="Normal 15 5 2 3" xfId="18766" xr:uid="{00000000-0005-0000-0000-000051490000}"/>
    <cellStyle name="Normal 15 5 3" xfId="18767" xr:uid="{00000000-0005-0000-0000-000052490000}"/>
    <cellStyle name="Normal 15 5 3 2" xfId="18768" xr:uid="{00000000-0005-0000-0000-000053490000}"/>
    <cellStyle name="Normal 15 5 4" xfId="18769" xr:uid="{00000000-0005-0000-0000-000054490000}"/>
    <cellStyle name="Normal 15 6" xfId="18770" xr:uid="{00000000-0005-0000-0000-000055490000}"/>
    <cellStyle name="Normal 15 6 2" xfId="18771" xr:uid="{00000000-0005-0000-0000-000056490000}"/>
    <cellStyle name="Normal 15 6 2 2" xfId="18772" xr:uid="{00000000-0005-0000-0000-000057490000}"/>
    <cellStyle name="Normal 15 6 3" xfId="18773" xr:uid="{00000000-0005-0000-0000-000058490000}"/>
    <cellStyle name="Normal 15 7" xfId="18774" xr:uid="{00000000-0005-0000-0000-000059490000}"/>
    <cellStyle name="Normal 15 7 2" xfId="18775" xr:uid="{00000000-0005-0000-0000-00005A490000}"/>
    <cellStyle name="Normal 15 8" xfId="18776" xr:uid="{00000000-0005-0000-0000-00005B490000}"/>
    <cellStyle name="Normal 16" xfId="18777" xr:uid="{00000000-0005-0000-0000-00005C490000}"/>
    <cellStyle name="Normal 16 2" xfId="18778" xr:uid="{00000000-0005-0000-0000-00005D490000}"/>
    <cellStyle name="Normal 16 2 2" xfId="18779" xr:uid="{00000000-0005-0000-0000-00005E490000}"/>
    <cellStyle name="Normal 16 2 2 2" xfId="18780" xr:uid="{00000000-0005-0000-0000-00005F490000}"/>
    <cellStyle name="Normal 16 2 2 2 2" xfId="18781" xr:uid="{00000000-0005-0000-0000-000060490000}"/>
    <cellStyle name="Normal 16 2 2 2 2 2" xfId="18782" xr:uid="{00000000-0005-0000-0000-000061490000}"/>
    <cellStyle name="Normal 16 2 2 2 3" xfId="18783" xr:uid="{00000000-0005-0000-0000-000062490000}"/>
    <cellStyle name="Normal 16 2 2 3" xfId="18784" xr:uid="{00000000-0005-0000-0000-000063490000}"/>
    <cellStyle name="Normal 16 2 2 3 2" xfId="18785" xr:uid="{00000000-0005-0000-0000-000064490000}"/>
    <cellStyle name="Normal 16 2 2 4" xfId="18786" xr:uid="{00000000-0005-0000-0000-000065490000}"/>
    <cellStyle name="Normal 16 2 3" xfId="18787" xr:uid="{00000000-0005-0000-0000-000066490000}"/>
    <cellStyle name="Normal 16 2 3 2" xfId="18788" xr:uid="{00000000-0005-0000-0000-000067490000}"/>
    <cellStyle name="Normal 16 2 3 2 2" xfId="18789" xr:uid="{00000000-0005-0000-0000-000068490000}"/>
    <cellStyle name="Normal 16 2 3 3" xfId="18790" xr:uid="{00000000-0005-0000-0000-000069490000}"/>
    <cellStyle name="Normal 16 2 4" xfId="18791" xr:uid="{00000000-0005-0000-0000-00006A490000}"/>
    <cellStyle name="Normal 16 2 4 2" xfId="18792" xr:uid="{00000000-0005-0000-0000-00006B490000}"/>
    <cellStyle name="Normal 16 2 4 2 2" xfId="18793" xr:uid="{00000000-0005-0000-0000-00006C490000}"/>
    <cellStyle name="Normal 16 2 4 3" xfId="18794" xr:uid="{00000000-0005-0000-0000-00006D490000}"/>
    <cellStyle name="Normal 16 2 5" xfId="18795" xr:uid="{00000000-0005-0000-0000-00006E490000}"/>
    <cellStyle name="Normal 16 2 5 2" xfId="18796" xr:uid="{00000000-0005-0000-0000-00006F490000}"/>
    <cellStyle name="Normal 16 2 6" xfId="18797" xr:uid="{00000000-0005-0000-0000-000070490000}"/>
    <cellStyle name="Normal 16 3" xfId="18798" xr:uid="{00000000-0005-0000-0000-000071490000}"/>
    <cellStyle name="Normal 16 3 2" xfId="18799" xr:uid="{00000000-0005-0000-0000-000072490000}"/>
    <cellStyle name="Normal 16 3 2 2" xfId="18800" xr:uid="{00000000-0005-0000-0000-000073490000}"/>
    <cellStyle name="Normal 16 3 2 2 2" xfId="18801" xr:uid="{00000000-0005-0000-0000-000074490000}"/>
    <cellStyle name="Normal 16 3 2 3" xfId="18802" xr:uid="{00000000-0005-0000-0000-000075490000}"/>
    <cellStyle name="Normal 16 3 3" xfId="18803" xr:uid="{00000000-0005-0000-0000-000076490000}"/>
    <cellStyle name="Normal 16 3 3 2" xfId="18804" xr:uid="{00000000-0005-0000-0000-000077490000}"/>
    <cellStyle name="Normal 16 3 3 2 2" xfId="18805" xr:uid="{00000000-0005-0000-0000-000078490000}"/>
    <cellStyle name="Normal 16 3 3 3" xfId="18806" xr:uid="{00000000-0005-0000-0000-000079490000}"/>
    <cellStyle name="Normal 16 3 4" xfId="18807" xr:uid="{00000000-0005-0000-0000-00007A490000}"/>
    <cellStyle name="Normal 16 3 4 2" xfId="18808" xr:uid="{00000000-0005-0000-0000-00007B490000}"/>
    <cellStyle name="Normal 16 3 5" xfId="18809" xr:uid="{00000000-0005-0000-0000-00007C490000}"/>
    <cellStyle name="Normal 16 4" xfId="18810" xr:uid="{00000000-0005-0000-0000-00007D490000}"/>
    <cellStyle name="Normal 16 4 2" xfId="18811" xr:uid="{00000000-0005-0000-0000-00007E490000}"/>
    <cellStyle name="Normal 16 4 2 2" xfId="18812" xr:uid="{00000000-0005-0000-0000-00007F490000}"/>
    <cellStyle name="Normal 16 4 2 2 2" xfId="18813" xr:uid="{00000000-0005-0000-0000-000080490000}"/>
    <cellStyle name="Normal 16 4 2 3" xfId="18814" xr:uid="{00000000-0005-0000-0000-000081490000}"/>
    <cellStyle name="Normal 16 4 3" xfId="18815" xr:uid="{00000000-0005-0000-0000-000082490000}"/>
    <cellStyle name="Normal 16 4 3 2" xfId="18816" xr:uid="{00000000-0005-0000-0000-000083490000}"/>
    <cellStyle name="Normal 16 4 4" xfId="18817" xr:uid="{00000000-0005-0000-0000-000084490000}"/>
    <cellStyle name="Normal 16 5" xfId="18818" xr:uid="{00000000-0005-0000-0000-000085490000}"/>
    <cellStyle name="Normal 16 5 2" xfId="18819" xr:uid="{00000000-0005-0000-0000-000086490000}"/>
    <cellStyle name="Normal 16 5 2 2" xfId="18820" xr:uid="{00000000-0005-0000-0000-000087490000}"/>
    <cellStyle name="Normal 16 5 3" xfId="18821" xr:uid="{00000000-0005-0000-0000-000088490000}"/>
    <cellStyle name="Normal 16 6" xfId="18822" xr:uid="{00000000-0005-0000-0000-000089490000}"/>
    <cellStyle name="Normal 16 6 2" xfId="18823" xr:uid="{00000000-0005-0000-0000-00008A490000}"/>
    <cellStyle name="Normal 16 6 2 2" xfId="18824" xr:uid="{00000000-0005-0000-0000-00008B490000}"/>
    <cellStyle name="Normal 16 6 3" xfId="18825" xr:uid="{00000000-0005-0000-0000-00008C490000}"/>
    <cellStyle name="Normal 16 7" xfId="18826" xr:uid="{00000000-0005-0000-0000-00008D490000}"/>
    <cellStyle name="Normal 16 7 2" xfId="18827" xr:uid="{00000000-0005-0000-0000-00008E490000}"/>
    <cellStyle name="Normal 16 8" xfId="18828" xr:uid="{00000000-0005-0000-0000-00008F490000}"/>
    <cellStyle name="Normal 17" xfId="18829" xr:uid="{00000000-0005-0000-0000-000090490000}"/>
    <cellStyle name="Normal 17 2" xfId="18830" xr:uid="{00000000-0005-0000-0000-000091490000}"/>
    <cellStyle name="Normal 17 2 2" xfId="18831" xr:uid="{00000000-0005-0000-0000-000092490000}"/>
    <cellStyle name="Normal 17 2 2 2" xfId="18832" xr:uid="{00000000-0005-0000-0000-000093490000}"/>
    <cellStyle name="Normal 17 2 2 2 2" xfId="18833" xr:uid="{00000000-0005-0000-0000-000094490000}"/>
    <cellStyle name="Normal 17 2 2 2 2 2" xfId="18834" xr:uid="{00000000-0005-0000-0000-000095490000}"/>
    <cellStyle name="Normal 17 2 2 2 3" xfId="18835" xr:uid="{00000000-0005-0000-0000-000096490000}"/>
    <cellStyle name="Normal 17 2 2 3" xfId="18836" xr:uid="{00000000-0005-0000-0000-000097490000}"/>
    <cellStyle name="Normal 17 2 2 3 2" xfId="18837" xr:uid="{00000000-0005-0000-0000-000098490000}"/>
    <cellStyle name="Normal 17 2 2 4" xfId="18838" xr:uid="{00000000-0005-0000-0000-000099490000}"/>
    <cellStyle name="Normal 17 2 3" xfId="18839" xr:uid="{00000000-0005-0000-0000-00009A490000}"/>
    <cellStyle name="Normal 17 2 3 2" xfId="18840" xr:uid="{00000000-0005-0000-0000-00009B490000}"/>
    <cellStyle name="Normal 17 2 3 2 2" xfId="18841" xr:uid="{00000000-0005-0000-0000-00009C490000}"/>
    <cellStyle name="Normal 17 2 3 3" xfId="18842" xr:uid="{00000000-0005-0000-0000-00009D490000}"/>
    <cellStyle name="Normal 17 2 4" xfId="18843" xr:uid="{00000000-0005-0000-0000-00009E490000}"/>
    <cellStyle name="Normal 17 2 4 2" xfId="18844" xr:uid="{00000000-0005-0000-0000-00009F490000}"/>
    <cellStyle name="Normal 17 2 4 2 2" xfId="18845" xr:uid="{00000000-0005-0000-0000-0000A0490000}"/>
    <cellStyle name="Normal 17 2 4 3" xfId="18846" xr:uid="{00000000-0005-0000-0000-0000A1490000}"/>
    <cellStyle name="Normal 17 2 5" xfId="18847" xr:uid="{00000000-0005-0000-0000-0000A2490000}"/>
    <cellStyle name="Normal 17 2 5 2" xfId="18848" xr:uid="{00000000-0005-0000-0000-0000A3490000}"/>
    <cellStyle name="Normal 17 2 6" xfId="18849" xr:uid="{00000000-0005-0000-0000-0000A4490000}"/>
    <cellStyle name="Normal 17 3" xfId="18850" xr:uid="{00000000-0005-0000-0000-0000A5490000}"/>
    <cellStyle name="Normal 17 3 2" xfId="18851" xr:uid="{00000000-0005-0000-0000-0000A6490000}"/>
    <cellStyle name="Normal 17 3 2 2" xfId="18852" xr:uid="{00000000-0005-0000-0000-0000A7490000}"/>
    <cellStyle name="Normal 17 3 2 2 2" xfId="18853" xr:uid="{00000000-0005-0000-0000-0000A8490000}"/>
    <cellStyle name="Normal 17 3 2 3" xfId="18854" xr:uid="{00000000-0005-0000-0000-0000A9490000}"/>
    <cellStyle name="Normal 17 3 3" xfId="18855" xr:uid="{00000000-0005-0000-0000-0000AA490000}"/>
    <cellStyle name="Normal 17 3 3 2" xfId="18856" xr:uid="{00000000-0005-0000-0000-0000AB490000}"/>
    <cellStyle name="Normal 17 3 3 2 2" xfId="18857" xr:uid="{00000000-0005-0000-0000-0000AC490000}"/>
    <cellStyle name="Normal 17 3 3 3" xfId="18858" xr:uid="{00000000-0005-0000-0000-0000AD490000}"/>
    <cellStyle name="Normal 17 3 4" xfId="18859" xr:uid="{00000000-0005-0000-0000-0000AE490000}"/>
    <cellStyle name="Normal 17 3 4 2" xfId="18860" xr:uid="{00000000-0005-0000-0000-0000AF490000}"/>
    <cellStyle name="Normal 17 3 5" xfId="18861" xr:uid="{00000000-0005-0000-0000-0000B0490000}"/>
    <cellStyle name="Normal 17 4" xfId="18862" xr:uid="{00000000-0005-0000-0000-0000B1490000}"/>
    <cellStyle name="Normal 17 4 2" xfId="18863" xr:uid="{00000000-0005-0000-0000-0000B2490000}"/>
    <cellStyle name="Normal 17 4 2 2" xfId="18864" xr:uid="{00000000-0005-0000-0000-0000B3490000}"/>
    <cellStyle name="Normal 17 4 2 2 2" xfId="18865" xr:uid="{00000000-0005-0000-0000-0000B4490000}"/>
    <cellStyle name="Normal 17 4 2 3" xfId="18866" xr:uid="{00000000-0005-0000-0000-0000B5490000}"/>
    <cellStyle name="Normal 17 4 3" xfId="18867" xr:uid="{00000000-0005-0000-0000-0000B6490000}"/>
    <cellStyle name="Normal 17 4 3 2" xfId="18868" xr:uid="{00000000-0005-0000-0000-0000B7490000}"/>
    <cellStyle name="Normal 17 4 4" xfId="18869" xr:uid="{00000000-0005-0000-0000-0000B8490000}"/>
    <cellStyle name="Normal 17 5" xfId="18870" xr:uid="{00000000-0005-0000-0000-0000B9490000}"/>
    <cellStyle name="Normal 17 5 2" xfId="18871" xr:uid="{00000000-0005-0000-0000-0000BA490000}"/>
    <cellStyle name="Normal 17 5 2 2" xfId="18872" xr:uid="{00000000-0005-0000-0000-0000BB490000}"/>
    <cellStyle name="Normal 17 5 3" xfId="18873" xr:uid="{00000000-0005-0000-0000-0000BC490000}"/>
    <cellStyle name="Normal 17 6" xfId="18874" xr:uid="{00000000-0005-0000-0000-0000BD490000}"/>
    <cellStyle name="Normal 17 6 2" xfId="18875" xr:uid="{00000000-0005-0000-0000-0000BE490000}"/>
    <cellStyle name="Normal 17 6 2 2" xfId="18876" xr:uid="{00000000-0005-0000-0000-0000BF490000}"/>
    <cellStyle name="Normal 17 6 3" xfId="18877" xr:uid="{00000000-0005-0000-0000-0000C0490000}"/>
    <cellStyle name="Normal 17 7" xfId="18878" xr:uid="{00000000-0005-0000-0000-0000C1490000}"/>
    <cellStyle name="Normal 17 7 2" xfId="18879" xr:uid="{00000000-0005-0000-0000-0000C2490000}"/>
    <cellStyle name="Normal 17 8" xfId="18880" xr:uid="{00000000-0005-0000-0000-0000C3490000}"/>
    <cellStyle name="Normal 18" xfId="18881" xr:uid="{00000000-0005-0000-0000-0000C4490000}"/>
    <cellStyle name="Normal 18 2" xfId="18882" xr:uid="{00000000-0005-0000-0000-0000C5490000}"/>
    <cellStyle name="Normal 18 3" xfId="18883" xr:uid="{00000000-0005-0000-0000-0000C6490000}"/>
    <cellStyle name="Normal 18 4" xfId="18884" xr:uid="{00000000-0005-0000-0000-0000C7490000}"/>
    <cellStyle name="Normal 18 4 2" xfId="18885" xr:uid="{00000000-0005-0000-0000-0000C8490000}"/>
    <cellStyle name="Normal 18 4 2 2" xfId="18886" xr:uid="{00000000-0005-0000-0000-0000C9490000}"/>
    <cellStyle name="Normal 18 4 2 2 2" xfId="18887" xr:uid="{00000000-0005-0000-0000-0000CA490000}"/>
    <cellStyle name="Normal 18 4 2 3" xfId="18888" xr:uid="{00000000-0005-0000-0000-0000CB490000}"/>
    <cellStyle name="Normal 18 4 3" xfId="18889" xr:uid="{00000000-0005-0000-0000-0000CC490000}"/>
    <cellStyle name="Normal 18 4 3 2" xfId="18890" xr:uid="{00000000-0005-0000-0000-0000CD490000}"/>
    <cellStyle name="Normal 18 4 3 2 2" xfId="18891" xr:uid="{00000000-0005-0000-0000-0000CE490000}"/>
    <cellStyle name="Normal 18 4 3 3" xfId="18892" xr:uid="{00000000-0005-0000-0000-0000CF490000}"/>
    <cellStyle name="Normal 18 4 4" xfId="18893" xr:uid="{00000000-0005-0000-0000-0000D0490000}"/>
    <cellStyle name="Normal 18 4 4 2" xfId="18894" xr:uid="{00000000-0005-0000-0000-0000D1490000}"/>
    <cellStyle name="Normal 18 4 5" xfId="18895" xr:uid="{00000000-0005-0000-0000-0000D2490000}"/>
    <cellStyle name="Normal 18 5" xfId="18896" xr:uid="{00000000-0005-0000-0000-0000D3490000}"/>
    <cellStyle name="Normal 18 5 2" xfId="18897" xr:uid="{00000000-0005-0000-0000-0000D4490000}"/>
    <cellStyle name="Normal 18 5 2 2" xfId="18898" xr:uid="{00000000-0005-0000-0000-0000D5490000}"/>
    <cellStyle name="Normal 18 5 3" xfId="18899" xr:uid="{00000000-0005-0000-0000-0000D6490000}"/>
    <cellStyle name="Normal 19" xfId="18900" xr:uid="{00000000-0005-0000-0000-0000D7490000}"/>
    <cellStyle name="Normal 19 2" xfId="18901" xr:uid="{00000000-0005-0000-0000-0000D8490000}"/>
    <cellStyle name="Normal 19 3" xfId="18902" xr:uid="{00000000-0005-0000-0000-0000D9490000}"/>
    <cellStyle name="Normal 2" xfId="18903" xr:uid="{00000000-0005-0000-0000-0000DA490000}"/>
    <cellStyle name="Normal 2 2" xfId="18904" xr:uid="{00000000-0005-0000-0000-0000DB490000}"/>
    <cellStyle name="Normal 2 2 2" xfId="18905" xr:uid="{00000000-0005-0000-0000-0000DC490000}"/>
    <cellStyle name="Normal 2 2 2 2" xfId="18906" xr:uid="{00000000-0005-0000-0000-0000DD490000}"/>
    <cellStyle name="Normal 2 2 3" xfId="18907" xr:uid="{00000000-0005-0000-0000-0000DE490000}"/>
    <cellStyle name="Normal 2 2 3 2" xfId="18908" xr:uid="{00000000-0005-0000-0000-0000DF490000}"/>
    <cellStyle name="Normal 2 2 3 2 2" xfId="18909" xr:uid="{00000000-0005-0000-0000-0000E0490000}"/>
    <cellStyle name="Normal 2 2 3 2 2 2" xfId="18910" xr:uid="{00000000-0005-0000-0000-0000E1490000}"/>
    <cellStyle name="Normal 2 2 3 2 3" xfId="18911" xr:uid="{00000000-0005-0000-0000-0000E2490000}"/>
    <cellStyle name="Normal 2 2 3 3" xfId="18912" xr:uid="{00000000-0005-0000-0000-0000E3490000}"/>
    <cellStyle name="Normal 2 2 3 3 2" xfId="18913" xr:uid="{00000000-0005-0000-0000-0000E4490000}"/>
    <cellStyle name="Normal 2 2 3 3 2 2" xfId="18914" xr:uid="{00000000-0005-0000-0000-0000E5490000}"/>
    <cellStyle name="Normal 2 2 3 3 3" xfId="18915" xr:uid="{00000000-0005-0000-0000-0000E6490000}"/>
    <cellStyle name="Normal 2 2 3 4" xfId="18916" xr:uid="{00000000-0005-0000-0000-0000E7490000}"/>
    <cellStyle name="Normal 2 2 3 4 2" xfId="18917" xr:uid="{00000000-0005-0000-0000-0000E8490000}"/>
    <cellStyle name="Normal 2 2 3 5" xfId="18918" xr:uid="{00000000-0005-0000-0000-0000E9490000}"/>
    <cellStyle name="Normal 2 2 4" xfId="18919" xr:uid="{00000000-0005-0000-0000-0000EA490000}"/>
    <cellStyle name="Normal 2 2 4 2" xfId="18920" xr:uid="{00000000-0005-0000-0000-0000EB490000}"/>
    <cellStyle name="Normal 2 2 4 2 2" xfId="18921" xr:uid="{00000000-0005-0000-0000-0000EC490000}"/>
    <cellStyle name="Normal 2 2 4 3" xfId="18922" xr:uid="{00000000-0005-0000-0000-0000ED490000}"/>
    <cellStyle name="Normal 2 2 5" xfId="18923" xr:uid="{00000000-0005-0000-0000-0000EE490000}"/>
    <cellStyle name="Normal 2 2 6" xfId="18924" xr:uid="{00000000-0005-0000-0000-0000EF490000}"/>
    <cellStyle name="Normal 2 3" xfId="18925" xr:uid="{00000000-0005-0000-0000-0000F0490000}"/>
    <cellStyle name="Normal 2 3 2" xfId="18926" xr:uid="{00000000-0005-0000-0000-0000F1490000}"/>
    <cellStyle name="Normal 2 3 2 2" xfId="18927" xr:uid="{00000000-0005-0000-0000-0000F2490000}"/>
    <cellStyle name="Normal 2 3 3" xfId="18928" xr:uid="{00000000-0005-0000-0000-0000F3490000}"/>
    <cellStyle name="Normal 2 3 4" xfId="18929" xr:uid="{00000000-0005-0000-0000-0000F4490000}"/>
    <cellStyle name="Normal 2 4" xfId="18930" xr:uid="{00000000-0005-0000-0000-0000F5490000}"/>
    <cellStyle name="Normal 2 4 2" xfId="18931" xr:uid="{00000000-0005-0000-0000-0000F6490000}"/>
    <cellStyle name="Normal 2 5" xfId="18932" xr:uid="{00000000-0005-0000-0000-0000F7490000}"/>
    <cellStyle name="Normal 2 5 2" xfId="18933" xr:uid="{00000000-0005-0000-0000-0000F8490000}"/>
    <cellStyle name="Normal 2 6" xfId="21691" xr:uid="{56434791-4A80-487C-8E9C-2E5E9E6BCDFA}"/>
    <cellStyle name="Normal 20" xfId="18934" xr:uid="{00000000-0005-0000-0000-0000F9490000}"/>
    <cellStyle name="Normal 20 2" xfId="18935" xr:uid="{00000000-0005-0000-0000-0000FA490000}"/>
    <cellStyle name="Normal 20 2 2" xfId="18936" xr:uid="{00000000-0005-0000-0000-0000FB490000}"/>
    <cellStyle name="Normal 20 2 2 2" xfId="18937" xr:uid="{00000000-0005-0000-0000-0000FC490000}"/>
    <cellStyle name="Normal 20 2 2 2 2" xfId="18938" xr:uid="{00000000-0005-0000-0000-0000FD490000}"/>
    <cellStyle name="Normal 20 2 2 2 2 2" xfId="18939" xr:uid="{00000000-0005-0000-0000-0000FE490000}"/>
    <cellStyle name="Normal 20 2 2 2 3" xfId="18940" xr:uid="{00000000-0005-0000-0000-0000FF490000}"/>
    <cellStyle name="Normal 20 2 2 3" xfId="18941" xr:uid="{00000000-0005-0000-0000-0000004A0000}"/>
    <cellStyle name="Normal 20 2 2 3 2" xfId="18942" xr:uid="{00000000-0005-0000-0000-0000014A0000}"/>
    <cellStyle name="Normal 20 2 2 4" xfId="18943" xr:uid="{00000000-0005-0000-0000-0000024A0000}"/>
    <cellStyle name="Normal 20 2 3" xfId="18944" xr:uid="{00000000-0005-0000-0000-0000034A0000}"/>
    <cellStyle name="Normal 20 2 3 2" xfId="18945" xr:uid="{00000000-0005-0000-0000-0000044A0000}"/>
    <cellStyle name="Normal 20 2 3 2 2" xfId="18946" xr:uid="{00000000-0005-0000-0000-0000054A0000}"/>
    <cellStyle name="Normal 20 2 3 3" xfId="18947" xr:uid="{00000000-0005-0000-0000-0000064A0000}"/>
    <cellStyle name="Normal 20 2 4" xfId="18948" xr:uid="{00000000-0005-0000-0000-0000074A0000}"/>
    <cellStyle name="Normal 20 2 4 2" xfId="18949" xr:uid="{00000000-0005-0000-0000-0000084A0000}"/>
    <cellStyle name="Normal 20 2 4 2 2" xfId="18950" xr:uid="{00000000-0005-0000-0000-0000094A0000}"/>
    <cellStyle name="Normal 20 2 4 3" xfId="18951" xr:uid="{00000000-0005-0000-0000-00000A4A0000}"/>
    <cellStyle name="Normal 20 2 5" xfId="18952" xr:uid="{00000000-0005-0000-0000-00000B4A0000}"/>
    <cellStyle name="Normal 20 2 5 2" xfId="18953" xr:uid="{00000000-0005-0000-0000-00000C4A0000}"/>
    <cellStyle name="Normal 20 2 6" xfId="18954" xr:uid="{00000000-0005-0000-0000-00000D4A0000}"/>
    <cellStyle name="Normal 20 3" xfId="18955" xr:uid="{00000000-0005-0000-0000-00000E4A0000}"/>
    <cellStyle name="Normal 20 3 2" xfId="18956" xr:uid="{00000000-0005-0000-0000-00000F4A0000}"/>
    <cellStyle name="Normal 20 3 2 2" xfId="18957" xr:uid="{00000000-0005-0000-0000-0000104A0000}"/>
    <cellStyle name="Normal 20 3 2 2 2" xfId="18958" xr:uid="{00000000-0005-0000-0000-0000114A0000}"/>
    <cellStyle name="Normal 20 3 2 3" xfId="18959" xr:uid="{00000000-0005-0000-0000-0000124A0000}"/>
    <cellStyle name="Normal 20 3 3" xfId="18960" xr:uid="{00000000-0005-0000-0000-0000134A0000}"/>
    <cellStyle name="Normal 20 3 3 2" xfId="18961" xr:uid="{00000000-0005-0000-0000-0000144A0000}"/>
    <cellStyle name="Normal 20 3 3 2 2" xfId="18962" xr:uid="{00000000-0005-0000-0000-0000154A0000}"/>
    <cellStyle name="Normal 20 3 3 3" xfId="18963" xr:uid="{00000000-0005-0000-0000-0000164A0000}"/>
    <cellStyle name="Normal 20 3 4" xfId="18964" xr:uid="{00000000-0005-0000-0000-0000174A0000}"/>
    <cellStyle name="Normal 20 3 4 2" xfId="18965" xr:uid="{00000000-0005-0000-0000-0000184A0000}"/>
    <cellStyle name="Normal 20 3 5" xfId="18966" xr:uid="{00000000-0005-0000-0000-0000194A0000}"/>
    <cellStyle name="Normal 20 4" xfId="18967" xr:uid="{00000000-0005-0000-0000-00001A4A0000}"/>
    <cellStyle name="Normal 20 4 2" xfId="18968" xr:uid="{00000000-0005-0000-0000-00001B4A0000}"/>
    <cellStyle name="Normal 20 4 2 2" xfId="18969" xr:uid="{00000000-0005-0000-0000-00001C4A0000}"/>
    <cellStyle name="Normal 20 4 2 2 2" xfId="18970" xr:uid="{00000000-0005-0000-0000-00001D4A0000}"/>
    <cellStyle name="Normal 20 4 2 3" xfId="18971" xr:uid="{00000000-0005-0000-0000-00001E4A0000}"/>
    <cellStyle name="Normal 20 4 3" xfId="18972" xr:uid="{00000000-0005-0000-0000-00001F4A0000}"/>
    <cellStyle name="Normal 20 4 3 2" xfId="18973" xr:uid="{00000000-0005-0000-0000-0000204A0000}"/>
    <cellStyle name="Normal 20 4 4" xfId="18974" xr:uid="{00000000-0005-0000-0000-0000214A0000}"/>
    <cellStyle name="Normal 20 5" xfId="18975" xr:uid="{00000000-0005-0000-0000-0000224A0000}"/>
    <cellStyle name="Normal 20 5 2" xfId="18976" xr:uid="{00000000-0005-0000-0000-0000234A0000}"/>
    <cellStyle name="Normal 20 5 2 2" xfId="18977" xr:uid="{00000000-0005-0000-0000-0000244A0000}"/>
    <cellStyle name="Normal 20 5 3" xfId="18978" xr:uid="{00000000-0005-0000-0000-0000254A0000}"/>
    <cellStyle name="Normal 20 6" xfId="18979" xr:uid="{00000000-0005-0000-0000-0000264A0000}"/>
    <cellStyle name="Normal 20 6 2" xfId="18980" xr:uid="{00000000-0005-0000-0000-0000274A0000}"/>
    <cellStyle name="Normal 20 6 2 2" xfId="18981" xr:uid="{00000000-0005-0000-0000-0000284A0000}"/>
    <cellStyle name="Normal 20 6 3" xfId="18982" xr:uid="{00000000-0005-0000-0000-0000294A0000}"/>
    <cellStyle name="Normal 20 7" xfId="18983" xr:uid="{00000000-0005-0000-0000-00002A4A0000}"/>
    <cellStyle name="Normal 20 7 2" xfId="18984" xr:uid="{00000000-0005-0000-0000-00002B4A0000}"/>
    <cellStyle name="Normal 20 8" xfId="18985" xr:uid="{00000000-0005-0000-0000-00002C4A0000}"/>
    <cellStyle name="Normal 21" xfId="18986" xr:uid="{00000000-0005-0000-0000-00002D4A0000}"/>
    <cellStyle name="Normal 21 2" xfId="18987" xr:uid="{00000000-0005-0000-0000-00002E4A0000}"/>
    <cellStyle name="Normal 21 2 2" xfId="18988" xr:uid="{00000000-0005-0000-0000-00002F4A0000}"/>
    <cellStyle name="Normal 21 2 2 2" xfId="18989" xr:uid="{00000000-0005-0000-0000-0000304A0000}"/>
    <cellStyle name="Normal 21 2 2 2 2" xfId="18990" xr:uid="{00000000-0005-0000-0000-0000314A0000}"/>
    <cellStyle name="Normal 21 2 2 2 2 2" xfId="18991" xr:uid="{00000000-0005-0000-0000-0000324A0000}"/>
    <cellStyle name="Normal 21 2 2 2 3" xfId="18992" xr:uid="{00000000-0005-0000-0000-0000334A0000}"/>
    <cellStyle name="Normal 21 2 2 3" xfId="18993" xr:uid="{00000000-0005-0000-0000-0000344A0000}"/>
    <cellStyle name="Normal 21 2 2 3 2" xfId="18994" xr:uid="{00000000-0005-0000-0000-0000354A0000}"/>
    <cellStyle name="Normal 21 2 2 4" xfId="18995" xr:uid="{00000000-0005-0000-0000-0000364A0000}"/>
    <cellStyle name="Normal 21 2 3" xfId="18996" xr:uid="{00000000-0005-0000-0000-0000374A0000}"/>
    <cellStyle name="Normal 21 2 3 2" xfId="18997" xr:uid="{00000000-0005-0000-0000-0000384A0000}"/>
    <cellStyle name="Normal 21 2 3 2 2" xfId="18998" xr:uid="{00000000-0005-0000-0000-0000394A0000}"/>
    <cellStyle name="Normal 21 2 3 3" xfId="18999" xr:uid="{00000000-0005-0000-0000-00003A4A0000}"/>
    <cellStyle name="Normal 21 2 4" xfId="19000" xr:uid="{00000000-0005-0000-0000-00003B4A0000}"/>
    <cellStyle name="Normal 21 2 4 2" xfId="19001" xr:uid="{00000000-0005-0000-0000-00003C4A0000}"/>
    <cellStyle name="Normal 21 2 4 2 2" xfId="19002" xr:uid="{00000000-0005-0000-0000-00003D4A0000}"/>
    <cellStyle name="Normal 21 2 4 3" xfId="19003" xr:uid="{00000000-0005-0000-0000-00003E4A0000}"/>
    <cellStyle name="Normal 21 2 5" xfId="19004" xr:uid="{00000000-0005-0000-0000-00003F4A0000}"/>
    <cellStyle name="Normal 21 2 5 2" xfId="19005" xr:uid="{00000000-0005-0000-0000-0000404A0000}"/>
    <cellStyle name="Normal 21 2 6" xfId="19006" xr:uid="{00000000-0005-0000-0000-0000414A0000}"/>
    <cellStyle name="Normal 21 3" xfId="19007" xr:uid="{00000000-0005-0000-0000-0000424A0000}"/>
    <cellStyle name="Normal 21 3 2" xfId="19008" xr:uid="{00000000-0005-0000-0000-0000434A0000}"/>
    <cellStyle name="Normal 21 3 2 2" xfId="19009" xr:uid="{00000000-0005-0000-0000-0000444A0000}"/>
    <cellStyle name="Normal 21 3 2 2 2" xfId="19010" xr:uid="{00000000-0005-0000-0000-0000454A0000}"/>
    <cellStyle name="Normal 21 3 2 3" xfId="19011" xr:uid="{00000000-0005-0000-0000-0000464A0000}"/>
    <cellStyle name="Normal 21 3 3" xfId="19012" xr:uid="{00000000-0005-0000-0000-0000474A0000}"/>
    <cellStyle name="Normal 21 3 3 2" xfId="19013" xr:uid="{00000000-0005-0000-0000-0000484A0000}"/>
    <cellStyle name="Normal 21 3 3 2 2" xfId="19014" xr:uid="{00000000-0005-0000-0000-0000494A0000}"/>
    <cellStyle name="Normal 21 3 3 3" xfId="19015" xr:uid="{00000000-0005-0000-0000-00004A4A0000}"/>
    <cellStyle name="Normal 21 3 4" xfId="19016" xr:uid="{00000000-0005-0000-0000-00004B4A0000}"/>
    <cellStyle name="Normal 21 3 4 2" xfId="19017" xr:uid="{00000000-0005-0000-0000-00004C4A0000}"/>
    <cellStyle name="Normal 21 3 5" xfId="19018" xr:uid="{00000000-0005-0000-0000-00004D4A0000}"/>
    <cellStyle name="Normal 21 4" xfId="19019" xr:uid="{00000000-0005-0000-0000-00004E4A0000}"/>
    <cellStyle name="Normal 21 4 2" xfId="19020" xr:uid="{00000000-0005-0000-0000-00004F4A0000}"/>
    <cellStyle name="Normal 21 4 2 2" xfId="19021" xr:uid="{00000000-0005-0000-0000-0000504A0000}"/>
    <cellStyle name="Normal 21 4 2 2 2" xfId="19022" xr:uid="{00000000-0005-0000-0000-0000514A0000}"/>
    <cellStyle name="Normal 21 4 2 3" xfId="19023" xr:uid="{00000000-0005-0000-0000-0000524A0000}"/>
    <cellStyle name="Normal 21 4 3" xfId="19024" xr:uid="{00000000-0005-0000-0000-0000534A0000}"/>
    <cellStyle name="Normal 21 4 3 2" xfId="19025" xr:uid="{00000000-0005-0000-0000-0000544A0000}"/>
    <cellStyle name="Normal 21 4 4" xfId="19026" xr:uid="{00000000-0005-0000-0000-0000554A0000}"/>
    <cellStyle name="Normal 21 5" xfId="19027" xr:uid="{00000000-0005-0000-0000-0000564A0000}"/>
    <cellStyle name="Normal 21 5 2" xfId="19028" xr:uid="{00000000-0005-0000-0000-0000574A0000}"/>
    <cellStyle name="Normal 21 5 2 2" xfId="19029" xr:uid="{00000000-0005-0000-0000-0000584A0000}"/>
    <cellStyle name="Normal 21 5 3" xfId="19030" xr:uid="{00000000-0005-0000-0000-0000594A0000}"/>
    <cellStyle name="Normal 21 6" xfId="19031" xr:uid="{00000000-0005-0000-0000-00005A4A0000}"/>
    <cellStyle name="Normal 21 6 2" xfId="19032" xr:uid="{00000000-0005-0000-0000-00005B4A0000}"/>
    <cellStyle name="Normal 21 6 2 2" xfId="19033" xr:uid="{00000000-0005-0000-0000-00005C4A0000}"/>
    <cellStyle name="Normal 21 6 3" xfId="19034" xr:uid="{00000000-0005-0000-0000-00005D4A0000}"/>
    <cellStyle name="Normal 21 7" xfId="19035" xr:uid="{00000000-0005-0000-0000-00005E4A0000}"/>
    <cellStyle name="Normal 21 7 2" xfId="19036" xr:uid="{00000000-0005-0000-0000-00005F4A0000}"/>
    <cellStyle name="Normal 21 8" xfId="19037" xr:uid="{00000000-0005-0000-0000-0000604A0000}"/>
    <cellStyle name="Normal 22" xfId="19038" xr:uid="{00000000-0005-0000-0000-0000614A0000}"/>
    <cellStyle name="Normal 22 2" xfId="19039" xr:uid="{00000000-0005-0000-0000-0000624A0000}"/>
    <cellStyle name="Normal 22 2 2" xfId="19040" xr:uid="{00000000-0005-0000-0000-0000634A0000}"/>
    <cellStyle name="Normal 22 2 2 2" xfId="19041" xr:uid="{00000000-0005-0000-0000-0000644A0000}"/>
    <cellStyle name="Normal 22 2 2 2 2" xfId="19042" xr:uid="{00000000-0005-0000-0000-0000654A0000}"/>
    <cellStyle name="Normal 22 2 2 2 2 2" xfId="19043" xr:uid="{00000000-0005-0000-0000-0000664A0000}"/>
    <cellStyle name="Normal 22 2 2 2 3" xfId="19044" xr:uid="{00000000-0005-0000-0000-0000674A0000}"/>
    <cellStyle name="Normal 22 2 2 3" xfId="19045" xr:uid="{00000000-0005-0000-0000-0000684A0000}"/>
    <cellStyle name="Normal 22 2 2 3 2" xfId="19046" xr:uid="{00000000-0005-0000-0000-0000694A0000}"/>
    <cellStyle name="Normal 22 2 2 4" xfId="19047" xr:uid="{00000000-0005-0000-0000-00006A4A0000}"/>
    <cellStyle name="Normal 22 2 3" xfId="19048" xr:uid="{00000000-0005-0000-0000-00006B4A0000}"/>
    <cellStyle name="Normal 22 2 3 2" xfId="19049" xr:uid="{00000000-0005-0000-0000-00006C4A0000}"/>
    <cellStyle name="Normal 22 2 3 2 2" xfId="19050" xr:uid="{00000000-0005-0000-0000-00006D4A0000}"/>
    <cellStyle name="Normal 22 2 3 3" xfId="19051" xr:uid="{00000000-0005-0000-0000-00006E4A0000}"/>
    <cellStyle name="Normal 22 2 4" xfId="19052" xr:uid="{00000000-0005-0000-0000-00006F4A0000}"/>
    <cellStyle name="Normal 22 2 4 2" xfId="19053" xr:uid="{00000000-0005-0000-0000-0000704A0000}"/>
    <cellStyle name="Normal 22 2 4 2 2" xfId="19054" xr:uid="{00000000-0005-0000-0000-0000714A0000}"/>
    <cellStyle name="Normal 22 2 4 3" xfId="19055" xr:uid="{00000000-0005-0000-0000-0000724A0000}"/>
    <cellStyle name="Normal 22 2 5" xfId="19056" xr:uid="{00000000-0005-0000-0000-0000734A0000}"/>
    <cellStyle name="Normal 22 2 5 2" xfId="19057" xr:uid="{00000000-0005-0000-0000-0000744A0000}"/>
    <cellStyle name="Normal 22 2 6" xfId="19058" xr:uid="{00000000-0005-0000-0000-0000754A0000}"/>
    <cellStyle name="Normal 22 3" xfId="19059" xr:uid="{00000000-0005-0000-0000-0000764A0000}"/>
    <cellStyle name="Normal 22 3 2" xfId="19060" xr:uid="{00000000-0005-0000-0000-0000774A0000}"/>
    <cellStyle name="Normal 22 3 2 2" xfId="19061" xr:uid="{00000000-0005-0000-0000-0000784A0000}"/>
    <cellStyle name="Normal 22 3 2 2 2" xfId="19062" xr:uid="{00000000-0005-0000-0000-0000794A0000}"/>
    <cellStyle name="Normal 22 3 2 3" xfId="19063" xr:uid="{00000000-0005-0000-0000-00007A4A0000}"/>
    <cellStyle name="Normal 22 3 3" xfId="19064" xr:uid="{00000000-0005-0000-0000-00007B4A0000}"/>
    <cellStyle name="Normal 22 3 3 2" xfId="19065" xr:uid="{00000000-0005-0000-0000-00007C4A0000}"/>
    <cellStyle name="Normal 22 3 3 2 2" xfId="19066" xr:uid="{00000000-0005-0000-0000-00007D4A0000}"/>
    <cellStyle name="Normal 22 3 3 3" xfId="19067" xr:uid="{00000000-0005-0000-0000-00007E4A0000}"/>
    <cellStyle name="Normal 22 3 4" xfId="19068" xr:uid="{00000000-0005-0000-0000-00007F4A0000}"/>
    <cellStyle name="Normal 22 3 4 2" xfId="19069" xr:uid="{00000000-0005-0000-0000-0000804A0000}"/>
    <cellStyle name="Normal 22 3 5" xfId="19070" xr:uid="{00000000-0005-0000-0000-0000814A0000}"/>
    <cellStyle name="Normal 22 4" xfId="19071" xr:uid="{00000000-0005-0000-0000-0000824A0000}"/>
    <cellStyle name="Normal 22 4 2" xfId="19072" xr:uid="{00000000-0005-0000-0000-0000834A0000}"/>
    <cellStyle name="Normal 22 4 2 2" xfId="19073" xr:uid="{00000000-0005-0000-0000-0000844A0000}"/>
    <cellStyle name="Normal 22 4 2 2 2" xfId="19074" xr:uid="{00000000-0005-0000-0000-0000854A0000}"/>
    <cellStyle name="Normal 22 4 2 3" xfId="19075" xr:uid="{00000000-0005-0000-0000-0000864A0000}"/>
    <cellStyle name="Normal 22 4 3" xfId="19076" xr:uid="{00000000-0005-0000-0000-0000874A0000}"/>
    <cellStyle name="Normal 22 4 3 2" xfId="19077" xr:uid="{00000000-0005-0000-0000-0000884A0000}"/>
    <cellStyle name="Normal 22 4 4" xfId="19078" xr:uid="{00000000-0005-0000-0000-0000894A0000}"/>
    <cellStyle name="Normal 22 5" xfId="19079" xr:uid="{00000000-0005-0000-0000-00008A4A0000}"/>
    <cellStyle name="Normal 22 5 2" xfId="19080" xr:uid="{00000000-0005-0000-0000-00008B4A0000}"/>
    <cellStyle name="Normal 22 5 2 2" xfId="19081" xr:uid="{00000000-0005-0000-0000-00008C4A0000}"/>
    <cellStyle name="Normal 22 5 3" xfId="19082" xr:uid="{00000000-0005-0000-0000-00008D4A0000}"/>
    <cellStyle name="Normal 22 6" xfId="19083" xr:uid="{00000000-0005-0000-0000-00008E4A0000}"/>
    <cellStyle name="Normal 22 6 2" xfId="19084" xr:uid="{00000000-0005-0000-0000-00008F4A0000}"/>
    <cellStyle name="Normal 22 6 2 2" xfId="19085" xr:uid="{00000000-0005-0000-0000-0000904A0000}"/>
    <cellStyle name="Normal 22 6 3" xfId="19086" xr:uid="{00000000-0005-0000-0000-0000914A0000}"/>
    <cellStyle name="Normal 22 7" xfId="19087" xr:uid="{00000000-0005-0000-0000-0000924A0000}"/>
    <cellStyle name="Normal 22 7 2" xfId="19088" xr:uid="{00000000-0005-0000-0000-0000934A0000}"/>
    <cellStyle name="Normal 22 8" xfId="19089" xr:uid="{00000000-0005-0000-0000-0000944A0000}"/>
    <cellStyle name="Normal 23" xfId="19090" xr:uid="{00000000-0005-0000-0000-0000954A0000}"/>
    <cellStyle name="Normal 23 2" xfId="19091" xr:uid="{00000000-0005-0000-0000-0000964A0000}"/>
    <cellStyle name="Normal 23 2 2" xfId="19092" xr:uid="{00000000-0005-0000-0000-0000974A0000}"/>
    <cellStyle name="Normal 23 2 2 2" xfId="19093" xr:uid="{00000000-0005-0000-0000-0000984A0000}"/>
    <cellStyle name="Normal 23 2 2 2 2" xfId="19094" xr:uid="{00000000-0005-0000-0000-0000994A0000}"/>
    <cellStyle name="Normal 23 2 2 2 2 2" xfId="19095" xr:uid="{00000000-0005-0000-0000-00009A4A0000}"/>
    <cellStyle name="Normal 23 2 2 2 3" xfId="19096" xr:uid="{00000000-0005-0000-0000-00009B4A0000}"/>
    <cellStyle name="Normal 23 2 2 3" xfId="19097" xr:uid="{00000000-0005-0000-0000-00009C4A0000}"/>
    <cellStyle name="Normal 23 2 2 3 2" xfId="19098" xr:uid="{00000000-0005-0000-0000-00009D4A0000}"/>
    <cellStyle name="Normal 23 2 2 4" xfId="19099" xr:uid="{00000000-0005-0000-0000-00009E4A0000}"/>
    <cellStyle name="Normal 23 2 3" xfId="19100" xr:uid="{00000000-0005-0000-0000-00009F4A0000}"/>
    <cellStyle name="Normal 23 2 3 2" xfId="19101" xr:uid="{00000000-0005-0000-0000-0000A04A0000}"/>
    <cellStyle name="Normal 23 2 3 2 2" xfId="19102" xr:uid="{00000000-0005-0000-0000-0000A14A0000}"/>
    <cellStyle name="Normal 23 2 3 3" xfId="19103" xr:uid="{00000000-0005-0000-0000-0000A24A0000}"/>
    <cellStyle name="Normal 23 2 4" xfId="19104" xr:uid="{00000000-0005-0000-0000-0000A34A0000}"/>
    <cellStyle name="Normal 23 2 4 2" xfId="19105" xr:uid="{00000000-0005-0000-0000-0000A44A0000}"/>
    <cellStyle name="Normal 23 2 4 2 2" xfId="19106" xr:uid="{00000000-0005-0000-0000-0000A54A0000}"/>
    <cellStyle name="Normal 23 2 4 3" xfId="19107" xr:uid="{00000000-0005-0000-0000-0000A64A0000}"/>
    <cellStyle name="Normal 23 2 5" xfId="19108" xr:uid="{00000000-0005-0000-0000-0000A74A0000}"/>
    <cellStyle name="Normal 23 2 5 2" xfId="19109" xr:uid="{00000000-0005-0000-0000-0000A84A0000}"/>
    <cellStyle name="Normal 23 2 6" xfId="19110" xr:uid="{00000000-0005-0000-0000-0000A94A0000}"/>
    <cellStyle name="Normal 23 3" xfId="19111" xr:uid="{00000000-0005-0000-0000-0000AA4A0000}"/>
    <cellStyle name="Normal 23 3 2" xfId="19112" xr:uid="{00000000-0005-0000-0000-0000AB4A0000}"/>
    <cellStyle name="Normal 23 3 2 2" xfId="19113" xr:uid="{00000000-0005-0000-0000-0000AC4A0000}"/>
    <cellStyle name="Normal 23 3 2 2 2" xfId="19114" xr:uid="{00000000-0005-0000-0000-0000AD4A0000}"/>
    <cellStyle name="Normal 23 3 2 3" xfId="19115" xr:uid="{00000000-0005-0000-0000-0000AE4A0000}"/>
    <cellStyle name="Normal 23 3 3" xfId="19116" xr:uid="{00000000-0005-0000-0000-0000AF4A0000}"/>
    <cellStyle name="Normal 23 3 3 2" xfId="19117" xr:uid="{00000000-0005-0000-0000-0000B04A0000}"/>
    <cellStyle name="Normal 23 3 3 2 2" xfId="19118" xr:uid="{00000000-0005-0000-0000-0000B14A0000}"/>
    <cellStyle name="Normal 23 3 3 3" xfId="19119" xr:uid="{00000000-0005-0000-0000-0000B24A0000}"/>
    <cellStyle name="Normal 23 3 4" xfId="19120" xr:uid="{00000000-0005-0000-0000-0000B34A0000}"/>
    <cellStyle name="Normal 23 3 4 2" xfId="19121" xr:uid="{00000000-0005-0000-0000-0000B44A0000}"/>
    <cellStyle name="Normal 23 3 5" xfId="19122" xr:uid="{00000000-0005-0000-0000-0000B54A0000}"/>
    <cellStyle name="Normal 23 4" xfId="19123" xr:uid="{00000000-0005-0000-0000-0000B64A0000}"/>
    <cellStyle name="Normal 23 4 2" xfId="19124" xr:uid="{00000000-0005-0000-0000-0000B74A0000}"/>
    <cellStyle name="Normal 23 4 2 2" xfId="19125" xr:uid="{00000000-0005-0000-0000-0000B84A0000}"/>
    <cellStyle name="Normal 23 4 2 2 2" xfId="19126" xr:uid="{00000000-0005-0000-0000-0000B94A0000}"/>
    <cellStyle name="Normal 23 4 2 3" xfId="19127" xr:uid="{00000000-0005-0000-0000-0000BA4A0000}"/>
    <cellStyle name="Normal 23 4 3" xfId="19128" xr:uid="{00000000-0005-0000-0000-0000BB4A0000}"/>
    <cellStyle name="Normal 23 4 3 2" xfId="19129" xr:uid="{00000000-0005-0000-0000-0000BC4A0000}"/>
    <cellStyle name="Normal 23 4 4" xfId="19130" xr:uid="{00000000-0005-0000-0000-0000BD4A0000}"/>
    <cellStyle name="Normal 23 5" xfId="19131" xr:uid="{00000000-0005-0000-0000-0000BE4A0000}"/>
    <cellStyle name="Normal 23 5 2" xfId="19132" xr:uid="{00000000-0005-0000-0000-0000BF4A0000}"/>
    <cellStyle name="Normal 23 5 2 2" xfId="19133" xr:uid="{00000000-0005-0000-0000-0000C04A0000}"/>
    <cellStyle name="Normal 23 5 3" xfId="19134" xr:uid="{00000000-0005-0000-0000-0000C14A0000}"/>
    <cellStyle name="Normal 23 6" xfId="19135" xr:uid="{00000000-0005-0000-0000-0000C24A0000}"/>
    <cellStyle name="Normal 23 6 2" xfId="19136" xr:uid="{00000000-0005-0000-0000-0000C34A0000}"/>
    <cellStyle name="Normal 23 6 2 2" xfId="19137" xr:uid="{00000000-0005-0000-0000-0000C44A0000}"/>
    <cellStyle name="Normal 23 6 3" xfId="19138" xr:uid="{00000000-0005-0000-0000-0000C54A0000}"/>
    <cellStyle name="Normal 23 7" xfId="19139" xr:uid="{00000000-0005-0000-0000-0000C64A0000}"/>
    <cellStyle name="Normal 23 7 2" xfId="19140" xr:uid="{00000000-0005-0000-0000-0000C74A0000}"/>
    <cellStyle name="Normal 23 8" xfId="19141" xr:uid="{00000000-0005-0000-0000-0000C84A0000}"/>
    <cellStyle name="Normal 24" xfId="19142" xr:uid="{00000000-0005-0000-0000-0000C94A0000}"/>
    <cellStyle name="Normal 24 2" xfId="19143" xr:uid="{00000000-0005-0000-0000-0000CA4A0000}"/>
    <cellStyle name="Normal 24 2 2" xfId="19144" xr:uid="{00000000-0005-0000-0000-0000CB4A0000}"/>
    <cellStyle name="Normal 24 2 2 2" xfId="19145" xr:uid="{00000000-0005-0000-0000-0000CC4A0000}"/>
    <cellStyle name="Normal 24 2 2 2 2" xfId="19146" xr:uid="{00000000-0005-0000-0000-0000CD4A0000}"/>
    <cellStyle name="Normal 24 2 2 2 2 2" xfId="19147" xr:uid="{00000000-0005-0000-0000-0000CE4A0000}"/>
    <cellStyle name="Normal 24 2 2 2 3" xfId="19148" xr:uid="{00000000-0005-0000-0000-0000CF4A0000}"/>
    <cellStyle name="Normal 24 2 2 3" xfId="19149" xr:uid="{00000000-0005-0000-0000-0000D04A0000}"/>
    <cellStyle name="Normal 24 2 2 3 2" xfId="19150" xr:uid="{00000000-0005-0000-0000-0000D14A0000}"/>
    <cellStyle name="Normal 24 2 2 4" xfId="19151" xr:uid="{00000000-0005-0000-0000-0000D24A0000}"/>
    <cellStyle name="Normal 24 2 3" xfId="19152" xr:uid="{00000000-0005-0000-0000-0000D34A0000}"/>
    <cellStyle name="Normal 24 2 3 2" xfId="19153" xr:uid="{00000000-0005-0000-0000-0000D44A0000}"/>
    <cellStyle name="Normal 24 2 3 2 2" xfId="19154" xr:uid="{00000000-0005-0000-0000-0000D54A0000}"/>
    <cellStyle name="Normal 24 2 3 3" xfId="19155" xr:uid="{00000000-0005-0000-0000-0000D64A0000}"/>
    <cellStyle name="Normal 24 2 4" xfId="19156" xr:uid="{00000000-0005-0000-0000-0000D74A0000}"/>
    <cellStyle name="Normal 24 2 4 2" xfId="19157" xr:uid="{00000000-0005-0000-0000-0000D84A0000}"/>
    <cellStyle name="Normal 24 2 4 2 2" xfId="19158" xr:uid="{00000000-0005-0000-0000-0000D94A0000}"/>
    <cellStyle name="Normal 24 2 4 3" xfId="19159" xr:uid="{00000000-0005-0000-0000-0000DA4A0000}"/>
    <cellStyle name="Normal 24 2 5" xfId="19160" xr:uid="{00000000-0005-0000-0000-0000DB4A0000}"/>
    <cellStyle name="Normal 24 2 5 2" xfId="19161" xr:uid="{00000000-0005-0000-0000-0000DC4A0000}"/>
    <cellStyle name="Normal 24 2 6" xfId="19162" xr:uid="{00000000-0005-0000-0000-0000DD4A0000}"/>
    <cellStyle name="Normal 24 3" xfId="19163" xr:uid="{00000000-0005-0000-0000-0000DE4A0000}"/>
    <cellStyle name="Normal 24 3 2" xfId="19164" xr:uid="{00000000-0005-0000-0000-0000DF4A0000}"/>
    <cellStyle name="Normal 24 3 2 2" xfId="19165" xr:uid="{00000000-0005-0000-0000-0000E04A0000}"/>
    <cellStyle name="Normal 24 3 2 2 2" xfId="19166" xr:uid="{00000000-0005-0000-0000-0000E14A0000}"/>
    <cellStyle name="Normal 24 3 2 3" xfId="19167" xr:uid="{00000000-0005-0000-0000-0000E24A0000}"/>
    <cellStyle name="Normal 24 3 3" xfId="19168" xr:uid="{00000000-0005-0000-0000-0000E34A0000}"/>
    <cellStyle name="Normal 24 3 3 2" xfId="19169" xr:uid="{00000000-0005-0000-0000-0000E44A0000}"/>
    <cellStyle name="Normal 24 3 3 2 2" xfId="19170" xr:uid="{00000000-0005-0000-0000-0000E54A0000}"/>
    <cellStyle name="Normal 24 3 3 3" xfId="19171" xr:uid="{00000000-0005-0000-0000-0000E64A0000}"/>
    <cellStyle name="Normal 24 3 4" xfId="19172" xr:uid="{00000000-0005-0000-0000-0000E74A0000}"/>
    <cellStyle name="Normal 24 3 4 2" xfId="19173" xr:uid="{00000000-0005-0000-0000-0000E84A0000}"/>
    <cellStyle name="Normal 24 3 5" xfId="19174" xr:uid="{00000000-0005-0000-0000-0000E94A0000}"/>
    <cellStyle name="Normal 24 4" xfId="19175" xr:uid="{00000000-0005-0000-0000-0000EA4A0000}"/>
    <cellStyle name="Normal 24 4 2" xfId="19176" xr:uid="{00000000-0005-0000-0000-0000EB4A0000}"/>
    <cellStyle name="Normal 24 4 2 2" xfId="19177" xr:uid="{00000000-0005-0000-0000-0000EC4A0000}"/>
    <cellStyle name="Normal 24 4 2 2 2" xfId="19178" xr:uid="{00000000-0005-0000-0000-0000ED4A0000}"/>
    <cellStyle name="Normal 24 4 2 3" xfId="19179" xr:uid="{00000000-0005-0000-0000-0000EE4A0000}"/>
    <cellStyle name="Normal 24 4 3" xfId="19180" xr:uid="{00000000-0005-0000-0000-0000EF4A0000}"/>
    <cellStyle name="Normal 24 4 3 2" xfId="19181" xr:uid="{00000000-0005-0000-0000-0000F04A0000}"/>
    <cellStyle name="Normal 24 4 4" xfId="19182" xr:uid="{00000000-0005-0000-0000-0000F14A0000}"/>
    <cellStyle name="Normal 24 5" xfId="19183" xr:uid="{00000000-0005-0000-0000-0000F24A0000}"/>
    <cellStyle name="Normal 24 5 2" xfId="19184" xr:uid="{00000000-0005-0000-0000-0000F34A0000}"/>
    <cellStyle name="Normal 24 5 2 2" xfId="19185" xr:uid="{00000000-0005-0000-0000-0000F44A0000}"/>
    <cellStyle name="Normal 24 5 3" xfId="19186" xr:uid="{00000000-0005-0000-0000-0000F54A0000}"/>
    <cellStyle name="Normal 24 6" xfId="19187" xr:uid="{00000000-0005-0000-0000-0000F64A0000}"/>
    <cellStyle name="Normal 24 6 2" xfId="19188" xr:uid="{00000000-0005-0000-0000-0000F74A0000}"/>
    <cellStyle name="Normal 24 6 2 2" xfId="19189" xr:uid="{00000000-0005-0000-0000-0000F84A0000}"/>
    <cellStyle name="Normal 24 6 3" xfId="19190" xr:uid="{00000000-0005-0000-0000-0000F94A0000}"/>
    <cellStyle name="Normal 24 7" xfId="19191" xr:uid="{00000000-0005-0000-0000-0000FA4A0000}"/>
    <cellStyle name="Normal 24 7 2" xfId="19192" xr:uid="{00000000-0005-0000-0000-0000FB4A0000}"/>
    <cellStyle name="Normal 24 8" xfId="19193" xr:uid="{00000000-0005-0000-0000-0000FC4A0000}"/>
    <cellStyle name="Normal 25" xfId="19194" xr:uid="{00000000-0005-0000-0000-0000FD4A0000}"/>
    <cellStyle name="Normal 25 2" xfId="19195" xr:uid="{00000000-0005-0000-0000-0000FE4A0000}"/>
    <cellStyle name="Normal 25 2 2" xfId="19196" xr:uid="{00000000-0005-0000-0000-0000FF4A0000}"/>
    <cellStyle name="Normal 25 2 2 2" xfId="19197" xr:uid="{00000000-0005-0000-0000-0000004B0000}"/>
    <cellStyle name="Normal 25 2 2 2 2" xfId="19198" xr:uid="{00000000-0005-0000-0000-0000014B0000}"/>
    <cellStyle name="Normal 25 2 2 2 2 2" xfId="19199" xr:uid="{00000000-0005-0000-0000-0000024B0000}"/>
    <cellStyle name="Normal 25 2 2 2 3" xfId="19200" xr:uid="{00000000-0005-0000-0000-0000034B0000}"/>
    <cellStyle name="Normal 25 2 2 3" xfId="19201" xr:uid="{00000000-0005-0000-0000-0000044B0000}"/>
    <cellStyle name="Normal 25 2 2 3 2" xfId="19202" xr:uid="{00000000-0005-0000-0000-0000054B0000}"/>
    <cellStyle name="Normal 25 2 2 4" xfId="19203" xr:uid="{00000000-0005-0000-0000-0000064B0000}"/>
    <cellStyle name="Normal 25 2 3" xfId="19204" xr:uid="{00000000-0005-0000-0000-0000074B0000}"/>
    <cellStyle name="Normal 25 2 3 2" xfId="19205" xr:uid="{00000000-0005-0000-0000-0000084B0000}"/>
    <cellStyle name="Normal 25 2 3 2 2" xfId="19206" xr:uid="{00000000-0005-0000-0000-0000094B0000}"/>
    <cellStyle name="Normal 25 2 3 3" xfId="19207" xr:uid="{00000000-0005-0000-0000-00000A4B0000}"/>
    <cellStyle name="Normal 25 2 4" xfId="19208" xr:uid="{00000000-0005-0000-0000-00000B4B0000}"/>
    <cellStyle name="Normal 25 2 4 2" xfId="19209" xr:uid="{00000000-0005-0000-0000-00000C4B0000}"/>
    <cellStyle name="Normal 25 2 4 2 2" xfId="19210" xr:uid="{00000000-0005-0000-0000-00000D4B0000}"/>
    <cellStyle name="Normal 25 2 4 3" xfId="19211" xr:uid="{00000000-0005-0000-0000-00000E4B0000}"/>
    <cellStyle name="Normal 25 2 5" xfId="19212" xr:uid="{00000000-0005-0000-0000-00000F4B0000}"/>
    <cellStyle name="Normal 25 2 5 2" xfId="19213" xr:uid="{00000000-0005-0000-0000-0000104B0000}"/>
    <cellStyle name="Normal 25 2 6" xfId="19214" xr:uid="{00000000-0005-0000-0000-0000114B0000}"/>
    <cellStyle name="Normal 25 3" xfId="19215" xr:uid="{00000000-0005-0000-0000-0000124B0000}"/>
    <cellStyle name="Normal 25 3 2" xfId="19216" xr:uid="{00000000-0005-0000-0000-0000134B0000}"/>
    <cellStyle name="Normal 25 3 2 2" xfId="19217" xr:uid="{00000000-0005-0000-0000-0000144B0000}"/>
    <cellStyle name="Normal 25 3 2 2 2" xfId="19218" xr:uid="{00000000-0005-0000-0000-0000154B0000}"/>
    <cellStyle name="Normal 25 3 2 3" xfId="19219" xr:uid="{00000000-0005-0000-0000-0000164B0000}"/>
    <cellStyle name="Normal 25 3 3" xfId="19220" xr:uid="{00000000-0005-0000-0000-0000174B0000}"/>
    <cellStyle name="Normal 25 3 3 2" xfId="19221" xr:uid="{00000000-0005-0000-0000-0000184B0000}"/>
    <cellStyle name="Normal 25 3 3 2 2" xfId="19222" xr:uid="{00000000-0005-0000-0000-0000194B0000}"/>
    <cellStyle name="Normal 25 3 3 3" xfId="19223" xr:uid="{00000000-0005-0000-0000-00001A4B0000}"/>
    <cellStyle name="Normal 25 3 4" xfId="19224" xr:uid="{00000000-0005-0000-0000-00001B4B0000}"/>
    <cellStyle name="Normal 25 3 4 2" xfId="19225" xr:uid="{00000000-0005-0000-0000-00001C4B0000}"/>
    <cellStyle name="Normal 25 3 5" xfId="19226" xr:uid="{00000000-0005-0000-0000-00001D4B0000}"/>
    <cellStyle name="Normal 25 4" xfId="19227" xr:uid="{00000000-0005-0000-0000-00001E4B0000}"/>
    <cellStyle name="Normal 25 4 2" xfId="19228" xr:uid="{00000000-0005-0000-0000-00001F4B0000}"/>
    <cellStyle name="Normal 25 4 2 2" xfId="19229" xr:uid="{00000000-0005-0000-0000-0000204B0000}"/>
    <cellStyle name="Normal 25 4 2 2 2" xfId="19230" xr:uid="{00000000-0005-0000-0000-0000214B0000}"/>
    <cellStyle name="Normal 25 4 2 3" xfId="19231" xr:uid="{00000000-0005-0000-0000-0000224B0000}"/>
    <cellStyle name="Normal 25 4 3" xfId="19232" xr:uid="{00000000-0005-0000-0000-0000234B0000}"/>
    <cellStyle name="Normal 25 4 3 2" xfId="19233" xr:uid="{00000000-0005-0000-0000-0000244B0000}"/>
    <cellStyle name="Normal 25 4 4" xfId="19234" xr:uid="{00000000-0005-0000-0000-0000254B0000}"/>
    <cellStyle name="Normal 25 5" xfId="19235" xr:uid="{00000000-0005-0000-0000-0000264B0000}"/>
    <cellStyle name="Normal 25 5 2" xfId="19236" xr:uid="{00000000-0005-0000-0000-0000274B0000}"/>
    <cellStyle name="Normal 25 5 2 2" xfId="19237" xr:uid="{00000000-0005-0000-0000-0000284B0000}"/>
    <cellStyle name="Normal 25 5 3" xfId="19238" xr:uid="{00000000-0005-0000-0000-0000294B0000}"/>
    <cellStyle name="Normal 25 6" xfId="19239" xr:uid="{00000000-0005-0000-0000-00002A4B0000}"/>
    <cellStyle name="Normal 25 6 2" xfId="19240" xr:uid="{00000000-0005-0000-0000-00002B4B0000}"/>
    <cellStyle name="Normal 25 6 2 2" xfId="19241" xr:uid="{00000000-0005-0000-0000-00002C4B0000}"/>
    <cellStyle name="Normal 25 6 3" xfId="19242" xr:uid="{00000000-0005-0000-0000-00002D4B0000}"/>
    <cellStyle name="Normal 25 7" xfId="19243" xr:uid="{00000000-0005-0000-0000-00002E4B0000}"/>
    <cellStyle name="Normal 25 7 2" xfId="19244" xr:uid="{00000000-0005-0000-0000-00002F4B0000}"/>
    <cellStyle name="Normal 25 8" xfId="19245" xr:uid="{00000000-0005-0000-0000-0000304B0000}"/>
    <cellStyle name="Normal 26" xfId="19246" xr:uid="{00000000-0005-0000-0000-0000314B0000}"/>
    <cellStyle name="Normal 26 2" xfId="19247" xr:uid="{00000000-0005-0000-0000-0000324B0000}"/>
    <cellStyle name="Normal 26 2 2" xfId="19248" xr:uid="{00000000-0005-0000-0000-0000334B0000}"/>
    <cellStyle name="Normal 26 2 2 2" xfId="19249" xr:uid="{00000000-0005-0000-0000-0000344B0000}"/>
    <cellStyle name="Normal 26 2 2 2 2" xfId="19250" xr:uid="{00000000-0005-0000-0000-0000354B0000}"/>
    <cellStyle name="Normal 26 2 2 2 2 2" xfId="19251" xr:uid="{00000000-0005-0000-0000-0000364B0000}"/>
    <cellStyle name="Normal 26 2 2 2 3" xfId="19252" xr:uid="{00000000-0005-0000-0000-0000374B0000}"/>
    <cellStyle name="Normal 26 2 2 3" xfId="19253" xr:uid="{00000000-0005-0000-0000-0000384B0000}"/>
    <cellStyle name="Normal 26 2 2 3 2" xfId="19254" xr:uid="{00000000-0005-0000-0000-0000394B0000}"/>
    <cellStyle name="Normal 26 2 2 4" xfId="19255" xr:uid="{00000000-0005-0000-0000-00003A4B0000}"/>
    <cellStyle name="Normal 26 2 3" xfId="19256" xr:uid="{00000000-0005-0000-0000-00003B4B0000}"/>
    <cellStyle name="Normal 26 2 3 2" xfId="19257" xr:uid="{00000000-0005-0000-0000-00003C4B0000}"/>
    <cellStyle name="Normal 26 2 3 2 2" xfId="19258" xr:uid="{00000000-0005-0000-0000-00003D4B0000}"/>
    <cellStyle name="Normal 26 2 3 3" xfId="19259" xr:uid="{00000000-0005-0000-0000-00003E4B0000}"/>
    <cellStyle name="Normal 26 2 4" xfId="19260" xr:uid="{00000000-0005-0000-0000-00003F4B0000}"/>
    <cellStyle name="Normal 26 2 4 2" xfId="19261" xr:uid="{00000000-0005-0000-0000-0000404B0000}"/>
    <cellStyle name="Normal 26 2 4 2 2" xfId="19262" xr:uid="{00000000-0005-0000-0000-0000414B0000}"/>
    <cellStyle name="Normal 26 2 4 3" xfId="19263" xr:uid="{00000000-0005-0000-0000-0000424B0000}"/>
    <cellStyle name="Normal 26 2 5" xfId="19264" xr:uid="{00000000-0005-0000-0000-0000434B0000}"/>
    <cellStyle name="Normal 26 2 5 2" xfId="19265" xr:uid="{00000000-0005-0000-0000-0000444B0000}"/>
    <cellStyle name="Normal 26 2 6" xfId="19266" xr:uid="{00000000-0005-0000-0000-0000454B0000}"/>
    <cellStyle name="Normal 26 3" xfId="19267" xr:uid="{00000000-0005-0000-0000-0000464B0000}"/>
    <cellStyle name="Normal 26 3 2" xfId="19268" xr:uid="{00000000-0005-0000-0000-0000474B0000}"/>
    <cellStyle name="Normal 26 3 2 2" xfId="19269" xr:uid="{00000000-0005-0000-0000-0000484B0000}"/>
    <cellStyle name="Normal 26 3 2 2 2" xfId="19270" xr:uid="{00000000-0005-0000-0000-0000494B0000}"/>
    <cellStyle name="Normal 26 3 2 3" xfId="19271" xr:uid="{00000000-0005-0000-0000-00004A4B0000}"/>
    <cellStyle name="Normal 26 3 3" xfId="19272" xr:uid="{00000000-0005-0000-0000-00004B4B0000}"/>
    <cellStyle name="Normal 26 3 3 2" xfId="19273" xr:uid="{00000000-0005-0000-0000-00004C4B0000}"/>
    <cellStyle name="Normal 26 3 3 2 2" xfId="19274" xr:uid="{00000000-0005-0000-0000-00004D4B0000}"/>
    <cellStyle name="Normal 26 3 3 3" xfId="19275" xr:uid="{00000000-0005-0000-0000-00004E4B0000}"/>
    <cellStyle name="Normal 26 3 4" xfId="19276" xr:uid="{00000000-0005-0000-0000-00004F4B0000}"/>
    <cellStyle name="Normal 26 3 4 2" xfId="19277" xr:uid="{00000000-0005-0000-0000-0000504B0000}"/>
    <cellStyle name="Normal 26 3 5" xfId="19278" xr:uid="{00000000-0005-0000-0000-0000514B0000}"/>
    <cellStyle name="Normal 26 4" xfId="19279" xr:uid="{00000000-0005-0000-0000-0000524B0000}"/>
    <cellStyle name="Normal 26 4 2" xfId="19280" xr:uid="{00000000-0005-0000-0000-0000534B0000}"/>
    <cellStyle name="Normal 26 4 2 2" xfId="19281" xr:uid="{00000000-0005-0000-0000-0000544B0000}"/>
    <cellStyle name="Normal 26 4 2 2 2" xfId="19282" xr:uid="{00000000-0005-0000-0000-0000554B0000}"/>
    <cellStyle name="Normal 26 4 2 3" xfId="19283" xr:uid="{00000000-0005-0000-0000-0000564B0000}"/>
    <cellStyle name="Normal 26 4 3" xfId="19284" xr:uid="{00000000-0005-0000-0000-0000574B0000}"/>
    <cellStyle name="Normal 26 4 3 2" xfId="19285" xr:uid="{00000000-0005-0000-0000-0000584B0000}"/>
    <cellStyle name="Normal 26 4 4" xfId="19286" xr:uid="{00000000-0005-0000-0000-0000594B0000}"/>
    <cellStyle name="Normal 26 5" xfId="19287" xr:uid="{00000000-0005-0000-0000-00005A4B0000}"/>
    <cellStyle name="Normal 26 5 2" xfId="19288" xr:uid="{00000000-0005-0000-0000-00005B4B0000}"/>
    <cellStyle name="Normal 26 5 2 2" xfId="19289" xr:uid="{00000000-0005-0000-0000-00005C4B0000}"/>
    <cellStyle name="Normal 26 5 3" xfId="19290" xr:uid="{00000000-0005-0000-0000-00005D4B0000}"/>
    <cellStyle name="Normal 26 6" xfId="19291" xr:uid="{00000000-0005-0000-0000-00005E4B0000}"/>
    <cellStyle name="Normal 26 6 2" xfId="19292" xr:uid="{00000000-0005-0000-0000-00005F4B0000}"/>
    <cellStyle name="Normal 26 6 2 2" xfId="19293" xr:uid="{00000000-0005-0000-0000-0000604B0000}"/>
    <cellStyle name="Normal 26 6 3" xfId="19294" xr:uid="{00000000-0005-0000-0000-0000614B0000}"/>
    <cellStyle name="Normal 26 7" xfId="19295" xr:uid="{00000000-0005-0000-0000-0000624B0000}"/>
    <cellStyle name="Normal 26 7 2" xfId="19296" xr:uid="{00000000-0005-0000-0000-0000634B0000}"/>
    <cellStyle name="Normal 26 8" xfId="19297" xr:uid="{00000000-0005-0000-0000-0000644B0000}"/>
    <cellStyle name="Normal 27" xfId="19298" xr:uid="{00000000-0005-0000-0000-0000654B0000}"/>
    <cellStyle name="Normal 27 2" xfId="19299" xr:uid="{00000000-0005-0000-0000-0000664B0000}"/>
    <cellStyle name="Normal 27 2 2" xfId="19300" xr:uid="{00000000-0005-0000-0000-0000674B0000}"/>
    <cellStyle name="Normal 27 3" xfId="19301" xr:uid="{00000000-0005-0000-0000-0000684B0000}"/>
    <cellStyle name="Normal 27 3 2" xfId="19302" xr:uid="{00000000-0005-0000-0000-0000694B0000}"/>
    <cellStyle name="Normal 27 3 2 2" xfId="19303" xr:uid="{00000000-0005-0000-0000-00006A4B0000}"/>
    <cellStyle name="Normal 27 3 2 2 2" xfId="19304" xr:uid="{00000000-0005-0000-0000-00006B4B0000}"/>
    <cellStyle name="Normal 27 3 2 3" xfId="19305" xr:uid="{00000000-0005-0000-0000-00006C4B0000}"/>
    <cellStyle name="Normal 27 3 3" xfId="19306" xr:uid="{00000000-0005-0000-0000-00006D4B0000}"/>
    <cellStyle name="Normal 27 3 3 2" xfId="19307" xr:uid="{00000000-0005-0000-0000-00006E4B0000}"/>
    <cellStyle name="Normal 27 3 3 2 2" xfId="19308" xr:uid="{00000000-0005-0000-0000-00006F4B0000}"/>
    <cellStyle name="Normal 27 3 3 3" xfId="19309" xr:uid="{00000000-0005-0000-0000-0000704B0000}"/>
    <cellStyle name="Normal 27 3 4" xfId="19310" xr:uid="{00000000-0005-0000-0000-0000714B0000}"/>
    <cellStyle name="Normal 27 3 4 2" xfId="19311" xr:uid="{00000000-0005-0000-0000-0000724B0000}"/>
    <cellStyle name="Normal 27 3 5" xfId="19312" xr:uid="{00000000-0005-0000-0000-0000734B0000}"/>
    <cellStyle name="Normal 27 4" xfId="19313" xr:uid="{00000000-0005-0000-0000-0000744B0000}"/>
    <cellStyle name="Normal 27 4 2" xfId="19314" xr:uid="{00000000-0005-0000-0000-0000754B0000}"/>
    <cellStyle name="Normal 27 4 2 2" xfId="19315" xr:uid="{00000000-0005-0000-0000-0000764B0000}"/>
    <cellStyle name="Normal 27 4 3" xfId="19316" xr:uid="{00000000-0005-0000-0000-0000774B0000}"/>
    <cellStyle name="Normal 27 5" xfId="19317" xr:uid="{00000000-0005-0000-0000-0000784B0000}"/>
    <cellStyle name="Normal 28" xfId="19318" xr:uid="{00000000-0005-0000-0000-0000794B0000}"/>
    <cellStyle name="Normal 28 2" xfId="19319" xr:uid="{00000000-0005-0000-0000-00007A4B0000}"/>
    <cellStyle name="Normal 28 2 2" xfId="19320" xr:uid="{00000000-0005-0000-0000-00007B4B0000}"/>
    <cellStyle name="Normal 28 3" xfId="19321" xr:uid="{00000000-0005-0000-0000-00007C4B0000}"/>
    <cellStyle name="Normal 28 4" xfId="19322" xr:uid="{00000000-0005-0000-0000-00007D4B0000}"/>
    <cellStyle name="Normal 29" xfId="19323" xr:uid="{00000000-0005-0000-0000-00007E4B0000}"/>
    <cellStyle name="Normal 29 2" xfId="19324" xr:uid="{00000000-0005-0000-0000-00007F4B0000}"/>
    <cellStyle name="Normal 29 2 2" xfId="19325" xr:uid="{00000000-0005-0000-0000-0000804B0000}"/>
    <cellStyle name="Normal 29 2 2 2" xfId="19326" xr:uid="{00000000-0005-0000-0000-0000814B0000}"/>
    <cellStyle name="Normal 29 2 2 2 2" xfId="19327" xr:uid="{00000000-0005-0000-0000-0000824B0000}"/>
    <cellStyle name="Normal 29 2 2 3" xfId="19328" xr:uid="{00000000-0005-0000-0000-0000834B0000}"/>
    <cellStyle name="Normal 29 2 3" xfId="19329" xr:uid="{00000000-0005-0000-0000-0000844B0000}"/>
    <cellStyle name="Normal 29 2 3 2" xfId="19330" xr:uid="{00000000-0005-0000-0000-0000854B0000}"/>
    <cellStyle name="Normal 29 2 3 2 2" xfId="19331" xr:uid="{00000000-0005-0000-0000-0000864B0000}"/>
    <cellStyle name="Normal 29 2 3 3" xfId="19332" xr:uid="{00000000-0005-0000-0000-0000874B0000}"/>
    <cellStyle name="Normal 29 2 4" xfId="19333" xr:uid="{00000000-0005-0000-0000-0000884B0000}"/>
    <cellStyle name="Normal 29 2 4 2" xfId="19334" xr:uid="{00000000-0005-0000-0000-0000894B0000}"/>
    <cellStyle name="Normal 29 2 5" xfId="19335" xr:uid="{00000000-0005-0000-0000-00008A4B0000}"/>
    <cellStyle name="Normal 29 3" xfId="19336" xr:uid="{00000000-0005-0000-0000-00008B4B0000}"/>
    <cellStyle name="Normal 29 3 2" xfId="19337" xr:uid="{00000000-0005-0000-0000-00008C4B0000}"/>
    <cellStyle name="Normal 29 3 2 2" xfId="19338" xr:uid="{00000000-0005-0000-0000-00008D4B0000}"/>
    <cellStyle name="Normal 29 3 2 2 2" xfId="19339" xr:uid="{00000000-0005-0000-0000-00008E4B0000}"/>
    <cellStyle name="Normal 29 3 2 3" xfId="19340" xr:uid="{00000000-0005-0000-0000-00008F4B0000}"/>
    <cellStyle name="Normal 29 3 3" xfId="19341" xr:uid="{00000000-0005-0000-0000-0000904B0000}"/>
    <cellStyle name="Normal 29 3 3 2" xfId="19342" xr:uid="{00000000-0005-0000-0000-0000914B0000}"/>
    <cellStyle name="Normal 29 3 4" xfId="19343" xr:uid="{00000000-0005-0000-0000-0000924B0000}"/>
    <cellStyle name="Normal 29 4" xfId="19344" xr:uid="{00000000-0005-0000-0000-0000934B0000}"/>
    <cellStyle name="Normal 29 4 2" xfId="19345" xr:uid="{00000000-0005-0000-0000-0000944B0000}"/>
    <cellStyle name="Normal 29 4 2 2" xfId="19346" xr:uid="{00000000-0005-0000-0000-0000954B0000}"/>
    <cellStyle name="Normal 29 4 3" xfId="19347" xr:uid="{00000000-0005-0000-0000-0000964B0000}"/>
    <cellStyle name="Normal 29 5" xfId="19348" xr:uid="{00000000-0005-0000-0000-0000974B0000}"/>
    <cellStyle name="Normal 29 5 2" xfId="19349" xr:uid="{00000000-0005-0000-0000-0000984B0000}"/>
    <cellStyle name="Normal 29 5 2 2" xfId="19350" xr:uid="{00000000-0005-0000-0000-0000994B0000}"/>
    <cellStyle name="Normal 29 5 3" xfId="19351" xr:uid="{00000000-0005-0000-0000-00009A4B0000}"/>
    <cellStyle name="Normal 29 6" xfId="19352" xr:uid="{00000000-0005-0000-0000-00009B4B0000}"/>
    <cellStyle name="Normal 29 6 2" xfId="19353" xr:uid="{00000000-0005-0000-0000-00009C4B0000}"/>
    <cellStyle name="Normal 29 7" xfId="19354" xr:uid="{00000000-0005-0000-0000-00009D4B0000}"/>
    <cellStyle name="Normal 3" xfId="19355" xr:uid="{00000000-0005-0000-0000-00009E4B0000}"/>
    <cellStyle name="Normal 3 2" xfId="19356" xr:uid="{00000000-0005-0000-0000-00009F4B0000}"/>
    <cellStyle name="Normal 3 3" xfId="19357" xr:uid="{00000000-0005-0000-0000-0000A04B0000}"/>
    <cellStyle name="Normal 3 4" xfId="19358" xr:uid="{00000000-0005-0000-0000-0000A14B0000}"/>
    <cellStyle name="Normal 3 4 2" xfId="19359" xr:uid="{00000000-0005-0000-0000-0000A24B0000}"/>
    <cellStyle name="Normal 3 4 2 2" xfId="19360" xr:uid="{00000000-0005-0000-0000-0000A34B0000}"/>
    <cellStyle name="Normal 3 4 2 2 2" xfId="19361" xr:uid="{00000000-0005-0000-0000-0000A44B0000}"/>
    <cellStyle name="Normal 3 4 2 3" xfId="19362" xr:uid="{00000000-0005-0000-0000-0000A54B0000}"/>
    <cellStyle name="Normal 3 4 3" xfId="19363" xr:uid="{00000000-0005-0000-0000-0000A64B0000}"/>
    <cellStyle name="Normal 3 4 3 2" xfId="19364" xr:uid="{00000000-0005-0000-0000-0000A74B0000}"/>
    <cellStyle name="Normal 3 4 3 2 2" xfId="19365" xr:uid="{00000000-0005-0000-0000-0000A84B0000}"/>
    <cellStyle name="Normal 3 4 3 3" xfId="19366" xr:uid="{00000000-0005-0000-0000-0000A94B0000}"/>
    <cellStyle name="Normal 3 4 4" xfId="19367" xr:uid="{00000000-0005-0000-0000-0000AA4B0000}"/>
    <cellStyle name="Normal 3 4 4 2" xfId="19368" xr:uid="{00000000-0005-0000-0000-0000AB4B0000}"/>
    <cellStyle name="Normal 3 4 5" xfId="19369" xr:uid="{00000000-0005-0000-0000-0000AC4B0000}"/>
    <cellStyle name="Normal 3 5" xfId="19370" xr:uid="{00000000-0005-0000-0000-0000AD4B0000}"/>
    <cellStyle name="Normal 3 5 2" xfId="19371" xr:uid="{00000000-0005-0000-0000-0000AE4B0000}"/>
    <cellStyle name="Normal 3 5 2 2" xfId="19372" xr:uid="{00000000-0005-0000-0000-0000AF4B0000}"/>
    <cellStyle name="Normal 3 5 3" xfId="19373" xr:uid="{00000000-0005-0000-0000-0000B04B0000}"/>
    <cellStyle name="Normal 3 6" xfId="19374" xr:uid="{00000000-0005-0000-0000-0000B14B0000}"/>
    <cellStyle name="Normal 3 7" xfId="19375" xr:uid="{00000000-0005-0000-0000-0000B24B0000}"/>
    <cellStyle name="Normal 30" xfId="19376" xr:uid="{00000000-0005-0000-0000-0000B34B0000}"/>
    <cellStyle name="Normal 30 2" xfId="19377" xr:uid="{00000000-0005-0000-0000-0000B44B0000}"/>
    <cellStyle name="Normal 30 2 2" xfId="19378" xr:uid="{00000000-0005-0000-0000-0000B54B0000}"/>
    <cellStyle name="Normal 30 2 2 2" xfId="19379" xr:uid="{00000000-0005-0000-0000-0000B64B0000}"/>
    <cellStyle name="Normal 30 2 2 2 2" xfId="19380" xr:uid="{00000000-0005-0000-0000-0000B74B0000}"/>
    <cellStyle name="Normal 30 2 2 3" xfId="19381" xr:uid="{00000000-0005-0000-0000-0000B84B0000}"/>
    <cellStyle name="Normal 30 2 3" xfId="19382" xr:uid="{00000000-0005-0000-0000-0000B94B0000}"/>
    <cellStyle name="Normal 30 2 3 2" xfId="19383" xr:uid="{00000000-0005-0000-0000-0000BA4B0000}"/>
    <cellStyle name="Normal 30 2 3 2 2" xfId="19384" xr:uid="{00000000-0005-0000-0000-0000BB4B0000}"/>
    <cellStyle name="Normal 30 2 3 3" xfId="19385" xr:uid="{00000000-0005-0000-0000-0000BC4B0000}"/>
    <cellStyle name="Normal 30 2 4" xfId="19386" xr:uid="{00000000-0005-0000-0000-0000BD4B0000}"/>
    <cellStyle name="Normal 30 2 4 2" xfId="19387" xr:uid="{00000000-0005-0000-0000-0000BE4B0000}"/>
    <cellStyle name="Normal 30 2 5" xfId="19388" xr:uid="{00000000-0005-0000-0000-0000BF4B0000}"/>
    <cellStyle name="Normal 30 3" xfId="19389" xr:uid="{00000000-0005-0000-0000-0000C04B0000}"/>
    <cellStyle name="Normal 30 3 2" xfId="19390" xr:uid="{00000000-0005-0000-0000-0000C14B0000}"/>
    <cellStyle name="Normal 30 3 2 2" xfId="19391" xr:uid="{00000000-0005-0000-0000-0000C24B0000}"/>
    <cellStyle name="Normal 30 3 2 2 2" xfId="19392" xr:uid="{00000000-0005-0000-0000-0000C34B0000}"/>
    <cellStyle name="Normal 30 3 2 3" xfId="19393" xr:uid="{00000000-0005-0000-0000-0000C44B0000}"/>
    <cellStyle name="Normal 30 3 3" xfId="19394" xr:uid="{00000000-0005-0000-0000-0000C54B0000}"/>
    <cellStyle name="Normal 30 3 3 2" xfId="19395" xr:uid="{00000000-0005-0000-0000-0000C64B0000}"/>
    <cellStyle name="Normal 30 3 4" xfId="19396" xr:uid="{00000000-0005-0000-0000-0000C74B0000}"/>
    <cellStyle name="Normal 30 4" xfId="19397" xr:uid="{00000000-0005-0000-0000-0000C84B0000}"/>
    <cellStyle name="Normal 30 4 2" xfId="19398" xr:uid="{00000000-0005-0000-0000-0000C94B0000}"/>
    <cellStyle name="Normal 30 4 2 2" xfId="19399" xr:uid="{00000000-0005-0000-0000-0000CA4B0000}"/>
    <cellStyle name="Normal 30 4 3" xfId="19400" xr:uid="{00000000-0005-0000-0000-0000CB4B0000}"/>
    <cellStyle name="Normal 30 5" xfId="19401" xr:uid="{00000000-0005-0000-0000-0000CC4B0000}"/>
    <cellStyle name="Normal 30 5 2" xfId="19402" xr:uid="{00000000-0005-0000-0000-0000CD4B0000}"/>
    <cellStyle name="Normal 30 5 2 2" xfId="19403" xr:uid="{00000000-0005-0000-0000-0000CE4B0000}"/>
    <cellStyle name="Normal 30 5 3" xfId="19404" xr:uid="{00000000-0005-0000-0000-0000CF4B0000}"/>
    <cellStyle name="Normal 30 6" xfId="19405" xr:uid="{00000000-0005-0000-0000-0000D04B0000}"/>
    <cellStyle name="Normal 30 6 2" xfId="19406" xr:uid="{00000000-0005-0000-0000-0000D14B0000}"/>
    <cellStyle name="Normal 30 7" xfId="19407" xr:uid="{00000000-0005-0000-0000-0000D24B0000}"/>
    <cellStyle name="Normal 31" xfId="19408" xr:uid="{00000000-0005-0000-0000-0000D34B0000}"/>
    <cellStyle name="Normal 31 2" xfId="19409" xr:uid="{00000000-0005-0000-0000-0000D44B0000}"/>
    <cellStyle name="Normal 31 2 2" xfId="19410" xr:uid="{00000000-0005-0000-0000-0000D54B0000}"/>
    <cellStyle name="Normal 31 2 2 2" xfId="19411" xr:uid="{00000000-0005-0000-0000-0000D64B0000}"/>
    <cellStyle name="Normal 31 2 2 2 2" xfId="19412" xr:uid="{00000000-0005-0000-0000-0000D74B0000}"/>
    <cellStyle name="Normal 31 2 2 3" xfId="19413" xr:uid="{00000000-0005-0000-0000-0000D84B0000}"/>
    <cellStyle name="Normal 31 2 3" xfId="19414" xr:uid="{00000000-0005-0000-0000-0000D94B0000}"/>
    <cellStyle name="Normal 31 2 3 2" xfId="19415" xr:uid="{00000000-0005-0000-0000-0000DA4B0000}"/>
    <cellStyle name="Normal 31 2 3 2 2" xfId="19416" xr:uid="{00000000-0005-0000-0000-0000DB4B0000}"/>
    <cellStyle name="Normal 31 2 3 3" xfId="19417" xr:uid="{00000000-0005-0000-0000-0000DC4B0000}"/>
    <cellStyle name="Normal 31 2 4" xfId="19418" xr:uid="{00000000-0005-0000-0000-0000DD4B0000}"/>
    <cellStyle name="Normal 31 2 4 2" xfId="19419" xr:uid="{00000000-0005-0000-0000-0000DE4B0000}"/>
    <cellStyle name="Normal 31 2 5" xfId="19420" xr:uid="{00000000-0005-0000-0000-0000DF4B0000}"/>
    <cellStyle name="Normal 31 3" xfId="19421" xr:uid="{00000000-0005-0000-0000-0000E04B0000}"/>
    <cellStyle name="Normal 31 3 2" xfId="19422" xr:uid="{00000000-0005-0000-0000-0000E14B0000}"/>
    <cellStyle name="Normal 31 3 2 2" xfId="19423" xr:uid="{00000000-0005-0000-0000-0000E24B0000}"/>
    <cellStyle name="Normal 31 3 2 2 2" xfId="19424" xr:uid="{00000000-0005-0000-0000-0000E34B0000}"/>
    <cellStyle name="Normal 31 3 2 3" xfId="19425" xr:uid="{00000000-0005-0000-0000-0000E44B0000}"/>
    <cellStyle name="Normal 31 3 3" xfId="19426" xr:uid="{00000000-0005-0000-0000-0000E54B0000}"/>
    <cellStyle name="Normal 31 3 3 2" xfId="19427" xr:uid="{00000000-0005-0000-0000-0000E64B0000}"/>
    <cellStyle name="Normal 31 3 4" xfId="19428" xr:uid="{00000000-0005-0000-0000-0000E74B0000}"/>
    <cellStyle name="Normal 31 4" xfId="19429" xr:uid="{00000000-0005-0000-0000-0000E84B0000}"/>
    <cellStyle name="Normal 31 4 2" xfId="19430" xr:uid="{00000000-0005-0000-0000-0000E94B0000}"/>
    <cellStyle name="Normal 31 4 2 2" xfId="19431" xr:uid="{00000000-0005-0000-0000-0000EA4B0000}"/>
    <cellStyle name="Normal 31 4 3" xfId="19432" xr:uid="{00000000-0005-0000-0000-0000EB4B0000}"/>
    <cellStyle name="Normal 31 5" xfId="19433" xr:uid="{00000000-0005-0000-0000-0000EC4B0000}"/>
    <cellStyle name="Normal 31 5 2" xfId="19434" xr:uid="{00000000-0005-0000-0000-0000ED4B0000}"/>
    <cellStyle name="Normal 31 5 2 2" xfId="19435" xr:uid="{00000000-0005-0000-0000-0000EE4B0000}"/>
    <cellStyle name="Normal 31 5 3" xfId="19436" xr:uid="{00000000-0005-0000-0000-0000EF4B0000}"/>
    <cellStyle name="Normal 31 6" xfId="19437" xr:uid="{00000000-0005-0000-0000-0000F04B0000}"/>
    <cellStyle name="Normal 31 6 2" xfId="19438" xr:uid="{00000000-0005-0000-0000-0000F14B0000}"/>
    <cellStyle name="Normal 31 7" xfId="19439" xr:uid="{00000000-0005-0000-0000-0000F24B0000}"/>
    <cellStyle name="Normal 32" xfId="19440" xr:uid="{00000000-0005-0000-0000-0000F34B0000}"/>
    <cellStyle name="Normal 32 2" xfId="19441" xr:uid="{00000000-0005-0000-0000-0000F44B0000}"/>
    <cellStyle name="Normal 32 2 2" xfId="19442" xr:uid="{00000000-0005-0000-0000-0000F54B0000}"/>
    <cellStyle name="Normal 32 2 2 2" xfId="19443" xr:uid="{00000000-0005-0000-0000-0000F64B0000}"/>
    <cellStyle name="Normal 32 2 2 2 2" xfId="19444" xr:uid="{00000000-0005-0000-0000-0000F74B0000}"/>
    <cellStyle name="Normal 32 2 2 3" xfId="19445" xr:uid="{00000000-0005-0000-0000-0000F84B0000}"/>
    <cellStyle name="Normal 32 2 3" xfId="19446" xr:uid="{00000000-0005-0000-0000-0000F94B0000}"/>
    <cellStyle name="Normal 32 2 3 2" xfId="19447" xr:uid="{00000000-0005-0000-0000-0000FA4B0000}"/>
    <cellStyle name="Normal 32 2 3 2 2" xfId="19448" xr:uid="{00000000-0005-0000-0000-0000FB4B0000}"/>
    <cellStyle name="Normal 32 2 3 3" xfId="19449" xr:uid="{00000000-0005-0000-0000-0000FC4B0000}"/>
    <cellStyle name="Normal 32 2 4" xfId="19450" xr:uid="{00000000-0005-0000-0000-0000FD4B0000}"/>
    <cellStyle name="Normal 32 2 4 2" xfId="19451" xr:uid="{00000000-0005-0000-0000-0000FE4B0000}"/>
    <cellStyle name="Normal 32 2 5" xfId="19452" xr:uid="{00000000-0005-0000-0000-0000FF4B0000}"/>
    <cellStyle name="Normal 32 3" xfId="19453" xr:uid="{00000000-0005-0000-0000-0000004C0000}"/>
    <cellStyle name="Normal 32 3 2" xfId="19454" xr:uid="{00000000-0005-0000-0000-0000014C0000}"/>
    <cellStyle name="Normal 32 3 2 2" xfId="19455" xr:uid="{00000000-0005-0000-0000-0000024C0000}"/>
    <cellStyle name="Normal 32 3 2 2 2" xfId="19456" xr:uid="{00000000-0005-0000-0000-0000034C0000}"/>
    <cellStyle name="Normal 32 3 2 3" xfId="19457" xr:uid="{00000000-0005-0000-0000-0000044C0000}"/>
    <cellStyle name="Normal 32 3 3" xfId="19458" xr:uid="{00000000-0005-0000-0000-0000054C0000}"/>
    <cellStyle name="Normal 32 3 3 2" xfId="19459" xr:uid="{00000000-0005-0000-0000-0000064C0000}"/>
    <cellStyle name="Normal 32 3 4" xfId="19460" xr:uid="{00000000-0005-0000-0000-0000074C0000}"/>
    <cellStyle name="Normal 32 4" xfId="19461" xr:uid="{00000000-0005-0000-0000-0000084C0000}"/>
    <cellStyle name="Normal 32 4 2" xfId="19462" xr:uid="{00000000-0005-0000-0000-0000094C0000}"/>
    <cellStyle name="Normal 32 4 2 2" xfId="19463" xr:uid="{00000000-0005-0000-0000-00000A4C0000}"/>
    <cellStyle name="Normal 32 4 3" xfId="19464" xr:uid="{00000000-0005-0000-0000-00000B4C0000}"/>
    <cellStyle name="Normal 32 5" xfId="19465" xr:uid="{00000000-0005-0000-0000-00000C4C0000}"/>
    <cellStyle name="Normal 32 5 2" xfId="19466" xr:uid="{00000000-0005-0000-0000-00000D4C0000}"/>
    <cellStyle name="Normal 32 5 2 2" xfId="19467" xr:uid="{00000000-0005-0000-0000-00000E4C0000}"/>
    <cellStyle name="Normal 32 5 3" xfId="19468" xr:uid="{00000000-0005-0000-0000-00000F4C0000}"/>
    <cellStyle name="Normal 32 6" xfId="19469" xr:uid="{00000000-0005-0000-0000-0000104C0000}"/>
    <cellStyle name="Normal 32 6 2" xfId="19470" xr:uid="{00000000-0005-0000-0000-0000114C0000}"/>
    <cellStyle name="Normal 32 7" xfId="19471" xr:uid="{00000000-0005-0000-0000-0000124C0000}"/>
    <cellStyle name="Normal 33" xfId="19472" xr:uid="{00000000-0005-0000-0000-0000134C0000}"/>
    <cellStyle name="Normal 33 2" xfId="19473" xr:uid="{00000000-0005-0000-0000-0000144C0000}"/>
    <cellStyle name="Normal 33 2 2" xfId="19474" xr:uid="{00000000-0005-0000-0000-0000154C0000}"/>
    <cellStyle name="Normal 33 2 2 2" xfId="19475" xr:uid="{00000000-0005-0000-0000-0000164C0000}"/>
    <cellStyle name="Normal 33 2 2 2 2" xfId="19476" xr:uid="{00000000-0005-0000-0000-0000174C0000}"/>
    <cellStyle name="Normal 33 2 2 3" xfId="19477" xr:uid="{00000000-0005-0000-0000-0000184C0000}"/>
    <cellStyle name="Normal 33 2 3" xfId="19478" xr:uid="{00000000-0005-0000-0000-0000194C0000}"/>
    <cellStyle name="Normal 33 2 3 2" xfId="19479" xr:uid="{00000000-0005-0000-0000-00001A4C0000}"/>
    <cellStyle name="Normal 33 2 3 2 2" xfId="19480" xr:uid="{00000000-0005-0000-0000-00001B4C0000}"/>
    <cellStyle name="Normal 33 2 3 3" xfId="19481" xr:uid="{00000000-0005-0000-0000-00001C4C0000}"/>
    <cellStyle name="Normal 33 2 4" xfId="19482" xr:uid="{00000000-0005-0000-0000-00001D4C0000}"/>
    <cellStyle name="Normal 33 2 4 2" xfId="19483" xr:uid="{00000000-0005-0000-0000-00001E4C0000}"/>
    <cellStyle name="Normal 33 2 5" xfId="19484" xr:uid="{00000000-0005-0000-0000-00001F4C0000}"/>
    <cellStyle name="Normal 33 3" xfId="19485" xr:uid="{00000000-0005-0000-0000-0000204C0000}"/>
    <cellStyle name="Normal 33 3 2" xfId="19486" xr:uid="{00000000-0005-0000-0000-0000214C0000}"/>
    <cellStyle name="Normal 33 3 2 2" xfId="19487" xr:uid="{00000000-0005-0000-0000-0000224C0000}"/>
    <cellStyle name="Normal 33 3 2 2 2" xfId="19488" xr:uid="{00000000-0005-0000-0000-0000234C0000}"/>
    <cellStyle name="Normal 33 3 2 3" xfId="19489" xr:uid="{00000000-0005-0000-0000-0000244C0000}"/>
    <cellStyle name="Normal 33 3 3" xfId="19490" xr:uid="{00000000-0005-0000-0000-0000254C0000}"/>
    <cellStyle name="Normal 33 3 3 2" xfId="19491" xr:uid="{00000000-0005-0000-0000-0000264C0000}"/>
    <cellStyle name="Normal 33 3 4" xfId="19492" xr:uid="{00000000-0005-0000-0000-0000274C0000}"/>
    <cellStyle name="Normal 33 4" xfId="19493" xr:uid="{00000000-0005-0000-0000-0000284C0000}"/>
    <cellStyle name="Normal 33 4 2" xfId="19494" xr:uid="{00000000-0005-0000-0000-0000294C0000}"/>
    <cellStyle name="Normal 33 4 2 2" xfId="19495" xr:uid="{00000000-0005-0000-0000-00002A4C0000}"/>
    <cellStyle name="Normal 33 4 3" xfId="19496" xr:uid="{00000000-0005-0000-0000-00002B4C0000}"/>
    <cellStyle name="Normal 33 5" xfId="19497" xr:uid="{00000000-0005-0000-0000-00002C4C0000}"/>
    <cellStyle name="Normal 33 5 2" xfId="19498" xr:uid="{00000000-0005-0000-0000-00002D4C0000}"/>
    <cellStyle name="Normal 33 5 2 2" xfId="19499" xr:uid="{00000000-0005-0000-0000-00002E4C0000}"/>
    <cellStyle name="Normal 33 5 3" xfId="19500" xr:uid="{00000000-0005-0000-0000-00002F4C0000}"/>
    <cellStyle name="Normal 33 6" xfId="19501" xr:uid="{00000000-0005-0000-0000-0000304C0000}"/>
    <cellStyle name="Normal 33 6 2" xfId="19502" xr:uid="{00000000-0005-0000-0000-0000314C0000}"/>
    <cellStyle name="Normal 33 7" xfId="19503" xr:uid="{00000000-0005-0000-0000-0000324C0000}"/>
    <cellStyle name="Normal 34" xfId="19504" xr:uid="{00000000-0005-0000-0000-0000334C0000}"/>
    <cellStyle name="Normal 34 2" xfId="19505" xr:uid="{00000000-0005-0000-0000-0000344C0000}"/>
    <cellStyle name="Normal 34 2 2" xfId="19506" xr:uid="{00000000-0005-0000-0000-0000354C0000}"/>
    <cellStyle name="Normal 34 2 2 2" xfId="19507" xr:uid="{00000000-0005-0000-0000-0000364C0000}"/>
    <cellStyle name="Normal 34 2 2 2 2" xfId="19508" xr:uid="{00000000-0005-0000-0000-0000374C0000}"/>
    <cellStyle name="Normal 34 2 2 3" xfId="19509" xr:uid="{00000000-0005-0000-0000-0000384C0000}"/>
    <cellStyle name="Normal 34 2 3" xfId="19510" xr:uid="{00000000-0005-0000-0000-0000394C0000}"/>
    <cellStyle name="Normal 34 2 3 2" xfId="19511" xr:uid="{00000000-0005-0000-0000-00003A4C0000}"/>
    <cellStyle name="Normal 34 2 3 2 2" xfId="19512" xr:uid="{00000000-0005-0000-0000-00003B4C0000}"/>
    <cellStyle name="Normal 34 2 3 3" xfId="19513" xr:uid="{00000000-0005-0000-0000-00003C4C0000}"/>
    <cellStyle name="Normal 34 2 4" xfId="19514" xr:uid="{00000000-0005-0000-0000-00003D4C0000}"/>
    <cellStyle name="Normal 34 2 4 2" xfId="19515" xr:uid="{00000000-0005-0000-0000-00003E4C0000}"/>
    <cellStyle name="Normal 34 2 5" xfId="19516" xr:uid="{00000000-0005-0000-0000-00003F4C0000}"/>
    <cellStyle name="Normal 34 3" xfId="19517" xr:uid="{00000000-0005-0000-0000-0000404C0000}"/>
    <cellStyle name="Normal 34 3 2" xfId="19518" xr:uid="{00000000-0005-0000-0000-0000414C0000}"/>
    <cellStyle name="Normal 34 3 2 2" xfId="19519" xr:uid="{00000000-0005-0000-0000-0000424C0000}"/>
    <cellStyle name="Normal 34 3 2 2 2" xfId="19520" xr:uid="{00000000-0005-0000-0000-0000434C0000}"/>
    <cellStyle name="Normal 34 3 2 3" xfId="19521" xr:uid="{00000000-0005-0000-0000-0000444C0000}"/>
    <cellStyle name="Normal 34 3 3" xfId="19522" xr:uid="{00000000-0005-0000-0000-0000454C0000}"/>
    <cellStyle name="Normal 34 3 3 2" xfId="19523" xr:uid="{00000000-0005-0000-0000-0000464C0000}"/>
    <cellStyle name="Normal 34 3 4" xfId="19524" xr:uid="{00000000-0005-0000-0000-0000474C0000}"/>
    <cellStyle name="Normal 34 4" xfId="19525" xr:uid="{00000000-0005-0000-0000-0000484C0000}"/>
    <cellStyle name="Normal 34 4 2" xfId="19526" xr:uid="{00000000-0005-0000-0000-0000494C0000}"/>
    <cellStyle name="Normal 34 4 2 2" xfId="19527" xr:uid="{00000000-0005-0000-0000-00004A4C0000}"/>
    <cellStyle name="Normal 34 4 3" xfId="19528" xr:uid="{00000000-0005-0000-0000-00004B4C0000}"/>
    <cellStyle name="Normal 34 5" xfId="19529" xr:uid="{00000000-0005-0000-0000-00004C4C0000}"/>
    <cellStyle name="Normal 34 5 2" xfId="19530" xr:uid="{00000000-0005-0000-0000-00004D4C0000}"/>
    <cellStyle name="Normal 34 5 2 2" xfId="19531" xr:uid="{00000000-0005-0000-0000-00004E4C0000}"/>
    <cellStyle name="Normal 34 5 3" xfId="19532" xr:uid="{00000000-0005-0000-0000-00004F4C0000}"/>
    <cellStyle name="Normal 34 6" xfId="19533" xr:uid="{00000000-0005-0000-0000-0000504C0000}"/>
    <cellStyle name="Normal 34 6 2" xfId="19534" xr:uid="{00000000-0005-0000-0000-0000514C0000}"/>
    <cellStyle name="Normal 34 7" xfId="19535" xr:uid="{00000000-0005-0000-0000-0000524C0000}"/>
    <cellStyle name="Normal 35" xfId="19536" xr:uid="{00000000-0005-0000-0000-0000534C0000}"/>
    <cellStyle name="Normal 35 2" xfId="19537" xr:uid="{00000000-0005-0000-0000-0000544C0000}"/>
    <cellStyle name="Normal 35 2 2" xfId="19538" xr:uid="{00000000-0005-0000-0000-0000554C0000}"/>
    <cellStyle name="Normal 35 2 2 2" xfId="19539" xr:uid="{00000000-0005-0000-0000-0000564C0000}"/>
    <cellStyle name="Normal 35 2 2 2 2" xfId="19540" xr:uid="{00000000-0005-0000-0000-0000574C0000}"/>
    <cellStyle name="Normal 35 2 2 3" xfId="19541" xr:uid="{00000000-0005-0000-0000-0000584C0000}"/>
    <cellStyle name="Normal 35 2 3" xfId="19542" xr:uid="{00000000-0005-0000-0000-0000594C0000}"/>
    <cellStyle name="Normal 35 2 3 2" xfId="19543" xr:uid="{00000000-0005-0000-0000-00005A4C0000}"/>
    <cellStyle name="Normal 35 2 3 2 2" xfId="19544" xr:uid="{00000000-0005-0000-0000-00005B4C0000}"/>
    <cellStyle name="Normal 35 2 3 3" xfId="19545" xr:uid="{00000000-0005-0000-0000-00005C4C0000}"/>
    <cellStyle name="Normal 35 2 4" xfId="19546" xr:uid="{00000000-0005-0000-0000-00005D4C0000}"/>
    <cellStyle name="Normal 35 2 4 2" xfId="19547" xr:uid="{00000000-0005-0000-0000-00005E4C0000}"/>
    <cellStyle name="Normal 35 2 5" xfId="19548" xr:uid="{00000000-0005-0000-0000-00005F4C0000}"/>
    <cellStyle name="Normal 35 3" xfId="19549" xr:uid="{00000000-0005-0000-0000-0000604C0000}"/>
    <cellStyle name="Normal 35 3 2" xfId="19550" xr:uid="{00000000-0005-0000-0000-0000614C0000}"/>
    <cellStyle name="Normal 35 3 2 2" xfId="19551" xr:uid="{00000000-0005-0000-0000-0000624C0000}"/>
    <cellStyle name="Normal 35 3 2 2 2" xfId="19552" xr:uid="{00000000-0005-0000-0000-0000634C0000}"/>
    <cellStyle name="Normal 35 3 2 3" xfId="19553" xr:uid="{00000000-0005-0000-0000-0000644C0000}"/>
    <cellStyle name="Normal 35 3 3" xfId="19554" xr:uid="{00000000-0005-0000-0000-0000654C0000}"/>
    <cellStyle name="Normal 35 3 3 2" xfId="19555" xr:uid="{00000000-0005-0000-0000-0000664C0000}"/>
    <cellStyle name="Normal 35 3 4" xfId="19556" xr:uid="{00000000-0005-0000-0000-0000674C0000}"/>
    <cellStyle name="Normal 35 4" xfId="19557" xr:uid="{00000000-0005-0000-0000-0000684C0000}"/>
    <cellStyle name="Normal 35 4 2" xfId="19558" xr:uid="{00000000-0005-0000-0000-0000694C0000}"/>
    <cellStyle name="Normal 35 4 2 2" xfId="19559" xr:uid="{00000000-0005-0000-0000-00006A4C0000}"/>
    <cellStyle name="Normal 35 4 3" xfId="19560" xr:uid="{00000000-0005-0000-0000-00006B4C0000}"/>
    <cellStyle name="Normal 35 5" xfId="19561" xr:uid="{00000000-0005-0000-0000-00006C4C0000}"/>
    <cellStyle name="Normal 35 5 2" xfId="19562" xr:uid="{00000000-0005-0000-0000-00006D4C0000}"/>
    <cellStyle name="Normal 35 5 2 2" xfId="19563" xr:uid="{00000000-0005-0000-0000-00006E4C0000}"/>
    <cellStyle name="Normal 35 5 3" xfId="19564" xr:uid="{00000000-0005-0000-0000-00006F4C0000}"/>
    <cellStyle name="Normal 35 6" xfId="19565" xr:uid="{00000000-0005-0000-0000-0000704C0000}"/>
    <cellStyle name="Normal 35 6 2" xfId="19566" xr:uid="{00000000-0005-0000-0000-0000714C0000}"/>
    <cellStyle name="Normal 35 7" xfId="19567" xr:uid="{00000000-0005-0000-0000-0000724C0000}"/>
    <cellStyle name="Normal 36" xfId="19568" xr:uid="{00000000-0005-0000-0000-0000734C0000}"/>
    <cellStyle name="Normal 36 2" xfId="19569" xr:uid="{00000000-0005-0000-0000-0000744C0000}"/>
    <cellStyle name="Normal 36 2 2" xfId="19570" xr:uid="{00000000-0005-0000-0000-0000754C0000}"/>
    <cellStyle name="Normal 36 2 2 2" xfId="19571" xr:uid="{00000000-0005-0000-0000-0000764C0000}"/>
    <cellStyle name="Normal 36 2 2 2 2" xfId="19572" xr:uid="{00000000-0005-0000-0000-0000774C0000}"/>
    <cellStyle name="Normal 36 2 2 3" xfId="19573" xr:uid="{00000000-0005-0000-0000-0000784C0000}"/>
    <cellStyle name="Normal 36 2 3" xfId="19574" xr:uid="{00000000-0005-0000-0000-0000794C0000}"/>
    <cellStyle name="Normal 36 2 3 2" xfId="19575" xr:uid="{00000000-0005-0000-0000-00007A4C0000}"/>
    <cellStyle name="Normal 36 2 3 2 2" xfId="19576" xr:uid="{00000000-0005-0000-0000-00007B4C0000}"/>
    <cellStyle name="Normal 36 2 3 3" xfId="19577" xr:uid="{00000000-0005-0000-0000-00007C4C0000}"/>
    <cellStyle name="Normal 36 2 4" xfId="19578" xr:uid="{00000000-0005-0000-0000-00007D4C0000}"/>
    <cellStyle name="Normal 36 2 4 2" xfId="19579" xr:uid="{00000000-0005-0000-0000-00007E4C0000}"/>
    <cellStyle name="Normal 36 2 5" xfId="19580" xr:uid="{00000000-0005-0000-0000-00007F4C0000}"/>
    <cellStyle name="Normal 36 3" xfId="19581" xr:uid="{00000000-0005-0000-0000-0000804C0000}"/>
    <cellStyle name="Normal 36 3 2" xfId="19582" xr:uid="{00000000-0005-0000-0000-0000814C0000}"/>
    <cellStyle name="Normal 36 3 2 2" xfId="19583" xr:uid="{00000000-0005-0000-0000-0000824C0000}"/>
    <cellStyle name="Normal 36 3 2 2 2" xfId="19584" xr:uid="{00000000-0005-0000-0000-0000834C0000}"/>
    <cellStyle name="Normal 36 3 2 3" xfId="19585" xr:uid="{00000000-0005-0000-0000-0000844C0000}"/>
    <cellStyle name="Normal 36 3 3" xfId="19586" xr:uid="{00000000-0005-0000-0000-0000854C0000}"/>
    <cellStyle name="Normal 36 3 3 2" xfId="19587" xr:uid="{00000000-0005-0000-0000-0000864C0000}"/>
    <cellStyle name="Normal 36 3 4" xfId="19588" xr:uid="{00000000-0005-0000-0000-0000874C0000}"/>
    <cellStyle name="Normal 36 4" xfId="19589" xr:uid="{00000000-0005-0000-0000-0000884C0000}"/>
    <cellStyle name="Normal 36 4 2" xfId="19590" xr:uid="{00000000-0005-0000-0000-0000894C0000}"/>
    <cellStyle name="Normal 36 4 2 2" xfId="19591" xr:uid="{00000000-0005-0000-0000-00008A4C0000}"/>
    <cellStyle name="Normal 36 4 3" xfId="19592" xr:uid="{00000000-0005-0000-0000-00008B4C0000}"/>
    <cellStyle name="Normal 36 5" xfId="19593" xr:uid="{00000000-0005-0000-0000-00008C4C0000}"/>
    <cellStyle name="Normal 36 5 2" xfId="19594" xr:uid="{00000000-0005-0000-0000-00008D4C0000}"/>
    <cellStyle name="Normal 36 5 2 2" xfId="19595" xr:uid="{00000000-0005-0000-0000-00008E4C0000}"/>
    <cellStyle name="Normal 36 5 3" xfId="19596" xr:uid="{00000000-0005-0000-0000-00008F4C0000}"/>
    <cellStyle name="Normal 36 6" xfId="19597" xr:uid="{00000000-0005-0000-0000-0000904C0000}"/>
    <cellStyle name="Normal 36 6 2" xfId="19598" xr:uid="{00000000-0005-0000-0000-0000914C0000}"/>
    <cellStyle name="Normal 36 7" xfId="19599" xr:uid="{00000000-0005-0000-0000-0000924C0000}"/>
    <cellStyle name="Normal 37" xfId="19600" xr:uid="{00000000-0005-0000-0000-0000934C0000}"/>
    <cellStyle name="Normal 37 2" xfId="19601" xr:uid="{00000000-0005-0000-0000-0000944C0000}"/>
    <cellStyle name="Normal 37 2 2" xfId="19602" xr:uid="{00000000-0005-0000-0000-0000954C0000}"/>
    <cellStyle name="Normal 37 2 2 2" xfId="19603" xr:uid="{00000000-0005-0000-0000-0000964C0000}"/>
    <cellStyle name="Normal 37 2 2 2 2" xfId="19604" xr:uid="{00000000-0005-0000-0000-0000974C0000}"/>
    <cellStyle name="Normal 37 2 2 3" xfId="19605" xr:uid="{00000000-0005-0000-0000-0000984C0000}"/>
    <cellStyle name="Normal 37 2 3" xfId="19606" xr:uid="{00000000-0005-0000-0000-0000994C0000}"/>
    <cellStyle name="Normal 37 2 3 2" xfId="19607" xr:uid="{00000000-0005-0000-0000-00009A4C0000}"/>
    <cellStyle name="Normal 37 2 3 2 2" xfId="19608" xr:uid="{00000000-0005-0000-0000-00009B4C0000}"/>
    <cellStyle name="Normal 37 2 3 3" xfId="19609" xr:uid="{00000000-0005-0000-0000-00009C4C0000}"/>
    <cellStyle name="Normal 37 2 4" xfId="19610" xr:uid="{00000000-0005-0000-0000-00009D4C0000}"/>
    <cellStyle name="Normal 37 2 4 2" xfId="19611" xr:uid="{00000000-0005-0000-0000-00009E4C0000}"/>
    <cellStyle name="Normal 37 2 5" xfId="19612" xr:uid="{00000000-0005-0000-0000-00009F4C0000}"/>
    <cellStyle name="Normal 37 3" xfId="19613" xr:uid="{00000000-0005-0000-0000-0000A04C0000}"/>
    <cellStyle name="Normal 37 3 2" xfId="19614" xr:uid="{00000000-0005-0000-0000-0000A14C0000}"/>
    <cellStyle name="Normal 37 3 2 2" xfId="19615" xr:uid="{00000000-0005-0000-0000-0000A24C0000}"/>
    <cellStyle name="Normal 37 3 2 2 2" xfId="19616" xr:uid="{00000000-0005-0000-0000-0000A34C0000}"/>
    <cellStyle name="Normal 37 3 2 3" xfId="19617" xr:uid="{00000000-0005-0000-0000-0000A44C0000}"/>
    <cellStyle name="Normal 37 3 3" xfId="19618" xr:uid="{00000000-0005-0000-0000-0000A54C0000}"/>
    <cellStyle name="Normal 37 3 3 2" xfId="19619" xr:uid="{00000000-0005-0000-0000-0000A64C0000}"/>
    <cellStyle name="Normal 37 3 4" xfId="19620" xr:uid="{00000000-0005-0000-0000-0000A74C0000}"/>
    <cellStyle name="Normal 37 4" xfId="19621" xr:uid="{00000000-0005-0000-0000-0000A84C0000}"/>
    <cellStyle name="Normal 37 4 2" xfId="19622" xr:uid="{00000000-0005-0000-0000-0000A94C0000}"/>
    <cellStyle name="Normal 37 4 2 2" xfId="19623" xr:uid="{00000000-0005-0000-0000-0000AA4C0000}"/>
    <cellStyle name="Normal 37 4 3" xfId="19624" xr:uid="{00000000-0005-0000-0000-0000AB4C0000}"/>
    <cellStyle name="Normal 37 5" xfId="19625" xr:uid="{00000000-0005-0000-0000-0000AC4C0000}"/>
    <cellStyle name="Normal 37 5 2" xfId="19626" xr:uid="{00000000-0005-0000-0000-0000AD4C0000}"/>
    <cellStyle name="Normal 37 5 2 2" xfId="19627" xr:uid="{00000000-0005-0000-0000-0000AE4C0000}"/>
    <cellStyle name="Normal 37 5 3" xfId="19628" xr:uid="{00000000-0005-0000-0000-0000AF4C0000}"/>
    <cellStyle name="Normal 37 6" xfId="19629" xr:uid="{00000000-0005-0000-0000-0000B04C0000}"/>
    <cellStyle name="Normal 37 6 2" xfId="19630" xr:uid="{00000000-0005-0000-0000-0000B14C0000}"/>
    <cellStyle name="Normal 37 7" xfId="19631" xr:uid="{00000000-0005-0000-0000-0000B24C0000}"/>
    <cellStyle name="Normal 38" xfId="19632" xr:uid="{00000000-0005-0000-0000-0000B34C0000}"/>
    <cellStyle name="Normal 38 2" xfId="19633" xr:uid="{00000000-0005-0000-0000-0000B44C0000}"/>
    <cellStyle name="Normal 38 2 2" xfId="19634" xr:uid="{00000000-0005-0000-0000-0000B54C0000}"/>
    <cellStyle name="Normal 38 2 2 2" xfId="19635" xr:uid="{00000000-0005-0000-0000-0000B64C0000}"/>
    <cellStyle name="Normal 38 2 2 2 2" xfId="19636" xr:uid="{00000000-0005-0000-0000-0000B74C0000}"/>
    <cellStyle name="Normal 38 2 2 3" xfId="19637" xr:uid="{00000000-0005-0000-0000-0000B84C0000}"/>
    <cellStyle name="Normal 38 2 3" xfId="19638" xr:uid="{00000000-0005-0000-0000-0000B94C0000}"/>
    <cellStyle name="Normal 38 2 3 2" xfId="19639" xr:uid="{00000000-0005-0000-0000-0000BA4C0000}"/>
    <cellStyle name="Normal 38 2 3 2 2" xfId="19640" xr:uid="{00000000-0005-0000-0000-0000BB4C0000}"/>
    <cellStyle name="Normal 38 2 3 3" xfId="19641" xr:uid="{00000000-0005-0000-0000-0000BC4C0000}"/>
    <cellStyle name="Normal 38 2 4" xfId="19642" xr:uid="{00000000-0005-0000-0000-0000BD4C0000}"/>
    <cellStyle name="Normal 38 2 4 2" xfId="19643" xr:uid="{00000000-0005-0000-0000-0000BE4C0000}"/>
    <cellStyle name="Normal 38 2 5" xfId="19644" xr:uid="{00000000-0005-0000-0000-0000BF4C0000}"/>
    <cellStyle name="Normal 38 3" xfId="19645" xr:uid="{00000000-0005-0000-0000-0000C04C0000}"/>
    <cellStyle name="Normal 38 3 2" xfId="19646" xr:uid="{00000000-0005-0000-0000-0000C14C0000}"/>
    <cellStyle name="Normal 38 3 2 2" xfId="19647" xr:uid="{00000000-0005-0000-0000-0000C24C0000}"/>
    <cellStyle name="Normal 38 3 2 2 2" xfId="19648" xr:uid="{00000000-0005-0000-0000-0000C34C0000}"/>
    <cellStyle name="Normal 38 3 2 3" xfId="19649" xr:uid="{00000000-0005-0000-0000-0000C44C0000}"/>
    <cellStyle name="Normal 38 3 3" xfId="19650" xr:uid="{00000000-0005-0000-0000-0000C54C0000}"/>
    <cellStyle name="Normal 38 3 3 2" xfId="19651" xr:uid="{00000000-0005-0000-0000-0000C64C0000}"/>
    <cellStyle name="Normal 38 3 4" xfId="19652" xr:uid="{00000000-0005-0000-0000-0000C74C0000}"/>
    <cellStyle name="Normal 38 4" xfId="19653" xr:uid="{00000000-0005-0000-0000-0000C84C0000}"/>
    <cellStyle name="Normal 38 4 2" xfId="19654" xr:uid="{00000000-0005-0000-0000-0000C94C0000}"/>
    <cellStyle name="Normal 38 4 2 2" xfId="19655" xr:uid="{00000000-0005-0000-0000-0000CA4C0000}"/>
    <cellStyle name="Normal 38 4 3" xfId="19656" xr:uid="{00000000-0005-0000-0000-0000CB4C0000}"/>
    <cellStyle name="Normal 38 5" xfId="19657" xr:uid="{00000000-0005-0000-0000-0000CC4C0000}"/>
    <cellStyle name="Normal 38 5 2" xfId="19658" xr:uid="{00000000-0005-0000-0000-0000CD4C0000}"/>
    <cellStyle name="Normal 38 5 2 2" xfId="19659" xr:uid="{00000000-0005-0000-0000-0000CE4C0000}"/>
    <cellStyle name="Normal 38 5 3" xfId="19660" xr:uid="{00000000-0005-0000-0000-0000CF4C0000}"/>
    <cellStyle name="Normal 38 6" xfId="19661" xr:uid="{00000000-0005-0000-0000-0000D04C0000}"/>
    <cellStyle name="Normal 38 6 2" xfId="19662" xr:uid="{00000000-0005-0000-0000-0000D14C0000}"/>
    <cellStyle name="Normal 38 7" xfId="19663" xr:uid="{00000000-0005-0000-0000-0000D24C0000}"/>
    <cellStyle name="Normal 39" xfId="19664" xr:uid="{00000000-0005-0000-0000-0000D34C0000}"/>
    <cellStyle name="Normal 39 2" xfId="19665" xr:uid="{00000000-0005-0000-0000-0000D44C0000}"/>
    <cellStyle name="Normal 39 2 2" xfId="19666" xr:uid="{00000000-0005-0000-0000-0000D54C0000}"/>
    <cellStyle name="Normal 39 2 2 2" xfId="19667" xr:uid="{00000000-0005-0000-0000-0000D64C0000}"/>
    <cellStyle name="Normal 39 2 2 2 2" xfId="19668" xr:uid="{00000000-0005-0000-0000-0000D74C0000}"/>
    <cellStyle name="Normal 39 2 2 3" xfId="19669" xr:uid="{00000000-0005-0000-0000-0000D84C0000}"/>
    <cellStyle name="Normal 39 2 3" xfId="19670" xr:uid="{00000000-0005-0000-0000-0000D94C0000}"/>
    <cellStyle name="Normal 39 2 3 2" xfId="19671" xr:uid="{00000000-0005-0000-0000-0000DA4C0000}"/>
    <cellStyle name="Normal 39 2 3 2 2" xfId="19672" xr:uid="{00000000-0005-0000-0000-0000DB4C0000}"/>
    <cellStyle name="Normal 39 2 3 3" xfId="19673" xr:uid="{00000000-0005-0000-0000-0000DC4C0000}"/>
    <cellStyle name="Normal 39 2 4" xfId="19674" xr:uid="{00000000-0005-0000-0000-0000DD4C0000}"/>
    <cellStyle name="Normal 39 2 4 2" xfId="19675" xr:uid="{00000000-0005-0000-0000-0000DE4C0000}"/>
    <cellStyle name="Normal 39 2 5" xfId="19676" xr:uid="{00000000-0005-0000-0000-0000DF4C0000}"/>
    <cellStyle name="Normal 39 3" xfId="19677" xr:uid="{00000000-0005-0000-0000-0000E04C0000}"/>
    <cellStyle name="Normal 39 3 2" xfId="19678" xr:uid="{00000000-0005-0000-0000-0000E14C0000}"/>
    <cellStyle name="Normal 39 3 2 2" xfId="19679" xr:uid="{00000000-0005-0000-0000-0000E24C0000}"/>
    <cellStyle name="Normal 39 3 2 2 2" xfId="19680" xr:uid="{00000000-0005-0000-0000-0000E34C0000}"/>
    <cellStyle name="Normal 39 3 2 3" xfId="19681" xr:uid="{00000000-0005-0000-0000-0000E44C0000}"/>
    <cellStyle name="Normal 39 3 3" xfId="19682" xr:uid="{00000000-0005-0000-0000-0000E54C0000}"/>
    <cellStyle name="Normal 39 3 3 2" xfId="19683" xr:uid="{00000000-0005-0000-0000-0000E64C0000}"/>
    <cellStyle name="Normal 39 3 4" xfId="19684" xr:uid="{00000000-0005-0000-0000-0000E74C0000}"/>
    <cellStyle name="Normal 39 4" xfId="19685" xr:uid="{00000000-0005-0000-0000-0000E84C0000}"/>
    <cellStyle name="Normal 39 4 2" xfId="19686" xr:uid="{00000000-0005-0000-0000-0000E94C0000}"/>
    <cellStyle name="Normal 39 4 2 2" xfId="19687" xr:uid="{00000000-0005-0000-0000-0000EA4C0000}"/>
    <cellStyle name="Normal 39 4 3" xfId="19688" xr:uid="{00000000-0005-0000-0000-0000EB4C0000}"/>
    <cellStyle name="Normal 39 5" xfId="19689" xr:uid="{00000000-0005-0000-0000-0000EC4C0000}"/>
    <cellStyle name="Normal 39 5 2" xfId="19690" xr:uid="{00000000-0005-0000-0000-0000ED4C0000}"/>
    <cellStyle name="Normal 39 5 2 2" xfId="19691" xr:uid="{00000000-0005-0000-0000-0000EE4C0000}"/>
    <cellStyle name="Normal 39 5 3" xfId="19692" xr:uid="{00000000-0005-0000-0000-0000EF4C0000}"/>
    <cellStyle name="Normal 39 6" xfId="19693" xr:uid="{00000000-0005-0000-0000-0000F04C0000}"/>
    <cellStyle name="Normal 39 6 2" xfId="19694" xr:uid="{00000000-0005-0000-0000-0000F14C0000}"/>
    <cellStyle name="Normal 39 7" xfId="19695" xr:uid="{00000000-0005-0000-0000-0000F24C0000}"/>
    <cellStyle name="Normal 4" xfId="19696" xr:uid="{00000000-0005-0000-0000-0000F34C0000}"/>
    <cellStyle name="Normal 4 2" xfId="19697" xr:uid="{00000000-0005-0000-0000-0000F44C0000}"/>
    <cellStyle name="Normal 4 3" xfId="19698" xr:uid="{00000000-0005-0000-0000-0000F54C0000}"/>
    <cellStyle name="Normal 4 3 2" xfId="19699" xr:uid="{00000000-0005-0000-0000-0000F64C0000}"/>
    <cellStyle name="Normal 4 3 2 2" xfId="19700" xr:uid="{00000000-0005-0000-0000-0000F74C0000}"/>
    <cellStyle name="Normal 4 3 2 2 2" xfId="19701" xr:uid="{00000000-0005-0000-0000-0000F84C0000}"/>
    <cellStyle name="Normal 4 3 2 3" xfId="19702" xr:uid="{00000000-0005-0000-0000-0000F94C0000}"/>
    <cellStyle name="Normal 4 3 3" xfId="19703" xr:uid="{00000000-0005-0000-0000-0000FA4C0000}"/>
    <cellStyle name="Normal 4 3 4" xfId="19704" xr:uid="{00000000-0005-0000-0000-0000FB4C0000}"/>
    <cellStyle name="Normal 4 3 4 2" xfId="19705" xr:uid="{00000000-0005-0000-0000-0000FC4C0000}"/>
    <cellStyle name="Normal 4 4" xfId="19706" xr:uid="{00000000-0005-0000-0000-0000FD4C0000}"/>
    <cellStyle name="Normal 4 4 2" xfId="19707" xr:uid="{00000000-0005-0000-0000-0000FE4C0000}"/>
    <cellStyle name="Normal 4 4 2 2" xfId="19708" xr:uid="{00000000-0005-0000-0000-0000FF4C0000}"/>
    <cellStyle name="Normal 4 4 2 2 2" xfId="19709" xr:uid="{00000000-0005-0000-0000-0000004D0000}"/>
    <cellStyle name="Normal 4 4 2 2 2 2" xfId="19710" xr:uid="{00000000-0005-0000-0000-0000014D0000}"/>
    <cellStyle name="Normal 4 4 2 2 3" xfId="19711" xr:uid="{00000000-0005-0000-0000-0000024D0000}"/>
    <cellStyle name="Normal 4 4 2 3" xfId="19712" xr:uid="{00000000-0005-0000-0000-0000034D0000}"/>
    <cellStyle name="Normal 4 4 2 3 2" xfId="19713" xr:uid="{00000000-0005-0000-0000-0000044D0000}"/>
    <cellStyle name="Normal 4 4 2 4" xfId="19714" xr:uid="{00000000-0005-0000-0000-0000054D0000}"/>
    <cellStyle name="Normal 4 4 3" xfId="19715" xr:uid="{00000000-0005-0000-0000-0000064D0000}"/>
    <cellStyle name="Normal 4 4 3 2" xfId="19716" xr:uid="{00000000-0005-0000-0000-0000074D0000}"/>
    <cellStyle name="Normal 4 4 3 2 2" xfId="19717" xr:uid="{00000000-0005-0000-0000-0000084D0000}"/>
    <cellStyle name="Normal 4 4 3 3" xfId="19718" xr:uid="{00000000-0005-0000-0000-0000094D0000}"/>
    <cellStyle name="Normal 4 4 4" xfId="19719" xr:uid="{00000000-0005-0000-0000-00000A4D0000}"/>
    <cellStyle name="Normal 4 4 4 2" xfId="19720" xr:uid="{00000000-0005-0000-0000-00000B4D0000}"/>
    <cellStyle name="Normal 4 4 5" xfId="19721" xr:uid="{00000000-0005-0000-0000-00000C4D0000}"/>
    <cellStyle name="Normal 4 5" xfId="19722" xr:uid="{00000000-0005-0000-0000-00000D4D0000}"/>
    <cellStyle name="Normal 4 5 2" xfId="19723" xr:uid="{00000000-0005-0000-0000-00000E4D0000}"/>
    <cellStyle name="Normal 4 5 2 2" xfId="19724" xr:uid="{00000000-0005-0000-0000-00000F4D0000}"/>
    <cellStyle name="Normal 4 5 2 2 2" xfId="19725" xr:uid="{00000000-0005-0000-0000-0000104D0000}"/>
    <cellStyle name="Normal 4 5 2 3" xfId="19726" xr:uid="{00000000-0005-0000-0000-0000114D0000}"/>
    <cellStyle name="Normal 4 5 3" xfId="19727" xr:uid="{00000000-0005-0000-0000-0000124D0000}"/>
    <cellStyle name="Normal 4 5 3 2" xfId="19728" xr:uid="{00000000-0005-0000-0000-0000134D0000}"/>
    <cellStyle name="Normal 4 5 3 2 2" xfId="19729" xr:uid="{00000000-0005-0000-0000-0000144D0000}"/>
    <cellStyle name="Normal 4 5 3 3" xfId="19730" xr:uid="{00000000-0005-0000-0000-0000154D0000}"/>
    <cellStyle name="Normal 4 5 4" xfId="19731" xr:uid="{00000000-0005-0000-0000-0000164D0000}"/>
    <cellStyle name="Normal 4 5 4 2" xfId="19732" xr:uid="{00000000-0005-0000-0000-0000174D0000}"/>
    <cellStyle name="Normal 4 5 5" xfId="19733" xr:uid="{00000000-0005-0000-0000-0000184D0000}"/>
    <cellStyle name="Normal 4 6" xfId="19734" xr:uid="{00000000-0005-0000-0000-0000194D0000}"/>
    <cellStyle name="Normal 4 6 2" xfId="19735" xr:uid="{00000000-0005-0000-0000-00001A4D0000}"/>
    <cellStyle name="Normal 4 6 2 2" xfId="19736" xr:uid="{00000000-0005-0000-0000-00001B4D0000}"/>
    <cellStyle name="Normal 4 6 3" xfId="19737" xr:uid="{00000000-0005-0000-0000-00001C4D0000}"/>
    <cellStyle name="Normal 4 7" xfId="19738" xr:uid="{00000000-0005-0000-0000-00001D4D0000}"/>
    <cellStyle name="Normal 4 8" xfId="19739" xr:uid="{00000000-0005-0000-0000-00001E4D0000}"/>
    <cellStyle name="Normal 40" xfId="19740" xr:uid="{00000000-0005-0000-0000-00001F4D0000}"/>
    <cellStyle name="Normal 40 2" xfId="19741" xr:uid="{00000000-0005-0000-0000-0000204D0000}"/>
    <cellStyle name="Normal 40 2 2" xfId="19742" xr:uid="{00000000-0005-0000-0000-0000214D0000}"/>
    <cellStyle name="Normal 40 2 2 2" xfId="19743" xr:uid="{00000000-0005-0000-0000-0000224D0000}"/>
    <cellStyle name="Normal 40 2 3" xfId="19744" xr:uid="{00000000-0005-0000-0000-0000234D0000}"/>
    <cellStyle name="Normal 40 3" xfId="19745" xr:uid="{00000000-0005-0000-0000-0000244D0000}"/>
    <cellStyle name="Normal 40 3 2" xfId="19746" xr:uid="{00000000-0005-0000-0000-0000254D0000}"/>
    <cellStyle name="Normal 40 3 2 2" xfId="19747" xr:uid="{00000000-0005-0000-0000-0000264D0000}"/>
    <cellStyle name="Normal 40 3 3" xfId="19748" xr:uid="{00000000-0005-0000-0000-0000274D0000}"/>
    <cellStyle name="Normal 40 4" xfId="19749" xr:uid="{00000000-0005-0000-0000-0000284D0000}"/>
    <cellStyle name="Normal 40 4 2" xfId="19750" xr:uid="{00000000-0005-0000-0000-0000294D0000}"/>
    <cellStyle name="Normal 40 5" xfId="19751" xr:uid="{00000000-0005-0000-0000-00002A4D0000}"/>
    <cellStyle name="Normal 41" xfId="19752" xr:uid="{00000000-0005-0000-0000-00002B4D0000}"/>
    <cellStyle name="Normal 41 2" xfId="19753" xr:uid="{00000000-0005-0000-0000-00002C4D0000}"/>
    <cellStyle name="Normal 42" xfId="19754" xr:uid="{00000000-0005-0000-0000-00002D4D0000}"/>
    <cellStyle name="Normal 42 2" xfId="19755" xr:uid="{00000000-0005-0000-0000-00002E4D0000}"/>
    <cellStyle name="Normal 42 2 2" xfId="19756" xr:uid="{00000000-0005-0000-0000-00002F4D0000}"/>
    <cellStyle name="Normal 42 2 2 2" xfId="19757" xr:uid="{00000000-0005-0000-0000-0000304D0000}"/>
    <cellStyle name="Normal 42 2 3" xfId="19758" xr:uid="{00000000-0005-0000-0000-0000314D0000}"/>
    <cellStyle name="Normal 42 3" xfId="19759" xr:uid="{00000000-0005-0000-0000-0000324D0000}"/>
    <cellStyle name="Normal 42 3 2" xfId="19760" xr:uid="{00000000-0005-0000-0000-0000334D0000}"/>
    <cellStyle name="Normal 42 3 2 2" xfId="19761" xr:uid="{00000000-0005-0000-0000-0000344D0000}"/>
    <cellStyle name="Normal 42 3 3" xfId="19762" xr:uid="{00000000-0005-0000-0000-0000354D0000}"/>
    <cellStyle name="Normal 42 4" xfId="19763" xr:uid="{00000000-0005-0000-0000-0000364D0000}"/>
    <cellStyle name="Normal 42 4 2" xfId="19764" xr:uid="{00000000-0005-0000-0000-0000374D0000}"/>
    <cellStyle name="Normal 42 5" xfId="19765" xr:uid="{00000000-0005-0000-0000-0000384D0000}"/>
    <cellStyle name="Normal 43" xfId="19766" xr:uid="{00000000-0005-0000-0000-0000394D0000}"/>
    <cellStyle name="Normal 43 2" xfId="19767" xr:uid="{00000000-0005-0000-0000-00003A4D0000}"/>
    <cellStyle name="Normal 43 2 2" xfId="19768" xr:uid="{00000000-0005-0000-0000-00003B4D0000}"/>
    <cellStyle name="Normal 43 2 2 2" xfId="19769" xr:uid="{00000000-0005-0000-0000-00003C4D0000}"/>
    <cellStyle name="Normal 43 2 3" xfId="19770" xr:uid="{00000000-0005-0000-0000-00003D4D0000}"/>
    <cellStyle name="Normal 43 3" xfId="19771" xr:uid="{00000000-0005-0000-0000-00003E4D0000}"/>
    <cellStyle name="Normal 43 3 2" xfId="19772" xr:uid="{00000000-0005-0000-0000-00003F4D0000}"/>
    <cellStyle name="Normal 43 3 2 2" xfId="19773" xr:uid="{00000000-0005-0000-0000-0000404D0000}"/>
    <cellStyle name="Normal 43 3 3" xfId="19774" xr:uid="{00000000-0005-0000-0000-0000414D0000}"/>
    <cellStyle name="Normal 43 4" xfId="19775" xr:uid="{00000000-0005-0000-0000-0000424D0000}"/>
    <cellStyle name="Normal 43 4 2" xfId="19776" xr:uid="{00000000-0005-0000-0000-0000434D0000}"/>
    <cellStyle name="Normal 43 5" xfId="19777" xr:uid="{00000000-0005-0000-0000-0000444D0000}"/>
    <cellStyle name="Normal 44" xfId="19778" xr:uid="{00000000-0005-0000-0000-0000454D0000}"/>
    <cellStyle name="Normal 44 2" xfId="19779" xr:uid="{00000000-0005-0000-0000-0000464D0000}"/>
    <cellStyle name="Normal 44 2 2" xfId="19780" xr:uid="{00000000-0005-0000-0000-0000474D0000}"/>
    <cellStyle name="Normal 44 2 2 2" xfId="19781" xr:uid="{00000000-0005-0000-0000-0000484D0000}"/>
    <cellStyle name="Normal 44 2 3" xfId="19782" xr:uid="{00000000-0005-0000-0000-0000494D0000}"/>
    <cellStyle name="Normal 44 3" xfId="19783" xr:uid="{00000000-0005-0000-0000-00004A4D0000}"/>
    <cellStyle name="Normal 44 4" xfId="19784" xr:uid="{00000000-0005-0000-0000-00004B4D0000}"/>
    <cellStyle name="Normal 44 4 2" xfId="19785" xr:uid="{00000000-0005-0000-0000-00004C4D0000}"/>
    <cellStyle name="Normal 44 5" xfId="19786" xr:uid="{00000000-0005-0000-0000-00004D4D0000}"/>
    <cellStyle name="Normal 45" xfId="19787" xr:uid="{00000000-0005-0000-0000-00004E4D0000}"/>
    <cellStyle name="Normal 45 2" xfId="19788" xr:uid="{00000000-0005-0000-0000-00004F4D0000}"/>
    <cellStyle name="Normal 45 3" xfId="19789" xr:uid="{00000000-0005-0000-0000-0000504D0000}"/>
    <cellStyle name="Normal 46" xfId="19790" xr:uid="{00000000-0005-0000-0000-0000514D0000}"/>
    <cellStyle name="Normal 46 2" xfId="19791" xr:uid="{00000000-0005-0000-0000-0000524D0000}"/>
    <cellStyle name="Normal 46 2 2" xfId="19792" xr:uid="{00000000-0005-0000-0000-0000534D0000}"/>
    <cellStyle name="Normal 46 2 2 2" xfId="19793" xr:uid="{00000000-0005-0000-0000-0000544D0000}"/>
    <cellStyle name="Normal 46 2 3" xfId="19794" xr:uid="{00000000-0005-0000-0000-0000554D0000}"/>
    <cellStyle name="Normal 46 3" xfId="19795" xr:uid="{00000000-0005-0000-0000-0000564D0000}"/>
    <cellStyle name="Normal 46 3 2" xfId="19796" xr:uid="{00000000-0005-0000-0000-0000574D0000}"/>
    <cellStyle name="Normal 46 4" xfId="19797" xr:uid="{00000000-0005-0000-0000-0000584D0000}"/>
    <cellStyle name="Normal 47" xfId="19798" xr:uid="{00000000-0005-0000-0000-0000594D0000}"/>
    <cellStyle name="Normal 47 2" xfId="19799" xr:uid="{00000000-0005-0000-0000-00005A4D0000}"/>
    <cellStyle name="Normal 47 2 2" xfId="19800" xr:uid="{00000000-0005-0000-0000-00005B4D0000}"/>
    <cellStyle name="Normal 47 2 2 2" xfId="19801" xr:uid="{00000000-0005-0000-0000-00005C4D0000}"/>
    <cellStyle name="Normal 47 2 3" xfId="19802" xr:uid="{00000000-0005-0000-0000-00005D4D0000}"/>
    <cellStyle name="Normal 47 3" xfId="19803" xr:uid="{00000000-0005-0000-0000-00005E4D0000}"/>
    <cellStyle name="Normal 47 3 2" xfId="19804" xr:uid="{00000000-0005-0000-0000-00005F4D0000}"/>
    <cellStyle name="Normal 47 4" xfId="19805" xr:uid="{00000000-0005-0000-0000-0000604D0000}"/>
    <cellStyle name="Normal 48" xfId="19806" xr:uid="{00000000-0005-0000-0000-0000614D0000}"/>
    <cellStyle name="Normal 48 2" xfId="19807" xr:uid="{00000000-0005-0000-0000-0000624D0000}"/>
    <cellStyle name="Normal 48 2 2" xfId="19808" xr:uid="{00000000-0005-0000-0000-0000634D0000}"/>
    <cellStyle name="Normal 48 2 2 2" xfId="19809" xr:uid="{00000000-0005-0000-0000-0000644D0000}"/>
    <cellStyle name="Normal 48 2 3" xfId="19810" xr:uid="{00000000-0005-0000-0000-0000654D0000}"/>
    <cellStyle name="Normal 48 3" xfId="19811" xr:uid="{00000000-0005-0000-0000-0000664D0000}"/>
    <cellStyle name="Normal 48 3 2" xfId="19812" xr:uid="{00000000-0005-0000-0000-0000674D0000}"/>
    <cellStyle name="Normal 48 4" xfId="19813" xr:uid="{00000000-0005-0000-0000-0000684D0000}"/>
    <cellStyle name="Normal 49" xfId="19814" xr:uid="{00000000-0005-0000-0000-0000694D0000}"/>
    <cellStyle name="Normal 49 2" xfId="19815" xr:uid="{00000000-0005-0000-0000-00006A4D0000}"/>
    <cellStyle name="Normal 49 2 2" xfId="19816" xr:uid="{00000000-0005-0000-0000-00006B4D0000}"/>
    <cellStyle name="Normal 49 2 2 2" xfId="19817" xr:uid="{00000000-0005-0000-0000-00006C4D0000}"/>
    <cellStyle name="Normal 49 2 3" xfId="19818" xr:uid="{00000000-0005-0000-0000-00006D4D0000}"/>
    <cellStyle name="Normal 49 3" xfId="19819" xr:uid="{00000000-0005-0000-0000-00006E4D0000}"/>
    <cellStyle name="Normal 49 3 2" xfId="19820" xr:uid="{00000000-0005-0000-0000-00006F4D0000}"/>
    <cellStyle name="Normal 49 4" xfId="19821" xr:uid="{00000000-0005-0000-0000-0000704D0000}"/>
    <cellStyle name="Normal 5" xfId="19822" xr:uid="{00000000-0005-0000-0000-0000714D0000}"/>
    <cellStyle name="Normal 5 10" xfId="19823" xr:uid="{00000000-0005-0000-0000-0000724D0000}"/>
    <cellStyle name="Normal 5 11" xfId="19824" xr:uid="{00000000-0005-0000-0000-0000734D0000}"/>
    <cellStyle name="Normal 5 2" xfId="19825" xr:uid="{00000000-0005-0000-0000-0000744D0000}"/>
    <cellStyle name="Normal 5 2 2" xfId="19826" xr:uid="{00000000-0005-0000-0000-0000754D0000}"/>
    <cellStyle name="Normal 5 2 2 2" xfId="19827" xr:uid="{00000000-0005-0000-0000-0000764D0000}"/>
    <cellStyle name="Normal 5 2 2 2 2" xfId="19828" xr:uid="{00000000-0005-0000-0000-0000774D0000}"/>
    <cellStyle name="Normal 5 2 2 2 2 2" xfId="19829" xr:uid="{00000000-0005-0000-0000-0000784D0000}"/>
    <cellStyle name="Normal 5 2 2 2 2 2 2" xfId="19830" xr:uid="{00000000-0005-0000-0000-0000794D0000}"/>
    <cellStyle name="Normal 5 2 2 2 2 3" xfId="19831" xr:uid="{00000000-0005-0000-0000-00007A4D0000}"/>
    <cellStyle name="Normal 5 2 2 2 3" xfId="19832" xr:uid="{00000000-0005-0000-0000-00007B4D0000}"/>
    <cellStyle name="Normal 5 2 2 2 3 2" xfId="19833" xr:uid="{00000000-0005-0000-0000-00007C4D0000}"/>
    <cellStyle name="Normal 5 2 2 2 4" xfId="19834" xr:uid="{00000000-0005-0000-0000-00007D4D0000}"/>
    <cellStyle name="Normal 5 2 2 3" xfId="19835" xr:uid="{00000000-0005-0000-0000-00007E4D0000}"/>
    <cellStyle name="Normal 5 2 2 3 2" xfId="19836" xr:uid="{00000000-0005-0000-0000-00007F4D0000}"/>
    <cellStyle name="Normal 5 2 2 3 2 2" xfId="19837" xr:uid="{00000000-0005-0000-0000-0000804D0000}"/>
    <cellStyle name="Normal 5 2 2 3 3" xfId="19838" xr:uid="{00000000-0005-0000-0000-0000814D0000}"/>
    <cellStyle name="Normal 5 2 2 4" xfId="19839" xr:uid="{00000000-0005-0000-0000-0000824D0000}"/>
    <cellStyle name="Normal 5 2 2 4 2" xfId="19840" xr:uid="{00000000-0005-0000-0000-0000834D0000}"/>
    <cellStyle name="Normal 5 2 2 4 2 2" xfId="19841" xr:uid="{00000000-0005-0000-0000-0000844D0000}"/>
    <cellStyle name="Normal 5 2 2 4 3" xfId="19842" xr:uid="{00000000-0005-0000-0000-0000854D0000}"/>
    <cellStyle name="Normal 5 2 2 5" xfId="19843" xr:uid="{00000000-0005-0000-0000-0000864D0000}"/>
    <cellStyle name="Normal 5 2 2 5 2" xfId="19844" xr:uid="{00000000-0005-0000-0000-0000874D0000}"/>
    <cellStyle name="Normal 5 2 2 6" xfId="19845" xr:uid="{00000000-0005-0000-0000-0000884D0000}"/>
    <cellStyle name="Normal 5 2 3" xfId="19846" xr:uid="{00000000-0005-0000-0000-0000894D0000}"/>
    <cellStyle name="Normal 5 2 3 2" xfId="19847" xr:uid="{00000000-0005-0000-0000-00008A4D0000}"/>
    <cellStyle name="Normal 5 2 3 2 2" xfId="19848" xr:uid="{00000000-0005-0000-0000-00008B4D0000}"/>
    <cellStyle name="Normal 5 2 3 2 2 2" xfId="19849" xr:uid="{00000000-0005-0000-0000-00008C4D0000}"/>
    <cellStyle name="Normal 5 2 3 2 3" xfId="19850" xr:uid="{00000000-0005-0000-0000-00008D4D0000}"/>
    <cellStyle name="Normal 5 2 3 3" xfId="19851" xr:uid="{00000000-0005-0000-0000-00008E4D0000}"/>
    <cellStyle name="Normal 5 2 3 3 2" xfId="19852" xr:uid="{00000000-0005-0000-0000-00008F4D0000}"/>
    <cellStyle name="Normal 5 2 3 3 2 2" xfId="19853" xr:uid="{00000000-0005-0000-0000-0000904D0000}"/>
    <cellStyle name="Normal 5 2 3 3 3" xfId="19854" xr:uid="{00000000-0005-0000-0000-0000914D0000}"/>
    <cellStyle name="Normal 5 2 3 4" xfId="19855" xr:uid="{00000000-0005-0000-0000-0000924D0000}"/>
    <cellStyle name="Normal 5 2 3 4 2" xfId="19856" xr:uid="{00000000-0005-0000-0000-0000934D0000}"/>
    <cellStyle name="Normal 5 2 3 5" xfId="19857" xr:uid="{00000000-0005-0000-0000-0000944D0000}"/>
    <cellStyle name="Normal 5 2 4" xfId="19858" xr:uid="{00000000-0005-0000-0000-0000954D0000}"/>
    <cellStyle name="Normal 5 2 4 2" xfId="19859" xr:uid="{00000000-0005-0000-0000-0000964D0000}"/>
    <cellStyle name="Normal 5 2 5" xfId="19860" xr:uid="{00000000-0005-0000-0000-0000974D0000}"/>
    <cellStyle name="Normal 5 2 5 2" xfId="19861" xr:uid="{00000000-0005-0000-0000-0000984D0000}"/>
    <cellStyle name="Normal 5 2 5 2 2" xfId="19862" xr:uid="{00000000-0005-0000-0000-0000994D0000}"/>
    <cellStyle name="Normal 5 2 5 2 2 2" xfId="19863" xr:uid="{00000000-0005-0000-0000-00009A4D0000}"/>
    <cellStyle name="Normal 5 2 5 2 3" xfId="19864" xr:uid="{00000000-0005-0000-0000-00009B4D0000}"/>
    <cellStyle name="Normal 5 2 5 3" xfId="19865" xr:uid="{00000000-0005-0000-0000-00009C4D0000}"/>
    <cellStyle name="Normal 5 2 5 3 2" xfId="19866" xr:uid="{00000000-0005-0000-0000-00009D4D0000}"/>
    <cellStyle name="Normal 5 2 5 4" xfId="19867" xr:uid="{00000000-0005-0000-0000-00009E4D0000}"/>
    <cellStyle name="Normal 5 2 6" xfId="19868" xr:uid="{00000000-0005-0000-0000-00009F4D0000}"/>
    <cellStyle name="Normal 5 2 6 2" xfId="19869" xr:uid="{00000000-0005-0000-0000-0000A04D0000}"/>
    <cellStyle name="Normal 5 2 6 2 2" xfId="19870" xr:uid="{00000000-0005-0000-0000-0000A14D0000}"/>
    <cellStyle name="Normal 5 2 6 3" xfId="19871" xr:uid="{00000000-0005-0000-0000-0000A24D0000}"/>
    <cellStyle name="Normal 5 2 7" xfId="19872" xr:uid="{00000000-0005-0000-0000-0000A34D0000}"/>
    <cellStyle name="Normal 5 2 7 2" xfId="19873" xr:uid="{00000000-0005-0000-0000-0000A44D0000}"/>
    <cellStyle name="Normal 5 2 8" xfId="19874" xr:uid="{00000000-0005-0000-0000-0000A54D0000}"/>
    <cellStyle name="Normal 5 3" xfId="19875" xr:uid="{00000000-0005-0000-0000-0000A64D0000}"/>
    <cellStyle name="Normal 5 3 2" xfId="19876" xr:uid="{00000000-0005-0000-0000-0000A74D0000}"/>
    <cellStyle name="Normal 5 3 2 2" xfId="19877" xr:uid="{00000000-0005-0000-0000-0000A84D0000}"/>
    <cellStyle name="Normal 5 3 2 2 2" xfId="19878" xr:uid="{00000000-0005-0000-0000-0000A94D0000}"/>
    <cellStyle name="Normal 5 3 2 2 2 2" xfId="19879" xr:uid="{00000000-0005-0000-0000-0000AA4D0000}"/>
    <cellStyle name="Normal 5 3 2 2 3" xfId="19880" xr:uid="{00000000-0005-0000-0000-0000AB4D0000}"/>
    <cellStyle name="Normal 5 3 2 3" xfId="19881" xr:uid="{00000000-0005-0000-0000-0000AC4D0000}"/>
    <cellStyle name="Normal 5 3 2 3 2" xfId="19882" xr:uid="{00000000-0005-0000-0000-0000AD4D0000}"/>
    <cellStyle name="Normal 5 3 2 4" xfId="19883" xr:uid="{00000000-0005-0000-0000-0000AE4D0000}"/>
    <cellStyle name="Normal 5 3 3" xfId="19884" xr:uid="{00000000-0005-0000-0000-0000AF4D0000}"/>
    <cellStyle name="Normal 5 3 3 2" xfId="19885" xr:uid="{00000000-0005-0000-0000-0000B04D0000}"/>
    <cellStyle name="Normal 5 3 3 2 2" xfId="19886" xr:uid="{00000000-0005-0000-0000-0000B14D0000}"/>
    <cellStyle name="Normal 5 3 3 3" xfId="19887" xr:uid="{00000000-0005-0000-0000-0000B24D0000}"/>
    <cellStyle name="Normal 5 3 4" xfId="19888" xr:uid="{00000000-0005-0000-0000-0000B34D0000}"/>
    <cellStyle name="Normal 5 3 4 2" xfId="19889" xr:uid="{00000000-0005-0000-0000-0000B44D0000}"/>
    <cellStyle name="Normal 5 3 4 2 2" xfId="19890" xr:uid="{00000000-0005-0000-0000-0000B54D0000}"/>
    <cellStyle name="Normal 5 3 4 3" xfId="19891" xr:uid="{00000000-0005-0000-0000-0000B64D0000}"/>
    <cellStyle name="Normal 5 3 5" xfId="19892" xr:uid="{00000000-0005-0000-0000-0000B74D0000}"/>
    <cellStyle name="Normal 5 3 5 2" xfId="19893" xr:uid="{00000000-0005-0000-0000-0000B84D0000}"/>
    <cellStyle name="Normal 5 3 6" xfId="19894" xr:uid="{00000000-0005-0000-0000-0000B94D0000}"/>
    <cellStyle name="Normal 5 4" xfId="19895" xr:uid="{00000000-0005-0000-0000-0000BA4D0000}"/>
    <cellStyle name="Normal 5 4 2" xfId="19896" xr:uid="{00000000-0005-0000-0000-0000BB4D0000}"/>
    <cellStyle name="Normal 5 4 2 2" xfId="19897" xr:uid="{00000000-0005-0000-0000-0000BC4D0000}"/>
    <cellStyle name="Normal 5 4 2 2 2" xfId="19898" xr:uid="{00000000-0005-0000-0000-0000BD4D0000}"/>
    <cellStyle name="Normal 5 4 2 3" xfId="19899" xr:uid="{00000000-0005-0000-0000-0000BE4D0000}"/>
    <cellStyle name="Normal 5 4 3" xfId="19900" xr:uid="{00000000-0005-0000-0000-0000BF4D0000}"/>
    <cellStyle name="Normal 5 4 3 2" xfId="19901" xr:uid="{00000000-0005-0000-0000-0000C04D0000}"/>
    <cellStyle name="Normal 5 4 3 2 2" xfId="19902" xr:uid="{00000000-0005-0000-0000-0000C14D0000}"/>
    <cellStyle name="Normal 5 4 3 3" xfId="19903" xr:uid="{00000000-0005-0000-0000-0000C24D0000}"/>
    <cellStyle name="Normal 5 4 4" xfId="19904" xr:uid="{00000000-0005-0000-0000-0000C34D0000}"/>
    <cellStyle name="Normal 5 4 4 2" xfId="19905" xr:uid="{00000000-0005-0000-0000-0000C44D0000}"/>
    <cellStyle name="Normal 5 4 5" xfId="19906" xr:uid="{00000000-0005-0000-0000-0000C54D0000}"/>
    <cellStyle name="Normal 5 5" xfId="19907" xr:uid="{00000000-0005-0000-0000-0000C64D0000}"/>
    <cellStyle name="Normal 5 5 2" xfId="19908" xr:uid="{00000000-0005-0000-0000-0000C74D0000}"/>
    <cellStyle name="Normal 5 5 2 2" xfId="19909" xr:uid="{00000000-0005-0000-0000-0000C84D0000}"/>
    <cellStyle name="Normal 5 5 2 2 2" xfId="19910" xr:uid="{00000000-0005-0000-0000-0000C94D0000}"/>
    <cellStyle name="Normal 5 5 2 3" xfId="19911" xr:uid="{00000000-0005-0000-0000-0000CA4D0000}"/>
    <cellStyle name="Normal 5 5 3" xfId="19912" xr:uid="{00000000-0005-0000-0000-0000CB4D0000}"/>
    <cellStyle name="Normal 5 5 3 2" xfId="19913" xr:uid="{00000000-0005-0000-0000-0000CC4D0000}"/>
    <cellStyle name="Normal 5 5 4" xfId="19914" xr:uid="{00000000-0005-0000-0000-0000CD4D0000}"/>
    <cellStyle name="Normal 5 6" xfId="19915" xr:uid="{00000000-0005-0000-0000-0000CE4D0000}"/>
    <cellStyle name="Normal 5 6 2" xfId="19916" xr:uid="{00000000-0005-0000-0000-0000CF4D0000}"/>
    <cellStyle name="Normal 5 6 2 2" xfId="19917" xr:uid="{00000000-0005-0000-0000-0000D04D0000}"/>
    <cellStyle name="Normal 5 6 3" xfId="19918" xr:uid="{00000000-0005-0000-0000-0000D14D0000}"/>
    <cellStyle name="Normal 5 7" xfId="19919" xr:uid="{00000000-0005-0000-0000-0000D24D0000}"/>
    <cellStyle name="Normal 5 7 2" xfId="19920" xr:uid="{00000000-0005-0000-0000-0000D34D0000}"/>
    <cellStyle name="Normal 5 7 2 2" xfId="19921" xr:uid="{00000000-0005-0000-0000-0000D44D0000}"/>
    <cellStyle name="Normal 5 7 3" xfId="19922" xr:uid="{00000000-0005-0000-0000-0000D54D0000}"/>
    <cellStyle name="Normal 5 8" xfId="19923" xr:uid="{00000000-0005-0000-0000-0000D64D0000}"/>
    <cellStyle name="Normal 5 8 2" xfId="19924" xr:uid="{00000000-0005-0000-0000-0000D74D0000}"/>
    <cellStyle name="Normal 5 9" xfId="19925" xr:uid="{00000000-0005-0000-0000-0000D84D0000}"/>
    <cellStyle name="Normal 5 9 2" xfId="19926" xr:uid="{00000000-0005-0000-0000-0000D94D0000}"/>
    <cellStyle name="Normal 50" xfId="19927" xr:uid="{00000000-0005-0000-0000-0000DA4D0000}"/>
    <cellStyle name="Normal 50 2" xfId="19928" xr:uid="{00000000-0005-0000-0000-0000DB4D0000}"/>
    <cellStyle name="Normal 50 2 2" xfId="19929" xr:uid="{00000000-0005-0000-0000-0000DC4D0000}"/>
    <cellStyle name="Normal 50 2 2 2" xfId="19930" xr:uid="{00000000-0005-0000-0000-0000DD4D0000}"/>
    <cellStyle name="Normal 50 2 3" xfId="19931" xr:uid="{00000000-0005-0000-0000-0000DE4D0000}"/>
    <cellStyle name="Normal 50 3" xfId="19932" xr:uid="{00000000-0005-0000-0000-0000DF4D0000}"/>
    <cellStyle name="Normal 50 3 2" xfId="19933" xr:uid="{00000000-0005-0000-0000-0000E04D0000}"/>
    <cellStyle name="Normal 50 4" xfId="19934" xr:uid="{00000000-0005-0000-0000-0000E14D0000}"/>
    <cellStyle name="Normal 51" xfId="19935" xr:uid="{00000000-0005-0000-0000-0000E24D0000}"/>
    <cellStyle name="Normal 51 2" xfId="19936" xr:uid="{00000000-0005-0000-0000-0000E34D0000}"/>
    <cellStyle name="Normal 51 2 2" xfId="19937" xr:uid="{00000000-0005-0000-0000-0000E44D0000}"/>
    <cellStyle name="Normal 51 2 2 2" xfId="19938" xr:uid="{00000000-0005-0000-0000-0000E54D0000}"/>
    <cellStyle name="Normal 51 2 3" xfId="19939" xr:uid="{00000000-0005-0000-0000-0000E64D0000}"/>
    <cellStyle name="Normal 51 3" xfId="19940" xr:uid="{00000000-0005-0000-0000-0000E74D0000}"/>
    <cellStyle name="Normal 51 3 2" xfId="19941" xr:uid="{00000000-0005-0000-0000-0000E84D0000}"/>
    <cellStyle name="Normal 51 4" xfId="19942" xr:uid="{00000000-0005-0000-0000-0000E94D0000}"/>
    <cellStyle name="Normal 52" xfId="19943" xr:uid="{00000000-0005-0000-0000-0000EA4D0000}"/>
    <cellStyle name="Normal 52 2" xfId="19944" xr:uid="{00000000-0005-0000-0000-0000EB4D0000}"/>
    <cellStyle name="Normal 53" xfId="19945" xr:uid="{00000000-0005-0000-0000-0000EC4D0000}"/>
    <cellStyle name="Normal 53 2" xfId="19946" xr:uid="{00000000-0005-0000-0000-0000ED4D0000}"/>
    <cellStyle name="Normal 53 2 2" xfId="19947" xr:uid="{00000000-0005-0000-0000-0000EE4D0000}"/>
    <cellStyle name="Normal 53 3" xfId="19948" xr:uid="{00000000-0005-0000-0000-0000EF4D0000}"/>
    <cellStyle name="Normal 54" xfId="19949" xr:uid="{00000000-0005-0000-0000-0000F04D0000}"/>
    <cellStyle name="Normal 54 2" xfId="19950" xr:uid="{00000000-0005-0000-0000-0000F14D0000}"/>
    <cellStyle name="Normal 54 2 2" xfId="19951" xr:uid="{00000000-0005-0000-0000-0000F24D0000}"/>
    <cellStyle name="Normal 54 3" xfId="19952" xr:uid="{00000000-0005-0000-0000-0000F34D0000}"/>
    <cellStyle name="Normal 55" xfId="19953" xr:uid="{00000000-0005-0000-0000-0000F44D0000}"/>
    <cellStyle name="Normal 55 2" xfId="19954" xr:uid="{00000000-0005-0000-0000-0000F54D0000}"/>
    <cellStyle name="Normal 55 2 2" xfId="19955" xr:uid="{00000000-0005-0000-0000-0000F64D0000}"/>
    <cellStyle name="Normal 55 3" xfId="19956" xr:uid="{00000000-0005-0000-0000-0000F74D0000}"/>
    <cellStyle name="Normal 56" xfId="19957" xr:uid="{00000000-0005-0000-0000-0000F84D0000}"/>
    <cellStyle name="Normal 56 2" xfId="19958" xr:uid="{00000000-0005-0000-0000-0000F94D0000}"/>
    <cellStyle name="Normal 56 2 2" xfId="19959" xr:uid="{00000000-0005-0000-0000-0000FA4D0000}"/>
    <cellStyle name="Normal 56 3" xfId="19960" xr:uid="{00000000-0005-0000-0000-0000FB4D0000}"/>
    <cellStyle name="Normal 57" xfId="19961" xr:uid="{00000000-0005-0000-0000-0000FC4D0000}"/>
    <cellStyle name="Normal 57 2" xfId="19962" xr:uid="{00000000-0005-0000-0000-0000FD4D0000}"/>
    <cellStyle name="Normal 57 2 2" xfId="19963" xr:uid="{00000000-0005-0000-0000-0000FE4D0000}"/>
    <cellStyle name="Normal 57 3" xfId="19964" xr:uid="{00000000-0005-0000-0000-0000FF4D0000}"/>
    <cellStyle name="Normal 58" xfId="19965" xr:uid="{00000000-0005-0000-0000-0000004E0000}"/>
    <cellStyle name="Normal 58 2" xfId="19966" xr:uid="{00000000-0005-0000-0000-0000014E0000}"/>
    <cellStyle name="Normal 58 2 2" xfId="19967" xr:uid="{00000000-0005-0000-0000-0000024E0000}"/>
    <cellStyle name="Normal 58 3" xfId="19968" xr:uid="{00000000-0005-0000-0000-0000034E0000}"/>
    <cellStyle name="Normal 59" xfId="19969" xr:uid="{00000000-0005-0000-0000-0000044E0000}"/>
    <cellStyle name="Normal 59 2" xfId="19970" xr:uid="{00000000-0005-0000-0000-0000054E0000}"/>
    <cellStyle name="Normal 59 2 2" xfId="19971" xr:uid="{00000000-0005-0000-0000-0000064E0000}"/>
    <cellStyle name="Normal 59 3" xfId="19972" xr:uid="{00000000-0005-0000-0000-0000074E0000}"/>
    <cellStyle name="Normal 6" xfId="19973" xr:uid="{00000000-0005-0000-0000-0000084E0000}"/>
    <cellStyle name="Normal 6 2" xfId="19974" xr:uid="{00000000-0005-0000-0000-0000094E0000}"/>
    <cellStyle name="Normal 6 2 2" xfId="19975" xr:uid="{00000000-0005-0000-0000-00000A4E0000}"/>
    <cellStyle name="Normal 6 2 2 2" xfId="19976" xr:uid="{00000000-0005-0000-0000-00000B4E0000}"/>
    <cellStyle name="Normal 6 2 2 2 2" xfId="19977" xr:uid="{00000000-0005-0000-0000-00000C4E0000}"/>
    <cellStyle name="Normal 6 2 2 2 2 2" xfId="19978" xr:uid="{00000000-0005-0000-0000-00000D4E0000}"/>
    <cellStyle name="Normal 6 2 2 2 3" xfId="19979" xr:uid="{00000000-0005-0000-0000-00000E4E0000}"/>
    <cellStyle name="Normal 6 2 2 3" xfId="19980" xr:uid="{00000000-0005-0000-0000-00000F4E0000}"/>
    <cellStyle name="Normal 6 2 2 3 2" xfId="19981" xr:uid="{00000000-0005-0000-0000-0000104E0000}"/>
    <cellStyle name="Normal 6 2 2 4" xfId="19982" xr:uid="{00000000-0005-0000-0000-0000114E0000}"/>
    <cellStyle name="Normal 6 2 3" xfId="19983" xr:uid="{00000000-0005-0000-0000-0000124E0000}"/>
    <cellStyle name="Normal 6 2 3 2" xfId="19984" xr:uid="{00000000-0005-0000-0000-0000134E0000}"/>
    <cellStyle name="Normal 6 2 3 2 2" xfId="19985" xr:uid="{00000000-0005-0000-0000-0000144E0000}"/>
    <cellStyle name="Normal 6 2 3 3" xfId="19986" xr:uid="{00000000-0005-0000-0000-0000154E0000}"/>
    <cellStyle name="Normal 6 2 4" xfId="19987" xr:uid="{00000000-0005-0000-0000-0000164E0000}"/>
    <cellStyle name="Normal 6 2 4 2" xfId="19988" xr:uid="{00000000-0005-0000-0000-0000174E0000}"/>
    <cellStyle name="Normal 6 2 4 2 2" xfId="19989" xr:uid="{00000000-0005-0000-0000-0000184E0000}"/>
    <cellStyle name="Normal 6 2 4 3" xfId="19990" xr:uid="{00000000-0005-0000-0000-0000194E0000}"/>
    <cellStyle name="Normal 6 2 5" xfId="19991" xr:uid="{00000000-0005-0000-0000-00001A4E0000}"/>
    <cellStyle name="Normal 6 2 5 2" xfId="19992" xr:uid="{00000000-0005-0000-0000-00001B4E0000}"/>
    <cellStyle name="Normal 6 2 6" xfId="19993" xr:uid="{00000000-0005-0000-0000-00001C4E0000}"/>
    <cellStyle name="Normal 6 3" xfId="19994" xr:uid="{00000000-0005-0000-0000-00001D4E0000}"/>
    <cellStyle name="Normal 6 3 2" xfId="19995" xr:uid="{00000000-0005-0000-0000-00001E4E0000}"/>
    <cellStyle name="Normal 6 3 2 2" xfId="19996" xr:uid="{00000000-0005-0000-0000-00001F4E0000}"/>
    <cellStyle name="Normal 6 3 2 2 2" xfId="19997" xr:uid="{00000000-0005-0000-0000-0000204E0000}"/>
    <cellStyle name="Normal 6 3 2 3" xfId="19998" xr:uid="{00000000-0005-0000-0000-0000214E0000}"/>
    <cellStyle name="Normal 6 3 3" xfId="19999" xr:uid="{00000000-0005-0000-0000-0000224E0000}"/>
    <cellStyle name="Normal 6 3 3 2" xfId="20000" xr:uid="{00000000-0005-0000-0000-0000234E0000}"/>
    <cellStyle name="Normal 6 3 3 2 2" xfId="20001" xr:uid="{00000000-0005-0000-0000-0000244E0000}"/>
    <cellStyle name="Normal 6 3 3 3" xfId="20002" xr:uid="{00000000-0005-0000-0000-0000254E0000}"/>
    <cellStyle name="Normal 6 3 4" xfId="20003" xr:uid="{00000000-0005-0000-0000-0000264E0000}"/>
    <cellStyle name="Normal 6 3 4 2" xfId="20004" xr:uid="{00000000-0005-0000-0000-0000274E0000}"/>
    <cellStyle name="Normal 6 3 5" xfId="20005" xr:uid="{00000000-0005-0000-0000-0000284E0000}"/>
    <cellStyle name="Normal 6 4" xfId="20006" xr:uid="{00000000-0005-0000-0000-0000294E0000}"/>
    <cellStyle name="Normal 6 4 2" xfId="20007" xr:uid="{00000000-0005-0000-0000-00002A4E0000}"/>
    <cellStyle name="Normal 6 4 2 2" xfId="20008" xr:uid="{00000000-0005-0000-0000-00002B4E0000}"/>
    <cellStyle name="Normal 6 4 2 2 2" xfId="20009" xr:uid="{00000000-0005-0000-0000-00002C4E0000}"/>
    <cellStyle name="Normal 6 4 2 3" xfId="20010" xr:uid="{00000000-0005-0000-0000-00002D4E0000}"/>
    <cellStyle name="Normal 6 4 3" xfId="20011" xr:uid="{00000000-0005-0000-0000-00002E4E0000}"/>
    <cellStyle name="Normal 6 4 3 2" xfId="20012" xr:uid="{00000000-0005-0000-0000-00002F4E0000}"/>
    <cellStyle name="Normal 6 4 4" xfId="20013" xr:uid="{00000000-0005-0000-0000-0000304E0000}"/>
    <cellStyle name="Normal 6 5" xfId="20014" xr:uid="{00000000-0005-0000-0000-0000314E0000}"/>
    <cellStyle name="Normal 6 5 2" xfId="20015" xr:uid="{00000000-0005-0000-0000-0000324E0000}"/>
    <cellStyle name="Normal 6 5 2 2" xfId="20016" xr:uid="{00000000-0005-0000-0000-0000334E0000}"/>
    <cellStyle name="Normal 6 5 3" xfId="20017" xr:uid="{00000000-0005-0000-0000-0000344E0000}"/>
    <cellStyle name="Normal 6 6" xfId="20018" xr:uid="{00000000-0005-0000-0000-0000354E0000}"/>
    <cellStyle name="Normal 6 6 2" xfId="20019" xr:uid="{00000000-0005-0000-0000-0000364E0000}"/>
    <cellStyle name="Normal 6 6 2 2" xfId="20020" xr:uid="{00000000-0005-0000-0000-0000374E0000}"/>
    <cellStyle name="Normal 6 6 3" xfId="20021" xr:uid="{00000000-0005-0000-0000-0000384E0000}"/>
    <cellStyle name="Normal 6 7" xfId="20022" xr:uid="{00000000-0005-0000-0000-0000394E0000}"/>
    <cellStyle name="Normal 6 7 2" xfId="20023" xr:uid="{00000000-0005-0000-0000-00003A4E0000}"/>
    <cellStyle name="Normal 6 8" xfId="20024" xr:uid="{00000000-0005-0000-0000-00003B4E0000}"/>
    <cellStyle name="Normal 60" xfId="20025" xr:uid="{00000000-0005-0000-0000-00003C4E0000}"/>
    <cellStyle name="Normal 60 2" xfId="20026" xr:uid="{00000000-0005-0000-0000-00003D4E0000}"/>
    <cellStyle name="Normal 61" xfId="20027" xr:uid="{00000000-0005-0000-0000-00003E4E0000}"/>
    <cellStyle name="Normal 61 2" xfId="20028" xr:uid="{00000000-0005-0000-0000-00003F4E0000}"/>
    <cellStyle name="Normal 62" xfId="20029" xr:uid="{00000000-0005-0000-0000-0000404E0000}"/>
    <cellStyle name="Normal 62 2" xfId="20030" xr:uid="{00000000-0005-0000-0000-0000414E0000}"/>
    <cellStyle name="Normal 63" xfId="20031" xr:uid="{00000000-0005-0000-0000-0000424E0000}"/>
    <cellStyle name="Normal 63 2" xfId="20032" xr:uid="{00000000-0005-0000-0000-0000434E0000}"/>
    <cellStyle name="Normal 64" xfId="20033" xr:uid="{00000000-0005-0000-0000-0000444E0000}"/>
    <cellStyle name="Normal 64 2" xfId="20034" xr:uid="{00000000-0005-0000-0000-0000454E0000}"/>
    <cellStyle name="Normal 65" xfId="20035" xr:uid="{00000000-0005-0000-0000-0000464E0000}"/>
    <cellStyle name="Normal 65 2" xfId="20036" xr:uid="{00000000-0005-0000-0000-0000474E0000}"/>
    <cellStyle name="Normal 66" xfId="20037" xr:uid="{00000000-0005-0000-0000-0000484E0000}"/>
    <cellStyle name="Normal 66 2" xfId="20038" xr:uid="{00000000-0005-0000-0000-0000494E0000}"/>
    <cellStyle name="Normal 67" xfId="20039" xr:uid="{00000000-0005-0000-0000-00004A4E0000}"/>
    <cellStyle name="Normal 67 2" xfId="20040" xr:uid="{00000000-0005-0000-0000-00004B4E0000}"/>
    <cellStyle name="Normal 68" xfId="20041" xr:uid="{00000000-0005-0000-0000-00004C4E0000}"/>
    <cellStyle name="Normal 68 2" xfId="20042" xr:uid="{00000000-0005-0000-0000-00004D4E0000}"/>
    <cellStyle name="Normal 69" xfId="20043" xr:uid="{00000000-0005-0000-0000-00004E4E0000}"/>
    <cellStyle name="Normal 69 2" xfId="20044" xr:uid="{00000000-0005-0000-0000-00004F4E0000}"/>
    <cellStyle name="Normal 7" xfId="20045" xr:uid="{00000000-0005-0000-0000-0000504E0000}"/>
    <cellStyle name="Normal 7 2" xfId="20046" xr:uid="{00000000-0005-0000-0000-0000514E0000}"/>
    <cellStyle name="Normal 7 2 2" xfId="20047" xr:uid="{00000000-0005-0000-0000-0000524E0000}"/>
    <cellStyle name="Normal 7 2 2 2" xfId="20048" xr:uid="{00000000-0005-0000-0000-0000534E0000}"/>
    <cellStyle name="Normal 7 2 2 2 2" xfId="20049" xr:uid="{00000000-0005-0000-0000-0000544E0000}"/>
    <cellStyle name="Normal 7 2 2 2 2 2" xfId="20050" xr:uid="{00000000-0005-0000-0000-0000554E0000}"/>
    <cellStyle name="Normal 7 2 2 2 3" xfId="20051" xr:uid="{00000000-0005-0000-0000-0000564E0000}"/>
    <cellStyle name="Normal 7 2 2 3" xfId="20052" xr:uid="{00000000-0005-0000-0000-0000574E0000}"/>
    <cellStyle name="Normal 7 2 2 3 2" xfId="20053" xr:uid="{00000000-0005-0000-0000-0000584E0000}"/>
    <cellStyle name="Normal 7 2 2 4" xfId="20054" xr:uid="{00000000-0005-0000-0000-0000594E0000}"/>
    <cellStyle name="Normal 7 2 3" xfId="20055" xr:uid="{00000000-0005-0000-0000-00005A4E0000}"/>
    <cellStyle name="Normal 7 2 3 2" xfId="20056" xr:uid="{00000000-0005-0000-0000-00005B4E0000}"/>
    <cellStyle name="Normal 7 2 3 2 2" xfId="20057" xr:uid="{00000000-0005-0000-0000-00005C4E0000}"/>
    <cellStyle name="Normal 7 2 3 3" xfId="20058" xr:uid="{00000000-0005-0000-0000-00005D4E0000}"/>
    <cellStyle name="Normal 7 2 4" xfId="20059" xr:uid="{00000000-0005-0000-0000-00005E4E0000}"/>
    <cellStyle name="Normal 7 2 4 2" xfId="20060" xr:uid="{00000000-0005-0000-0000-00005F4E0000}"/>
    <cellStyle name="Normal 7 2 4 2 2" xfId="20061" xr:uid="{00000000-0005-0000-0000-0000604E0000}"/>
    <cellStyle name="Normal 7 2 4 3" xfId="20062" xr:uid="{00000000-0005-0000-0000-0000614E0000}"/>
    <cellStyle name="Normal 7 2 5" xfId="20063" xr:uid="{00000000-0005-0000-0000-0000624E0000}"/>
    <cellStyle name="Normal 7 2 5 2" xfId="20064" xr:uid="{00000000-0005-0000-0000-0000634E0000}"/>
    <cellStyle name="Normal 7 2 6" xfId="20065" xr:uid="{00000000-0005-0000-0000-0000644E0000}"/>
    <cellStyle name="Normal 7 3" xfId="20066" xr:uid="{00000000-0005-0000-0000-0000654E0000}"/>
    <cellStyle name="Normal 7 3 2" xfId="20067" xr:uid="{00000000-0005-0000-0000-0000664E0000}"/>
    <cellStyle name="Normal 7 3 2 2" xfId="20068" xr:uid="{00000000-0005-0000-0000-0000674E0000}"/>
    <cellStyle name="Normal 7 3 2 2 2" xfId="20069" xr:uid="{00000000-0005-0000-0000-0000684E0000}"/>
    <cellStyle name="Normal 7 3 2 3" xfId="20070" xr:uid="{00000000-0005-0000-0000-0000694E0000}"/>
    <cellStyle name="Normal 7 3 3" xfId="20071" xr:uid="{00000000-0005-0000-0000-00006A4E0000}"/>
    <cellStyle name="Normal 7 3 3 2" xfId="20072" xr:uid="{00000000-0005-0000-0000-00006B4E0000}"/>
    <cellStyle name="Normal 7 3 3 2 2" xfId="20073" xr:uid="{00000000-0005-0000-0000-00006C4E0000}"/>
    <cellStyle name="Normal 7 3 3 3" xfId="20074" xr:uid="{00000000-0005-0000-0000-00006D4E0000}"/>
    <cellStyle name="Normal 7 3 4" xfId="20075" xr:uid="{00000000-0005-0000-0000-00006E4E0000}"/>
    <cellStyle name="Normal 7 3 4 2" xfId="20076" xr:uid="{00000000-0005-0000-0000-00006F4E0000}"/>
    <cellStyle name="Normal 7 3 5" xfId="20077" xr:uid="{00000000-0005-0000-0000-0000704E0000}"/>
    <cellStyle name="Normal 7 4" xfId="20078" xr:uid="{00000000-0005-0000-0000-0000714E0000}"/>
    <cellStyle name="Normal 7 5" xfId="20079" xr:uid="{00000000-0005-0000-0000-0000724E0000}"/>
    <cellStyle name="Normal 7 5 2" xfId="20080" xr:uid="{00000000-0005-0000-0000-0000734E0000}"/>
    <cellStyle name="Normal 7 5 2 2" xfId="20081" xr:uid="{00000000-0005-0000-0000-0000744E0000}"/>
    <cellStyle name="Normal 7 5 2 2 2" xfId="20082" xr:uid="{00000000-0005-0000-0000-0000754E0000}"/>
    <cellStyle name="Normal 7 5 2 3" xfId="20083" xr:uid="{00000000-0005-0000-0000-0000764E0000}"/>
    <cellStyle name="Normal 7 5 3" xfId="20084" xr:uid="{00000000-0005-0000-0000-0000774E0000}"/>
    <cellStyle name="Normal 7 5 3 2" xfId="20085" xr:uid="{00000000-0005-0000-0000-0000784E0000}"/>
    <cellStyle name="Normal 7 5 4" xfId="20086" xr:uid="{00000000-0005-0000-0000-0000794E0000}"/>
    <cellStyle name="Normal 7 6" xfId="20087" xr:uid="{00000000-0005-0000-0000-00007A4E0000}"/>
    <cellStyle name="Normal 7 6 2" xfId="20088" xr:uid="{00000000-0005-0000-0000-00007B4E0000}"/>
    <cellStyle name="Normal 7 6 2 2" xfId="20089" xr:uid="{00000000-0005-0000-0000-00007C4E0000}"/>
    <cellStyle name="Normal 7 6 3" xfId="20090" xr:uid="{00000000-0005-0000-0000-00007D4E0000}"/>
    <cellStyle name="Normal 7 7" xfId="20091" xr:uid="{00000000-0005-0000-0000-00007E4E0000}"/>
    <cellStyle name="Normal 7 7 2" xfId="20092" xr:uid="{00000000-0005-0000-0000-00007F4E0000}"/>
    <cellStyle name="Normal 7 8" xfId="20093" xr:uid="{00000000-0005-0000-0000-0000804E0000}"/>
    <cellStyle name="Normal 70" xfId="20094" xr:uid="{00000000-0005-0000-0000-0000814E0000}"/>
    <cellStyle name="Normal 70 2" xfId="20095" xr:uid="{00000000-0005-0000-0000-0000824E0000}"/>
    <cellStyle name="Normal 71" xfId="20096" xr:uid="{00000000-0005-0000-0000-0000834E0000}"/>
    <cellStyle name="Normal 71 2" xfId="20097" xr:uid="{00000000-0005-0000-0000-0000844E0000}"/>
    <cellStyle name="Normal 72" xfId="20098" xr:uid="{00000000-0005-0000-0000-0000854E0000}"/>
    <cellStyle name="Normal 72 2" xfId="20099" xr:uid="{00000000-0005-0000-0000-0000864E0000}"/>
    <cellStyle name="Normal 73" xfId="20100" xr:uid="{00000000-0005-0000-0000-0000874E0000}"/>
    <cellStyle name="Normal 73 2" xfId="20101" xr:uid="{00000000-0005-0000-0000-0000884E0000}"/>
    <cellStyle name="Normal 74" xfId="20102" xr:uid="{00000000-0005-0000-0000-0000894E0000}"/>
    <cellStyle name="Normal 74 2" xfId="20103" xr:uid="{00000000-0005-0000-0000-00008A4E0000}"/>
    <cellStyle name="Normal 75" xfId="20104" xr:uid="{00000000-0005-0000-0000-00008B4E0000}"/>
    <cellStyle name="Normal 75 2" xfId="20105" xr:uid="{00000000-0005-0000-0000-00008C4E0000}"/>
    <cellStyle name="Normal 76" xfId="20106" xr:uid="{00000000-0005-0000-0000-00008D4E0000}"/>
    <cellStyle name="Normal 76 2" xfId="20107" xr:uid="{00000000-0005-0000-0000-00008E4E0000}"/>
    <cellStyle name="Normal 77" xfId="20108" xr:uid="{00000000-0005-0000-0000-00008F4E0000}"/>
    <cellStyle name="Normal 77 2" xfId="20109" xr:uid="{00000000-0005-0000-0000-0000904E0000}"/>
    <cellStyle name="Normal 78" xfId="20110" xr:uid="{00000000-0005-0000-0000-0000914E0000}"/>
    <cellStyle name="Normal 78 2" xfId="20111" xr:uid="{00000000-0005-0000-0000-0000924E0000}"/>
    <cellStyle name="Normal 79" xfId="20112" xr:uid="{00000000-0005-0000-0000-0000934E0000}"/>
    <cellStyle name="Normal 79 2" xfId="20113" xr:uid="{00000000-0005-0000-0000-0000944E0000}"/>
    <cellStyle name="Normal 8" xfId="20114" xr:uid="{00000000-0005-0000-0000-0000954E0000}"/>
    <cellStyle name="Normal 8 2" xfId="20115" xr:uid="{00000000-0005-0000-0000-0000964E0000}"/>
    <cellStyle name="Normal 8 2 2" xfId="20116" xr:uid="{00000000-0005-0000-0000-0000974E0000}"/>
    <cellStyle name="Normal 8 2 2 2" xfId="20117" xr:uid="{00000000-0005-0000-0000-0000984E0000}"/>
    <cellStyle name="Normal 8 2 2 2 2" xfId="20118" xr:uid="{00000000-0005-0000-0000-0000994E0000}"/>
    <cellStyle name="Normal 8 2 2 2 2 2" xfId="20119" xr:uid="{00000000-0005-0000-0000-00009A4E0000}"/>
    <cellStyle name="Normal 8 2 2 2 3" xfId="20120" xr:uid="{00000000-0005-0000-0000-00009B4E0000}"/>
    <cellStyle name="Normal 8 2 2 3" xfId="20121" xr:uid="{00000000-0005-0000-0000-00009C4E0000}"/>
    <cellStyle name="Normal 8 2 2 3 2" xfId="20122" xr:uid="{00000000-0005-0000-0000-00009D4E0000}"/>
    <cellStyle name="Normal 8 2 2 3 2 2" xfId="20123" xr:uid="{00000000-0005-0000-0000-00009E4E0000}"/>
    <cellStyle name="Normal 8 2 2 3 3" xfId="20124" xr:uid="{00000000-0005-0000-0000-00009F4E0000}"/>
    <cellStyle name="Normal 8 2 2 4" xfId="20125" xr:uid="{00000000-0005-0000-0000-0000A04E0000}"/>
    <cellStyle name="Normal 8 2 2 4 2" xfId="20126" xr:uid="{00000000-0005-0000-0000-0000A14E0000}"/>
    <cellStyle name="Normal 8 2 2 5" xfId="20127" xr:uid="{00000000-0005-0000-0000-0000A24E0000}"/>
    <cellStyle name="Normal 8 2 3" xfId="20128" xr:uid="{00000000-0005-0000-0000-0000A34E0000}"/>
    <cellStyle name="Normal 8 2 4" xfId="20129" xr:uid="{00000000-0005-0000-0000-0000A44E0000}"/>
    <cellStyle name="Normal 8 2 4 2" xfId="20130" xr:uid="{00000000-0005-0000-0000-0000A54E0000}"/>
    <cellStyle name="Normal 8 2 4 2 2" xfId="20131" xr:uid="{00000000-0005-0000-0000-0000A64E0000}"/>
    <cellStyle name="Normal 8 2 4 2 2 2" xfId="20132" xr:uid="{00000000-0005-0000-0000-0000A74E0000}"/>
    <cellStyle name="Normal 8 2 4 2 3" xfId="20133" xr:uid="{00000000-0005-0000-0000-0000A84E0000}"/>
    <cellStyle name="Normal 8 2 4 3" xfId="20134" xr:uid="{00000000-0005-0000-0000-0000A94E0000}"/>
    <cellStyle name="Normal 8 2 4 3 2" xfId="20135" xr:uid="{00000000-0005-0000-0000-0000AA4E0000}"/>
    <cellStyle name="Normal 8 2 4 4" xfId="20136" xr:uid="{00000000-0005-0000-0000-0000AB4E0000}"/>
    <cellStyle name="Normal 8 2 5" xfId="20137" xr:uid="{00000000-0005-0000-0000-0000AC4E0000}"/>
    <cellStyle name="Normal 8 2 5 2" xfId="20138" xr:uid="{00000000-0005-0000-0000-0000AD4E0000}"/>
    <cellStyle name="Normal 8 2 5 2 2" xfId="20139" xr:uid="{00000000-0005-0000-0000-0000AE4E0000}"/>
    <cellStyle name="Normal 8 2 5 3" xfId="20140" xr:uid="{00000000-0005-0000-0000-0000AF4E0000}"/>
    <cellStyle name="Normal 8 2 6" xfId="20141" xr:uid="{00000000-0005-0000-0000-0000B04E0000}"/>
    <cellStyle name="Normal 8 2 6 2" xfId="20142" xr:uid="{00000000-0005-0000-0000-0000B14E0000}"/>
    <cellStyle name="Normal 8 2 7" xfId="20143" xr:uid="{00000000-0005-0000-0000-0000B24E0000}"/>
    <cellStyle name="Normal 8 3" xfId="20144" xr:uid="{00000000-0005-0000-0000-0000B34E0000}"/>
    <cellStyle name="Normal 8 3 2" xfId="20145" xr:uid="{00000000-0005-0000-0000-0000B44E0000}"/>
    <cellStyle name="Normal 8 3 2 2" xfId="20146" xr:uid="{00000000-0005-0000-0000-0000B54E0000}"/>
    <cellStyle name="Normal 8 3 2 2 2" xfId="20147" xr:uid="{00000000-0005-0000-0000-0000B64E0000}"/>
    <cellStyle name="Normal 8 3 2 3" xfId="20148" xr:uid="{00000000-0005-0000-0000-0000B74E0000}"/>
    <cellStyle name="Normal 8 3 3" xfId="20149" xr:uid="{00000000-0005-0000-0000-0000B84E0000}"/>
    <cellStyle name="Normal 8 3 3 2" xfId="20150" xr:uid="{00000000-0005-0000-0000-0000B94E0000}"/>
    <cellStyle name="Normal 8 3 3 2 2" xfId="20151" xr:uid="{00000000-0005-0000-0000-0000BA4E0000}"/>
    <cellStyle name="Normal 8 3 3 3" xfId="20152" xr:uid="{00000000-0005-0000-0000-0000BB4E0000}"/>
    <cellStyle name="Normal 8 3 4" xfId="20153" xr:uid="{00000000-0005-0000-0000-0000BC4E0000}"/>
    <cellStyle name="Normal 8 3 4 2" xfId="20154" xr:uid="{00000000-0005-0000-0000-0000BD4E0000}"/>
    <cellStyle name="Normal 8 3 5" xfId="20155" xr:uid="{00000000-0005-0000-0000-0000BE4E0000}"/>
    <cellStyle name="Normal 8 4" xfId="20156" xr:uid="{00000000-0005-0000-0000-0000BF4E0000}"/>
    <cellStyle name="Normal 8 5" xfId="20157" xr:uid="{00000000-0005-0000-0000-0000C04E0000}"/>
    <cellStyle name="Normal 8 5 2" xfId="20158" xr:uid="{00000000-0005-0000-0000-0000C14E0000}"/>
    <cellStyle name="Normal 8 5 2 2" xfId="20159" xr:uid="{00000000-0005-0000-0000-0000C24E0000}"/>
    <cellStyle name="Normal 8 5 2 2 2" xfId="20160" xr:uid="{00000000-0005-0000-0000-0000C34E0000}"/>
    <cellStyle name="Normal 8 5 2 3" xfId="20161" xr:uid="{00000000-0005-0000-0000-0000C44E0000}"/>
    <cellStyle name="Normal 8 5 3" xfId="20162" xr:uid="{00000000-0005-0000-0000-0000C54E0000}"/>
    <cellStyle name="Normal 8 5 3 2" xfId="20163" xr:uid="{00000000-0005-0000-0000-0000C64E0000}"/>
    <cellStyle name="Normal 8 5 4" xfId="20164" xr:uid="{00000000-0005-0000-0000-0000C74E0000}"/>
    <cellStyle name="Normal 8 6" xfId="20165" xr:uid="{00000000-0005-0000-0000-0000C84E0000}"/>
    <cellStyle name="Normal 8 6 2" xfId="20166" xr:uid="{00000000-0005-0000-0000-0000C94E0000}"/>
    <cellStyle name="Normal 8 6 2 2" xfId="20167" xr:uid="{00000000-0005-0000-0000-0000CA4E0000}"/>
    <cellStyle name="Normal 8 6 3" xfId="20168" xr:uid="{00000000-0005-0000-0000-0000CB4E0000}"/>
    <cellStyle name="Normal 8 7" xfId="20169" xr:uid="{00000000-0005-0000-0000-0000CC4E0000}"/>
    <cellStyle name="Normal 8 7 2" xfId="20170" xr:uid="{00000000-0005-0000-0000-0000CD4E0000}"/>
    <cellStyle name="Normal 8 8" xfId="20171" xr:uid="{00000000-0005-0000-0000-0000CE4E0000}"/>
    <cellStyle name="Normal 80" xfId="20172" xr:uid="{00000000-0005-0000-0000-0000CF4E0000}"/>
    <cellStyle name="Normal 81" xfId="20173" xr:uid="{00000000-0005-0000-0000-0000D04E0000}"/>
    <cellStyle name="Normal 82" xfId="20174" xr:uid="{00000000-0005-0000-0000-0000D14E0000}"/>
    <cellStyle name="Normal 83" xfId="20175" xr:uid="{00000000-0005-0000-0000-0000D24E0000}"/>
    <cellStyle name="Normal 84" xfId="20176" xr:uid="{00000000-0005-0000-0000-0000D34E0000}"/>
    <cellStyle name="Normal 85" xfId="20177" xr:uid="{00000000-0005-0000-0000-0000D44E0000}"/>
    <cellStyle name="Normal 86" xfId="21690" xr:uid="{C70FDF3B-7A5F-4027-9D87-394B2E3B9566}"/>
    <cellStyle name="Normal 9" xfId="20178" xr:uid="{00000000-0005-0000-0000-0000D54E0000}"/>
    <cellStyle name="Normal 9 2" xfId="20179" xr:uid="{00000000-0005-0000-0000-0000D64E0000}"/>
    <cellStyle name="Normal 9 2 2" xfId="20180" xr:uid="{00000000-0005-0000-0000-0000D74E0000}"/>
    <cellStyle name="Normal 9 2 2 2" xfId="20181" xr:uid="{00000000-0005-0000-0000-0000D84E0000}"/>
    <cellStyle name="Normal 9 2 2 2 2" xfId="20182" xr:uid="{00000000-0005-0000-0000-0000D94E0000}"/>
    <cellStyle name="Normal 9 2 2 2 2 2" xfId="20183" xr:uid="{00000000-0005-0000-0000-0000DA4E0000}"/>
    <cellStyle name="Normal 9 2 2 2 3" xfId="20184" xr:uid="{00000000-0005-0000-0000-0000DB4E0000}"/>
    <cellStyle name="Normal 9 2 2 3" xfId="20185" xr:uid="{00000000-0005-0000-0000-0000DC4E0000}"/>
    <cellStyle name="Normal 9 2 2 3 2" xfId="20186" xr:uid="{00000000-0005-0000-0000-0000DD4E0000}"/>
    <cellStyle name="Normal 9 2 2 4" xfId="20187" xr:uid="{00000000-0005-0000-0000-0000DE4E0000}"/>
    <cellStyle name="Normal 9 2 3" xfId="20188" xr:uid="{00000000-0005-0000-0000-0000DF4E0000}"/>
    <cellStyle name="Normal 9 2 3 2" xfId="20189" xr:uid="{00000000-0005-0000-0000-0000E04E0000}"/>
    <cellStyle name="Normal 9 2 3 2 2" xfId="20190" xr:uid="{00000000-0005-0000-0000-0000E14E0000}"/>
    <cellStyle name="Normal 9 2 3 3" xfId="20191" xr:uid="{00000000-0005-0000-0000-0000E24E0000}"/>
    <cellStyle name="Normal 9 2 4" xfId="20192" xr:uid="{00000000-0005-0000-0000-0000E34E0000}"/>
    <cellStyle name="Normal 9 2 4 2" xfId="20193" xr:uid="{00000000-0005-0000-0000-0000E44E0000}"/>
    <cellStyle name="Normal 9 2 4 2 2" xfId="20194" xr:uid="{00000000-0005-0000-0000-0000E54E0000}"/>
    <cellStyle name="Normal 9 2 4 3" xfId="20195" xr:uid="{00000000-0005-0000-0000-0000E64E0000}"/>
    <cellStyle name="Normal 9 2 5" xfId="20196" xr:uid="{00000000-0005-0000-0000-0000E74E0000}"/>
    <cellStyle name="Normal 9 2 5 2" xfId="20197" xr:uid="{00000000-0005-0000-0000-0000E84E0000}"/>
    <cellStyle name="Normal 9 2 6" xfId="20198" xr:uid="{00000000-0005-0000-0000-0000E94E0000}"/>
    <cellStyle name="Normal 9 3" xfId="20199" xr:uid="{00000000-0005-0000-0000-0000EA4E0000}"/>
    <cellStyle name="Normal 9 3 2" xfId="20200" xr:uid="{00000000-0005-0000-0000-0000EB4E0000}"/>
    <cellStyle name="Normal 9 3 2 2" xfId="20201" xr:uid="{00000000-0005-0000-0000-0000EC4E0000}"/>
    <cellStyle name="Normal 9 3 2 2 2" xfId="20202" xr:uid="{00000000-0005-0000-0000-0000ED4E0000}"/>
    <cellStyle name="Normal 9 3 2 3" xfId="20203" xr:uid="{00000000-0005-0000-0000-0000EE4E0000}"/>
    <cellStyle name="Normal 9 3 3" xfId="20204" xr:uid="{00000000-0005-0000-0000-0000EF4E0000}"/>
    <cellStyle name="Normal 9 3 3 2" xfId="20205" xr:uid="{00000000-0005-0000-0000-0000F04E0000}"/>
    <cellStyle name="Normal 9 3 3 2 2" xfId="20206" xr:uid="{00000000-0005-0000-0000-0000F14E0000}"/>
    <cellStyle name="Normal 9 3 3 3" xfId="20207" xr:uid="{00000000-0005-0000-0000-0000F24E0000}"/>
    <cellStyle name="Normal 9 3 4" xfId="20208" xr:uid="{00000000-0005-0000-0000-0000F34E0000}"/>
    <cellStyle name="Normal 9 3 4 2" xfId="20209" xr:uid="{00000000-0005-0000-0000-0000F44E0000}"/>
    <cellStyle name="Normal 9 3 5" xfId="20210" xr:uid="{00000000-0005-0000-0000-0000F54E0000}"/>
    <cellStyle name="Normal 9 4" xfId="20211" xr:uid="{00000000-0005-0000-0000-0000F64E0000}"/>
    <cellStyle name="Normal 9 4 2" xfId="20212" xr:uid="{00000000-0005-0000-0000-0000F74E0000}"/>
    <cellStyle name="Normal 9 4 2 2" xfId="20213" xr:uid="{00000000-0005-0000-0000-0000F84E0000}"/>
    <cellStyle name="Normal 9 4 2 2 2" xfId="20214" xr:uid="{00000000-0005-0000-0000-0000F94E0000}"/>
    <cellStyle name="Normal 9 4 2 3" xfId="20215" xr:uid="{00000000-0005-0000-0000-0000FA4E0000}"/>
    <cellStyle name="Normal 9 4 3" xfId="20216" xr:uid="{00000000-0005-0000-0000-0000FB4E0000}"/>
    <cellStyle name="Normal 9 4 3 2" xfId="20217" xr:uid="{00000000-0005-0000-0000-0000FC4E0000}"/>
    <cellStyle name="Normal 9 4 4" xfId="20218" xr:uid="{00000000-0005-0000-0000-0000FD4E0000}"/>
    <cellStyle name="Normal 9 5" xfId="20219" xr:uid="{00000000-0005-0000-0000-0000FE4E0000}"/>
    <cellStyle name="Normal 9 5 2" xfId="20220" xr:uid="{00000000-0005-0000-0000-0000FF4E0000}"/>
    <cellStyle name="Normal 9 5 2 2" xfId="20221" xr:uid="{00000000-0005-0000-0000-0000004F0000}"/>
    <cellStyle name="Normal 9 5 3" xfId="20222" xr:uid="{00000000-0005-0000-0000-0000014F0000}"/>
    <cellStyle name="Normal 9 6" xfId="20223" xr:uid="{00000000-0005-0000-0000-0000024F0000}"/>
    <cellStyle name="Normal 9 6 2" xfId="20224" xr:uid="{00000000-0005-0000-0000-0000034F0000}"/>
    <cellStyle name="Normal 9 6 2 2" xfId="20225" xr:uid="{00000000-0005-0000-0000-0000044F0000}"/>
    <cellStyle name="Normal 9 6 3" xfId="20226" xr:uid="{00000000-0005-0000-0000-0000054F0000}"/>
    <cellStyle name="Normal 9 7" xfId="20227" xr:uid="{00000000-0005-0000-0000-0000064F0000}"/>
    <cellStyle name="Normal 9 7 2" xfId="20228" xr:uid="{00000000-0005-0000-0000-0000074F0000}"/>
    <cellStyle name="Normal 9 8" xfId="20229" xr:uid="{00000000-0005-0000-0000-0000084F0000}"/>
    <cellStyle name="Notas 10" xfId="20230" xr:uid="{00000000-0005-0000-0000-0000094F0000}"/>
    <cellStyle name="Notas 10 2" xfId="20231" xr:uid="{00000000-0005-0000-0000-00000A4F0000}"/>
    <cellStyle name="Notas 10 2 2" xfId="20232" xr:uid="{00000000-0005-0000-0000-00000B4F0000}"/>
    <cellStyle name="Notas 10 2 2 2" xfId="20233" xr:uid="{00000000-0005-0000-0000-00000C4F0000}"/>
    <cellStyle name="Notas 10 2 2 2 2" xfId="20234" xr:uid="{00000000-0005-0000-0000-00000D4F0000}"/>
    <cellStyle name="Notas 10 2 2 2 2 2" xfId="20235" xr:uid="{00000000-0005-0000-0000-00000E4F0000}"/>
    <cellStyle name="Notas 10 2 2 2 3" xfId="20236" xr:uid="{00000000-0005-0000-0000-00000F4F0000}"/>
    <cellStyle name="Notas 10 2 2 3" xfId="20237" xr:uid="{00000000-0005-0000-0000-0000104F0000}"/>
    <cellStyle name="Notas 10 2 2 3 2" xfId="20238" xr:uid="{00000000-0005-0000-0000-0000114F0000}"/>
    <cellStyle name="Notas 10 2 2 4" xfId="20239" xr:uid="{00000000-0005-0000-0000-0000124F0000}"/>
    <cellStyle name="Notas 10 2 3" xfId="20240" xr:uid="{00000000-0005-0000-0000-0000134F0000}"/>
    <cellStyle name="Notas 10 2 3 2" xfId="20241" xr:uid="{00000000-0005-0000-0000-0000144F0000}"/>
    <cellStyle name="Notas 10 2 3 2 2" xfId="20242" xr:uid="{00000000-0005-0000-0000-0000154F0000}"/>
    <cellStyle name="Notas 10 2 3 3" xfId="20243" xr:uid="{00000000-0005-0000-0000-0000164F0000}"/>
    <cellStyle name="Notas 10 2 4" xfId="20244" xr:uid="{00000000-0005-0000-0000-0000174F0000}"/>
    <cellStyle name="Notas 10 2 4 2" xfId="20245" xr:uid="{00000000-0005-0000-0000-0000184F0000}"/>
    <cellStyle name="Notas 10 2 4 2 2" xfId="20246" xr:uid="{00000000-0005-0000-0000-0000194F0000}"/>
    <cellStyle name="Notas 10 2 4 3" xfId="20247" xr:uid="{00000000-0005-0000-0000-00001A4F0000}"/>
    <cellStyle name="Notas 10 2 5" xfId="20248" xr:uid="{00000000-0005-0000-0000-00001B4F0000}"/>
    <cellStyle name="Notas 10 2 5 2" xfId="20249" xr:uid="{00000000-0005-0000-0000-00001C4F0000}"/>
    <cellStyle name="Notas 10 2 6" xfId="20250" xr:uid="{00000000-0005-0000-0000-00001D4F0000}"/>
    <cellStyle name="Notas 10 3" xfId="20251" xr:uid="{00000000-0005-0000-0000-00001E4F0000}"/>
    <cellStyle name="Notas 10 3 2" xfId="20252" xr:uid="{00000000-0005-0000-0000-00001F4F0000}"/>
    <cellStyle name="Notas 10 3 2 2" xfId="20253" xr:uid="{00000000-0005-0000-0000-0000204F0000}"/>
    <cellStyle name="Notas 10 3 2 2 2" xfId="20254" xr:uid="{00000000-0005-0000-0000-0000214F0000}"/>
    <cellStyle name="Notas 10 3 2 3" xfId="20255" xr:uid="{00000000-0005-0000-0000-0000224F0000}"/>
    <cellStyle name="Notas 10 3 3" xfId="20256" xr:uid="{00000000-0005-0000-0000-0000234F0000}"/>
    <cellStyle name="Notas 10 3 3 2" xfId="20257" xr:uid="{00000000-0005-0000-0000-0000244F0000}"/>
    <cellStyle name="Notas 10 3 3 2 2" xfId="20258" xr:uid="{00000000-0005-0000-0000-0000254F0000}"/>
    <cellStyle name="Notas 10 3 3 3" xfId="20259" xr:uid="{00000000-0005-0000-0000-0000264F0000}"/>
    <cellStyle name="Notas 10 3 4" xfId="20260" xr:uid="{00000000-0005-0000-0000-0000274F0000}"/>
    <cellStyle name="Notas 10 3 4 2" xfId="20261" xr:uid="{00000000-0005-0000-0000-0000284F0000}"/>
    <cellStyle name="Notas 10 3 5" xfId="20262" xr:uid="{00000000-0005-0000-0000-0000294F0000}"/>
    <cellStyle name="Notas 10 4" xfId="20263" xr:uid="{00000000-0005-0000-0000-00002A4F0000}"/>
    <cellStyle name="Notas 10 4 2" xfId="20264" xr:uid="{00000000-0005-0000-0000-00002B4F0000}"/>
    <cellStyle name="Notas 10 4 2 2" xfId="20265" xr:uid="{00000000-0005-0000-0000-00002C4F0000}"/>
    <cellStyle name="Notas 10 4 2 2 2" xfId="20266" xr:uid="{00000000-0005-0000-0000-00002D4F0000}"/>
    <cellStyle name="Notas 10 4 2 3" xfId="20267" xr:uid="{00000000-0005-0000-0000-00002E4F0000}"/>
    <cellStyle name="Notas 10 4 3" xfId="20268" xr:uid="{00000000-0005-0000-0000-00002F4F0000}"/>
    <cellStyle name="Notas 10 4 3 2" xfId="20269" xr:uid="{00000000-0005-0000-0000-0000304F0000}"/>
    <cellStyle name="Notas 10 4 4" xfId="20270" xr:uid="{00000000-0005-0000-0000-0000314F0000}"/>
    <cellStyle name="Notas 10 5" xfId="20271" xr:uid="{00000000-0005-0000-0000-0000324F0000}"/>
    <cellStyle name="Notas 10 5 2" xfId="20272" xr:uid="{00000000-0005-0000-0000-0000334F0000}"/>
    <cellStyle name="Notas 10 5 2 2" xfId="20273" xr:uid="{00000000-0005-0000-0000-0000344F0000}"/>
    <cellStyle name="Notas 10 5 3" xfId="20274" xr:uid="{00000000-0005-0000-0000-0000354F0000}"/>
    <cellStyle name="Notas 10 6" xfId="20275" xr:uid="{00000000-0005-0000-0000-0000364F0000}"/>
    <cellStyle name="Notas 10 6 2" xfId="20276" xr:uid="{00000000-0005-0000-0000-0000374F0000}"/>
    <cellStyle name="Notas 10 6 2 2" xfId="20277" xr:uid="{00000000-0005-0000-0000-0000384F0000}"/>
    <cellStyle name="Notas 10 6 3" xfId="20278" xr:uid="{00000000-0005-0000-0000-0000394F0000}"/>
    <cellStyle name="Notas 10 7" xfId="20279" xr:uid="{00000000-0005-0000-0000-00003A4F0000}"/>
    <cellStyle name="Notas 10 7 2" xfId="20280" xr:uid="{00000000-0005-0000-0000-00003B4F0000}"/>
    <cellStyle name="Notas 10 8" xfId="20281" xr:uid="{00000000-0005-0000-0000-00003C4F0000}"/>
    <cellStyle name="Notas 11" xfId="20282" xr:uid="{00000000-0005-0000-0000-00003D4F0000}"/>
    <cellStyle name="Notas 11 2" xfId="20283" xr:uid="{00000000-0005-0000-0000-00003E4F0000}"/>
    <cellStyle name="Notas 11 2 2" xfId="20284" xr:uid="{00000000-0005-0000-0000-00003F4F0000}"/>
    <cellStyle name="Notas 11 2 2 2" xfId="20285" xr:uid="{00000000-0005-0000-0000-0000404F0000}"/>
    <cellStyle name="Notas 11 2 2 2 2" xfId="20286" xr:uid="{00000000-0005-0000-0000-0000414F0000}"/>
    <cellStyle name="Notas 11 2 2 2 2 2" xfId="20287" xr:uid="{00000000-0005-0000-0000-0000424F0000}"/>
    <cellStyle name="Notas 11 2 2 2 3" xfId="20288" xr:uid="{00000000-0005-0000-0000-0000434F0000}"/>
    <cellStyle name="Notas 11 2 2 3" xfId="20289" xr:uid="{00000000-0005-0000-0000-0000444F0000}"/>
    <cellStyle name="Notas 11 2 2 3 2" xfId="20290" xr:uid="{00000000-0005-0000-0000-0000454F0000}"/>
    <cellStyle name="Notas 11 2 2 4" xfId="20291" xr:uid="{00000000-0005-0000-0000-0000464F0000}"/>
    <cellStyle name="Notas 11 2 3" xfId="20292" xr:uid="{00000000-0005-0000-0000-0000474F0000}"/>
    <cellStyle name="Notas 11 2 3 2" xfId="20293" xr:uid="{00000000-0005-0000-0000-0000484F0000}"/>
    <cellStyle name="Notas 11 2 3 2 2" xfId="20294" xr:uid="{00000000-0005-0000-0000-0000494F0000}"/>
    <cellStyle name="Notas 11 2 3 3" xfId="20295" xr:uid="{00000000-0005-0000-0000-00004A4F0000}"/>
    <cellStyle name="Notas 11 2 4" xfId="20296" xr:uid="{00000000-0005-0000-0000-00004B4F0000}"/>
    <cellStyle name="Notas 11 2 4 2" xfId="20297" xr:uid="{00000000-0005-0000-0000-00004C4F0000}"/>
    <cellStyle name="Notas 11 2 4 2 2" xfId="20298" xr:uid="{00000000-0005-0000-0000-00004D4F0000}"/>
    <cellStyle name="Notas 11 2 4 3" xfId="20299" xr:uid="{00000000-0005-0000-0000-00004E4F0000}"/>
    <cellStyle name="Notas 11 2 5" xfId="20300" xr:uid="{00000000-0005-0000-0000-00004F4F0000}"/>
    <cellStyle name="Notas 11 2 5 2" xfId="20301" xr:uid="{00000000-0005-0000-0000-0000504F0000}"/>
    <cellStyle name="Notas 11 2 6" xfId="20302" xr:uid="{00000000-0005-0000-0000-0000514F0000}"/>
    <cellStyle name="Notas 11 3" xfId="20303" xr:uid="{00000000-0005-0000-0000-0000524F0000}"/>
    <cellStyle name="Notas 11 3 2" xfId="20304" xr:uid="{00000000-0005-0000-0000-0000534F0000}"/>
    <cellStyle name="Notas 11 3 2 2" xfId="20305" xr:uid="{00000000-0005-0000-0000-0000544F0000}"/>
    <cellStyle name="Notas 11 3 2 2 2" xfId="20306" xr:uid="{00000000-0005-0000-0000-0000554F0000}"/>
    <cellStyle name="Notas 11 3 2 3" xfId="20307" xr:uid="{00000000-0005-0000-0000-0000564F0000}"/>
    <cellStyle name="Notas 11 3 3" xfId="20308" xr:uid="{00000000-0005-0000-0000-0000574F0000}"/>
    <cellStyle name="Notas 11 3 3 2" xfId="20309" xr:uid="{00000000-0005-0000-0000-0000584F0000}"/>
    <cellStyle name="Notas 11 3 3 2 2" xfId="20310" xr:uid="{00000000-0005-0000-0000-0000594F0000}"/>
    <cellStyle name="Notas 11 3 3 3" xfId="20311" xr:uid="{00000000-0005-0000-0000-00005A4F0000}"/>
    <cellStyle name="Notas 11 3 4" xfId="20312" xr:uid="{00000000-0005-0000-0000-00005B4F0000}"/>
    <cellStyle name="Notas 11 3 4 2" xfId="20313" xr:uid="{00000000-0005-0000-0000-00005C4F0000}"/>
    <cellStyle name="Notas 11 3 5" xfId="20314" xr:uid="{00000000-0005-0000-0000-00005D4F0000}"/>
    <cellStyle name="Notas 11 4" xfId="20315" xr:uid="{00000000-0005-0000-0000-00005E4F0000}"/>
    <cellStyle name="Notas 11 4 2" xfId="20316" xr:uid="{00000000-0005-0000-0000-00005F4F0000}"/>
    <cellStyle name="Notas 11 4 2 2" xfId="20317" xr:uid="{00000000-0005-0000-0000-0000604F0000}"/>
    <cellStyle name="Notas 11 4 2 2 2" xfId="20318" xr:uid="{00000000-0005-0000-0000-0000614F0000}"/>
    <cellStyle name="Notas 11 4 2 3" xfId="20319" xr:uid="{00000000-0005-0000-0000-0000624F0000}"/>
    <cellStyle name="Notas 11 4 3" xfId="20320" xr:uid="{00000000-0005-0000-0000-0000634F0000}"/>
    <cellStyle name="Notas 11 4 3 2" xfId="20321" xr:uid="{00000000-0005-0000-0000-0000644F0000}"/>
    <cellStyle name="Notas 11 4 4" xfId="20322" xr:uid="{00000000-0005-0000-0000-0000654F0000}"/>
    <cellStyle name="Notas 11 5" xfId="20323" xr:uid="{00000000-0005-0000-0000-0000664F0000}"/>
    <cellStyle name="Notas 11 5 2" xfId="20324" xr:uid="{00000000-0005-0000-0000-0000674F0000}"/>
    <cellStyle name="Notas 11 5 2 2" xfId="20325" xr:uid="{00000000-0005-0000-0000-0000684F0000}"/>
    <cellStyle name="Notas 11 5 3" xfId="20326" xr:uid="{00000000-0005-0000-0000-0000694F0000}"/>
    <cellStyle name="Notas 11 6" xfId="20327" xr:uid="{00000000-0005-0000-0000-00006A4F0000}"/>
    <cellStyle name="Notas 11 6 2" xfId="20328" xr:uid="{00000000-0005-0000-0000-00006B4F0000}"/>
    <cellStyle name="Notas 11 6 2 2" xfId="20329" xr:uid="{00000000-0005-0000-0000-00006C4F0000}"/>
    <cellStyle name="Notas 11 6 3" xfId="20330" xr:uid="{00000000-0005-0000-0000-00006D4F0000}"/>
    <cellStyle name="Notas 11 7" xfId="20331" xr:uid="{00000000-0005-0000-0000-00006E4F0000}"/>
    <cellStyle name="Notas 11 7 2" xfId="20332" xr:uid="{00000000-0005-0000-0000-00006F4F0000}"/>
    <cellStyle name="Notas 11 8" xfId="20333" xr:uid="{00000000-0005-0000-0000-0000704F0000}"/>
    <cellStyle name="Notas 12" xfId="20334" xr:uid="{00000000-0005-0000-0000-0000714F0000}"/>
    <cellStyle name="Notas 12 2" xfId="20335" xr:uid="{00000000-0005-0000-0000-0000724F0000}"/>
    <cellStyle name="Notas 12 2 2" xfId="20336" xr:uid="{00000000-0005-0000-0000-0000734F0000}"/>
    <cellStyle name="Notas 12 2 2 2" xfId="20337" xr:uid="{00000000-0005-0000-0000-0000744F0000}"/>
    <cellStyle name="Notas 12 2 2 2 2" xfId="20338" xr:uid="{00000000-0005-0000-0000-0000754F0000}"/>
    <cellStyle name="Notas 12 2 2 2 2 2" xfId="20339" xr:uid="{00000000-0005-0000-0000-0000764F0000}"/>
    <cellStyle name="Notas 12 2 2 2 3" xfId="20340" xr:uid="{00000000-0005-0000-0000-0000774F0000}"/>
    <cellStyle name="Notas 12 2 2 3" xfId="20341" xr:uid="{00000000-0005-0000-0000-0000784F0000}"/>
    <cellStyle name="Notas 12 2 2 3 2" xfId="20342" xr:uid="{00000000-0005-0000-0000-0000794F0000}"/>
    <cellStyle name="Notas 12 2 2 4" xfId="20343" xr:uid="{00000000-0005-0000-0000-00007A4F0000}"/>
    <cellStyle name="Notas 12 2 3" xfId="20344" xr:uid="{00000000-0005-0000-0000-00007B4F0000}"/>
    <cellStyle name="Notas 12 2 3 2" xfId="20345" xr:uid="{00000000-0005-0000-0000-00007C4F0000}"/>
    <cellStyle name="Notas 12 2 3 2 2" xfId="20346" xr:uid="{00000000-0005-0000-0000-00007D4F0000}"/>
    <cellStyle name="Notas 12 2 3 3" xfId="20347" xr:uid="{00000000-0005-0000-0000-00007E4F0000}"/>
    <cellStyle name="Notas 12 2 4" xfId="20348" xr:uid="{00000000-0005-0000-0000-00007F4F0000}"/>
    <cellStyle name="Notas 12 2 4 2" xfId="20349" xr:uid="{00000000-0005-0000-0000-0000804F0000}"/>
    <cellStyle name="Notas 12 2 4 2 2" xfId="20350" xr:uid="{00000000-0005-0000-0000-0000814F0000}"/>
    <cellStyle name="Notas 12 2 4 3" xfId="20351" xr:uid="{00000000-0005-0000-0000-0000824F0000}"/>
    <cellStyle name="Notas 12 2 5" xfId="20352" xr:uid="{00000000-0005-0000-0000-0000834F0000}"/>
    <cellStyle name="Notas 12 2 5 2" xfId="20353" xr:uid="{00000000-0005-0000-0000-0000844F0000}"/>
    <cellStyle name="Notas 12 2 6" xfId="20354" xr:uid="{00000000-0005-0000-0000-0000854F0000}"/>
    <cellStyle name="Notas 12 3" xfId="20355" xr:uid="{00000000-0005-0000-0000-0000864F0000}"/>
    <cellStyle name="Notas 12 3 2" xfId="20356" xr:uid="{00000000-0005-0000-0000-0000874F0000}"/>
    <cellStyle name="Notas 12 3 2 2" xfId="20357" xr:uid="{00000000-0005-0000-0000-0000884F0000}"/>
    <cellStyle name="Notas 12 3 2 2 2" xfId="20358" xr:uid="{00000000-0005-0000-0000-0000894F0000}"/>
    <cellStyle name="Notas 12 3 2 3" xfId="20359" xr:uid="{00000000-0005-0000-0000-00008A4F0000}"/>
    <cellStyle name="Notas 12 3 3" xfId="20360" xr:uid="{00000000-0005-0000-0000-00008B4F0000}"/>
    <cellStyle name="Notas 12 3 3 2" xfId="20361" xr:uid="{00000000-0005-0000-0000-00008C4F0000}"/>
    <cellStyle name="Notas 12 3 3 2 2" xfId="20362" xr:uid="{00000000-0005-0000-0000-00008D4F0000}"/>
    <cellStyle name="Notas 12 3 3 3" xfId="20363" xr:uid="{00000000-0005-0000-0000-00008E4F0000}"/>
    <cellStyle name="Notas 12 3 4" xfId="20364" xr:uid="{00000000-0005-0000-0000-00008F4F0000}"/>
    <cellStyle name="Notas 12 3 4 2" xfId="20365" xr:uid="{00000000-0005-0000-0000-0000904F0000}"/>
    <cellStyle name="Notas 12 3 5" xfId="20366" xr:uid="{00000000-0005-0000-0000-0000914F0000}"/>
    <cellStyle name="Notas 12 4" xfId="20367" xr:uid="{00000000-0005-0000-0000-0000924F0000}"/>
    <cellStyle name="Notas 12 4 2" xfId="20368" xr:uid="{00000000-0005-0000-0000-0000934F0000}"/>
    <cellStyle name="Notas 12 4 2 2" xfId="20369" xr:uid="{00000000-0005-0000-0000-0000944F0000}"/>
    <cellStyle name="Notas 12 4 2 2 2" xfId="20370" xr:uid="{00000000-0005-0000-0000-0000954F0000}"/>
    <cellStyle name="Notas 12 4 2 3" xfId="20371" xr:uid="{00000000-0005-0000-0000-0000964F0000}"/>
    <cellStyle name="Notas 12 4 3" xfId="20372" xr:uid="{00000000-0005-0000-0000-0000974F0000}"/>
    <cellStyle name="Notas 12 4 3 2" xfId="20373" xr:uid="{00000000-0005-0000-0000-0000984F0000}"/>
    <cellStyle name="Notas 12 4 4" xfId="20374" xr:uid="{00000000-0005-0000-0000-0000994F0000}"/>
    <cellStyle name="Notas 12 5" xfId="20375" xr:uid="{00000000-0005-0000-0000-00009A4F0000}"/>
    <cellStyle name="Notas 12 5 2" xfId="20376" xr:uid="{00000000-0005-0000-0000-00009B4F0000}"/>
    <cellStyle name="Notas 12 5 2 2" xfId="20377" xr:uid="{00000000-0005-0000-0000-00009C4F0000}"/>
    <cellStyle name="Notas 12 5 3" xfId="20378" xr:uid="{00000000-0005-0000-0000-00009D4F0000}"/>
    <cellStyle name="Notas 12 6" xfId="20379" xr:uid="{00000000-0005-0000-0000-00009E4F0000}"/>
    <cellStyle name="Notas 12 6 2" xfId="20380" xr:uid="{00000000-0005-0000-0000-00009F4F0000}"/>
    <cellStyle name="Notas 12 6 2 2" xfId="20381" xr:uid="{00000000-0005-0000-0000-0000A04F0000}"/>
    <cellStyle name="Notas 12 6 3" xfId="20382" xr:uid="{00000000-0005-0000-0000-0000A14F0000}"/>
    <cellStyle name="Notas 12 7" xfId="20383" xr:uid="{00000000-0005-0000-0000-0000A24F0000}"/>
    <cellStyle name="Notas 12 7 2" xfId="20384" xr:uid="{00000000-0005-0000-0000-0000A34F0000}"/>
    <cellStyle name="Notas 12 8" xfId="20385" xr:uid="{00000000-0005-0000-0000-0000A44F0000}"/>
    <cellStyle name="Notas 13" xfId="20386" xr:uid="{00000000-0005-0000-0000-0000A54F0000}"/>
    <cellStyle name="Notas 13 2" xfId="20387" xr:uid="{00000000-0005-0000-0000-0000A64F0000}"/>
    <cellStyle name="Notas 13 2 2" xfId="20388" xr:uid="{00000000-0005-0000-0000-0000A74F0000}"/>
    <cellStyle name="Notas 13 2 2 2" xfId="20389" xr:uid="{00000000-0005-0000-0000-0000A84F0000}"/>
    <cellStyle name="Notas 13 2 2 2 2" xfId="20390" xr:uid="{00000000-0005-0000-0000-0000A94F0000}"/>
    <cellStyle name="Notas 13 2 2 2 2 2" xfId="20391" xr:uid="{00000000-0005-0000-0000-0000AA4F0000}"/>
    <cellStyle name="Notas 13 2 2 2 3" xfId="20392" xr:uid="{00000000-0005-0000-0000-0000AB4F0000}"/>
    <cellStyle name="Notas 13 2 2 3" xfId="20393" xr:uid="{00000000-0005-0000-0000-0000AC4F0000}"/>
    <cellStyle name="Notas 13 2 2 3 2" xfId="20394" xr:uid="{00000000-0005-0000-0000-0000AD4F0000}"/>
    <cellStyle name="Notas 13 2 2 4" xfId="20395" xr:uid="{00000000-0005-0000-0000-0000AE4F0000}"/>
    <cellStyle name="Notas 13 2 3" xfId="20396" xr:uid="{00000000-0005-0000-0000-0000AF4F0000}"/>
    <cellStyle name="Notas 13 2 3 2" xfId="20397" xr:uid="{00000000-0005-0000-0000-0000B04F0000}"/>
    <cellStyle name="Notas 13 2 3 2 2" xfId="20398" xr:uid="{00000000-0005-0000-0000-0000B14F0000}"/>
    <cellStyle name="Notas 13 2 3 3" xfId="20399" xr:uid="{00000000-0005-0000-0000-0000B24F0000}"/>
    <cellStyle name="Notas 13 2 4" xfId="20400" xr:uid="{00000000-0005-0000-0000-0000B34F0000}"/>
    <cellStyle name="Notas 13 2 4 2" xfId="20401" xr:uid="{00000000-0005-0000-0000-0000B44F0000}"/>
    <cellStyle name="Notas 13 2 4 2 2" xfId="20402" xr:uid="{00000000-0005-0000-0000-0000B54F0000}"/>
    <cellStyle name="Notas 13 2 4 3" xfId="20403" xr:uid="{00000000-0005-0000-0000-0000B64F0000}"/>
    <cellStyle name="Notas 13 2 5" xfId="20404" xr:uid="{00000000-0005-0000-0000-0000B74F0000}"/>
    <cellStyle name="Notas 13 2 5 2" xfId="20405" xr:uid="{00000000-0005-0000-0000-0000B84F0000}"/>
    <cellStyle name="Notas 13 2 6" xfId="20406" xr:uid="{00000000-0005-0000-0000-0000B94F0000}"/>
    <cellStyle name="Notas 13 3" xfId="20407" xr:uid="{00000000-0005-0000-0000-0000BA4F0000}"/>
    <cellStyle name="Notas 13 3 2" xfId="20408" xr:uid="{00000000-0005-0000-0000-0000BB4F0000}"/>
    <cellStyle name="Notas 13 3 2 2" xfId="20409" xr:uid="{00000000-0005-0000-0000-0000BC4F0000}"/>
    <cellStyle name="Notas 13 3 2 2 2" xfId="20410" xr:uid="{00000000-0005-0000-0000-0000BD4F0000}"/>
    <cellStyle name="Notas 13 3 2 3" xfId="20411" xr:uid="{00000000-0005-0000-0000-0000BE4F0000}"/>
    <cellStyle name="Notas 13 3 3" xfId="20412" xr:uid="{00000000-0005-0000-0000-0000BF4F0000}"/>
    <cellStyle name="Notas 13 3 3 2" xfId="20413" xr:uid="{00000000-0005-0000-0000-0000C04F0000}"/>
    <cellStyle name="Notas 13 3 3 2 2" xfId="20414" xr:uid="{00000000-0005-0000-0000-0000C14F0000}"/>
    <cellStyle name="Notas 13 3 3 3" xfId="20415" xr:uid="{00000000-0005-0000-0000-0000C24F0000}"/>
    <cellStyle name="Notas 13 3 4" xfId="20416" xr:uid="{00000000-0005-0000-0000-0000C34F0000}"/>
    <cellStyle name="Notas 13 3 4 2" xfId="20417" xr:uid="{00000000-0005-0000-0000-0000C44F0000}"/>
    <cellStyle name="Notas 13 3 5" xfId="20418" xr:uid="{00000000-0005-0000-0000-0000C54F0000}"/>
    <cellStyle name="Notas 13 4" xfId="20419" xr:uid="{00000000-0005-0000-0000-0000C64F0000}"/>
    <cellStyle name="Notas 13 4 2" xfId="20420" xr:uid="{00000000-0005-0000-0000-0000C74F0000}"/>
    <cellStyle name="Notas 13 4 2 2" xfId="20421" xr:uid="{00000000-0005-0000-0000-0000C84F0000}"/>
    <cellStyle name="Notas 13 4 2 2 2" xfId="20422" xr:uid="{00000000-0005-0000-0000-0000C94F0000}"/>
    <cellStyle name="Notas 13 4 2 3" xfId="20423" xr:uid="{00000000-0005-0000-0000-0000CA4F0000}"/>
    <cellStyle name="Notas 13 4 3" xfId="20424" xr:uid="{00000000-0005-0000-0000-0000CB4F0000}"/>
    <cellStyle name="Notas 13 4 3 2" xfId="20425" xr:uid="{00000000-0005-0000-0000-0000CC4F0000}"/>
    <cellStyle name="Notas 13 4 4" xfId="20426" xr:uid="{00000000-0005-0000-0000-0000CD4F0000}"/>
    <cellStyle name="Notas 13 5" xfId="20427" xr:uid="{00000000-0005-0000-0000-0000CE4F0000}"/>
    <cellStyle name="Notas 13 5 2" xfId="20428" xr:uid="{00000000-0005-0000-0000-0000CF4F0000}"/>
    <cellStyle name="Notas 13 5 2 2" xfId="20429" xr:uid="{00000000-0005-0000-0000-0000D04F0000}"/>
    <cellStyle name="Notas 13 5 3" xfId="20430" xr:uid="{00000000-0005-0000-0000-0000D14F0000}"/>
    <cellStyle name="Notas 13 6" xfId="20431" xr:uid="{00000000-0005-0000-0000-0000D24F0000}"/>
    <cellStyle name="Notas 13 6 2" xfId="20432" xr:uid="{00000000-0005-0000-0000-0000D34F0000}"/>
    <cellStyle name="Notas 13 6 2 2" xfId="20433" xr:uid="{00000000-0005-0000-0000-0000D44F0000}"/>
    <cellStyle name="Notas 13 6 3" xfId="20434" xr:uid="{00000000-0005-0000-0000-0000D54F0000}"/>
    <cellStyle name="Notas 13 7" xfId="20435" xr:uid="{00000000-0005-0000-0000-0000D64F0000}"/>
    <cellStyle name="Notas 13 7 2" xfId="20436" xr:uid="{00000000-0005-0000-0000-0000D74F0000}"/>
    <cellStyle name="Notas 13 8" xfId="20437" xr:uid="{00000000-0005-0000-0000-0000D84F0000}"/>
    <cellStyle name="Notas 14" xfId="20438" xr:uid="{00000000-0005-0000-0000-0000D94F0000}"/>
    <cellStyle name="Notas 14 2" xfId="20439" xr:uid="{00000000-0005-0000-0000-0000DA4F0000}"/>
    <cellStyle name="Notas 14 2 2" xfId="20440" xr:uid="{00000000-0005-0000-0000-0000DB4F0000}"/>
    <cellStyle name="Notas 14 2 2 2" xfId="20441" xr:uid="{00000000-0005-0000-0000-0000DC4F0000}"/>
    <cellStyle name="Notas 14 2 2 2 2" xfId="20442" xr:uid="{00000000-0005-0000-0000-0000DD4F0000}"/>
    <cellStyle name="Notas 14 2 2 2 2 2" xfId="20443" xr:uid="{00000000-0005-0000-0000-0000DE4F0000}"/>
    <cellStyle name="Notas 14 2 2 2 3" xfId="20444" xr:uid="{00000000-0005-0000-0000-0000DF4F0000}"/>
    <cellStyle name="Notas 14 2 2 3" xfId="20445" xr:uid="{00000000-0005-0000-0000-0000E04F0000}"/>
    <cellStyle name="Notas 14 2 2 3 2" xfId="20446" xr:uid="{00000000-0005-0000-0000-0000E14F0000}"/>
    <cellStyle name="Notas 14 2 2 4" xfId="20447" xr:uid="{00000000-0005-0000-0000-0000E24F0000}"/>
    <cellStyle name="Notas 14 2 3" xfId="20448" xr:uid="{00000000-0005-0000-0000-0000E34F0000}"/>
    <cellStyle name="Notas 14 2 3 2" xfId="20449" xr:uid="{00000000-0005-0000-0000-0000E44F0000}"/>
    <cellStyle name="Notas 14 2 3 2 2" xfId="20450" xr:uid="{00000000-0005-0000-0000-0000E54F0000}"/>
    <cellStyle name="Notas 14 2 3 3" xfId="20451" xr:uid="{00000000-0005-0000-0000-0000E64F0000}"/>
    <cellStyle name="Notas 14 2 4" xfId="20452" xr:uid="{00000000-0005-0000-0000-0000E74F0000}"/>
    <cellStyle name="Notas 14 2 4 2" xfId="20453" xr:uid="{00000000-0005-0000-0000-0000E84F0000}"/>
    <cellStyle name="Notas 14 2 4 2 2" xfId="20454" xr:uid="{00000000-0005-0000-0000-0000E94F0000}"/>
    <cellStyle name="Notas 14 2 4 3" xfId="20455" xr:uid="{00000000-0005-0000-0000-0000EA4F0000}"/>
    <cellStyle name="Notas 14 2 5" xfId="20456" xr:uid="{00000000-0005-0000-0000-0000EB4F0000}"/>
    <cellStyle name="Notas 14 2 5 2" xfId="20457" xr:uid="{00000000-0005-0000-0000-0000EC4F0000}"/>
    <cellStyle name="Notas 14 2 6" xfId="20458" xr:uid="{00000000-0005-0000-0000-0000ED4F0000}"/>
    <cellStyle name="Notas 14 3" xfId="20459" xr:uid="{00000000-0005-0000-0000-0000EE4F0000}"/>
    <cellStyle name="Notas 14 3 2" xfId="20460" xr:uid="{00000000-0005-0000-0000-0000EF4F0000}"/>
    <cellStyle name="Notas 14 3 2 2" xfId="20461" xr:uid="{00000000-0005-0000-0000-0000F04F0000}"/>
    <cellStyle name="Notas 14 3 2 2 2" xfId="20462" xr:uid="{00000000-0005-0000-0000-0000F14F0000}"/>
    <cellStyle name="Notas 14 3 2 3" xfId="20463" xr:uid="{00000000-0005-0000-0000-0000F24F0000}"/>
    <cellStyle name="Notas 14 3 3" xfId="20464" xr:uid="{00000000-0005-0000-0000-0000F34F0000}"/>
    <cellStyle name="Notas 14 3 3 2" xfId="20465" xr:uid="{00000000-0005-0000-0000-0000F44F0000}"/>
    <cellStyle name="Notas 14 3 3 2 2" xfId="20466" xr:uid="{00000000-0005-0000-0000-0000F54F0000}"/>
    <cellStyle name="Notas 14 3 3 3" xfId="20467" xr:uid="{00000000-0005-0000-0000-0000F64F0000}"/>
    <cellStyle name="Notas 14 3 4" xfId="20468" xr:uid="{00000000-0005-0000-0000-0000F74F0000}"/>
    <cellStyle name="Notas 14 3 4 2" xfId="20469" xr:uid="{00000000-0005-0000-0000-0000F84F0000}"/>
    <cellStyle name="Notas 14 3 5" xfId="20470" xr:uid="{00000000-0005-0000-0000-0000F94F0000}"/>
    <cellStyle name="Notas 14 4" xfId="20471" xr:uid="{00000000-0005-0000-0000-0000FA4F0000}"/>
    <cellStyle name="Notas 14 4 2" xfId="20472" xr:uid="{00000000-0005-0000-0000-0000FB4F0000}"/>
    <cellStyle name="Notas 14 4 2 2" xfId="20473" xr:uid="{00000000-0005-0000-0000-0000FC4F0000}"/>
    <cellStyle name="Notas 14 4 2 2 2" xfId="20474" xr:uid="{00000000-0005-0000-0000-0000FD4F0000}"/>
    <cellStyle name="Notas 14 4 2 3" xfId="20475" xr:uid="{00000000-0005-0000-0000-0000FE4F0000}"/>
    <cellStyle name="Notas 14 4 3" xfId="20476" xr:uid="{00000000-0005-0000-0000-0000FF4F0000}"/>
    <cellStyle name="Notas 14 4 3 2" xfId="20477" xr:uid="{00000000-0005-0000-0000-000000500000}"/>
    <cellStyle name="Notas 14 4 4" xfId="20478" xr:uid="{00000000-0005-0000-0000-000001500000}"/>
    <cellStyle name="Notas 14 5" xfId="20479" xr:uid="{00000000-0005-0000-0000-000002500000}"/>
    <cellStyle name="Notas 14 5 2" xfId="20480" xr:uid="{00000000-0005-0000-0000-000003500000}"/>
    <cellStyle name="Notas 14 5 2 2" xfId="20481" xr:uid="{00000000-0005-0000-0000-000004500000}"/>
    <cellStyle name="Notas 14 5 3" xfId="20482" xr:uid="{00000000-0005-0000-0000-000005500000}"/>
    <cellStyle name="Notas 14 6" xfId="20483" xr:uid="{00000000-0005-0000-0000-000006500000}"/>
    <cellStyle name="Notas 14 6 2" xfId="20484" xr:uid="{00000000-0005-0000-0000-000007500000}"/>
    <cellStyle name="Notas 14 6 2 2" xfId="20485" xr:uid="{00000000-0005-0000-0000-000008500000}"/>
    <cellStyle name="Notas 14 6 3" xfId="20486" xr:uid="{00000000-0005-0000-0000-000009500000}"/>
    <cellStyle name="Notas 14 7" xfId="20487" xr:uid="{00000000-0005-0000-0000-00000A500000}"/>
    <cellStyle name="Notas 14 7 2" xfId="20488" xr:uid="{00000000-0005-0000-0000-00000B500000}"/>
    <cellStyle name="Notas 14 8" xfId="20489" xr:uid="{00000000-0005-0000-0000-00000C500000}"/>
    <cellStyle name="Notas 15" xfId="20490" xr:uid="{00000000-0005-0000-0000-00000D500000}"/>
    <cellStyle name="Notas 15 2" xfId="20491" xr:uid="{00000000-0005-0000-0000-00000E500000}"/>
    <cellStyle name="Notas 15 2 2" xfId="20492" xr:uid="{00000000-0005-0000-0000-00000F500000}"/>
    <cellStyle name="Notas 15 2 2 2" xfId="20493" xr:uid="{00000000-0005-0000-0000-000010500000}"/>
    <cellStyle name="Notas 15 2 2 2 2" xfId="20494" xr:uid="{00000000-0005-0000-0000-000011500000}"/>
    <cellStyle name="Notas 15 2 2 2 2 2" xfId="20495" xr:uid="{00000000-0005-0000-0000-000012500000}"/>
    <cellStyle name="Notas 15 2 2 2 3" xfId="20496" xr:uid="{00000000-0005-0000-0000-000013500000}"/>
    <cellStyle name="Notas 15 2 2 3" xfId="20497" xr:uid="{00000000-0005-0000-0000-000014500000}"/>
    <cellStyle name="Notas 15 2 2 3 2" xfId="20498" xr:uid="{00000000-0005-0000-0000-000015500000}"/>
    <cellStyle name="Notas 15 2 2 4" xfId="20499" xr:uid="{00000000-0005-0000-0000-000016500000}"/>
    <cellStyle name="Notas 15 2 3" xfId="20500" xr:uid="{00000000-0005-0000-0000-000017500000}"/>
    <cellStyle name="Notas 15 2 3 2" xfId="20501" xr:uid="{00000000-0005-0000-0000-000018500000}"/>
    <cellStyle name="Notas 15 2 3 2 2" xfId="20502" xr:uid="{00000000-0005-0000-0000-000019500000}"/>
    <cellStyle name="Notas 15 2 3 3" xfId="20503" xr:uid="{00000000-0005-0000-0000-00001A500000}"/>
    <cellStyle name="Notas 15 2 4" xfId="20504" xr:uid="{00000000-0005-0000-0000-00001B500000}"/>
    <cellStyle name="Notas 15 2 4 2" xfId="20505" xr:uid="{00000000-0005-0000-0000-00001C500000}"/>
    <cellStyle name="Notas 15 2 4 2 2" xfId="20506" xr:uid="{00000000-0005-0000-0000-00001D500000}"/>
    <cellStyle name="Notas 15 2 4 3" xfId="20507" xr:uid="{00000000-0005-0000-0000-00001E500000}"/>
    <cellStyle name="Notas 15 2 5" xfId="20508" xr:uid="{00000000-0005-0000-0000-00001F500000}"/>
    <cellStyle name="Notas 15 2 5 2" xfId="20509" xr:uid="{00000000-0005-0000-0000-000020500000}"/>
    <cellStyle name="Notas 15 2 6" xfId="20510" xr:uid="{00000000-0005-0000-0000-000021500000}"/>
    <cellStyle name="Notas 15 3" xfId="20511" xr:uid="{00000000-0005-0000-0000-000022500000}"/>
    <cellStyle name="Notas 15 3 2" xfId="20512" xr:uid="{00000000-0005-0000-0000-000023500000}"/>
    <cellStyle name="Notas 15 3 2 2" xfId="20513" xr:uid="{00000000-0005-0000-0000-000024500000}"/>
    <cellStyle name="Notas 15 3 2 2 2" xfId="20514" xr:uid="{00000000-0005-0000-0000-000025500000}"/>
    <cellStyle name="Notas 15 3 2 3" xfId="20515" xr:uid="{00000000-0005-0000-0000-000026500000}"/>
    <cellStyle name="Notas 15 3 3" xfId="20516" xr:uid="{00000000-0005-0000-0000-000027500000}"/>
    <cellStyle name="Notas 15 3 3 2" xfId="20517" xr:uid="{00000000-0005-0000-0000-000028500000}"/>
    <cellStyle name="Notas 15 3 3 2 2" xfId="20518" xr:uid="{00000000-0005-0000-0000-000029500000}"/>
    <cellStyle name="Notas 15 3 3 3" xfId="20519" xr:uid="{00000000-0005-0000-0000-00002A500000}"/>
    <cellStyle name="Notas 15 3 4" xfId="20520" xr:uid="{00000000-0005-0000-0000-00002B500000}"/>
    <cellStyle name="Notas 15 3 4 2" xfId="20521" xr:uid="{00000000-0005-0000-0000-00002C500000}"/>
    <cellStyle name="Notas 15 3 5" xfId="20522" xr:uid="{00000000-0005-0000-0000-00002D500000}"/>
    <cellStyle name="Notas 15 4" xfId="20523" xr:uid="{00000000-0005-0000-0000-00002E500000}"/>
    <cellStyle name="Notas 15 4 2" xfId="20524" xr:uid="{00000000-0005-0000-0000-00002F500000}"/>
    <cellStyle name="Notas 15 4 2 2" xfId="20525" xr:uid="{00000000-0005-0000-0000-000030500000}"/>
    <cellStyle name="Notas 15 4 2 2 2" xfId="20526" xr:uid="{00000000-0005-0000-0000-000031500000}"/>
    <cellStyle name="Notas 15 4 2 3" xfId="20527" xr:uid="{00000000-0005-0000-0000-000032500000}"/>
    <cellStyle name="Notas 15 4 3" xfId="20528" xr:uid="{00000000-0005-0000-0000-000033500000}"/>
    <cellStyle name="Notas 15 4 3 2" xfId="20529" xr:uid="{00000000-0005-0000-0000-000034500000}"/>
    <cellStyle name="Notas 15 4 4" xfId="20530" xr:uid="{00000000-0005-0000-0000-000035500000}"/>
    <cellStyle name="Notas 15 5" xfId="20531" xr:uid="{00000000-0005-0000-0000-000036500000}"/>
    <cellStyle name="Notas 15 5 2" xfId="20532" xr:uid="{00000000-0005-0000-0000-000037500000}"/>
    <cellStyle name="Notas 15 5 2 2" xfId="20533" xr:uid="{00000000-0005-0000-0000-000038500000}"/>
    <cellStyle name="Notas 15 5 3" xfId="20534" xr:uid="{00000000-0005-0000-0000-000039500000}"/>
    <cellStyle name="Notas 15 6" xfId="20535" xr:uid="{00000000-0005-0000-0000-00003A500000}"/>
    <cellStyle name="Notas 15 6 2" xfId="20536" xr:uid="{00000000-0005-0000-0000-00003B500000}"/>
    <cellStyle name="Notas 15 6 2 2" xfId="20537" xr:uid="{00000000-0005-0000-0000-00003C500000}"/>
    <cellStyle name="Notas 15 6 3" xfId="20538" xr:uid="{00000000-0005-0000-0000-00003D500000}"/>
    <cellStyle name="Notas 15 7" xfId="20539" xr:uid="{00000000-0005-0000-0000-00003E500000}"/>
    <cellStyle name="Notas 15 7 2" xfId="20540" xr:uid="{00000000-0005-0000-0000-00003F500000}"/>
    <cellStyle name="Notas 15 8" xfId="20541" xr:uid="{00000000-0005-0000-0000-000040500000}"/>
    <cellStyle name="Notas 16" xfId="20542" xr:uid="{00000000-0005-0000-0000-000041500000}"/>
    <cellStyle name="Notas 16 2" xfId="20543" xr:uid="{00000000-0005-0000-0000-000042500000}"/>
    <cellStyle name="Notas 16 2 2" xfId="20544" xr:uid="{00000000-0005-0000-0000-000043500000}"/>
    <cellStyle name="Notas 16 2 2 2" xfId="20545" xr:uid="{00000000-0005-0000-0000-000044500000}"/>
    <cellStyle name="Notas 16 2 2 2 2" xfId="20546" xr:uid="{00000000-0005-0000-0000-000045500000}"/>
    <cellStyle name="Notas 16 2 2 2 2 2" xfId="20547" xr:uid="{00000000-0005-0000-0000-000046500000}"/>
    <cellStyle name="Notas 16 2 2 2 3" xfId="20548" xr:uid="{00000000-0005-0000-0000-000047500000}"/>
    <cellStyle name="Notas 16 2 2 3" xfId="20549" xr:uid="{00000000-0005-0000-0000-000048500000}"/>
    <cellStyle name="Notas 16 2 2 3 2" xfId="20550" xr:uid="{00000000-0005-0000-0000-000049500000}"/>
    <cellStyle name="Notas 16 2 2 4" xfId="20551" xr:uid="{00000000-0005-0000-0000-00004A500000}"/>
    <cellStyle name="Notas 16 2 3" xfId="20552" xr:uid="{00000000-0005-0000-0000-00004B500000}"/>
    <cellStyle name="Notas 16 2 3 2" xfId="20553" xr:uid="{00000000-0005-0000-0000-00004C500000}"/>
    <cellStyle name="Notas 16 2 3 2 2" xfId="20554" xr:uid="{00000000-0005-0000-0000-00004D500000}"/>
    <cellStyle name="Notas 16 2 3 3" xfId="20555" xr:uid="{00000000-0005-0000-0000-00004E500000}"/>
    <cellStyle name="Notas 16 2 4" xfId="20556" xr:uid="{00000000-0005-0000-0000-00004F500000}"/>
    <cellStyle name="Notas 16 2 4 2" xfId="20557" xr:uid="{00000000-0005-0000-0000-000050500000}"/>
    <cellStyle name="Notas 16 2 4 2 2" xfId="20558" xr:uid="{00000000-0005-0000-0000-000051500000}"/>
    <cellStyle name="Notas 16 2 4 3" xfId="20559" xr:uid="{00000000-0005-0000-0000-000052500000}"/>
    <cellStyle name="Notas 16 2 5" xfId="20560" xr:uid="{00000000-0005-0000-0000-000053500000}"/>
    <cellStyle name="Notas 16 2 5 2" xfId="20561" xr:uid="{00000000-0005-0000-0000-000054500000}"/>
    <cellStyle name="Notas 16 2 6" xfId="20562" xr:uid="{00000000-0005-0000-0000-000055500000}"/>
    <cellStyle name="Notas 16 3" xfId="20563" xr:uid="{00000000-0005-0000-0000-000056500000}"/>
    <cellStyle name="Notas 16 3 2" xfId="20564" xr:uid="{00000000-0005-0000-0000-000057500000}"/>
    <cellStyle name="Notas 16 3 2 2" xfId="20565" xr:uid="{00000000-0005-0000-0000-000058500000}"/>
    <cellStyle name="Notas 16 3 2 2 2" xfId="20566" xr:uid="{00000000-0005-0000-0000-000059500000}"/>
    <cellStyle name="Notas 16 3 2 3" xfId="20567" xr:uid="{00000000-0005-0000-0000-00005A500000}"/>
    <cellStyle name="Notas 16 3 3" xfId="20568" xr:uid="{00000000-0005-0000-0000-00005B500000}"/>
    <cellStyle name="Notas 16 3 3 2" xfId="20569" xr:uid="{00000000-0005-0000-0000-00005C500000}"/>
    <cellStyle name="Notas 16 3 3 2 2" xfId="20570" xr:uid="{00000000-0005-0000-0000-00005D500000}"/>
    <cellStyle name="Notas 16 3 3 3" xfId="20571" xr:uid="{00000000-0005-0000-0000-00005E500000}"/>
    <cellStyle name="Notas 16 3 4" xfId="20572" xr:uid="{00000000-0005-0000-0000-00005F500000}"/>
    <cellStyle name="Notas 16 3 4 2" xfId="20573" xr:uid="{00000000-0005-0000-0000-000060500000}"/>
    <cellStyle name="Notas 16 3 5" xfId="20574" xr:uid="{00000000-0005-0000-0000-000061500000}"/>
    <cellStyle name="Notas 16 4" xfId="20575" xr:uid="{00000000-0005-0000-0000-000062500000}"/>
    <cellStyle name="Notas 16 4 2" xfId="20576" xr:uid="{00000000-0005-0000-0000-000063500000}"/>
    <cellStyle name="Notas 16 4 2 2" xfId="20577" xr:uid="{00000000-0005-0000-0000-000064500000}"/>
    <cellStyle name="Notas 16 4 2 2 2" xfId="20578" xr:uid="{00000000-0005-0000-0000-000065500000}"/>
    <cellStyle name="Notas 16 4 2 3" xfId="20579" xr:uid="{00000000-0005-0000-0000-000066500000}"/>
    <cellStyle name="Notas 16 4 3" xfId="20580" xr:uid="{00000000-0005-0000-0000-000067500000}"/>
    <cellStyle name="Notas 16 4 3 2" xfId="20581" xr:uid="{00000000-0005-0000-0000-000068500000}"/>
    <cellStyle name="Notas 16 4 4" xfId="20582" xr:uid="{00000000-0005-0000-0000-000069500000}"/>
    <cellStyle name="Notas 16 5" xfId="20583" xr:uid="{00000000-0005-0000-0000-00006A500000}"/>
    <cellStyle name="Notas 16 5 2" xfId="20584" xr:uid="{00000000-0005-0000-0000-00006B500000}"/>
    <cellStyle name="Notas 16 5 2 2" xfId="20585" xr:uid="{00000000-0005-0000-0000-00006C500000}"/>
    <cellStyle name="Notas 16 5 3" xfId="20586" xr:uid="{00000000-0005-0000-0000-00006D500000}"/>
    <cellStyle name="Notas 16 6" xfId="20587" xr:uid="{00000000-0005-0000-0000-00006E500000}"/>
    <cellStyle name="Notas 16 6 2" xfId="20588" xr:uid="{00000000-0005-0000-0000-00006F500000}"/>
    <cellStyle name="Notas 16 6 2 2" xfId="20589" xr:uid="{00000000-0005-0000-0000-000070500000}"/>
    <cellStyle name="Notas 16 6 3" xfId="20590" xr:uid="{00000000-0005-0000-0000-000071500000}"/>
    <cellStyle name="Notas 16 7" xfId="20591" xr:uid="{00000000-0005-0000-0000-000072500000}"/>
    <cellStyle name="Notas 16 7 2" xfId="20592" xr:uid="{00000000-0005-0000-0000-000073500000}"/>
    <cellStyle name="Notas 16 8" xfId="20593" xr:uid="{00000000-0005-0000-0000-000074500000}"/>
    <cellStyle name="Notas 17" xfId="20594" xr:uid="{00000000-0005-0000-0000-000075500000}"/>
    <cellStyle name="Notas 17 2" xfId="20595" xr:uid="{00000000-0005-0000-0000-000076500000}"/>
    <cellStyle name="Notas 17 2 2" xfId="20596" xr:uid="{00000000-0005-0000-0000-000077500000}"/>
    <cellStyle name="Notas 17 2 2 2" xfId="20597" xr:uid="{00000000-0005-0000-0000-000078500000}"/>
    <cellStyle name="Notas 17 2 2 2 2" xfId="20598" xr:uid="{00000000-0005-0000-0000-000079500000}"/>
    <cellStyle name="Notas 17 2 2 2 2 2" xfId="20599" xr:uid="{00000000-0005-0000-0000-00007A500000}"/>
    <cellStyle name="Notas 17 2 2 2 3" xfId="20600" xr:uid="{00000000-0005-0000-0000-00007B500000}"/>
    <cellStyle name="Notas 17 2 2 3" xfId="20601" xr:uid="{00000000-0005-0000-0000-00007C500000}"/>
    <cellStyle name="Notas 17 2 2 3 2" xfId="20602" xr:uid="{00000000-0005-0000-0000-00007D500000}"/>
    <cellStyle name="Notas 17 2 2 4" xfId="20603" xr:uid="{00000000-0005-0000-0000-00007E500000}"/>
    <cellStyle name="Notas 17 2 3" xfId="20604" xr:uid="{00000000-0005-0000-0000-00007F500000}"/>
    <cellStyle name="Notas 17 2 3 2" xfId="20605" xr:uid="{00000000-0005-0000-0000-000080500000}"/>
    <cellStyle name="Notas 17 2 3 2 2" xfId="20606" xr:uid="{00000000-0005-0000-0000-000081500000}"/>
    <cellStyle name="Notas 17 2 3 3" xfId="20607" xr:uid="{00000000-0005-0000-0000-000082500000}"/>
    <cellStyle name="Notas 17 2 4" xfId="20608" xr:uid="{00000000-0005-0000-0000-000083500000}"/>
    <cellStyle name="Notas 17 2 4 2" xfId="20609" xr:uid="{00000000-0005-0000-0000-000084500000}"/>
    <cellStyle name="Notas 17 2 4 2 2" xfId="20610" xr:uid="{00000000-0005-0000-0000-000085500000}"/>
    <cellStyle name="Notas 17 2 4 3" xfId="20611" xr:uid="{00000000-0005-0000-0000-000086500000}"/>
    <cellStyle name="Notas 17 2 5" xfId="20612" xr:uid="{00000000-0005-0000-0000-000087500000}"/>
    <cellStyle name="Notas 17 2 5 2" xfId="20613" xr:uid="{00000000-0005-0000-0000-000088500000}"/>
    <cellStyle name="Notas 17 2 6" xfId="20614" xr:uid="{00000000-0005-0000-0000-000089500000}"/>
    <cellStyle name="Notas 17 3" xfId="20615" xr:uid="{00000000-0005-0000-0000-00008A500000}"/>
    <cellStyle name="Notas 17 3 2" xfId="20616" xr:uid="{00000000-0005-0000-0000-00008B500000}"/>
    <cellStyle name="Notas 17 3 2 2" xfId="20617" xr:uid="{00000000-0005-0000-0000-00008C500000}"/>
    <cellStyle name="Notas 17 3 2 2 2" xfId="20618" xr:uid="{00000000-0005-0000-0000-00008D500000}"/>
    <cellStyle name="Notas 17 3 2 3" xfId="20619" xr:uid="{00000000-0005-0000-0000-00008E500000}"/>
    <cellStyle name="Notas 17 3 3" xfId="20620" xr:uid="{00000000-0005-0000-0000-00008F500000}"/>
    <cellStyle name="Notas 17 3 3 2" xfId="20621" xr:uid="{00000000-0005-0000-0000-000090500000}"/>
    <cellStyle name="Notas 17 3 3 2 2" xfId="20622" xr:uid="{00000000-0005-0000-0000-000091500000}"/>
    <cellStyle name="Notas 17 3 3 3" xfId="20623" xr:uid="{00000000-0005-0000-0000-000092500000}"/>
    <cellStyle name="Notas 17 3 4" xfId="20624" xr:uid="{00000000-0005-0000-0000-000093500000}"/>
    <cellStyle name="Notas 17 3 4 2" xfId="20625" xr:uid="{00000000-0005-0000-0000-000094500000}"/>
    <cellStyle name="Notas 17 3 5" xfId="20626" xr:uid="{00000000-0005-0000-0000-000095500000}"/>
    <cellStyle name="Notas 17 4" xfId="20627" xr:uid="{00000000-0005-0000-0000-000096500000}"/>
    <cellStyle name="Notas 17 4 2" xfId="20628" xr:uid="{00000000-0005-0000-0000-000097500000}"/>
    <cellStyle name="Notas 17 4 2 2" xfId="20629" xr:uid="{00000000-0005-0000-0000-000098500000}"/>
    <cellStyle name="Notas 17 4 2 2 2" xfId="20630" xr:uid="{00000000-0005-0000-0000-000099500000}"/>
    <cellStyle name="Notas 17 4 2 3" xfId="20631" xr:uid="{00000000-0005-0000-0000-00009A500000}"/>
    <cellStyle name="Notas 17 4 3" xfId="20632" xr:uid="{00000000-0005-0000-0000-00009B500000}"/>
    <cellStyle name="Notas 17 4 3 2" xfId="20633" xr:uid="{00000000-0005-0000-0000-00009C500000}"/>
    <cellStyle name="Notas 17 4 4" xfId="20634" xr:uid="{00000000-0005-0000-0000-00009D500000}"/>
    <cellStyle name="Notas 17 5" xfId="20635" xr:uid="{00000000-0005-0000-0000-00009E500000}"/>
    <cellStyle name="Notas 17 5 2" xfId="20636" xr:uid="{00000000-0005-0000-0000-00009F500000}"/>
    <cellStyle name="Notas 17 5 2 2" xfId="20637" xr:uid="{00000000-0005-0000-0000-0000A0500000}"/>
    <cellStyle name="Notas 17 5 3" xfId="20638" xr:uid="{00000000-0005-0000-0000-0000A1500000}"/>
    <cellStyle name="Notas 17 6" xfId="20639" xr:uid="{00000000-0005-0000-0000-0000A2500000}"/>
    <cellStyle name="Notas 17 6 2" xfId="20640" xr:uid="{00000000-0005-0000-0000-0000A3500000}"/>
    <cellStyle name="Notas 17 6 2 2" xfId="20641" xr:uid="{00000000-0005-0000-0000-0000A4500000}"/>
    <cellStyle name="Notas 17 6 3" xfId="20642" xr:uid="{00000000-0005-0000-0000-0000A5500000}"/>
    <cellStyle name="Notas 17 7" xfId="20643" xr:uid="{00000000-0005-0000-0000-0000A6500000}"/>
    <cellStyle name="Notas 17 7 2" xfId="20644" xr:uid="{00000000-0005-0000-0000-0000A7500000}"/>
    <cellStyle name="Notas 17 8" xfId="20645" xr:uid="{00000000-0005-0000-0000-0000A8500000}"/>
    <cellStyle name="Notas 18" xfId="20646" xr:uid="{00000000-0005-0000-0000-0000A9500000}"/>
    <cellStyle name="Notas 18 2" xfId="20647" xr:uid="{00000000-0005-0000-0000-0000AA500000}"/>
    <cellStyle name="Notas 18 2 2" xfId="20648" xr:uid="{00000000-0005-0000-0000-0000AB500000}"/>
    <cellStyle name="Notas 18 2 2 2" xfId="20649" xr:uid="{00000000-0005-0000-0000-0000AC500000}"/>
    <cellStyle name="Notas 18 2 2 2 2" xfId="20650" xr:uid="{00000000-0005-0000-0000-0000AD500000}"/>
    <cellStyle name="Notas 18 2 2 3" xfId="20651" xr:uid="{00000000-0005-0000-0000-0000AE500000}"/>
    <cellStyle name="Notas 18 2 3" xfId="20652" xr:uid="{00000000-0005-0000-0000-0000AF500000}"/>
    <cellStyle name="Notas 18 2 3 2" xfId="20653" xr:uid="{00000000-0005-0000-0000-0000B0500000}"/>
    <cellStyle name="Notas 18 2 3 2 2" xfId="20654" xr:uid="{00000000-0005-0000-0000-0000B1500000}"/>
    <cellStyle name="Notas 18 2 3 3" xfId="20655" xr:uid="{00000000-0005-0000-0000-0000B2500000}"/>
    <cellStyle name="Notas 18 2 4" xfId="20656" xr:uid="{00000000-0005-0000-0000-0000B3500000}"/>
    <cellStyle name="Notas 18 2 4 2" xfId="20657" xr:uid="{00000000-0005-0000-0000-0000B4500000}"/>
    <cellStyle name="Notas 18 2 5" xfId="20658" xr:uid="{00000000-0005-0000-0000-0000B5500000}"/>
    <cellStyle name="Notas 18 3" xfId="20659" xr:uid="{00000000-0005-0000-0000-0000B6500000}"/>
    <cellStyle name="Notas 18 3 2" xfId="20660" xr:uid="{00000000-0005-0000-0000-0000B7500000}"/>
    <cellStyle name="Notas 18 3 2 2" xfId="20661" xr:uid="{00000000-0005-0000-0000-0000B8500000}"/>
    <cellStyle name="Notas 18 3 2 2 2" xfId="20662" xr:uid="{00000000-0005-0000-0000-0000B9500000}"/>
    <cellStyle name="Notas 18 3 2 3" xfId="20663" xr:uid="{00000000-0005-0000-0000-0000BA500000}"/>
    <cellStyle name="Notas 18 3 3" xfId="20664" xr:uid="{00000000-0005-0000-0000-0000BB500000}"/>
    <cellStyle name="Notas 18 3 3 2" xfId="20665" xr:uid="{00000000-0005-0000-0000-0000BC500000}"/>
    <cellStyle name="Notas 18 3 4" xfId="20666" xr:uid="{00000000-0005-0000-0000-0000BD500000}"/>
    <cellStyle name="Notas 18 4" xfId="20667" xr:uid="{00000000-0005-0000-0000-0000BE500000}"/>
    <cellStyle name="Notas 18 4 2" xfId="20668" xr:uid="{00000000-0005-0000-0000-0000BF500000}"/>
    <cellStyle name="Notas 18 4 2 2" xfId="20669" xr:uid="{00000000-0005-0000-0000-0000C0500000}"/>
    <cellStyle name="Notas 18 4 3" xfId="20670" xr:uid="{00000000-0005-0000-0000-0000C1500000}"/>
    <cellStyle name="Notas 18 5" xfId="20671" xr:uid="{00000000-0005-0000-0000-0000C2500000}"/>
    <cellStyle name="Notas 18 5 2" xfId="20672" xr:uid="{00000000-0005-0000-0000-0000C3500000}"/>
    <cellStyle name="Notas 18 5 2 2" xfId="20673" xr:uid="{00000000-0005-0000-0000-0000C4500000}"/>
    <cellStyle name="Notas 18 5 3" xfId="20674" xr:uid="{00000000-0005-0000-0000-0000C5500000}"/>
    <cellStyle name="Notas 18 6" xfId="20675" xr:uid="{00000000-0005-0000-0000-0000C6500000}"/>
    <cellStyle name="Notas 18 6 2" xfId="20676" xr:uid="{00000000-0005-0000-0000-0000C7500000}"/>
    <cellStyle name="Notas 18 7" xfId="20677" xr:uid="{00000000-0005-0000-0000-0000C8500000}"/>
    <cellStyle name="Notas 19" xfId="20678" xr:uid="{00000000-0005-0000-0000-0000C9500000}"/>
    <cellStyle name="Notas 19 2" xfId="20679" xr:uid="{00000000-0005-0000-0000-0000CA500000}"/>
    <cellStyle name="Notas 19 2 2" xfId="20680" xr:uid="{00000000-0005-0000-0000-0000CB500000}"/>
    <cellStyle name="Notas 19 2 2 2" xfId="20681" xr:uid="{00000000-0005-0000-0000-0000CC500000}"/>
    <cellStyle name="Notas 19 2 2 2 2" xfId="20682" xr:uid="{00000000-0005-0000-0000-0000CD500000}"/>
    <cellStyle name="Notas 19 2 2 3" xfId="20683" xr:uid="{00000000-0005-0000-0000-0000CE500000}"/>
    <cellStyle name="Notas 19 2 3" xfId="20684" xr:uid="{00000000-0005-0000-0000-0000CF500000}"/>
    <cellStyle name="Notas 19 2 3 2" xfId="20685" xr:uid="{00000000-0005-0000-0000-0000D0500000}"/>
    <cellStyle name="Notas 19 2 3 2 2" xfId="20686" xr:uid="{00000000-0005-0000-0000-0000D1500000}"/>
    <cellStyle name="Notas 19 2 3 3" xfId="20687" xr:uid="{00000000-0005-0000-0000-0000D2500000}"/>
    <cellStyle name="Notas 19 2 4" xfId="20688" xr:uid="{00000000-0005-0000-0000-0000D3500000}"/>
    <cellStyle name="Notas 19 2 4 2" xfId="20689" xr:uid="{00000000-0005-0000-0000-0000D4500000}"/>
    <cellStyle name="Notas 19 2 5" xfId="20690" xr:uid="{00000000-0005-0000-0000-0000D5500000}"/>
    <cellStyle name="Notas 19 3" xfId="20691" xr:uid="{00000000-0005-0000-0000-0000D6500000}"/>
    <cellStyle name="Notas 19 3 2" xfId="20692" xr:uid="{00000000-0005-0000-0000-0000D7500000}"/>
    <cellStyle name="Notas 19 3 2 2" xfId="20693" xr:uid="{00000000-0005-0000-0000-0000D8500000}"/>
    <cellStyle name="Notas 19 3 2 2 2" xfId="20694" xr:uid="{00000000-0005-0000-0000-0000D9500000}"/>
    <cellStyle name="Notas 19 3 2 3" xfId="20695" xr:uid="{00000000-0005-0000-0000-0000DA500000}"/>
    <cellStyle name="Notas 19 3 3" xfId="20696" xr:uid="{00000000-0005-0000-0000-0000DB500000}"/>
    <cellStyle name="Notas 19 3 3 2" xfId="20697" xr:uid="{00000000-0005-0000-0000-0000DC500000}"/>
    <cellStyle name="Notas 19 3 4" xfId="20698" xr:uid="{00000000-0005-0000-0000-0000DD500000}"/>
    <cellStyle name="Notas 19 4" xfId="20699" xr:uid="{00000000-0005-0000-0000-0000DE500000}"/>
    <cellStyle name="Notas 19 4 2" xfId="20700" xr:uid="{00000000-0005-0000-0000-0000DF500000}"/>
    <cellStyle name="Notas 19 4 2 2" xfId="20701" xr:uid="{00000000-0005-0000-0000-0000E0500000}"/>
    <cellStyle name="Notas 19 4 3" xfId="20702" xr:uid="{00000000-0005-0000-0000-0000E1500000}"/>
    <cellStyle name="Notas 19 5" xfId="20703" xr:uid="{00000000-0005-0000-0000-0000E2500000}"/>
    <cellStyle name="Notas 19 5 2" xfId="20704" xr:uid="{00000000-0005-0000-0000-0000E3500000}"/>
    <cellStyle name="Notas 19 5 2 2" xfId="20705" xr:uid="{00000000-0005-0000-0000-0000E4500000}"/>
    <cellStyle name="Notas 19 5 3" xfId="20706" xr:uid="{00000000-0005-0000-0000-0000E5500000}"/>
    <cellStyle name="Notas 19 6" xfId="20707" xr:uid="{00000000-0005-0000-0000-0000E6500000}"/>
    <cellStyle name="Notas 19 6 2" xfId="20708" xr:uid="{00000000-0005-0000-0000-0000E7500000}"/>
    <cellStyle name="Notas 19 7" xfId="20709" xr:uid="{00000000-0005-0000-0000-0000E8500000}"/>
    <cellStyle name="Notas 2" xfId="20710" xr:uid="{00000000-0005-0000-0000-0000E9500000}"/>
    <cellStyle name="Notas 2 2" xfId="20711" xr:uid="{00000000-0005-0000-0000-0000EA500000}"/>
    <cellStyle name="Notas 2 3" xfId="20712" xr:uid="{00000000-0005-0000-0000-0000EB500000}"/>
    <cellStyle name="Notas 2 3 2" xfId="20713" xr:uid="{00000000-0005-0000-0000-0000EC500000}"/>
    <cellStyle name="Notas 2 3 2 2" xfId="20714" xr:uid="{00000000-0005-0000-0000-0000ED500000}"/>
    <cellStyle name="Notas 2 3 2 2 2" xfId="20715" xr:uid="{00000000-0005-0000-0000-0000EE500000}"/>
    <cellStyle name="Notas 2 3 2 2 2 2" xfId="20716" xr:uid="{00000000-0005-0000-0000-0000EF500000}"/>
    <cellStyle name="Notas 2 3 2 2 3" xfId="20717" xr:uid="{00000000-0005-0000-0000-0000F0500000}"/>
    <cellStyle name="Notas 2 3 2 3" xfId="20718" xr:uid="{00000000-0005-0000-0000-0000F1500000}"/>
    <cellStyle name="Notas 2 3 2 3 2" xfId="20719" xr:uid="{00000000-0005-0000-0000-0000F2500000}"/>
    <cellStyle name="Notas 2 3 2 4" xfId="20720" xr:uid="{00000000-0005-0000-0000-0000F3500000}"/>
    <cellStyle name="Notas 2 3 3" xfId="20721" xr:uid="{00000000-0005-0000-0000-0000F4500000}"/>
    <cellStyle name="Notas 2 3 3 2" xfId="20722" xr:uid="{00000000-0005-0000-0000-0000F5500000}"/>
    <cellStyle name="Notas 2 3 3 2 2" xfId="20723" xr:uid="{00000000-0005-0000-0000-0000F6500000}"/>
    <cellStyle name="Notas 2 3 3 3" xfId="20724" xr:uid="{00000000-0005-0000-0000-0000F7500000}"/>
    <cellStyle name="Notas 2 3 4" xfId="20725" xr:uid="{00000000-0005-0000-0000-0000F8500000}"/>
    <cellStyle name="Notas 2 3 4 2" xfId="20726" xr:uid="{00000000-0005-0000-0000-0000F9500000}"/>
    <cellStyle name="Notas 2 3 5" xfId="20727" xr:uid="{00000000-0005-0000-0000-0000FA500000}"/>
    <cellStyle name="Notas 20" xfId="20728" xr:uid="{00000000-0005-0000-0000-0000FB500000}"/>
    <cellStyle name="Notas 20 2" xfId="20729" xr:uid="{00000000-0005-0000-0000-0000FC500000}"/>
    <cellStyle name="Notas 20 2 2" xfId="20730" xr:uid="{00000000-0005-0000-0000-0000FD500000}"/>
    <cellStyle name="Notas 20 2 2 2" xfId="20731" xr:uid="{00000000-0005-0000-0000-0000FE500000}"/>
    <cellStyle name="Notas 20 2 2 2 2" xfId="20732" xr:uid="{00000000-0005-0000-0000-0000FF500000}"/>
    <cellStyle name="Notas 20 2 2 3" xfId="20733" xr:uid="{00000000-0005-0000-0000-000000510000}"/>
    <cellStyle name="Notas 20 2 3" xfId="20734" xr:uid="{00000000-0005-0000-0000-000001510000}"/>
    <cellStyle name="Notas 20 2 3 2" xfId="20735" xr:uid="{00000000-0005-0000-0000-000002510000}"/>
    <cellStyle name="Notas 20 2 3 2 2" xfId="20736" xr:uid="{00000000-0005-0000-0000-000003510000}"/>
    <cellStyle name="Notas 20 2 3 3" xfId="20737" xr:uid="{00000000-0005-0000-0000-000004510000}"/>
    <cellStyle name="Notas 20 2 4" xfId="20738" xr:uid="{00000000-0005-0000-0000-000005510000}"/>
    <cellStyle name="Notas 20 2 4 2" xfId="20739" xr:uid="{00000000-0005-0000-0000-000006510000}"/>
    <cellStyle name="Notas 20 2 5" xfId="20740" xr:uid="{00000000-0005-0000-0000-000007510000}"/>
    <cellStyle name="Notas 20 3" xfId="20741" xr:uid="{00000000-0005-0000-0000-000008510000}"/>
    <cellStyle name="Notas 20 3 2" xfId="20742" xr:uid="{00000000-0005-0000-0000-000009510000}"/>
    <cellStyle name="Notas 20 3 2 2" xfId="20743" xr:uid="{00000000-0005-0000-0000-00000A510000}"/>
    <cellStyle name="Notas 20 3 2 2 2" xfId="20744" xr:uid="{00000000-0005-0000-0000-00000B510000}"/>
    <cellStyle name="Notas 20 3 2 3" xfId="20745" xr:uid="{00000000-0005-0000-0000-00000C510000}"/>
    <cellStyle name="Notas 20 3 3" xfId="20746" xr:uid="{00000000-0005-0000-0000-00000D510000}"/>
    <cellStyle name="Notas 20 3 3 2" xfId="20747" xr:uid="{00000000-0005-0000-0000-00000E510000}"/>
    <cellStyle name="Notas 20 3 4" xfId="20748" xr:uid="{00000000-0005-0000-0000-00000F510000}"/>
    <cellStyle name="Notas 20 4" xfId="20749" xr:uid="{00000000-0005-0000-0000-000010510000}"/>
    <cellStyle name="Notas 20 4 2" xfId="20750" xr:uid="{00000000-0005-0000-0000-000011510000}"/>
    <cellStyle name="Notas 20 4 2 2" xfId="20751" xr:uid="{00000000-0005-0000-0000-000012510000}"/>
    <cellStyle name="Notas 20 4 3" xfId="20752" xr:uid="{00000000-0005-0000-0000-000013510000}"/>
    <cellStyle name="Notas 20 5" xfId="20753" xr:uid="{00000000-0005-0000-0000-000014510000}"/>
    <cellStyle name="Notas 20 5 2" xfId="20754" xr:uid="{00000000-0005-0000-0000-000015510000}"/>
    <cellStyle name="Notas 20 5 2 2" xfId="20755" xr:uid="{00000000-0005-0000-0000-000016510000}"/>
    <cellStyle name="Notas 20 5 3" xfId="20756" xr:uid="{00000000-0005-0000-0000-000017510000}"/>
    <cellStyle name="Notas 20 6" xfId="20757" xr:uid="{00000000-0005-0000-0000-000018510000}"/>
    <cellStyle name="Notas 20 6 2" xfId="20758" xr:uid="{00000000-0005-0000-0000-000019510000}"/>
    <cellStyle name="Notas 20 7" xfId="20759" xr:uid="{00000000-0005-0000-0000-00001A510000}"/>
    <cellStyle name="Notas 21" xfId="20760" xr:uid="{00000000-0005-0000-0000-00001B510000}"/>
    <cellStyle name="Notas 21 2" xfId="20761" xr:uid="{00000000-0005-0000-0000-00001C510000}"/>
    <cellStyle name="Notas 21 2 2" xfId="20762" xr:uid="{00000000-0005-0000-0000-00001D510000}"/>
    <cellStyle name="Notas 21 2 2 2" xfId="20763" xr:uid="{00000000-0005-0000-0000-00001E510000}"/>
    <cellStyle name="Notas 21 2 2 2 2" xfId="20764" xr:uid="{00000000-0005-0000-0000-00001F510000}"/>
    <cellStyle name="Notas 21 2 2 3" xfId="20765" xr:uid="{00000000-0005-0000-0000-000020510000}"/>
    <cellStyle name="Notas 21 2 3" xfId="20766" xr:uid="{00000000-0005-0000-0000-000021510000}"/>
    <cellStyle name="Notas 21 2 3 2" xfId="20767" xr:uid="{00000000-0005-0000-0000-000022510000}"/>
    <cellStyle name="Notas 21 2 3 2 2" xfId="20768" xr:uid="{00000000-0005-0000-0000-000023510000}"/>
    <cellStyle name="Notas 21 2 3 3" xfId="20769" xr:uid="{00000000-0005-0000-0000-000024510000}"/>
    <cellStyle name="Notas 21 2 4" xfId="20770" xr:uid="{00000000-0005-0000-0000-000025510000}"/>
    <cellStyle name="Notas 21 2 4 2" xfId="20771" xr:uid="{00000000-0005-0000-0000-000026510000}"/>
    <cellStyle name="Notas 21 2 5" xfId="20772" xr:uid="{00000000-0005-0000-0000-000027510000}"/>
    <cellStyle name="Notas 21 3" xfId="20773" xr:uid="{00000000-0005-0000-0000-000028510000}"/>
    <cellStyle name="Notas 21 3 2" xfId="20774" xr:uid="{00000000-0005-0000-0000-000029510000}"/>
    <cellStyle name="Notas 21 3 2 2" xfId="20775" xr:uid="{00000000-0005-0000-0000-00002A510000}"/>
    <cellStyle name="Notas 21 3 2 2 2" xfId="20776" xr:uid="{00000000-0005-0000-0000-00002B510000}"/>
    <cellStyle name="Notas 21 3 2 3" xfId="20777" xr:uid="{00000000-0005-0000-0000-00002C510000}"/>
    <cellStyle name="Notas 21 3 3" xfId="20778" xr:uid="{00000000-0005-0000-0000-00002D510000}"/>
    <cellStyle name="Notas 21 3 3 2" xfId="20779" xr:uid="{00000000-0005-0000-0000-00002E510000}"/>
    <cellStyle name="Notas 21 3 4" xfId="20780" xr:uid="{00000000-0005-0000-0000-00002F510000}"/>
    <cellStyle name="Notas 21 4" xfId="20781" xr:uid="{00000000-0005-0000-0000-000030510000}"/>
    <cellStyle name="Notas 21 4 2" xfId="20782" xr:uid="{00000000-0005-0000-0000-000031510000}"/>
    <cellStyle name="Notas 21 4 2 2" xfId="20783" xr:uid="{00000000-0005-0000-0000-000032510000}"/>
    <cellStyle name="Notas 21 4 3" xfId="20784" xr:uid="{00000000-0005-0000-0000-000033510000}"/>
    <cellStyle name="Notas 21 5" xfId="20785" xr:uid="{00000000-0005-0000-0000-000034510000}"/>
    <cellStyle name="Notas 21 5 2" xfId="20786" xr:uid="{00000000-0005-0000-0000-000035510000}"/>
    <cellStyle name="Notas 21 5 2 2" xfId="20787" xr:uid="{00000000-0005-0000-0000-000036510000}"/>
    <cellStyle name="Notas 21 5 3" xfId="20788" xr:uid="{00000000-0005-0000-0000-000037510000}"/>
    <cellStyle name="Notas 21 6" xfId="20789" xr:uid="{00000000-0005-0000-0000-000038510000}"/>
    <cellStyle name="Notas 21 6 2" xfId="20790" xr:uid="{00000000-0005-0000-0000-000039510000}"/>
    <cellStyle name="Notas 21 7" xfId="20791" xr:uid="{00000000-0005-0000-0000-00003A510000}"/>
    <cellStyle name="Notas 22" xfId="20792" xr:uid="{00000000-0005-0000-0000-00003B510000}"/>
    <cellStyle name="Notas 22 2" xfId="20793" xr:uid="{00000000-0005-0000-0000-00003C510000}"/>
    <cellStyle name="Notas 22 2 2" xfId="20794" xr:uid="{00000000-0005-0000-0000-00003D510000}"/>
    <cellStyle name="Notas 22 2 2 2" xfId="20795" xr:uid="{00000000-0005-0000-0000-00003E510000}"/>
    <cellStyle name="Notas 22 2 2 2 2" xfId="20796" xr:uid="{00000000-0005-0000-0000-00003F510000}"/>
    <cellStyle name="Notas 22 2 2 3" xfId="20797" xr:uid="{00000000-0005-0000-0000-000040510000}"/>
    <cellStyle name="Notas 22 2 3" xfId="20798" xr:uid="{00000000-0005-0000-0000-000041510000}"/>
    <cellStyle name="Notas 22 2 3 2" xfId="20799" xr:uid="{00000000-0005-0000-0000-000042510000}"/>
    <cellStyle name="Notas 22 2 3 2 2" xfId="20800" xr:uid="{00000000-0005-0000-0000-000043510000}"/>
    <cellStyle name="Notas 22 2 3 3" xfId="20801" xr:uid="{00000000-0005-0000-0000-000044510000}"/>
    <cellStyle name="Notas 22 2 4" xfId="20802" xr:uid="{00000000-0005-0000-0000-000045510000}"/>
    <cellStyle name="Notas 22 2 4 2" xfId="20803" xr:uid="{00000000-0005-0000-0000-000046510000}"/>
    <cellStyle name="Notas 22 2 5" xfId="20804" xr:uid="{00000000-0005-0000-0000-000047510000}"/>
    <cellStyle name="Notas 22 3" xfId="20805" xr:uid="{00000000-0005-0000-0000-000048510000}"/>
    <cellStyle name="Notas 22 3 2" xfId="20806" xr:uid="{00000000-0005-0000-0000-000049510000}"/>
    <cellStyle name="Notas 22 3 2 2" xfId="20807" xr:uid="{00000000-0005-0000-0000-00004A510000}"/>
    <cellStyle name="Notas 22 3 2 2 2" xfId="20808" xr:uid="{00000000-0005-0000-0000-00004B510000}"/>
    <cellStyle name="Notas 22 3 2 3" xfId="20809" xr:uid="{00000000-0005-0000-0000-00004C510000}"/>
    <cellStyle name="Notas 22 3 3" xfId="20810" xr:uid="{00000000-0005-0000-0000-00004D510000}"/>
    <cellStyle name="Notas 22 3 3 2" xfId="20811" xr:uid="{00000000-0005-0000-0000-00004E510000}"/>
    <cellStyle name="Notas 22 3 4" xfId="20812" xr:uid="{00000000-0005-0000-0000-00004F510000}"/>
    <cellStyle name="Notas 22 4" xfId="20813" xr:uid="{00000000-0005-0000-0000-000050510000}"/>
    <cellStyle name="Notas 22 4 2" xfId="20814" xr:uid="{00000000-0005-0000-0000-000051510000}"/>
    <cellStyle name="Notas 22 4 2 2" xfId="20815" xr:uid="{00000000-0005-0000-0000-000052510000}"/>
    <cellStyle name="Notas 22 4 3" xfId="20816" xr:uid="{00000000-0005-0000-0000-000053510000}"/>
    <cellStyle name="Notas 22 5" xfId="20817" xr:uid="{00000000-0005-0000-0000-000054510000}"/>
    <cellStyle name="Notas 22 5 2" xfId="20818" xr:uid="{00000000-0005-0000-0000-000055510000}"/>
    <cellStyle name="Notas 22 5 2 2" xfId="20819" xr:uid="{00000000-0005-0000-0000-000056510000}"/>
    <cellStyle name="Notas 22 5 3" xfId="20820" xr:uid="{00000000-0005-0000-0000-000057510000}"/>
    <cellStyle name="Notas 22 6" xfId="20821" xr:uid="{00000000-0005-0000-0000-000058510000}"/>
    <cellStyle name="Notas 22 6 2" xfId="20822" xr:uid="{00000000-0005-0000-0000-000059510000}"/>
    <cellStyle name="Notas 22 7" xfId="20823" xr:uid="{00000000-0005-0000-0000-00005A510000}"/>
    <cellStyle name="Notas 23" xfId="20824" xr:uid="{00000000-0005-0000-0000-00005B510000}"/>
    <cellStyle name="Notas 23 2" xfId="20825" xr:uid="{00000000-0005-0000-0000-00005C510000}"/>
    <cellStyle name="Notas 23 2 2" xfId="20826" xr:uid="{00000000-0005-0000-0000-00005D510000}"/>
    <cellStyle name="Notas 23 2 2 2" xfId="20827" xr:uid="{00000000-0005-0000-0000-00005E510000}"/>
    <cellStyle name="Notas 23 2 2 2 2" xfId="20828" xr:uid="{00000000-0005-0000-0000-00005F510000}"/>
    <cellStyle name="Notas 23 2 2 3" xfId="20829" xr:uid="{00000000-0005-0000-0000-000060510000}"/>
    <cellStyle name="Notas 23 2 3" xfId="20830" xr:uid="{00000000-0005-0000-0000-000061510000}"/>
    <cellStyle name="Notas 23 2 3 2" xfId="20831" xr:uid="{00000000-0005-0000-0000-000062510000}"/>
    <cellStyle name="Notas 23 2 3 2 2" xfId="20832" xr:uid="{00000000-0005-0000-0000-000063510000}"/>
    <cellStyle name="Notas 23 2 3 3" xfId="20833" xr:uid="{00000000-0005-0000-0000-000064510000}"/>
    <cellStyle name="Notas 23 2 4" xfId="20834" xr:uid="{00000000-0005-0000-0000-000065510000}"/>
    <cellStyle name="Notas 23 2 4 2" xfId="20835" xr:uid="{00000000-0005-0000-0000-000066510000}"/>
    <cellStyle name="Notas 23 2 5" xfId="20836" xr:uid="{00000000-0005-0000-0000-000067510000}"/>
    <cellStyle name="Notas 23 3" xfId="20837" xr:uid="{00000000-0005-0000-0000-000068510000}"/>
    <cellStyle name="Notas 23 3 2" xfId="20838" xr:uid="{00000000-0005-0000-0000-000069510000}"/>
    <cellStyle name="Notas 23 3 2 2" xfId="20839" xr:uid="{00000000-0005-0000-0000-00006A510000}"/>
    <cellStyle name="Notas 23 3 2 2 2" xfId="20840" xr:uid="{00000000-0005-0000-0000-00006B510000}"/>
    <cellStyle name="Notas 23 3 2 3" xfId="20841" xr:uid="{00000000-0005-0000-0000-00006C510000}"/>
    <cellStyle name="Notas 23 3 3" xfId="20842" xr:uid="{00000000-0005-0000-0000-00006D510000}"/>
    <cellStyle name="Notas 23 3 3 2" xfId="20843" xr:uid="{00000000-0005-0000-0000-00006E510000}"/>
    <cellStyle name="Notas 23 3 4" xfId="20844" xr:uid="{00000000-0005-0000-0000-00006F510000}"/>
    <cellStyle name="Notas 23 4" xfId="20845" xr:uid="{00000000-0005-0000-0000-000070510000}"/>
    <cellStyle name="Notas 23 4 2" xfId="20846" xr:uid="{00000000-0005-0000-0000-000071510000}"/>
    <cellStyle name="Notas 23 4 2 2" xfId="20847" xr:uid="{00000000-0005-0000-0000-000072510000}"/>
    <cellStyle name="Notas 23 4 3" xfId="20848" xr:uid="{00000000-0005-0000-0000-000073510000}"/>
    <cellStyle name="Notas 23 5" xfId="20849" xr:uid="{00000000-0005-0000-0000-000074510000}"/>
    <cellStyle name="Notas 23 5 2" xfId="20850" xr:uid="{00000000-0005-0000-0000-000075510000}"/>
    <cellStyle name="Notas 23 5 2 2" xfId="20851" xr:uid="{00000000-0005-0000-0000-000076510000}"/>
    <cellStyle name="Notas 23 5 3" xfId="20852" xr:uid="{00000000-0005-0000-0000-000077510000}"/>
    <cellStyle name="Notas 23 6" xfId="20853" xr:uid="{00000000-0005-0000-0000-000078510000}"/>
    <cellStyle name="Notas 23 6 2" xfId="20854" xr:uid="{00000000-0005-0000-0000-000079510000}"/>
    <cellStyle name="Notas 23 7" xfId="20855" xr:uid="{00000000-0005-0000-0000-00007A510000}"/>
    <cellStyle name="Notas 24" xfId="20856" xr:uid="{00000000-0005-0000-0000-00007B510000}"/>
    <cellStyle name="Notas 24 2" xfId="20857" xr:uid="{00000000-0005-0000-0000-00007C510000}"/>
    <cellStyle name="Notas 24 2 2" xfId="20858" xr:uid="{00000000-0005-0000-0000-00007D510000}"/>
    <cellStyle name="Notas 24 2 2 2" xfId="20859" xr:uid="{00000000-0005-0000-0000-00007E510000}"/>
    <cellStyle name="Notas 24 2 2 2 2" xfId="20860" xr:uid="{00000000-0005-0000-0000-00007F510000}"/>
    <cellStyle name="Notas 24 2 2 3" xfId="20861" xr:uid="{00000000-0005-0000-0000-000080510000}"/>
    <cellStyle name="Notas 24 2 3" xfId="20862" xr:uid="{00000000-0005-0000-0000-000081510000}"/>
    <cellStyle name="Notas 24 2 3 2" xfId="20863" xr:uid="{00000000-0005-0000-0000-000082510000}"/>
    <cellStyle name="Notas 24 2 3 2 2" xfId="20864" xr:uid="{00000000-0005-0000-0000-000083510000}"/>
    <cellStyle name="Notas 24 2 3 3" xfId="20865" xr:uid="{00000000-0005-0000-0000-000084510000}"/>
    <cellStyle name="Notas 24 2 4" xfId="20866" xr:uid="{00000000-0005-0000-0000-000085510000}"/>
    <cellStyle name="Notas 24 2 4 2" xfId="20867" xr:uid="{00000000-0005-0000-0000-000086510000}"/>
    <cellStyle name="Notas 24 2 5" xfId="20868" xr:uid="{00000000-0005-0000-0000-000087510000}"/>
    <cellStyle name="Notas 24 3" xfId="20869" xr:uid="{00000000-0005-0000-0000-000088510000}"/>
    <cellStyle name="Notas 24 3 2" xfId="20870" xr:uid="{00000000-0005-0000-0000-000089510000}"/>
    <cellStyle name="Notas 24 3 2 2" xfId="20871" xr:uid="{00000000-0005-0000-0000-00008A510000}"/>
    <cellStyle name="Notas 24 3 2 2 2" xfId="20872" xr:uid="{00000000-0005-0000-0000-00008B510000}"/>
    <cellStyle name="Notas 24 3 2 3" xfId="20873" xr:uid="{00000000-0005-0000-0000-00008C510000}"/>
    <cellStyle name="Notas 24 3 3" xfId="20874" xr:uid="{00000000-0005-0000-0000-00008D510000}"/>
    <cellStyle name="Notas 24 3 3 2" xfId="20875" xr:uid="{00000000-0005-0000-0000-00008E510000}"/>
    <cellStyle name="Notas 24 3 4" xfId="20876" xr:uid="{00000000-0005-0000-0000-00008F510000}"/>
    <cellStyle name="Notas 24 4" xfId="20877" xr:uid="{00000000-0005-0000-0000-000090510000}"/>
    <cellStyle name="Notas 24 4 2" xfId="20878" xr:uid="{00000000-0005-0000-0000-000091510000}"/>
    <cellStyle name="Notas 24 4 2 2" xfId="20879" xr:uid="{00000000-0005-0000-0000-000092510000}"/>
    <cellStyle name="Notas 24 4 3" xfId="20880" xr:uid="{00000000-0005-0000-0000-000093510000}"/>
    <cellStyle name="Notas 24 5" xfId="20881" xr:uid="{00000000-0005-0000-0000-000094510000}"/>
    <cellStyle name="Notas 24 5 2" xfId="20882" xr:uid="{00000000-0005-0000-0000-000095510000}"/>
    <cellStyle name="Notas 24 5 2 2" xfId="20883" xr:uid="{00000000-0005-0000-0000-000096510000}"/>
    <cellStyle name="Notas 24 5 3" xfId="20884" xr:uid="{00000000-0005-0000-0000-000097510000}"/>
    <cellStyle name="Notas 24 6" xfId="20885" xr:uid="{00000000-0005-0000-0000-000098510000}"/>
    <cellStyle name="Notas 24 6 2" xfId="20886" xr:uid="{00000000-0005-0000-0000-000099510000}"/>
    <cellStyle name="Notas 24 7" xfId="20887" xr:uid="{00000000-0005-0000-0000-00009A510000}"/>
    <cellStyle name="Notas 25" xfId="20888" xr:uid="{00000000-0005-0000-0000-00009B510000}"/>
    <cellStyle name="Notas 25 2" xfId="20889" xr:uid="{00000000-0005-0000-0000-00009C510000}"/>
    <cellStyle name="Notas 25 2 2" xfId="20890" xr:uid="{00000000-0005-0000-0000-00009D510000}"/>
    <cellStyle name="Notas 25 2 2 2" xfId="20891" xr:uid="{00000000-0005-0000-0000-00009E510000}"/>
    <cellStyle name="Notas 25 2 2 2 2" xfId="20892" xr:uid="{00000000-0005-0000-0000-00009F510000}"/>
    <cellStyle name="Notas 25 2 2 3" xfId="20893" xr:uid="{00000000-0005-0000-0000-0000A0510000}"/>
    <cellStyle name="Notas 25 2 3" xfId="20894" xr:uid="{00000000-0005-0000-0000-0000A1510000}"/>
    <cellStyle name="Notas 25 2 3 2" xfId="20895" xr:uid="{00000000-0005-0000-0000-0000A2510000}"/>
    <cellStyle name="Notas 25 2 3 2 2" xfId="20896" xr:uid="{00000000-0005-0000-0000-0000A3510000}"/>
    <cellStyle name="Notas 25 2 3 3" xfId="20897" xr:uid="{00000000-0005-0000-0000-0000A4510000}"/>
    <cellStyle name="Notas 25 2 4" xfId="20898" xr:uid="{00000000-0005-0000-0000-0000A5510000}"/>
    <cellStyle name="Notas 25 2 4 2" xfId="20899" xr:uid="{00000000-0005-0000-0000-0000A6510000}"/>
    <cellStyle name="Notas 25 2 5" xfId="20900" xr:uid="{00000000-0005-0000-0000-0000A7510000}"/>
    <cellStyle name="Notas 25 3" xfId="20901" xr:uid="{00000000-0005-0000-0000-0000A8510000}"/>
    <cellStyle name="Notas 25 3 2" xfId="20902" xr:uid="{00000000-0005-0000-0000-0000A9510000}"/>
    <cellStyle name="Notas 25 3 2 2" xfId="20903" xr:uid="{00000000-0005-0000-0000-0000AA510000}"/>
    <cellStyle name="Notas 25 3 2 2 2" xfId="20904" xr:uid="{00000000-0005-0000-0000-0000AB510000}"/>
    <cellStyle name="Notas 25 3 2 3" xfId="20905" xr:uid="{00000000-0005-0000-0000-0000AC510000}"/>
    <cellStyle name="Notas 25 3 3" xfId="20906" xr:uid="{00000000-0005-0000-0000-0000AD510000}"/>
    <cellStyle name="Notas 25 3 3 2" xfId="20907" xr:uid="{00000000-0005-0000-0000-0000AE510000}"/>
    <cellStyle name="Notas 25 3 4" xfId="20908" xr:uid="{00000000-0005-0000-0000-0000AF510000}"/>
    <cellStyle name="Notas 25 4" xfId="20909" xr:uid="{00000000-0005-0000-0000-0000B0510000}"/>
    <cellStyle name="Notas 25 4 2" xfId="20910" xr:uid="{00000000-0005-0000-0000-0000B1510000}"/>
    <cellStyle name="Notas 25 4 2 2" xfId="20911" xr:uid="{00000000-0005-0000-0000-0000B2510000}"/>
    <cellStyle name="Notas 25 4 3" xfId="20912" xr:uid="{00000000-0005-0000-0000-0000B3510000}"/>
    <cellStyle name="Notas 25 5" xfId="20913" xr:uid="{00000000-0005-0000-0000-0000B4510000}"/>
    <cellStyle name="Notas 25 5 2" xfId="20914" xr:uid="{00000000-0005-0000-0000-0000B5510000}"/>
    <cellStyle name="Notas 25 5 2 2" xfId="20915" xr:uid="{00000000-0005-0000-0000-0000B6510000}"/>
    <cellStyle name="Notas 25 5 3" xfId="20916" xr:uid="{00000000-0005-0000-0000-0000B7510000}"/>
    <cellStyle name="Notas 25 6" xfId="20917" xr:uid="{00000000-0005-0000-0000-0000B8510000}"/>
    <cellStyle name="Notas 25 6 2" xfId="20918" xr:uid="{00000000-0005-0000-0000-0000B9510000}"/>
    <cellStyle name="Notas 25 7" xfId="20919" xr:uid="{00000000-0005-0000-0000-0000BA510000}"/>
    <cellStyle name="Notas 26" xfId="20920" xr:uid="{00000000-0005-0000-0000-0000BB510000}"/>
    <cellStyle name="Notas 26 2" xfId="20921" xr:uid="{00000000-0005-0000-0000-0000BC510000}"/>
    <cellStyle name="Notas 26 2 2" xfId="20922" xr:uid="{00000000-0005-0000-0000-0000BD510000}"/>
    <cellStyle name="Notas 26 2 2 2" xfId="20923" xr:uid="{00000000-0005-0000-0000-0000BE510000}"/>
    <cellStyle name="Notas 26 2 2 2 2" xfId="20924" xr:uid="{00000000-0005-0000-0000-0000BF510000}"/>
    <cellStyle name="Notas 26 2 2 3" xfId="20925" xr:uid="{00000000-0005-0000-0000-0000C0510000}"/>
    <cellStyle name="Notas 26 2 3" xfId="20926" xr:uid="{00000000-0005-0000-0000-0000C1510000}"/>
    <cellStyle name="Notas 26 2 3 2" xfId="20927" xr:uid="{00000000-0005-0000-0000-0000C2510000}"/>
    <cellStyle name="Notas 26 2 3 2 2" xfId="20928" xr:uid="{00000000-0005-0000-0000-0000C3510000}"/>
    <cellStyle name="Notas 26 2 3 3" xfId="20929" xr:uid="{00000000-0005-0000-0000-0000C4510000}"/>
    <cellStyle name="Notas 26 2 4" xfId="20930" xr:uid="{00000000-0005-0000-0000-0000C5510000}"/>
    <cellStyle name="Notas 26 2 4 2" xfId="20931" xr:uid="{00000000-0005-0000-0000-0000C6510000}"/>
    <cellStyle name="Notas 26 2 5" xfId="20932" xr:uid="{00000000-0005-0000-0000-0000C7510000}"/>
    <cellStyle name="Notas 26 3" xfId="20933" xr:uid="{00000000-0005-0000-0000-0000C8510000}"/>
    <cellStyle name="Notas 26 3 2" xfId="20934" xr:uid="{00000000-0005-0000-0000-0000C9510000}"/>
    <cellStyle name="Notas 26 3 2 2" xfId="20935" xr:uid="{00000000-0005-0000-0000-0000CA510000}"/>
    <cellStyle name="Notas 26 3 2 2 2" xfId="20936" xr:uid="{00000000-0005-0000-0000-0000CB510000}"/>
    <cellStyle name="Notas 26 3 2 3" xfId="20937" xr:uid="{00000000-0005-0000-0000-0000CC510000}"/>
    <cellStyle name="Notas 26 3 3" xfId="20938" xr:uid="{00000000-0005-0000-0000-0000CD510000}"/>
    <cellStyle name="Notas 26 3 3 2" xfId="20939" xr:uid="{00000000-0005-0000-0000-0000CE510000}"/>
    <cellStyle name="Notas 26 3 4" xfId="20940" xr:uid="{00000000-0005-0000-0000-0000CF510000}"/>
    <cellStyle name="Notas 26 4" xfId="20941" xr:uid="{00000000-0005-0000-0000-0000D0510000}"/>
    <cellStyle name="Notas 26 4 2" xfId="20942" xr:uid="{00000000-0005-0000-0000-0000D1510000}"/>
    <cellStyle name="Notas 26 4 2 2" xfId="20943" xr:uid="{00000000-0005-0000-0000-0000D2510000}"/>
    <cellStyle name="Notas 26 4 3" xfId="20944" xr:uid="{00000000-0005-0000-0000-0000D3510000}"/>
    <cellStyle name="Notas 26 5" xfId="20945" xr:uid="{00000000-0005-0000-0000-0000D4510000}"/>
    <cellStyle name="Notas 26 5 2" xfId="20946" xr:uid="{00000000-0005-0000-0000-0000D5510000}"/>
    <cellStyle name="Notas 26 5 2 2" xfId="20947" xr:uid="{00000000-0005-0000-0000-0000D6510000}"/>
    <cellStyle name="Notas 26 5 3" xfId="20948" xr:uid="{00000000-0005-0000-0000-0000D7510000}"/>
    <cellStyle name="Notas 26 6" xfId="20949" xr:uid="{00000000-0005-0000-0000-0000D8510000}"/>
    <cellStyle name="Notas 26 6 2" xfId="20950" xr:uid="{00000000-0005-0000-0000-0000D9510000}"/>
    <cellStyle name="Notas 26 7" xfId="20951" xr:uid="{00000000-0005-0000-0000-0000DA510000}"/>
    <cellStyle name="Notas 27" xfId="20952" xr:uid="{00000000-0005-0000-0000-0000DB510000}"/>
    <cellStyle name="Notas 27 2" xfId="20953" xr:uid="{00000000-0005-0000-0000-0000DC510000}"/>
    <cellStyle name="Notas 27 2 2" xfId="20954" xr:uid="{00000000-0005-0000-0000-0000DD510000}"/>
    <cellStyle name="Notas 27 2 2 2" xfId="20955" xr:uid="{00000000-0005-0000-0000-0000DE510000}"/>
    <cellStyle name="Notas 27 2 2 2 2" xfId="20956" xr:uid="{00000000-0005-0000-0000-0000DF510000}"/>
    <cellStyle name="Notas 27 2 2 3" xfId="20957" xr:uid="{00000000-0005-0000-0000-0000E0510000}"/>
    <cellStyle name="Notas 27 2 3" xfId="20958" xr:uid="{00000000-0005-0000-0000-0000E1510000}"/>
    <cellStyle name="Notas 27 2 3 2" xfId="20959" xr:uid="{00000000-0005-0000-0000-0000E2510000}"/>
    <cellStyle name="Notas 27 2 3 2 2" xfId="20960" xr:uid="{00000000-0005-0000-0000-0000E3510000}"/>
    <cellStyle name="Notas 27 2 3 3" xfId="20961" xr:uid="{00000000-0005-0000-0000-0000E4510000}"/>
    <cellStyle name="Notas 27 2 4" xfId="20962" xr:uid="{00000000-0005-0000-0000-0000E5510000}"/>
    <cellStyle name="Notas 27 2 4 2" xfId="20963" xr:uid="{00000000-0005-0000-0000-0000E6510000}"/>
    <cellStyle name="Notas 27 2 5" xfId="20964" xr:uid="{00000000-0005-0000-0000-0000E7510000}"/>
    <cellStyle name="Notas 27 3" xfId="20965" xr:uid="{00000000-0005-0000-0000-0000E8510000}"/>
    <cellStyle name="Notas 27 3 2" xfId="20966" xr:uid="{00000000-0005-0000-0000-0000E9510000}"/>
    <cellStyle name="Notas 27 3 2 2" xfId="20967" xr:uid="{00000000-0005-0000-0000-0000EA510000}"/>
    <cellStyle name="Notas 27 3 2 2 2" xfId="20968" xr:uid="{00000000-0005-0000-0000-0000EB510000}"/>
    <cellStyle name="Notas 27 3 2 3" xfId="20969" xr:uid="{00000000-0005-0000-0000-0000EC510000}"/>
    <cellStyle name="Notas 27 3 3" xfId="20970" xr:uid="{00000000-0005-0000-0000-0000ED510000}"/>
    <cellStyle name="Notas 27 3 3 2" xfId="20971" xr:uid="{00000000-0005-0000-0000-0000EE510000}"/>
    <cellStyle name="Notas 27 3 4" xfId="20972" xr:uid="{00000000-0005-0000-0000-0000EF510000}"/>
    <cellStyle name="Notas 27 4" xfId="20973" xr:uid="{00000000-0005-0000-0000-0000F0510000}"/>
    <cellStyle name="Notas 27 4 2" xfId="20974" xr:uid="{00000000-0005-0000-0000-0000F1510000}"/>
    <cellStyle name="Notas 27 4 2 2" xfId="20975" xr:uid="{00000000-0005-0000-0000-0000F2510000}"/>
    <cellStyle name="Notas 27 4 3" xfId="20976" xr:uid="{00000000-0005-0000-0000-0000F3510000}"/>
    <cellStyle name="Notas 27 5" xfId="20977" xr:uid="{00000000-0005-0000-0000-0000F4510000}"/>
    <cellStyle name="Notas 27 5 2" xfId="20978" xr:uid="{00000000-0005-0000-0000-0000F5510000}"/>
    <cellStyle name="Notas 27 5 2 2" xfId="20979" xr:uid="{00000000-0005-0000-0000-0000F6510000}"/>
    <cellStyle name="Notas 27 5 3" xfId="20980" xr:uid="{00000000-0005-0000-0000-0000F7510000}"/>
    <cellStyle name="Notas 27 6" xfId="20981" xr:uid="{00000000-0005-0000-0000-0000F8510000}"/>
    <cellStyle name="Notas 27 6 2" xfId="20982" xr:uid="{00000000-0005-0000-0000-0000F9510000}"/>
    <cellStyle name="Notas 27 7" xfId="20983" xr:uid="{00000000-0005-0000-0000-0000FA510000}"/>
    <cellStyle name="Notas 28" xfId="20984" xr:uid="{00000000-0005-0000-0000-0000FB510000}"/>
    <cellStyle name="Notas 28 2" xfId="20985" xr:uid="{00000000-0005-0000-0000-0000FC510000}"/>
    <cellStyle name="Notas 28 2 2" xfId="20986" xr:uid="{00000000-0005-0000-0000-0000FD510000}"/>
    <cellStyle name="Notas 28 2 2 2" xfId="20987" xr:uid="{00000000-0005-0000-0000-0000FE510000}"/>
    <cellStyle name="Notas 28 2 2 2 2" xfId="20988" xr:uid="{00000000-0005-0000-0000-0000FF510000}"/>
    <cellStyle name="Notas 28 2 2 3" xfId="20989" xr:uid="{00000000-0005-0000-0000-000000520000}"/>
    <cellStyle name="Notas 28 2 3" xfId="20990" xr:uid="{00000000-0005-0000-0000-000001520000}"/>
    <cellStyle name="Notas 28 2 3 2" xfId="20991" xr:uid="{00000000-0005-0000-0000-000002520000}"/>
    <cellStyle name="Notas 28 2 3 2 2" xfId="20992" xr:uid="{00000000-0005-0000-0000-000003520000}"/>
    <cellStyle name="Notas 28 2 3 3" xfId="20993" xr:uid="{00000000-0005-0000-0000-000004520000}"/>
    <cellStyle name="Notas 28 2 4" xfId="20994" xr:uid="{00000000-0005-0000-0000-000005520000}"/>
    <cellStyle name="Notas 28 2 4 2" xfId="20995" xr:uid="{00000000-0005-0000-0000-000006520000}"/>
    <cellStyle name="Notas 28 2 5" xfId="20996" xr:uid="{00000000-0005-0000-0000-000007520000}"/>
    <cellStyle name="Notas 28 3" xfId="20997" xr:uid="{00000000-0005-0000-0000-000008520000}"/>
    <cellStyle name="Notas 28 3 2" xfId="20998" xr:uid="{00000000-0005-0000-0000-000009520000}"/>
    <cellStyle name="Notas 28 3 2 2" xfId="20999" xr:uid="{00000000-0005-0000-0000-00000A520000}"/>
    <cellStyle name="Notas 28 3 3" xfId="21000" xr:uid="{00000000-0005-0000-0000-00000B520000}"/>
    <cellStyle name="Notas 28 4" xfId="21001" xr:uid="{00000000-0005-0000-0000-00000C520000}"/>
    <cellStyle name="Notas 28 4 2" xfId="21002" xr:uid="{00000000-0005-0000-0000-00000D520000}"/>
    <cellStyle name="Notas 28 4 2 2" xfId="21003" xr:uid="{00000000-0005-0000-0000-00000E520000}"/>
    <cellStyle name="Notas 28 4 3" xfId="21004" xr:uid="{00000000-0005-0000-0000-00000F520000}"/>
    <cellStyle name="Notas 28 5" xfId="21005" xr:uid="{00000000-0005-0000-0000-000010520000}"/>
    <cellStyle name="Notas 28 5 2" xfId="21006" xr:uid="{00000000-0005-0000-0000-000011520000}"/>
    <cellStyle name="Notas 28 6" xfId="21007" xr:uid="{00000000-0005-0000-0000-000012520000}"/>
    <cellStyle name="Notas 29" xfId="21008" xr:uid="{00000000-0005-0000-0000-000013520000}"/>
    <cellStyle name="Notas 29 2" xfId="21009" xr:uid="{00000000-0005-0000-0000-000014520000}"/>
    <cellStyle name="Notas 29 2 2" xfId="21010" xr:uid="{00000000-0005-0000-0000-000015520000}"/>
    <cellStyle name="Notas 29 2 2 2" xfId="21011" xr:uid="{00000000-0005-0000-0000-000016520000}"/>
    <cellStyle name="Notas 29 2 2 2 2" xfId="21012" xr:uid="{00000000-0005-0000-0000-000017520000}"/>
    <cellStyle name="Notas 29 2 2 3" xfId="21013" xr:uid="{00000000-0005-0000-0000-000018520000}"/>
    <cellStyle name="Notas 29 2 3" xfId="21014" xr:uid="{00000000-0005-0000-0000-000019520000}"/>
    <cellStyle name="Notas 29 2 3 2" xfId="21015" xr:uid="{00000000-0005-0000-0000-00001A520000}"/>
    <cellStyle name="Notas 29 2 4" xfId="21016" xr:uid="{00000000-0005-0000-0000-00001B520000}"/>
    <cellStyle name="Notas 29 3" xfId="21017" xr:uid="{00000000-0005-0000-0000-00001C520000}"/>
    <cellStyle name="Notas 29 3 2" xfId="21018" xr:uid="{00000000-0005-0000-0000-00001D520000}"/>
    <cellStyle name="Notas 29 3 2 2" xfId="21019" xr:uid="{00000000-0005-0000-0000-00001E520000}"/>
    <cellStyle name="Notas 29 3 3" xfId="21020" xr:uid="{00000000-0005-0000-0000-00001F520000}"/>
    <cellStyle name="Notas 29 4" xfId="21021" xr:uid="{00000000-0005-0000-0000-000020520000}"/>
    <cellStyle name="Notas 29 4 2" xfId="21022" xr:uid="{00000000-0005-0000-0000-000021520000}"/>
    <cellStyle name="Notas 29 5" xfId="21023" xr:uid="{00000000-0005-0000-0000-000022520000}"/>
    <cellStyle name="Notas 3" xfId="21024" xr:uid="{00000000-0005-0000-0000-000023520000}"/>
    <cellStyle name="Notas 3 2" xfId="21025" xr:uid="{00000000-0005-0000-0000-000024520000}"/>
    <cellStyle name="Notas 30" xfId="21026" xr:uid="{00000000-0005-0000-0000-000025520000}"/>
    <cellStyle name="Notas 30 2" xfId="21027" xr:uid="{00000000-0005-0000-0000-000026520000}"/>
    <cellStyle name="Notas 30 2 2" xfId="21028" xr:uid="{00000000-0005-0000-0000-000027520000}"/>
    <cellStyle name="Notas 30 2 2 2" xfId="21029" xr:uid="{00000000-0005-0000-0000-000028520000}"/>
    <cellStyle name="Notas 30 2 2 2 2" xfId="21030" xr:uid="{00000000-0005-0000-0000-000029520000}"/>
    <cellStyle name="Notas 30 2 2 3" xfId="21031" xr:uid="{00000000-0005-0000-0000-00002A520000}"/>
    <cellStyle name="Notas 30 2 3" xfId="21032" xr:uid="{00000000-0005-0000-0000-00002B520000}"/>
    <cellStyle name="Notas 30 2 3 2" xfId="21033" xr:uid="{00000000-0005-0000-0000-00002C520000}"/>
    <cellStyle name="Notas 30 2 4" xfId="21034" xr:uid="{00000000-0005-0000-0000-00002D520000}"/>
    <cellStyle name="Notas 30 3" xfId="21035" xr:uid="{00000000-0005-0000-0000-00002E520000}"/>
    <cellStyle name="Notas 30 3 2" xfId="21036" xr:uid="{00000000-0005-0000-0000-00002F520000}"/>
    <cellStyle name="Notas 30 3 2 2" xfId="21037" xr:uid="{00000000-0005-0000-0000-000030520000}"/>
    <cellStyle name="Notas 30 3 3" xfId="21038" xr:uid="{00000000-0005-0000-0000-000031520000}"/>
    <cellStyle name="Notas 30 4" xfId="21039" xr:uid="{00000000-0005-0000-0000-000032520000}"/>
    <cellStyle name="Notas 30 4 2" xfId="21040" xr:uid="{00000000-0005-0000-0000-000033520000}"/>
    <cellStyle name="Notas 30 5" xfId="21041" xr:uid="{00000000-0005-0000-0000-000034520000}"/>
    <cellStyle name="Notas 31" xfId="21042" xr:uid="{00000000-0005-0000-0000-000035520000}"/>
    <cellStyle name="Notas 31 2" xfId="21043" xr:uid="{00000000-0005-0000-0000-000036520000}"/>
    <cellStyle name="Notas 31 2 2" xfId="21044" xr:uid="{00000000-0005-0000-0000-000037520000}"/>
    <cellStyle name="Notas 31 2 2 2" xfId="21045" xr:uid="{00000000-0005-0000-0000-000038520000}"/>
    <cellStyle name="Notas 31 2 2 2 2" xfId="21046" xr:uid="{00000000-0005-0000-0000-000039520000}"/>
    <cellStyle name="Notas 31 2 2 3" xfId="21047" xr:uid="{00000000-0005-0000-0000-00003A520000}"/>
    <cellStyle name="Notas 31 2 3" xfId="21048" xr:uid="{00000000-0005-0000-0000-00003B520000}"/>
    <cellStyle name="Notas 31 2 3 2" xfId="21049" xr:uid="{00000000-0005-0000-0000-00003C520000}"/>
    <cellStyle name="Notas 31 2 4" xfId="21050" xr:uid="{00000000-0005-0000-0000-00003D520000}"/>
    <cellStyle name="Notas 31 3" xfId="21051" xr:uid="{00000000-0005-0000-0000-00003E520000}"/>
    <cellStyle name="Notas 31 3 2" xfId="21052" xr:uid="{00000000-0005-0000-0000-00003F520000}"/>
    <cellStyle name="Notas 31 3 2 2" xfId="21053" xr:uid="{00000000-0005-0000-0000-000040520000}"/>
    <cellStyle name="Notas 31 3 3" xfId="21054" xr:uid="{00000000-0005-0000-0000-000041520000}"/>
    <cellStyle name="Notas 31 4" xfId="21055" xr:uid="{00000000-0005-0000-0000-000042520000}"/>
    <cellStyle name="Notas 31 4 2" xfId="21056" xr:uid="{00000000-0005-0000-0000-000043520000}"/>
    <cellStyle name="Notas 31 5" xfId="21057" xr:uid="{00000000-0005-0000-0000-000044520000}"/>
    <cellStyle name="Notas 32" xfId="21058" xr:uid="{00000000-0005-0000-0000-000045520000}"/>
    <cellStyle name="Notas 32 2" xfId="21059" xr:uid="{00000000-0005-0000-0000-000046520000}"/>
    <cellStyle name="Notas 32 2 2" xfId="21060" xr:uid="{00000000-0005-0000-0000-000047520000}"/>
    <cellStyle name="Notas 32 2 2 2" xfId="21061" xr:uid="{00000000-0005-0000-0000-000048520000}"/>
    <cellStyle name="Notas 32 2 2 2 2" xfId="21062" xr:uid="{00000000-0005-0000-0000-000049520000}"/>
    <cellStyle name="Notas 32 2 2 3" xfId="21063" xr:uid="{00000000-0005-0000-0000-00004A520000}"/>
    <cellStyle name="Notas 32 2 3" xfId="21064" xr:uid="{00000000-0005-0000-0000-00004B520000}"/>
    <cellStyle name="Notas 32 2 3 2" xfId="21065" xr:uid="{00000000-0005-0000-0000-00004C520000}"/>
    <cellStyle name="Notas 32 2 4" xfId="21066" xr:uid="{00000000-0005-0000-0000-00004D520000}"/>
    <cellStyle name="Notas 32 3" xfId="21067" xr:uid="{00000000-0005-0000-0000-00004E520000}"/>
    <cellStyle name="Notas 32 3 2" xfId="21068" xr:uid="{00000000-0005-0000-0000-00004F520000}"/>
    <cellStyle name="Notas 32 3 2 2" xfId="21069" xr:uid="{00000000-0005-0000-0000-000050520000}"/>
    <cellStyle name="Notas 32 3 3" xfId="21070" xr:uid="{00000000-0005-0000-0000-000051520000}"/>
    <cellStyle name="Notas 32 4" xfId="21071" xr:uid="{00000000-0005-0000-0000-000052520000}"/>
    <cellStyle name="Notas 32 4 2" xfId="21072" xr:uid="{00000000-0005-0000-0000-000053520000}"/>
    <cellStyle name="Notas 32 5" xfId="21073" xr:uid="{00000000-0005-0000-0000-000054520000}"/>
    <cellStyle name="Notas 33" xfId="21074" xr:uid="{00000000-0005-0000-0000-000055520000}"/>
    <cellStyle name="Notas 33 2" xfId="21075" xr:uid="{00000000-0005-0000-0000-000056520000}"/>
    <cellStyle name="Notas 33 2 2" xfId="21076" xr:uid="{00000000-0005-0000-0000-000057520000}"/>
    <cellStyle name="Notas 33 2 2 2" xfId="21077" xr:uid="{00000000-0005-0000-0000-000058520000}"/>
    <cellStyle name="Notas 33 2 2 2 2" xfId="21078" xr:uid="{00000000-0005-0000-0000-000059520000}"/>
    <cellStyle name="Notas 33 2 2 3" xfId="21079" xr:uid="{00000000-0005-0000-0000-00005A520000}"/>
    <cellStyle name="Notas 33 2 3" xfId="21080" xr:uid="{00000000-0005-0000-0000-00005B520000}"/>
    <cellStyle name="Notas 33 2 3 2" xfId="21081" xr:uid="{00000000-0005-0000-0000-00005C520000}"/>
    <cellStyle name="Notas 33 2 4" xfId="21082" xr:uid="{00000000-0005-0000-0000-00005D520000}"/>
    <cellStyle name="Notas 33 3" xfId="21083" xr:uid="{00000000-0005-0000-0000-00005E520000}"/>
    <cellStyle name="Notas 33 3 2" xfId="21084" xr:uid="{00000000-0005-0000-0000-00005F520000}"/>
    <cellStyle name="Notas 33 3 2 2" xfId="21085" xr:uid="{00000000-0005-0000-0000-000060520000}"/>
    <cellStyle name="Notas 33 3 3" xfId="21086" xr:uid="{00000000-0005-0000-0000-000061520000}"/>
    <cellStyle name="Notas 33 4" xfId="21087" xr:uid="{00000000-0005-0000-0000-000062520000}"/>
    <cellStyle name="Notas 33 4 2" xfId="21088" xr:uid="{00000000-0005-0000-0000-000063520000}"/>
    <cellStyle name="Notas 33 5" xfId="21089" xr:uid="{00000000-0005-0000-0000-000064520000}"/>
    <cellStyle name="Notas 34" xfId="21090" xr:uid="{00000000-0005-0000-0000-000065520000}"/>
    <cellStyle name="Notas 34 2" xfId="21091" xr:uid="{00000000-0005-0000-0000-000066520000}"/>
    <cellStyle name="Notas 34 2 2" xfId="21092" xr:uid="{00000000-0005-0000-0000-000067520000}"/>
    <cellStyle name="Notas 34 2 2 2" xfId="21093" xr:uid="{00000000-0005-0000-0000-000068520000}"/>
    <cellStyle name="Notas 34 2 2 2 2" xfId="21094" xr:uid="{00000000-0005-0000-0000-000069520000}"/>
    <cellStyle name="Notas 34 2 2 3" xfId="21095" xr:uid="{00000000-0005-0000-0000-00006A520000}"/>
    <cellStyle name="Notas 34 2 3" xfId="21096" xr:uid="{00000000-0005-0000-0000-00006B520000}"/>
    <cellStyle name="Notas 34 2 3 2" xfId="21097" xr:uid="{00000000-0005-0000-0000-00006C520000}"/>
    <cellStyle name="Notas 34 2 4" xfId="21098" xr:uid="{00000000-0005-0000-0000-00006D520000}"/>
    <cellStyle name="Notas 34 3" xfId="21099" xr:uid="{00000000-0005-0000-0000-00006E520000}"/>
    <cellStyle name="Notas 34 3 2" xfId="21100" xr:uid="{00000000-0005-0000-0000-00006F520000}"/>
    <cellStyle name="Notas 34 3 2 2" xfId="21101" xr:uid="{00000000-0005-0000-0000-000070520000}"/>
    <cellStyle name="Notas 34 3 3" xfId="21102" xr:uid="{00000000-0005-0000-0000-000071520000}"/>
    <cellStyle name="Notas 34 4" xfId="21103" xr:uid="{00000000-0005-0000-0000-000072520000}"/>
    <cellStyle name="Notas 34 4 2" xfId="21104" xr:uid="{00000000-0005-0000-0000-000073520000}"/>
    <cellStyle name="Notas 34 5" xfId="21105" xr:uid="{00000000-0005-0000-0000-000074520000}"/>
    <cellStyle name="Notas 35" xfId="21106" xr:uid="{00000000-0005-0000-0000-000075520000}"/>
    <cellStyle name="Notas 35 2" xfId="21107" xr:uid="{00000000-0005-0000-0000-000076520000}"/>
    <cellStyle name="Notas 35 2 2" xfId="21108" xr:uid="{00000000-0005-0000-0000-000077520000}"/>
    <cellStyle name="Notas 35 2 2 2" xfId="21109" xr:uid="{00000000-0005-0000-0000-000078520000}"/>
    <cellStyle name="Notas 35 2 2 2 2" xfId="21110" xr:uid="{00000000-0005-0000-0000-000079520000}"/>
    <cellStyle name="Notas 35 2 2 3" xfId="21111" xr:uid="{00000000-0005-0000-0000-00007A520000}"/>
    <cellStyle name="Notas 35 2 3" xfId="21112" xr:uid="{00000000-0005-0000-0000-00007B520000}"/>
    <cellStyle name="Notas 35 2 3 2" xfId="21113" xr:uid="{00000000-0005-0000-0000-00007C520000}"/>
    <cellStyle name="Notas 35 2 4" xfId="21114" xr:uid="{00000000-0005-0000-0000-00007D520000}"/>
    <cellStyle name="Notas 35 3" xfId="21115" xr:uid="{00000000-0005-0000-0000-00007E520000}"/>
    <cellStyle name="Notas 35 3 2" xfId="21116" xr:uid="{00000000-0005-0000-0000-00007F520000}"/>
    <cellStyle name="Notas 35 3 2 2" xfId="21117" xr:uid="{00000000-0005-0000-0000-000080520000}"/>
    <cellStyle name="Notas 35 3 3" xfId="21118" xr:uid="{00000000-0005-0000-0000-000081520000}"/>
    <cellStyle name="Notas 35 4" xfId="21119" xr:uid="{00000000-0005-0000-0000-000082520000}"/>
    <cellStyle name="Notas 35 4 2" xfId="21120" xr:uid="{00000000-0005-0000-0000-000083520000}"/>
    <cellStyle name="Notas 35 5" xfId="21121" xr:uid="{00000000-0005-0000-0000-000084520000}"/>
    <cellStyle name="Notas 36" xfId="21122" xr:uid="{00000000-0005-0000-0000-000085520000}"/>
    <cellStyle name="Notas 36 2" xfId="21123" xr:uid="{00000000-0005-0000-0000-000086520000}"/>
    <cellStyle name="Notas 36 2 2" xfId="21124" xr:uid="{00000000-0005-0000-0000-000087520000}"/>
    <cellStyle name="Notas 36 2 2 2" xfId="21125" xr:uid="{00000000-0005-0000-0000-000088520000}"/>
    <cellStyle name="Notas 36 2 3" xfId="21126" xr:uid="{00000000-0005-0000-0000-000089520000}"/>
    <cellStyle name="Notas 36 3" xfId="21127" xr:uid="{00000000-0005-0000-0000-00008A520000}"/>
    <cellStyle name="Notas 36 3 2" xfId="21128" xr:uid="{00000000-0005-0000-0000-00008B520000}"/>
    <cellStyle name="Notas 36 3 2 2" xfId="21129" xr:uid="{00000000-0005-0000-0000-00008C520000}"/>
    <cellStyle name="Notas 36 3 3" xfId="21130" xr:uid="{00000000-0005-0000-0000-00008D520000}"/>
    <cellStyle name="Notas 36 4" xfId="21131" xr:uid="{00000000-0005-0000-0000-00008E520000}"/>
    <cellStyle name="Notas 36 4 2" xfId="21132" xr:uid="{00000000-0005-0000-0000-00008F520000}"/>
    <cellStyle name="Notas 36 5" xfId="21133" xr:uid="{00000000-0005-0000-0000-000090520000}"/>
    <cellStyle name="Notas 37" xfId="21134" xr:uid="{00000000-0005-0000-0000-000091520000}"/>
    <cellStyle name="Notas 37 2" xfId="21135" xr:uid="{00000000-0005-0000-0000-000092520000}"/>
    <cellStyle name="Notas 37 2 2" xfId="21136" xr:uid="{00000000-0005-0000-0000-000093520000}"/>
    <cellStyle name="Notas 37 2 2 2" xfId="21137" xr:uid="{00000000-0005-0000-0000-000094520000}"/>
    <cellStyle name="Notas 37 2 3" xfId="21138" xr:uid="{00000000-0005-0000-0000-000095520000}"/>
    <cellStyle name="Notas 37 3" xfId="21139" xr:uid="{00000000-0005-0000-0000-000096520000}"/>
    <cellStyle name="Notas 37 3 2" xfId="21140" xr:uid="{00000000-0005-0000-0000-000097520000}"/>
    <cellStyle name="Notas 37 3 2 2" xfId="21141" xr:uid="{00000000-0005-0000-0000-000098520000}"/>
    <cellStyle name="Notas 37 3 3" xfId="21142" xr:uid="{00000000-0005-0000-0000-000099520000}"/>
    <cellStyle name="Notas 37 4" xfId="21143" xr:uid="{00000000-0005-0000-0000-00009A520000}"/>
    <cellStyle name="Notas 37 4 2" xfId="21144" xr:uid="{00000000-0005-0000-0000-00009B520000}"/>
    <cellStyle name="Notas 37 5" xfId="21145" xr:uid="{00000000-0005-0000-0000-00009C520000}"/>
    <cellStyle name="Notas 38" xfId="21146" xr:uid="{00000000-0005-0000-0000-00009D520000}"/>
    <cellStyle name="Notas 38 2" xfId="21147" xr:uid="{00000000-0005-0000-0000-00009E520000}"/>
    <cellStyle name="Notas 38 2 2" xfId="21148" xr:uid="{00000000-0005-0000-0000-00009F520000}"/>
    <cellStyle name="Notas 38 2 2 2" xfId="21149" xr:uid="{00000000-0005-0000-0000-0000A0520000}"/>
    <cellStyle name="Notas 38 2 3" xfId="21150" xr:uid="{00000000-0005-0000-0000-0000A1520000}"/>
    <cellStyle name="Notas 38 3" xfId="21151" xr:uid="{00000000-0005-0000-0000-0000A2520000}"/>
    <cellStyle name="Notas 38 3 2" xfId="21152" xr:uid="{00000000-0005-0000-0000-0000A3520000}"/>
    <cellStyle name="Notas 38 3 2 2" xfId="21153" xr:uid="{00000000-0005-0000-0000-0000A4520000}"/>
    <cellStyle name="Notas 38 3 3" xfId="21154" xr:uid="{00000000-0005-0000-0000-0000A5520000}"/>
    <cellStyle name="Notas 38 4" xfId="21155" xr:uid="{00000000-0005-0000-0000-0000A6520000}"/>
    <cellStyle name="Notas 38 4 2" xfId="21156" xr:uid="{00000000-0005-0000-0000-0000A7520000}"/>
    <cellStyle name="Notas 38 5" xfId="21157" xr:uid="{00000000-0005-0000-0000-0000A8520000}"/>
    <cellStyle name="Notas 39" xfId="21158" xr:uid="{00000000-0005-0000-0000-0000A9520000}"/>
    <cellStyle name="Notas 39 2" xfId="21159" xr:uid="{00000000-0005-0000-0000-0000AA520000}"/>
    <cellStyle name="Notas 39 2 2" xfId="21160" xr:uid="{00000000-0005-0000-0000-0000AB520000}"/>
    <cellStyle name="Notas 39 2 2 2" xfId="21161" xr:uid="{00000000-0005-0000-0000-0000AC520000}"/>
    <cellStyle name="Notas 39 2 3" xfId="21162" xr:uid="{00000000-0005-0000-0000-0000AD520000}"/>
    <cellStyle name="Notas 39 3" xfId="21163" xr:uid="{00000000-0005-0000-0000-0000AE520000}"/>
    <cellStyle name="Notas 39 3 2" xfId="21164" xr:uid="{00000000-0005-0000-0000-0000AF520000}"/>
    <cellStyle name="Notas 39 4" xfId="21165" xr:uid="{00000000-0005-0000-0000-0000B0520000}"/>
    <cellStyle name="Notas 4" xfId="21166" xr:uid="{00000000-0005-0000-0000-0000B1520000}"/>
    <cellStyle name="Notas 4 10" xfId="21167" xr:uid="{00000000-0005-0000-0000-0000B2520000}"/>
    <cellStyle name="Notas 4 2" xfId="21168" xr:uid="{00000000-0005-0000-0000-0000B3520000}"/>
    <cellStyle name="Notas 4 2 2" xfId="21169" xr:uid="{00000000-0005-0000-0000-0000B4520000}"/>
    <cellStyle name="Notas 4 2 2 2" xfId="21170" xr:uid="{00000000-0005-0000-0000-0000B5520000}"/>
    <cellStyle name="Notas 4 2 2 2 2" xfId="21171" xr:uid="{00000000-0005-0000-0000-0000B6520000}"/>
    <cellStyle name="Notas 4 2 2 2 2 2" xfId="21172" xr:uid="{00000000-0005-0000-0000-0000B7520000}"/>
    <cellStyle name="Notas 4 2 2 2 2 2 2" xfId="21173" xr:uid="{00000000-0005-0000-0000-0000B8520000}"/>
    <cellStyle name="Notas 4 2 2 2 2 3" xfId="21174" xr:uid="{00000000-0005-0000-0000-0000B9520000}"/>
    <cellStyle name="Notas 4 2 2 2 3" xfId="21175" xr:uid="{00000000-0005-0000-0000-0000BA520000}"/>
    <cellStyle name="Notas 4 2 2 2 3 2" xfId="21176" xr:uid="{00000000-0005-0000-0000-0000BB520000}"/>
    <cellStyle name="Notas 4 2 2 2 4" xfId="21177" xr:uid="{00000000-0005-0000-0000-0000BC520000}"/>
    <cellStyle name="Notas 4 2 2 3" xfId="21178" xr:uid="{00000000-0005-0000-0000-0000BD520000}"/>
    <cellStyle name="Notas 4 2 2 3 2" xfId="21179" xr:uid="{00000000-0005-0000-0000-0000BE520000}"/>
    <cellStyle name="Notas 4 2 2 3 2 2" xfId="21180" xr:uid="{00000000-0005-0000-0000-0000BF520000}"/>
    <cellStyle name="Notas 4 2 2 3 3" xfId="21181" xr:uid="{00000000-0005-0000-0000-0000C0520000}"/>
    <cellStyle name="Notas 4 2 2 4" xfId="21182" xr:uid="{00000000-0005-0000-0000-0000C1520000}"/>
    <cellStyle name="Notas 4 2 2 4 2" xfId="21183" xr:uid="{00000000-0005-0000-0000-0000C2520000}"/>
    <cellStyle name="Notas 4 2 2 4 2 2" xfId="21184" xr:uid="{00000000-0005-0000-0000-0000C3520000}"/>
    <cellStyle name="Notas 4 2 2 4 3" xfId="21185" xr:uid="{00000000-0005-0000-0000-0000C4520000}"/>
    <cellStyle name="Notas 4 2 2 5" xfId="21186" xr:uid="{00000000-0005-0000-0000-0000C5520000}"/>
    <cellStyle name="Notas 4 2 2 5 2" xfId="21187" xr:uid="{00000000-0005-0000-0000-0000C6520000}"/>
    <cellStyle name="Notas 4 2 2 6" xfId="21188" xr:uid="{00000000-0005-0000-0000-0000C7520000}"/>
    <cellStyle name="Notas 4 2 3" xfId="21189" xr:uid="{00000000-0005-0000-0000-0000C8520000}"/>
    <cellStyle name="Notas 4 2 3 2" xfId="21190" xr:uid="{00000000-0005-0000-0000-0000C9520000}"/>
    <cellStyle name="Notas 4 2 3 2 2" xfId="21191" xr:uid="{00000000-0005-0000-0000-0000CA520000}"/>
    <cellStyle name="Notas 4 2 3 2 2 2" xfId="21192" xr:uid="{00000000-0005-0000-0000-0000CB520000}"/>
    <cellStyle name="Notas 4 2 3 2 3" xfId="21193" xr:uid="{00000000-0005-0000-0000-0000CC520000}"/>
    <cellStyle name="Notas 4 2 3 3" xfId="21194" xr:uid="{00000000-0005-0000-0000-0000CD520000}"/>
    <cellStyle name="Notas 4 2 3 3 2" xfId="21195" xr:uid="{00000000-0005-0000-0000-0000CE520000}"/>
    <cellStyle name="Notas 4 2 3 3 2 2" xfId="21196" xr:uid="{00000000-0005-0000-0000-0000CF520000}"/>
    <cellStyle name="Notas 4 2 3 3 3" xfId="21197" xr:uid="{00000000-0005-0000-0000-0000D0520000}"/>
    <cellStyle name="Notas 4 2 3 4" xfId="21198" xr:uid="{00000000-0005-0000-0000-0000D1520000}"/>
    <cellStyle name="Notas 4 2 3 4 2" xfId="21199" xr:uid="{00000000-0005-0000-0000-0000D2520000}"/>
    <cellStyle name="Notas 4 2 3 5" xfId="21200" xr:uid="{00000000-0005-0000-0000-0000D3520000}"/>
    <cellStyle name="Notas 4 2 4" xfId="21201" xr:uid="{00000000-0005-0000-0000-0000D4520000}"/>
    <cellStyle name="Notas 4 2 5" xfId="21202" xr:uid="{00000000-0005-0000-0000-0000D5520000}"/>
    <cellStyle name="Notas 4 2 5 2" xfId="21203" xr:uid="{00000000-0005-0000-0000-0000D6520000}"/>
    <cellStyle name="Notas 4 2 5 2 2" xfId="21204" xr:uid="{00000000-0005-0000-0000-0000D7520000}"/>
    <cellStyle name="Notas 4 2 5 2 2 2" xfId="21205" xr:uid="{00000000-0005-0000-0000-0000D8520000}"/>
    <cellStyle name="Notas 4 2 5 2 3" xfId="21206" xr:uid="{00000000-0005-0000-0000-0000D9520000}"/>
    <cellStyle name="Notas 4 2 5 3" xfId="21207" xr:uid="{00000000-0005-0000-0000-0000DA520000}"/>
    <cellStyle name="Notas 4 2 5 3 2" xfId="21208" xr:uid="{00000000-0005-0000-0000-0000DB520000}"/>
    <cellStyle name="Notas 4 2 5 4" xfId="21209" xr:uid="{00000000-0005-0000-0000-0000DC520000}"/>
    <cellStyle name="Notas 4 2 6" xfId="21210" xr:uid="{00000000-0005-0000-0000-0000DD520000}"/>
    <cellStyle name="Notas 4 2 6 2" xfId="21211" xr:uid="{00000000-0005-0000-0000-0000DE520000}"/>
    <cellStyle name="Notas 4 2 6 2 2" xfId="21212" xr:uid="{00000000-0005-0000-0000-0000DF520000}"/>
    <cellStyle name="Notas 4 2 6 3" xfId="21213" xr:uid="{00000000-0005-0000-0000-0000E0520000}"/>
    <cellStyle name="Notas 4 2 7" xfId="21214" xr:uid="{00000000-0005-0000-0000-0000E1520000}"/>
    <cellStyle name="Notas 4 2 7 2" xfId="21215" xr:uid="{00000000-0005-0000-0000-0000E2520000}"/>
    <cellStyle name="Notas 4 2 8" xfId="21216" xr:uid="{00000000-0005-0000-0000-0000E3520000}"/>
    <cellStyle name="Notas 4 3" xfId="21217" xr:uid="{00000000-0005-0000-0000-0000E4520000}"/>
    <cellStyle name="Notas 4 3 2" xfId="21218" xr:uid="{00000000-0005-0000-0000-0000E5520000}"/>
    <cellStyle name="Notas 4 3 2 2" xfId="21219" xr:uid="{00000000-0005-0000-0000-0000E6520000}"/>
    <cellStyle name="Notas 4 3 2 2 2" xfId="21220" xr:uid="{00000000-0005-0000-0000-0000E7520000}"/>
    <cellStyle name="Notas 4 3 2 2 2 2" xfId="21221" xr:uid="{00000000-0005-0000-0000-0000E8520000}"/>
    <cellStyle name="Notas 4 3 2 2 3" xfId="21222" xr:uid="{00000000-0005-0000-0000-0000E9520000}"/>
    <cellStyle name="Notas 4 3 2 3" xfId="21223" xr:uid="{00000000-0005-0000-0000-0000EA520000}"/>
    <cellStyle name="Notas 4 3 2 3 2" xfId="21224" xr:uid="{00000000-0005-0000-0000-0000EB520000}"/>
    <cellStyle name="Notas 4 3 2 4" xfId="21225" xr:uid="{00000000-0005-0000-0000-0000EC520000}"/>
    <cellStyle name="Notas 4 3 3" xfId="21226" xr:uid="{00000000-0005-0000-0000-0000ED520000}"/>
    <cellStyle name="Notas 4 3 3 2" xfId="21227" xr:uid="{00000000-0005-0000-0000-0000EE520000}"/>
    <cellStyle name="Notas 4 3 3 2 2" xfId="21228" xr:uid="{00000000-0005-0000-0000-0000EF520000}"/>
    <cellStyle name="Notas 4 3 3 3" xfId="21229" xr:uid="{00000000-0005-0000-0000-0000F0520000}"/>
    <cellStyle name="Notas 4 3 4" xfId="21230" xr:uid="{00000000-0005-0000-0000-0000F1520000}"/>
    <cellStyle name="Notas 4 3 4 2" xfId="21231" xr:uid="{00000000-0005-0000-0000-0000F2520000}"/>
    <cellStyle name="Notas 4 3 4 2 2" xfId="21232" xr:uid="{00000000-0005-0000-0000-0000F3520000}"/>
    <cellStyle name="Notas 4 3 4 3" xfId="21233" xr:uid="{00000000-0005-0000-0000-0000F4520000}"/>
    <cellStyle name="Notas 4 3 5" xfId="21234" xr:uid="{00000000-0005-0000-0000-0000F5520000}"/>
    <cellStyle name="Notas 4 3 5 2" xfId="21235" xr:uid="{00000000-0005-0000-0000-0000F6520000}"/>
    <cellStyle name="Notas 4 3 6" xfId="21236" xr:uid="{00000000-0005-0000-0000-0000F7520000}"/>
    <cellStyle name="Notas 4 4" xfId="21237" xr:uid="{00000000-0005-0000-0000-0000F8520000}"/>
    <cellStyle name="Notas 4 4 2" xfId="21238" xr:uid="{00000000-0005-0000-0000-0000F9520000}"/>
    <cellStyle name="Notas 4 4 2 2" xfId="21239" xr:uid="{00000000-0005-0000-0000-0000FA520000}"/>
    <cellStyle name="Notas 4 4 2 2 2" xfId="21240" xr:uid="{00000000-0005-0000-0000-0000FB520000}"/>
    <cellStyle name="Notas 4 4 2 3" xfId="21241" xr:uid="{00000000-0005-0000-0000-0000FC520000}"/>
    <cellStyle name="Notas 4 4 3" xfId="21242" xr:uid="{00000000-0005-0000-0000-0000FD520000}"/>
    <cellStyle name="Notas 4 4 3 2" xfId="21243" xr:uid="{00000000-0005-0000-0000-0000FE520000}"/>
    <cellStyle name="Notas 4 4 3 2 2" xfId="21244" xr:uid="{00000000-0005-0000-0000-0000FF520000}"/>
    <cellStyle name="Notas 4 4 3 3" xfId="21245" xr:uid="{00000000-0005-0000-0000-000000530000}"/>
    <cellStyle name="Notas 4 4 4" xfId="21246" xr:uid="{00000000-0005-0000-0000-000001530000}"/>
    <cellStyle name="Notas 4 4 4 2" xfId="21247" xr:uid="{00000000-0005-0000-0000-000002530000}"/>
    <cellStyle name="Notas 4 4 5" xfId="21248" xr:uid="{00000000-0005-0000-0000-000003530000}"/>
    <cellStyle name="Notas 4 5" xfId="21249" xr:uid="{00000000-0005-0000-0000-000004530000}"/>
    <cellStyle name="Notas 4 6" xfId="21250" xr:uid="{00000000-0005-0000-0000-000005530000}"/>
    <cellStyle name="Notas 4 6 2" xfId="21251" xr:uid="{00000000-0005-0000-0000-000006530000}"/>
    <cellStyle name="Notas 4 6 2 2" xfId="21252" xr:uid="{00000000-0005-0000-0000-000007530000}"/>
    <cellStyle name="Notas 4 6 2 2 2" xfId="21253" xr:uid="{00000000-0005-0000-0000-000008530000}"/>
    <cellStyle name="Notas 4 6 2 3" xfId="21254" xr:uid="{00000000-0005-0000-0000-000009530000}"/>
    <cellStyle name="Notas 4 6 3" xfId="21255" xr:uid="{00000000-0005-0000-0000-00000A530000}"/>
    <cellStyle name="Notas 4 6 3 2" xfId="21256" xr:uid="{00000000-0005-0000-0000-00000B530000}"/>
    <cellStyle name="Notas 4 6 4" xfId="21257" xr:uid="{00000000-0005-0000-0000-00000C530000}"/>
    <cellStyle name="Notas 4 7" xfId="21258" xr:uid="{00000000-0005-0000-0000-00000D530000}"/>
    <cellStyle name="Notas 4 7 2" xfId="21259" xr:uid="{00000000-0005-0000-0000-00000E530000}"/>
    <cellStyle name="Notas 4 7 2 2" xfId="21260" xr:uid="{00000000-0005-0000-0000-00000F530000}"/>
    <cellStyle name="Notas 4 7 3" xfId="21261" xr:uid="{00000000-0005-0000-0000-000010530000}"/>
    <cellStyle name="Notas 4 8" xfId="21262" xr:uid="{00000000-0005-0000-0000-000011530000}"/>
    <cellStyle name="Notas 4 8 2" xfId="21263" xr:uid="{00000000-0005-0000-0000-000012530000}"/>
    <cellStyle name="Notas 4 9" xfId="21264" xr:uid="{00000000-0005-0000-0000-000013530000}"/>
    <cellStyle name="Notas 4 9 2" xfId="21265" xr:uid="{00000000-0005-0000-0000-000014530000}"/>
    <cellStyle name="Notas 40" xfId="21266" xr:uid="{00000000-0005-0000-0000-000015530000}"/>
    <cellStyle name="Notas 40 2" xfId="21267" xr:uid="{00000000-0005-0000-0000-000016530000}"/>
    <cellStyle name="Notas 40 2 2" xfId="21268" xr:uid="{00000000-0005-0000-0000-000017530000}"/>
    <cellStyle name="Notas 40 2 2 2" xfId="21269" xr:uid="{00000000-0005-0000-0000-000018530000}"/>
    <cellStyle name="Notas 40 2 3" xfId="21270" xr:uid="{00000000-0005-0000-0000-000019530000}"/>
    <cellStyle name="Notas 40 3" xfId="21271" xr:uid="{00000000-0005-0000-0000-00001A530000}"/>
    <cellStyle name="Notas 40 3 2" xfId="21272" xr:uid="{00000000-0005-0000-0000-00001B530000}"/>
    <cellStyle name="Notas 40 4" xfId="21273" xr:uid="{00000000-0005-0000-0000-00001C530000}"/>
    <cellStyle name="Notas 41" xfId="21274" xr:uid="{00000000-0005-0000-0000-00001D530000}"/>
    <cellStyle name="Notas 41 2" xfId="21275" xr:uid="{00000000-0005-0000-0000-00001E530000}"/>
    <cellStyle name="Notas 41 2 2" xfId="21276" xr:uid="{00000000-0005-0000-0000-00001F530000}"/>
    <cellStyle name="Notas 41 2 2 2" xfId="21277" xr:uid="{00000000-0005-0000-0000-000020530000}"/>
    <cellStyle name="Notas 41 2 3" xfId="21278" xr:uid="{00000000-0005-0000-0000-000021530000}"/>
    <cellStyle name="Notas 41 3" xfId="21279" xr:uid="{00000000-0005-0000-0000-000022530000}"/>
    <cellStyle name="Notas 41 3 2" xfId="21280" xr:uid="{00000000-0005-0000-0000-000023530000}"/>
    <cellStyle name="Notas 41 4" xfId="21281" xr:uid="{00000000-0005-0000-0000-000024530000}"/>
    <cellStyle name="Notas 42" xfId="21282" xr:uid="{00000000-0005-0000-0000-000025530000}"/>
    <cellStyle name="Notas 42 2" xfId="21283" xr:uid="{00000000-0005-0000-0000-000026530000}"/>
    <cellStyle name="Notas 42 2 2" xfId="21284" xr:uid="{00000000-0005-0000-0000-000027530000}"/>
    <cellStyle name="Notas 42 2 2 2" xfId="21285" xr:uid="{00000000-0005-0000-0000-000028530000}"/>
    <cellStyle name="Notas 42 2 3" xfId="21286" xr:uid="{00000000-0005-0000-0000-000029530000}"/>
    <cellStyle name="Notas 42 3" xfId="21287" xr:uid="{00000000-0005-0000-0000-00002A530000}"/>
    <cellStyle name="Notas 42 3 2" xfId="21288" xr:uid="{00000000-0005-0000-0000-00002B530000}"/>
    <cellStyle name="Notas 42 4" xfId="21289" xr:uid="{00000000-0005-0000-0000-00002C530000}"/>
    <cellStyle name="Notas 43" xfId="21290" xr:uid="{00000000-0005-0000-0000-00002D530000}"/>
    <cellStyle name="Notas 43 2" xfId="21291" xr:uid="{00000000-0005-0000-0000-00002E530000}"/>
    <cellStyle name="Notas 43 2 2" xfId="21292" xr:uid="{00000000-0005-0000-0000-00002F530000}"/>
    <cellStyle name="Notas 43 2 2 2" xfId="21293" xr:uid="{00000000-0005-0000-0000-000030530000}"/>
    <cellStyle name="Notas 43 2 3" xfId="21294" xr:uid="{00000000-0005-0000-0000-000031530000}"/>
    <cellStyle name="Notas 43 3" xfId="21295" xr:uid="{00000000-0005-0000-0000-000032530000}"/>
    <cellStyle name="Notas 43 3 2" xfId="21296" xr:uid="{00000000-0005-0000-0000-000033530000}"/>
    <cellStyle name="Notas 43 4" xfId="21297" xr:uid="{00000000-0005-0000-0000-000034530000}"/>
    <cellStyle name="Notas 44" xfId="21298" xr:uid="{00000000-0005-0000-0000-000035530000}"/>
    <cellStyle name="Notas 44 2" xfId="21299" xr:uid="{00000000-0005-0000-0000-000036530000}"/>
    <cellStyle name="Notas 44 2 2" xfId="21300" xr:uid="{00000000-0005-0000-0000-000037530000}"/>
    <cellStyle name="Notas 44 3" xfId="21301" xr:uid="{00000000-0005-0000-0000-000038530000}"/>
    <cellStyle name="Notas 45" xfId="21302" xr:uid="{00000000-0005-0000-0000-000039530000}"/>
    <cellStyle name="Notas 45 2" xfId="21303" xr:uid="{00000000-0005-0000-0000-00003A530000}"/>
    <cellStyle name="Notas 45 2 2" xfId="21304" xr:uid="{00000000-0005-0000-0000-00003B530000}"/>
    <cellStyle name="Notas 45 3" xfId="21305" xr:uid="{00000000-0005-0000-0000-00003C530000}"/>
    <cellStyle name="Notas 46" xfId="21306" xr:uid="{00000000-0005-0000-0000-00003D530000}"/>
    <cellStyle name="Notas 46 2" xfId="21307" xr:uid="{00000000-0005-0000-0000-00003E530000}"/>
    <cellStyle name="Notas 46 2 2" xfId="21308" xr:uid="{00000000-0005-0000-0000-00003F530000}"/>
    <cellStyle name="Notas 46 3" xfId="21309" xr:uid="{00000000-0005-0000-0000-000040530000}"/>
    <cellStyle name="Notas 47" xfId="21310" xr:uid="{00000000-0005-0000-0000-000041530000}"/>
    <cellStyle name="Notas 47 2" xfId="21311" xr:uid="{00000000-0005-0000-0000-000042530000}"/>
    <cellStyle name="Notas 47 2 2" xfId="21312" xr:uid="{00000000-0005-0000-0000-000043530000}"/>
    <cellStyle name="Notas 47 3" xfId="21313" xr:uid="{00000000-0005-0000-0000-000044530000}"/>
    <cellStyle name="Notas 48" xfId="21314" xr:uid="{00000000-0005-0000-0000-000045530000}"/>
    <cellStyle name="Notas 48 2" xfId="21315" xr:uid="{00000000-0005-0000-0000-000046530000}"/>
    <cellStyle name="Notas 48 2 2" xfId="21316" xr:uid="{00000000-0005-0000-0000-000047530000}"/>
    <cellStyle name="Notas 48 3" xfId="21317" xr:uid="{00000000-0005-0000-0000-000048530000}"/>
    <cellStyle name="Notas 49" xfId="21318" xr:uid="{00000000-0005-0000-0000-000049530000}"/>
    <cellStyle name="Notas 49 2" xfId="21319" xr:uid="{00000000-0005-0000-0000-00004A530000}"/>
    <cellStyle name="Notas 49 2 2" xfId="21320" xr:uid="{00000000-0005-0000-0000-00004B530000}"/>
    <cellStyle name="Notas 49 3" xfId="21321" xr:uid="{00000000-0005-0000-0000-00004C530000}"/>
    <cellStyle name="Notas 5" xfId="21322" xr:uid="{00000000-0005-0000-0000-00004D530000}"/>
    <cellStyle name="Notas 5 2" xfId="21323" xr:uid="{00000000-0005-0000-0000-00004E530000}"/>
    <cellStyle name="Notas 5 2 2" xfId="21324" xr:uid="{00000000-0005-0000-0000-00004F530000}"/>
    <cellStyle name="Notas 5 2 2 2" xfId="21325" xr:uid="{00000000-0005-0000-0000-000050530000}"/>
    <cellStyle name="Notas 5 2 2 2 2" xfId="21326" xr:uid="{00000000-0005-0000-0000-000051530000}"/>
    <cellStyle name="Notas 5 2 2 2 2 2" xfId="21327" xr:uid="{00000000-0005-0000-0000-000052530000}"/>
    <cellStyle name="Notas 5 2 2 2 3" xfId="21328" xr:uid="{00000000-0005-0000-0000-000053530000}"/>
    <cellStyle name="Notas 5 2 2 3" xfId="21329" xr:uid="{00000000-0005-0000-0000-000054530000}"/>
    <cellStyle name="Notas 5 2 2 3 2" xfId="21330" xr:uid="{00000000-0005-0000-0000-000055530000}"/>
    <cellStyle name="Notas 5 2 2 3 2 2" xfId="21331" xr:uid="{00000000-0005-0000-0000-000056530000}"/>
    <cellStyle name="Notas 5 2 2 3 3" xfId="21332" xr:uid="{00000000-0005-0000-0000-000057530000}"/>
    <cellStyle name="Notas 5 2 2 4" xfId="21333" xr:uid="{00000000-0005-0000-0000-000058530000}"/>
    <cellStyle name="Notas 5 2 2 4 2" xfId="21334" xr:uid="{00000000-0005-0000-0000-000059530000}"/>
    <cellStyle name="Notas 5 2 2 5" xfId="21335" xr:uid="{00000000-0005-0000-0000-00005A530000}"/>
    <cellStyle name="Notas 5 2 3" xfId="21336" xr:uid="{00000000-0005-0000-0000-00005B530000}"/>
    <cellStyle name="Notas 5 2 4" xfId="21337" xr:uid="{00000000-0005-0000-0000-00005C530000}"/>
    <cellStyle name="Notas 5 2 4 2" xfId="21338" xr:uid="{00000000-0005-0000-0000-00005D530000}"/>
    <cellStyle name="Notas 5 2 4 2 2" xfId="21339" xr:uid="{00000000-0005-0000-0000-00005E530000}"/>
    <cellStyle name="Notas 5 2 4 2 2 2" xfId="21340" xr:uid="{00000000-0005-0000-0000-00005F530000}"/>
    <cellStyle name="Notas 5 2 4 2 3" xfId="21341" xr:uid="{00000000-0005-0000-0000-000060530000}"/>
    <cellStyle name="Notas 5 2 4 3" xfId="21342" xr:uid="{00000000-0005-0000-0000-000061530000}"/>
    <cellStyle name="Notas 5 2 4 3 2" xfId="21343" xr:uid="{00000000-0005-0000-0000-000062530000}"/>
    <cellStyle name="Notas 5 2 4 4" xfId="21344" xr:uid="{00000000-0005-0000-0000-000063530000}"/>
    <cellStyle name="Notas 5 2 5" xfId="21345" xr:uid="{00000000-0005-0000-0000-000064530000}"/>
    <cellStyle name="Notas 5 2 5 2" xfId="21346" xr:uid="{00000000-0005-0000-0000-000065530000}"/>
    <cellStyle name="Notas 5 2 5 2 2" xfId="21347" xr:uid="{00000000-0005-0000-0000-000066530000}"/>
    <cellStyle name="Notas 5 2 5 3" xfId="21348" xr:uid="{00000000-0005-0000-0000-000067530000}"/>
    <cellStyle name="Notas 5 2 6" xfId="21349" xr:uid="{00000000-0005-0000-0000-000068530000}"/>
    <cellStyle name="Notas 5 2 6 2" xfId="21350" xr:uid="{00000000-0005-0000-0000-000069530000}"/>
    <cellStyle name="Notas 5 2 7" xfId="21351" xr:uid="{00000000-0005-0000-0000-00006A530000}"/>
    <cellStyle name="Notas 5 3" xfId="21352" xr:uid="{00000000-0005-0000-0000-00006B530000}"/>
    <cellStyle name="Notas 5 3 2" xfId="21353" xr:uid="{00000000-0005-0000-0000-00006C530000}"/>
    <cellStyle name="Notas 5 3 2 2" xfId="21354" xr:uid="{00000000-0005-0000-0000-00006D530000}"/>
    <cellStyle name="Notas 5 3 2 2 2" xfId="21355" xr:uid="{00000000-0005-0000-0000-00006E530000}"/>
    <cellStyle name="Notas 5 3 2 3" xfId="21356" xr:uid="{00000000-0005-0000-0000-00006F530000}"/>
    <cellStyle name="Notas 5 3 3" xfId="21357" xr:uid="{00000000-0005-0000-0000-000070530000}"/>
    <cellStyle name="Notas 5 3 3 2" xfId="21358" xr:uid="{00000000-0005-0000-0000-000071530000}"/>
    <cellStyle name="Notas 5 3 3 2 2" xfId="21359" xr:uid="{00000000-0005-0000-0000-000072530000}"/>
    <cellStyle name="Notas 5 3 3 3" xfId="21360" xr:uid="{00000000-0005-0000-0000-000073530000}"/>
    <cellStyle name="Notas 5 3 4" xfId="21361" xr:uid="{00000000-0005-0000-0000-000074530000}"/>
    <cellStyle name="Notas 5 3 4 2" xfId="21362" xr:uid="{00000000-0005-0000-0000-000075530000}"/>
    <cellStyle name="Notas 5 3 5" xfId="21363" xr:uid="{00000000-0005-0000-0000-000076530000}"/>
    <cellStyle name="Notas 5 4" xfId="21364" xr:uid="{00000000-0005-0000-0000-000077530000}"/>
    <cellStyle name="Notas 5 5" xfId="21365" xr:uid="{00000000-0005-0000-0000-000078530000}"/>
    <cellStyle name="Notas 5 5 2" xfId="21366" xr:uid="{00000000-0005-0000-0000-000079530000}"/>
    <cellStyle name="Notas 5 5 2 2" xfId="21367" xr:uid="{00000000-0005-0000-0000-00007A530000}"/>
    <cellStyle name="Notas 5 5 2 2 2" xfId="21368" xr:uid="{00000000-0005-0000-0000-00007B530000}"/>
    <cellStyle name="Notas 5 5 2 3" xfId="21369" xr:uid="{00000000-0005-0000-0000-00007C530000}"/>
    <cellStyle name="Notas 5 5 3" xfId="21370" xr:uid="{00000000-0005-0000-0000-00007D530000}"/>
    <cellStyle name="Notas 5 5 3 2" xfId="21371" xr:uid="{00000000-0005-0000-0000-00007E530000}"/>
    <cellStyle name="Notas 5 5 4" xfId="21372" xr:uid="{00000000-0005-0000-0000-00007F530000}"/>
    <cellStyle name="Notas 5 6" xfId="21373" xr:uid="{00000000-0005-0000-0000-000080530000}"/>
    <cellStyle name="Notas 5 6 2" xfId="21374" xr:uid="{00000000-0005-0000-0000-000081530000}"/>
    <cellStyle name="Notas 5 6 2 2" xfId="21375" xr:uid="{00000000-0005-0000-0000-000082530000}"/>
    <cellStyle name="Notas 5 6 3" xfId="21376" xr:uid="{00000000-0005-0000-0000-000083530000}"/>
    <cellStyle name="Notas 5 7" xfId="21377" xr:uid="{00000000-0005-0000-0000-000084530000}"/>
    <cellStyle name="Notas 5 7 2" xfId="21378" xr:uid="{00000000-0005-0000-0000-000085530000}"/>
    <cellStyle name="Notas 5 8" xfId="21379" xr:uid="{00000000-0005-0000-0000-000086530000}"/>
    <cellStyle name="Notas 50" xfId="21380" xr:uid="{00000000-0005-0000-0000-000087530000}"/>
    <cellStyle name="Notas 50 2" xfId="21381" xr:uid="{00000000-0005-0000-0000-000088530000}"/>
    <cellStyle name="Notas 50 2 2" xfId="21382" xr:uid="{00000000-0005-0000-0000-000089530000}"/>
    <cellStyle name="Notas 50 3" xfId="21383" xr:uid="{00000000-0005-0000-0000-00008A530000}"/>
    <cellStyle name="Notas 51" xfId="21384" xr:uid="{00000000-0005-0000-0000-00008B530000}"/>
    <cellStyle name="Notas 51 2" xfId="21385" xr:uid="{00000000-0005-0000-0000-00008C530000}"/>
    <cellStyle name="Notas 52" xfId="21386" xr:uid="{00000000-0005-0000-0000-00008D530000}"/>
    <cellStyle name="Notas 52 2" xfId="21387" xr:uid="{00000000-0005-0000-0000-00008E530000}"/>
    <cellStyle name="Notas 53" xfId="21388" xr:uid="{00000000-0005-0000-0000-00008F530000}"/>
    <cellStyle name="Notas 53 2" xfId="21389" xr:uid="{00000000-0005-0000-0000-000090530000}"/>
    <cellStyle name="Notas 54" xfId="21390" xr:uid="{00000000-0005-0000-0000-000091530000}"/>
    <cellStyle name="Notas 54 2" xfId="21391" xr:uid="{00000000-0005-0000-0000-000092530000}"/>
    <cellStyle name="Notas 55" xfId="21392" xr:uid="{00000000-0005-0000-0000-000093530000}"/>
    <cellStyle name="Notas 55 2" xfId="21393" xr:uid="{00000000-0005-0000-0000-000094530000}"/>
    <cellStyle name="Notas 56" xfId="21394" xr:uid="{00000000-0005-0000-0000-000095530000}"/>
    <cellStyle name="Notas 56 2" xfId="21395" xr:uid="{00000000-0005-0000-0000-000096530000}"/>
    <cellStyle name="Notas 57" xfId="21396" xr:uid="{00000000-0005-0000-0000-000097530000}"/>
    <cellStyle name="Notas 57 2" xfId="21397" xr:uid="{00000000-0005-0000-0000-000098530000}"/>
    <cellStyle name="Notas 58" xfId="21398" xr:uid="{00000000-0005-0000-0000-000099530000}"/>
    <cellStyle name="Notas 58 2" xfId="21399" xr:uid="{00000000-0005-0000-0000-00009A530000}"/>
    <cellStyle name="Notas 59" xfId="21400" xr:uid="{00000000-0005-0000-0000-00009B530000}"/>
    <cellStyle name="Notas 59 2" xfId="21401" xr:uid="{00000000-0005-0000-0000-00009C530000}"/>
    <cellStyle name="Notas 6" xfId="21402" xr:uid="{00000000-0005-0000-0000-00009D530000}"/>
    <cellStyle name="Notas 6 2" xfId="21403" xr:uid="{00000000-0005-0000-0000-00009E530000}"/>
    <cellStyle name="Notas 6 2 2" xfId="21404" xr:uid="{00000000-0005-0000-0000-00009F530000}"/>
    <cellStyle name="Notas 6 2 2 2" xfId="21405" xr:uid="{00000000-0005-0000-0000-0000A0530000}"/>
    <cellStyle name="Notas 6 2 2 2 2" xfId="21406" xr:uid="{00000000-0005-0000-0000-0000A1530000}"/>
    <cellStyle name="Notas 6 2 2 2 2 2" xfId="21407" xr:uid="{00000000-0005-0000-0000-0000A2530000}"/>
    <cellStyle name="Notas 6 2 2 2 3" xfId="21408" xr:uid="{00000000-0005-0000-0000-0000A3530000}"/>
    <cellStyle name="Notas 6 2 2 3" xfId="21409" xr:uid="{00000000-0005-0000-0000-0000A4530000}"/>
    <cellStyle name="Notas 6 2 2 3 2" xfId="21410" xr:uid="{00000000-0005-0000-0000-0000A5530000}"/>
    <cellStyle name="Notas 6 2 2 3 2 2" xfId="21411" xr:uid="{00000000-0005-0000-0000-0000A6530000}"/>
    <cellStyle name="Notas 6 2 2 3 3" xfId="21412" xr:uid="{00000000-0005-0000-0000-0000A7530000}"/>
    <cellStyle name="Notas 6 2 2 4" xfId="21413" xr:uid="{00000000-0005-0000-0000-0000A8530000}"/>
    <cellStyle name="Notas 6 2 2 4 2" xfId="21414" xr:uid="{00000000-0005-0000-0000-0000A9530000}"/>
    <cellStyle name="Notas 6 2 2 5" xfId="21415" xr:uid="{00000000-0005-0000-0000-0000AA530000}"/>
    <cellStyle name="Notas 6 2 3" xfId="21416" xr:uid="{00000000-0005-0000-0000-0000AB530000}"/>
    <cellStyle name="Notas 6 2 4" xfId="21417" xr:uid="{00000000-0005-0000-0000-0000AC530000}"/>
    <cellStyle name="Notas 6 2 4 2" xfId="21418" xr:uid="{00000000-0005-0000-0000-0000AD530000}"/>
    <cellStyle name="Notas 6 2 4 2 2" xfId="21419" xr:uid="{00000000-0005-0000-0000-0000AE530000}"/>
    <cellStyle name="Notas 6 2 4 2 2 2" xfId="21420" xr:uid="{00000000-0005-0000-0000-0000AF530000}"/>
    <cellStyle name="Notas 6 2 4 2 3" xfId="21421" xr:uid="{00000000-0005-0000-0000-0000B0530000}"/>
    <cellStyle name="Notas 6 2 4 3" xfId="21422" xr:uid="{00000000-0005-0000-0000-0000B1530000}"/>
    <cellStyle name="Notas 6 2 4 3 2" xfId="21423" xr:uid="{00000000-0005-0000-0000-0000B2530000}"/>
    <cellStyle name="Notas 6 2 4 4" xfId="21424" xr:uid="{00000000-0005-0000-0000-0000B3530000}"/>
    <cellStyle name="Notas 6 2 5" xfId="21425" xr:uid="{00000000-0005-0000-0000-0000B4530000}"/>
    <cellStyle name="Notas 6 2 5 2" xfId="21426" xr:uid="{00000000-0005-0000-0000-0000B5530000}"/>
    <cellStyle name="Notas 6 2 5 2 2" xfId="21427" xr:uid="{00000000-0005-0000-0000-0000B6530000}"/>
    <cellStyle name="Notas 6 2 5 3" xfId="21428" xr:uid="{00000000-0005-0000-0000-0000B7530000}"/>
    <cellStyle name="Notas 6 2 6" xfId="21429" xr:uid="{00000000-0005-0000-0000-0000B8530000}"/>
    <cellStyle name="Notas 6 2 6 2" xfId="21430" xr:uid="{00000000-0005-0000-0000-0000B9530000}"/>
    <cellStyle name="Notas 6 2 7" xfId="21431" xr:uid="{00000000-0005-0000-0000-0000BA530000}"/>
    <cellStyle name="Notas 6 3" xfId="21432" xr:uid="{00000000-0005-0000-0000-0000BB530000}"/>
    <cellStyle name="Notas 6 3 2" xfId="21433" xr:uid="{00000000-0005-0000-0000-0000BC530000}"/>
    <cellStyle name="Notas 6 3 2 2" xfId="21434" xr:uid="{00000000-0005-0000-0000-0000BD530000}"/>
    <cellStyle name="Notas 6 3 2 2 2" xfId="21435" xr:uid="{00000000-0005-0000-0000-0000BE530000}"/>
    <cellStyle name="Notas 6 3 2 3" xfId="21436" xr:uid="{00000000-0005-0000-0000-0000BF530000}"/>
    <cellStyle name="Notas 6 3 3" xfId="21437" xr:uid="{00000000-0005-0000-0000-0000C0530000}"/>
    <cellStyle name="Notas 6 3 3 2" xfId="21438" xr:uid="{00000000-0005-0000-0000-0000C1530000}"/>
    <cellStyle name="Notas 6 3 3 2 2" xfId="21439" xr:uid="{00000000-0005-0000-0000-0000C2530000}"/>
    <cellStyle name="Notas 6 3 3 3" xfId="21440" xr:uid="{00000000-0005-0000-0000-0000C3530000}"/>
    <cellStyle name="Notas 6 3 4" xfId="21441" xr:uid="{00000000-0005-0000-0000-0000C4530000}"/>
    <cellStyle name="Notas 6 3 4 2" xfId="21442" xr:uid="{00000000-0005-0000-0000-0000C5530000}"/>
    <cellStyle name="Notas 6 3 5" xfId="21443" xr:uid="{00000000-0005-0000-0000-0000C6530000}"/>
    <cellStyle name="Notas 6 4" xfId="21444" xr:uid="{00000000-0005-0000-0000-0000C7530000}"/>
    <cellStyle name="Notas 6 5" xfId="21445" xr:uid="{00000000-0005-0000-0000-0000C8530000}"/>
    <cellStyle name="Notas 6 5 2" xfId="21446" xr:uid="{00000000-0005-0000-0000-0000C9530000}"/>
    <cellStyle name="Notas 6 5 2 2" xfId="21447" xr:uid="{00000000-0005-0000-0000-0000CA530000}"/>
    <cellStyle name="Notas 6 5 2 2 2" xfId="21448" xr:uid="{00000000-0005-0000-0000-0000CB530000}"/>
    <cellStyle name="Notas 6 5 2 3" xfId="21449" xr:uid="{00000000-0005-0000-0000-0000CC530000}"/>
    <cellStyle name="Notas 6 5 3" xfId="21450" xr:uid="{00000000-0005-0000-0000-0000CD530000}"/>
    <cellStyle name="Notas 6 5 3 2" xfId="21451" xr:uid="{00000000-0005-0000-0000-0000CE530000}"/>
    <cellStyle name="Notas 6 5 4" xfId="21452" xr:uid="{00000000-0005-0000-0000-0000CF530000}"/>
    <cellStyle name="Notas 6 6" xfId="21453" xr:uid="{00000000-0005-0000-0000-0000D0530000}"/>
    <cellStyle name="Notas 6 6 2" xfId="21454" xr:uid="{00000000-0005-0000-0000-0000D1530000}"/>
    <cellStyle name="Notas 6 6 2 2" xfId="21455" xr:uid="{00000000-0005-0000-0000-0000D2530000}"/>
    <cellStyle name="Notas 6 6 3" xfId="21456" xr:uid="{00000000-0005-0000-0000-0000D3530000}"/>
    <cellStyle name="Notas 6 7" xfId="21457" xr:uid="{00000000-0005-0000-0000-0000D4530000}"/>
    <cellStyle name="Notas 6 7 2" xfId="21458" xr:uid="{00000000-0005-0000-0000-0000D5530000}"/>
    <cellStyle name="Notas 6 8" xfId="21459" xr:uid="{00000000-0005-0000-0000-0000D6530000}"/>
    <cellStyle name="Notas 60" xfId="21460" xr:uid="{00000000-0005-0000-0000-0000D7530000}"/>
    <cellStyle name="Notas 60 2" xfId="21461" xr:uid="{00000000-0005-0000-0000-0000D8530000}"/>
    <cellStyle name="Notas 61" xfId="21462" xr:uid="{00000000-0005-0000-0000-0000D9530000}"/>
    <cellStyle name="Notas 61 2" xfId="21463" xr:uid="{00000000-0005-0000-0000-0000DA530000}"/>
    <cellStyle name="Notas 62" xfId="21464" xr:uid="{00000000-0005-0000-0000-0000DB530000}"/>
    <cellStyle name="Notas 62 2" xfId="21465" xr:uid="{00000000-0005-0000-0000-0000DC530000}"/>
    <cellStyle name="Notas 63" xfId="21466" xr:uid="{00000000-0005-0000-0000-0000DD530000}"/>
    <cellStyle name="Notas 63 2" xfId="21467" xr:uid="{00000000-0005-0000-0000-0000DE530000}"/>
    <cellStyle name="Notas 64" xfId="21468" xr:uid="{00000000-0005-0000-0000-0000DF530000}"/>
    <cellStyle name="Notas 64 2" xfId="21469" xr:uid="{00000000-0005-0000-0000-0000E0530000}"/>
    <cellStyle name="Notas 65" xfId="21470" xr:uid="{00000000-0005-0000-0000-0000E1530000}"/>
    <cellStyle name="Notas 65 2" xfId="21471" xr:uid="{00000000-0005-0000-0000-0000E2530000}"/>
    <cellStyle name="Notas 66" xfId="21472" xr:uid="{00000000-0005-0000-0000-0000E3530000}"/>
    <cellStyle name="Notas 66 2" xfId="21473" xr:uid="{00000000-0005-0000-0000-0000E4530000}"/>
    <cellStyle name="Notas 67" xfId="21474" xr:uid="{00000000-0005-0000-0000-0000E5530000}"/>
    <cellStyle name="Notas 67 2" xfId="21475" xr:uid="{00000000-0005-0000-0000-0000E6530000}"/>
    <cellStyle name="Notas 68" xfId="21476" xr:uid="{00000000-0005-0000-0000-0000E7530000}"/>
    <cellStyle name="Notas 68 2" xfId="21477" xr:uid="{00000000-0005-0000-0000-0000E8530000}"/>
    <cellStyle name="Notas 7" xfId="21478" xr:uid="{00000000-0005-0000-0000-0000E9530000}"/>
    <cellStyle name="Notas 7 2" xfId="21479" xr:uid="{00000000-0005-0000-0000-0000EA530000}"/>
    <cellStyle name="Notas 7 2 2" xfId="21480" xr:uid="{00000000-0005-0000-0000-0000EB530000}"/>
    <cellStyle name="Notas 7 2 2 2" xfId="21481" xr:uid="{00000000-0005-0000-0000-0000EC530000}"/>
    <cellStyle name="Notas 7 2 2 2 2" xfId="21482" xr:uid="{00000000-0005-0000-0000-0000ED530000}"/>
    <cellStyle name="Notas 7 2 2 2 2 2" xfId="21483" xr:uid="{00000000-0005-0000-0000-0000EE530000}"/>
    <cellStyle name="Notas 7 2 2 2 3" xfId="21484" xr:uid="{00000000-0005-0000-0000-0000EF530000}"/>
    <cellStyle name="Notas 7 2 2 3" xfId="21485" xr:uid="{00000000-0005-0000-0000-0000F0530000}"/>
    <cellStyle name="Notas 7 2 2 3 2" xfId="21486" xr:uid="{00000000-0005-0000-0000-0000F1530000}"/>
    <cellStyle name="Notas 7 2 2 4" xfId="21487" xr:uid="{00000000-0005-0000-0000-0000F2530000}"/>
    <cellStyle name="Notas 7 2 3" xfId="21488" xr:uid="{00000000-0005-0000-0000-0000F3530000}"/>
    <cellStyle name="Notas 7 2 3 2" xfId="21489" xr:uid="{00000000-0005-0000-0000-0000F4530000}"/>
    <cellStyle name="Notas 7 2 3 2 2" xfId="21490" xr:uid="{00000000-0005-0000-0000-0000F5530000}"/>
    <cellStyle name="Notas 7 2 3 3" xfId="21491" xr:uid="{00000000-0005-0000-0000-0000F6530000}"/>
    <cellStyle name="Notas 7 2 4" xfId="21492" xr:uid="{00000000-0005-0000-0000-0000F7530000}"/>
    <cellStyle name="Notas 7 2 4 2" xfId="21493" xr:uid="{00000000-0005-0000-0000-0000F8530000}"/>
    <cellStyle name="Notas 7 2 4 2 2" xfId="21494" xr:uid="{00000000-0005-0000-0000-0000F9530000}"/>
    <cellStyle name="Notas 7 2 4 3" xfId="21495" xr:uid="{00000000-0005-0000-0000-0000FA530000}"/>
    <cellStyle name="Notas 7 2 5" xfId="21496" xr:uid="{00000000-0005-0000-0000-0000FB530000}"/>
    <cellStyle name="Notas 7 2 5 2" xfId="21497" xr:uid="{00000000-0005-0000-0000-0000FC530000}"/>
    <cellStyle name="Notas 7 2 6" xfId="21498" xr:uid="{00000000-0005-0000-0000-0000FD530000}"/>
    <cellStyle name="Notas 7 3" xfId="21499" xr:uid="{00000000-0005-0000-0000-0000FE530000}"/>
    <cellStyle name="Notas 7 3 2" xfId="21500" xr:uid="{00000000-0005-0000-0000-0000FF530000}"/>
    <cellStyle name="Notas 7 3 2 2" xfId="21501" xr:uid="{00000000-0005-0000-0000-000000540000}"/>
    <cellStyle name="Notas 7 3 2 2 2" xfId="21502" xr:uid="{00000000-0005-0000-0000-000001540000}"/>
    <cellStyle name="Notas 7 3 2 3" xfId="21503" xr:uid="{00000000-0005-0000-0000-000002540000}"/>
    <cellStyle name="Notas 7 3 3" xfId="21504" xr:uid="{00000000-0005-0000-0000-000003540000}"/>
    <cellStyle name="Notas 7 3 3 2" xfId="21505" xr:uid="{00000000-0005-0000-0000-000004540000}"/>
    <cellStyle name="Notas 7 3 3 2 2" xfId="21506" xr:uid="{00000000-0005-0000-0000-000005540000}"/>
    <cellStyle name="Notas 7 3 3 3" xfId="21507" xr:uid="{00000000-0005-0000-0000-000006540000}"/>
    <cellStyle name="Notas 7 3 4" xfId="21508" xr:uid="{00000000-0005-0000-0000-000007540000}"/>
    <cellStyle name="Notas 7 3 4 2" xfId="21509" xr:uid="{00000000-0005-0000-0000-000008540000}"/>
    <cellStyle name="Notas 7 3 5" xfId="21510" xr:uid="{00000000-0005-0000-0000-000009540000}"/>
    <cellStyle name="Notas 7 4" xfId="21511" xr:uid="{00000000-0005-0000-0000-00000A540000}"/>
    <cellStyle name="Notas 7 4 2" xfId="21512" xr:uid="{00000000-0005-0000-0000-00000B540000}"/>
    <cellStyle name="Notas 7 4 2 2" xfId="21513" xr:uid="{00000000-0005-0000-0000-00000C540000}"/>
    <cellStyle name="Notas 7 4 2 2 2" xfId="21514" xr:uid="{00000000-0005-0000-0000-00000D540000}"/>
    <cellStyle name="Notas 7 4 2 3" xfId="21515" xr:uid="{00000000-0005-0000-0000-00000E540000}"/>
    <cellStyle name="Notas 7 4 3" xfId="21516" xr:uid="{00000000-0005-0000-0000-00000F540000}"/>
    <cellStyle name="Notas 7 4 3 2" xfId="21517" xr:uid="{00000000-0005-0000-0000-000010540000}"/>
    <cellStyle name="Notas 7 4 4" xfId="21518" xr:uid="{00000000-0005-0000-0000-000011540000}"/>
    <cellStyle name="Notas 7 5" xfId="21519" xr:uid="{00000000-0005-0000-0000-000012540000}"/>
    <cellStyle name="Notas 7 5 2" xfId="21520" xr:uid="{00000000-0005-0000-0000-000013540000}"/>
    <cellStyle name="Notas 7 5 2 2" xfId="21521" xr:uid="{00000000-0005-0000-0000-000014540000}"/>
    <cellStyle name="Notas 7 5 3" xfId="21522" xr:uid="{00000000-0005-0000-0000-000015540000}"/>
    <cellStyle name="Notas 7 6" xfId="21523" xr:uid="{00000000-0005-0000-0000-000016540000}"/>
    <cellStyle name="Notas 7 6 2" xfId="21524" xr:uid="{00000000-0005-0000-0000-000017540000}"/>
    <cellStyle name="Notas 7 6 2 2" xfId="21525" xr:uid="{00000000-0005-0000-0000-000018540000}"/>
    <cellStyle name="Notas 7 6 3" xfId="21526" xr:uid="{00000000-0005-0000-0000-000019540000}"/>
    <cellStyle name="Notas 7 7" xfId="21527" xr:uid="{00000000-0005-0000-0000-00001A540000}"/>
    <cellStyle name="Notas 7 7 2" xfId="21528" xr:uid="{00000000-0005-0000-0000-00001B540000}"/>
    <cellStyle name="Notas 7 8" xfId="21529" xr:uid="{00000000-0005-0000-0000-00001C540000}"/>
    <cellStyle name="Notas 8" xfId="21530" xr:uid="{00000000-0005-0000-0000-00001D540000}"/>
    <cellStyle name="Notas 8 2" xfId="21531" xr:uid="{00000000-0005-0000-0000-00001E540000}"/>
    <cellStyle name="Notas 8 2 2" xfId="21532" xr:uid="{00000000-0005-0000-0000-00001F540000}"/>
    <cellStyle name="Notas 8 2 2 2" xfId="21533" xr:uid="{00000000-0005-0000-0000-000020540000}"/>
    <cellStyle name="Notas 8 2 2 2 2" xfId="21534" xr:uid="{00000000-0005-0000-0000-000021540000}"/>
    <cellStyle name="Notas 8 2 2 2 2 2" xfId="21535" xr:uid="{00000000-0005-0000-0000-000022540000}"/>
    <cellStyle name="Notas 8 2 2 2 3" xfId="21536" xr:uid="{00000000-0005-0000-0000-000023540000}"/>
    <cellStyle name="Notas 8 2 2 3" xfId="21537" xr:uid="{00000000-0005-0000-0000-000024540000}"/>
    <cellStyle name="Notas 8 2 2 3 2" xfId="21538" xr:uid="{00000000-0005-0000-0000-000025540000}"/>
    <cellStyle name="Notas 8 2 2 4" xfId="21539" xr:uid="{00000000-0005-0000-0000-000026540000}"/>
    <cellStyle name="Notas 8 2 3" xfId="21540" xr:uid="{00000000-0005-0000-0000-000027540000}"/>
    <cellStyle name="Notas 8 2 3 2" xfId="21541" xr:uid="{00000000-0005-0000-0000-000028540000}"/>
    <cellStyle name="Notas 8 2 3 2 2" xfId="21542" xr:uid="{00000000-0005-0000-0000-000029540000}"/>
    <cellStyle name="Notas 8 2 3 3" xfId="21543" xr:uid="{00000000-0005-0000-0000-00002A540000}"/>
    <cellStyle name="Notas 8 2 4" xfId="21544" xr:uid="{00000000-0005-0000-0000-00002B540000}"/>
    <cellStyle name="Notas 8 2 4 2" xfId="21545" xr:uid="{00000000-0005-0000-0000-00002C540000}"/>
    <cellStyle name="Notas 8 2 4 2 2" xfId="21546" xr:uid="{00000000-0005-0000-0000-00002D540000}"/>
    <cellStyle name="Notas 8 2 4 3" xfId="21547" xr:uid="{00000000-0005-0000-0000-00002E540000}"/>
    <cellStyle name="Notas 8 2 5" xfId="21548" xr:uid="{00000000-0005-0000-0000-00002F540000}"/>
    <cellStyle name="Notas 8 2 5 2" xfId="21549" xr:uid="{00000000-0005-0000-0000-000030540000}"/>
    <cellStyle name="Notas 8 2 6" xfId="21550" xr:uid="{00000000-0005-0000-0000-000031540000}"/>
    <cellStyle name="Notas 8 3" xfId="21551" xr:uid="{00000000-0005-0000-0000-000032540000}"/>
    <cellStyle name="Notas 8 3 2" xfId="21552" xr:uid="{00000000-0005-0000-0000-000033540000}"/>
    <cellStyle name="Notas 8 3 2 2" xfId="21553" xr:uid="{00000000-0005-0000-0000-000034540000}"/>
    <cellStyle name="Notas 8 3 2 2 2" xfId="21554" xr:uid="{00000000-0005-0000-0000-000035540000}"/>
    <cellStyle name="Notas 8 3 2 3" xfId="21555" xr:uid="{00000000-0005-0000-0000-000036540000}"/>
    <cellStyle name="Notas 8 3 3" xfId="21556" xr:uid="{00000000-0005-0000-0000-000037540000}"/>
    <cellStyle name="Notas 8 3 3 2" xfId="21557" xr:uid="{00000000-0005-0000-0000-000038540000}"/>
    <cellStyle name="Notas 8 3 3 2 2" xfId="21558" xr:uid="{00000000-0005-0000-0000-000039540000}"/>
    <cellStyle name="Notas 8 3 3 3" xfId="21559" xr:uid="{00000000-0005-0000-0000-00003A540000}"/>
    <cellStyle name="Notas 8 3 4" xfId="21560" xr:uid="{00000000-0005-0000-0000-00003B540000}"/>
    <cellStyle name="Notas 8 3 4 2" xfId="21561" xr:uid="{00000000-0005-0000-0000-00003C540000}"/>
    <cellStyle name="Notas 8 3 5" xfId="21562" xr:uid="{00000000-0005-0000-0000-00003D540000}"/>
    <cellStyle name="Notas 8 4" xfId="21563" xr:uid="{00000000-0005-0000-0000-00003E540000}"/>
    <cellStyle name="Notas 8 4 2" xfId="21564" xr:uid="{00000000-0005-0000-0000-00003F540000}"/>
    <cellStyle name="Notas 8 4 2 2" xfId="21565" xr:uid="{00000000-0005-0000-0000-000040540000}"/>
    <cellStyle name="Notas 8 4 2 2 2" xfId="21566" xr:uid="{00000000-0005-0000-0000-000041540000}"/>
    <cellStyle name="Notas 8 4 2 3" xfId="21567" xr:uid="{00000000-0005-0000-0000-000042540000}"/>
    <cellStyle name="Notas 8 4 3" xfId="21568" xr:uid="{00000000-0005-0000-0000-000043540000}"/>
    <cellStyle name="Notas 8 4 3 2" xfId="21569" xr:uid="{00000000-0005-0000-0000-000044540000}"/>
    <cellStyle name="Notas 8 4 4" xfId="21570" xr:uid="{00000000-0005-0000-0000-000045540000}"/>
    <cellStyle name="Notas 8 5" xfId="21571" xr:uid="{00000000-0005-0000-0000-000046540000}"/>
    <cellStyle name="Notas 8 5 2" xfId="21572" xr:uid="{00000000-0005-0000-0000-000047540000}"/>
    <cellStyle name="Notas 8 5 2 2" xfId="21573" xr:uid="{00000000-0005-0000-0000-000048540000}"/>
    <cellStyle name="Notas 8 5 3" xfId="21574" xr:uid="{00000000-0005-0000-0000-000049540000}"/>
    <cellStyle name="Notas 8 6" xfId="21575" xr:uid="{00000000-0005-0000-0000-00004A540000}"/>
    <cellStyle name="Notas 8 6 2" xfId="21576" xr:uid="{00000000-0005-0000-0000-00004B540000}"/>
    <cellStyle name="Notas 8 6 2 2" xfId="21577" xr:uid="{00000000-0005-0000-0000-00004C540000}"/>
    <cellStyle name="Notas 8 6 3" xfId="21578" xr:uid="{00000000-0005-0000-0000-00004D540000}"/>
    <cellStyle name="Notas 8 7" xfId="21579" xr:uid="{00000000-0005-0000-0000-00004E540000}"/>
    <cellStyle name="Notas 8 7 2" xfId="21580" xr:uid="{00000000-0005-0000-0000-00004F540000}"/>
    <cellStyle name="Notas 8 8" xfId="21581" xr:uid="{00000000-0005-0000-0000-000050540000}"/>
    <cellStyle name="Notas 9" xfId="21582" xr:uid="{00000000-0005-0000-0000-000051540000}"/>
    <cellStyle name="Notas 9 2" xfId="21583" xr:uid="{00000000-0005-0000-0000-000052540000}"/>
    <cellStyle name="Notas 9 2 2" xfId="21584" xr:uid="{00000000-0005-0000-0000-000053540000}"/>
    <cellStyle name="Notas 9 2 2 2" xfId="21585" xr:uid="{00000000-0005-0000-0000-000054540000}"/>
    <cellStyle name="Notas 9 2 2 2 2" xfId="21586" xr:uid="{00000000-0005-0000-0000-000055540000}"/>
    <cellStyle name="Notas 9 2 2 2 2 2" xfId="21587" xr:uid="{00000000-0005-0000-0000-000056540000}"/>
    <cellStyle name="Notas 9 2 2 2 3" xfId="21588" xr:uid="{00000000-0005-0000-0000-000057540000}"/>
    <cellStyle name="Notas 9 2 2 3" xfId="21589" xr:uid="{00000000-0005-0000-0000-000058540000}"/>
    <cellStyle name="Notas 9 2 2 3 2" xfId="21590" xr:uid="{00000000-0005-0000-0000-000059540000}"/>
    <cellStyle name="Notas 9 2 2 4" xfId="21591" xr:uid="{00000000-0005-0000-0000-00005A540000}"/>
    <cellStyle name="Notas 9 2 3" xfId="21592" xr:uid="{00000000-0005-0000-0000-00005B540000}"/>
    <cellStyle name="Notas 9 2 3 2" xfId="21593" xr:uid="{00000000-0005-0000-0000-00005C540000}"/>
    <cellStyle name="Notas 9 2 3 2 2" xfId="21594" xr:uid="{00000000-0005-0000-0000-00005D540000}"/>
    <cellStyle name="Notas 9 2 3 3" xfId="21595" xr:uid="{00000000-0005-0000-0000-00005E540000}"/>
    <cellStyle name="Notas 9 2 4" xfId="21596" xr:uid="{00000000-0005-0000-0000-00005F540000}"/>
    <cellStyle name="Notas 9 2 4 2" xfId="21597" xr:uid="{00000000-0005-0000-0000-000060540000}"/>
    <cellStyle name="Notas 9 2 4 2 2" xfId="21598" xr:uid="{00000000-0005-0000-0000-000061540000}"/>
    <cellStyle name="Notas 9 2 4 3" xfId="21599" xr:uid="{00000000-0005-0000-0000-000062540000}"/>
    <cellStyle name="Notas 9 2 5" xfId="21600" xr:uid="{00000000-0005-0000-0000-000063540000}"/>
    <cellStyle name="Notas 9 2 5 2" xfId="21601" xr:uid="{00000000-0005-0000-0000-000064540000}"/>
    <cellStyle name="Notas 9 2 6" xfId="21602" xr:uid="{00000000-0005-0000-0000-000065540000}"/>
    <cellStyle name="Notas 9 3" xfId="21603" xr:uid="{00000000-0005-0000-0000-000066540000}"/>
    <cellStyle name="Notas 9 3 2" xfId="21604" xr:uid="{00000000-0005-0000-0000-000067540000}"/>
    <cellStyle name="Notas 9 3 2 2" xfId="21605" xr:uid="{00000000-0005-0000-0000-000068540000}"/>
    <cellStyle name="Notas 9 3 2 2 2" xfId="21606" xr:uid="{00000000-0005-0000-0000-000069540000}"/>
    <cellStyle name="Notas 9 3 2 3" xfId="21607" xr:uid="{00000000-0005-0000-0000-00006A540000}"/>
    <cellStyle name="Notas 9 3 3" xfId="21608" xr:uid="{00000000-0005-0000-0000-00006B540000}"/>
    <cellStyle name="Notas 9 3 3 2" xfId="21609" xr:uid="{00000000-0005-0000-0000-00006C540000}"/>
    <cellStyle name="Notas 9 3 3 2 2" xfId="21610" xr:uid="{00000000-0005-0000-0000-00006D540000}"/>
    <cellStyle name="Notas 9 3 3 3" xfId="21611" xr:uid="{00000000-0005-0000-0000-00006E540000}"/>
    <cellStyle name="Notas 9 3 4" xfId="21612" xr:uid="{00000000-0005-0000-0000-00006F540000}"/>
    <cellStyle name="Notas 9 3 4 2" xfId="21613" xr:uid="{00000000-0005-0000-0000-000070540000}"/>
    <cellStyle name="Notas 9 3 5" xfId="21614" xr:uid="{00000000-0005-0000-0000-000071540000}"/>
    <cellStyle name="Notas 9 4" xfId="21615" xr:uid="{00000000-0005-0000-0000-000072540000}"/>
    <cellStyle name="Notas 9 4 2" xfId="21616" xr:uid="{00000000-0005-0000-0000-000073540000}"/>
    <cellStyle name="Notas 9 4 2 2" xfId="21617" xr:uid="{00000000-0005-0000-0000-000074540000}"/>
    <cellStyle name="Notas 9 4 2 2 2" xfId="21618" xr:uid="{00000000-0005-0000-0000-000075540000}"/>
    <cellStyle name="Notas 9 4 2 3" xfId="21619" xr:uid="{00000000-0005-0000-0000-000076540000}"/>
    <cellStyle name="Notas 9 4 3" xfId="21620" xr:uid="{00000000-0005-0000-0000-000077540000}"/>
    <cellStyle name="Notas 9 4 3 2" xfId="21621" xr:uid="{00000000-0005-0000-0000-000078540000}"/>
    <cellStyle name="Notas 9 4 4" xfId="21622" xr:uid="{00000000-0005-0000-0000-000079540000}"/>
    <cellStyle name="Notas 9 5" xfId="21623" xr:uid="{00000000-0005-0000-0000-00007A540000}"/>
    <cellStyle name="Notas 9 5 2" xfId="21624" xr:uid="{00000000-0005-0000-0000-00007B540000}"/>
    <cellStyle name="Notas 9 5 2 2" xfId="21625" xr:uid="{00000000-0005-0000-0000-00007C540000}"/>
    <cellStyle name="Notas 9 5 3" xfId="21626" xr:uid="{00000000-0005-0000-0000-00007D540000}"/>
    <cellStyle name="Notas 9 6" xfId="21627" xr:uid="{00000000-0005-0000-0000-00007E540000}"/>
    <cellStyle name="Notas 9 6 2" xfId="21628" xr:uid="{00000000-0005-0000-0000-00007F540000}"/>
    <cellStyle name="Notas 9 6 2 2" xfId="21629" xr:uid="{00000000-0005-0000-0000-000080540000}"/>
    <cellStyle name="Notas 9 6 3" xfId="21630" xr:uid="{00000000-0005-0000-0000-000081540000}"/>
    <cellStyle name="Notas 9 7" xfId="21631" xr:uid="{00000000-0005-0000-0000-000082540000}"/>
    <cellStyle name="Notas 9 7 2" xfId="21632" xr:uid="{00000000-0005-0000-0000-000083540000}"/>
    <cellStyle name="Notas 9 8" xfId="21633" xr:uid="{00000000-0005-0000-0000-000084540000}"/>
    <cellStyle name="Porcentaje" xfId="2" builtinId="5"/>
    <cellStyle name="Porcentaje 10" xfId="21634" xr:uid="{00000000-0005-0000-0000-000085540000}"/>
    <cellStyle name="Porcentaje 11" xfId="21635" xr:uid="{00000000-0005-0000-0000-000086540000}"/>
    <cellStyle name="Porcentaje 12" xfId="21636" xr:uid="{00000000-0005-0000-0000-000087540000}"/>
    <cellStyle name="Porcentaje 13" xfId="21637" xr:uid="{00000000-0005-0000-0000-000088540000}"/>
    <cellStyle name="Porcentaje 13 2" xfId="21692" xr:uid="{45C2FC77-72C2-442B-B9E6-B170BE609AEE}"/>
    <cellStyle name="Porcentaje 2" xfId="21638" xr:uid="{00000000-0005-0000-0000-000089540000}"/>
    <cellStyle name="Porcentaje 2 2" xfId="21639" xr:uid="{00000000-0005-0000-0000-00008A540000}"/>
    <cellStyle name="Porcentaje 2 2 2" xfId="21640" xr:uid="{00000000-0005-0000-0000-00008B540000}"/>
    <cellStyle name="Porcentaje 2 2 2 2" xfId="21641" xr:uid="{00000000-0005-0000-0000-00008C540000}"/>
    <cellStyle name="Porcentaje 2 2 2 2 2" xfId="21642" xr:uid="{00000000-0005-0000-0000-00008D540000}"/>
    <cellStyle name="Porcentaje 2 2 2 3" xfId="21643" xr:uid="{00000000-0005-0000-0000-00008E540000}"/>
    <cellStyle name="Porcentaje 2 2 3" xfId="21644" xr:uid="{00000000-0005-0000-0000-00008F540000}"/>
    <cellStyle name="Porcentaje 2 2 3 2" xfId="21645" xr:uid="{00000000-0005-0000-0000-000090540000}"/>
    <cellStyle name="Porcentaje 2 2 4" xfId="21646" xr:uid="{00000000-0005-0000-0000-000091540000}"/>
    <cellStyle name="Porcentaje 2 3" xfId="21647" xr:uid="{00000000-0005-0000-0000-000092540000}"/>
    <cellStyle name="Porcentaje 2 3 2" xfId="21648" xr:uid="{00000000-0005-0000-0000-000093540000}"/>
    <cellStyle name="Porcentaje 2 3 2 2" xfId="21649" xr:uid="{00000000-0005-0000-0000-000094540000}"/>
    <cellStyle name="Porcentaje 2 3 3" xfId="21650" xr:uid="{00000000-0005-0000-0000-000095540000}"/>
    <cellStyle name="Porcentaje 2 4" xfId="21651" xr:uid="{00000000-0005-0000-0000-000096540000}"/>
    <cellStyle name="Porcentaje 2 4 2" xfId="21652" xr:uid="{00000000-0005-0000-0000-000097540000}"/>
    <cellStyle name="Porcentaje 2 5" xfId="21653" xr:uid="{00000000-0005-0000-0000-000098540000}"/>
    <cellStyle name="Porcentaje 3" xfId="21654" xr:uid="{00000000-0005-0000-0000-000099540000}"/>
    <cellStyle name="Porcentaje 3 2" xfId="21655" xr:uid="{00000000-0005-0000-0000-00009A540000}"/>
    <cellStyle name="Porcentaje 3 2 2" xfId="21656" xr:uid="{00000000-0005-0000-0000-00009B540000}"/>
    <cellStyle name="Porcentaje 3 2 2 2" xfId="21657" xr:uid="{00000000-0005-0000-0000-00009C540000}"/>
    <cellStyle name="Porcentaje 3 2 3" xfId="21658" xr:uid="{00000000-0005-0000-0000-00009D540000}"/>
    <cellStyle name="Porcentaje 3 3" xfId="21659" xr:uid="{00000000-0005-0000-0000-00009E540000}"/>
    <cellStyle name="Porcentaje 3 3 2" xfId="21660" xr:uid="{00000000-0005-0000-0000-00009F540000}"/>
    <cellStyle name="Porcentaje 3 4" xfId="21661" xr:uid="{00000000-0005-0000-0000-0000A0540000}"/>
    <cellStyle name="Porcentaje 4" xfId="21662" xr:uid="{00000000-0005-0000-0000-0000A1540000}"/>
    <cellStyle name="Porcentaje 4 2" xfId="21663" xr:uid="{00000000-0005-0000-0000-0000A2540000}"/>
    <cellStyle name="Porcentaje 4 2 2" xfId="21664" xr:uid="{00000000-0005-0000-0000-0000A3540000}"/>
    <cellStyle name="Porcentaje 4 2 2 2" xfId="21665" xr:uid="{00000000-0005-0000-0000-0000A4540000}"/>
    <cellStyle name="Porcentaje 4 2 3" xfId="21666" xr:uid="{00000000-0005-0000-0000-0000A5540000}"/>
    <cellStyle name="Porcentaje 4 3" xfId="21667" xr:uid="{00000000-0005-0000-0000-0000A6540000}"/>
    <cellStyle name="Porcentaje 4 3 2" xfId="21668" xr:uid="{00000000-0005-0000-0000-0000A7540000}"/>
    <cellStyle name="Porcentaje 4 4" xfId="21669" xr:uid="{00000000-0005-0000-0000-0000A8540000}"/>
    <cellStyle name="Porcentaje 5" xfId="21670" xr:uid="{00000000-0005-0000-0000-0000A9540000}"/>
    <cellStyle name="Porcentaje 5 2" xfId="21671" xr:uid="{00000000-0005-0000-0000-0000AA540000}"/>
    <cellStyle name="Porcentaje 5 2 2" xfId="21672" xr:uid="{00000000-0005-0000-0000-0000AB540000}"/>
    <cellStyle name="Porcentaje 5 3" xfId="21673" xr:uid="{00000000-0005-0000-0000-0000AC540000}"/>
    <cellStyle name="Porcentaje 6" xfId="21674" xr:uid="{00000000-0005-0000-0000-0000AD540000}"/>
    <cellStyle name="Porcentaje 6 2" xfId="21675" xr:uid="{00000000-0005-0000-0000-0000AE540000}"/>
    <cellStyle name="Porcentaje 7" xfId="21676" xr:uid="{00000000-0005-0000-0000-0000AF540000}"/>
    <cellStyle name="Porcentaje 7 2" xfId="21677" xr:uid="{00000000-0005-0000-0000-0000B0540000}"/>
    <cellStyle name="Porcentaje 8" xfId="21678" xr:uid="{00000000-0005-0000-0000-0000B1540000}"/>
    <cellStyle name="Porcentaje 8 2" xfId="21679" xr:uid="{00000000-0005-0000-0000-0000B2540000}"/>
    <cellStyle name="Porcentaje 9" xfId="21680" xr:uid="{00000000-0005-0000-0000-0000B3540000}"/>
    <cellStyle name="Porcentaje 9 2" xfId="21681" xr:uid="{00000000-0005-0000-0000-0000B4540000}"/>
    <cellStyle name="Porcentual 2" xfId="21682" xr:uid="{00000000-0005-0000-0000-0000B5540000}"/>
    <cellStyle name="Porcentual 2 2" xfId="21683" xr:uid="{00000000-0005-0000-0000-0000B6540000}"/>
    <cellStyle name="Porcentual 2 2 2" xfId="21684" xr:uid="{00000000-0005-0000-0000-0000B7540000}"/>
    <cellStyle name="Porcentual 2 2 3" xfId="21685" xr:uid="{00000000-0005-0000-0000-0000B8540000}"/>
    <cellStyle name="Porcentual 2 3" xfId="21686" xr:uid="{00000000-0005-0000-0000-0000B9540000}"/>
    <cellStyle name="Porcentual 2 4" xfId="21687" xr:uid="{00000000-0005-0000-0000-0000BA540000}"/>
    <cellStyle name="Porcentual 3" xfId="21688" xr:uid="{00000000-0005-0000-0000-0000BB540000}"/>
    <cellStyle name="Porcentual 3 2" xfId="21689" xr:uid="{00000000-0005-0000-0000-0000BC540000}"/>
  </cellStyles>
  <dxfs count="0"/>
  <tableStyles count="0" defaultTableStyle="TableStyleMedium2" defaultPivotStyle="PivotStyleLight16"/>
  <colors>
    <indexedColors>
      <rgbColor rgb="FF000000"/>
      <rgbColor rgb="FFFFFFFF"/>
      <rgbColor rgb="FFFF0000"/>
      <rgbColor rgb="FF00FF00"/>
      <rgbColor rgb="FF0000FF"/>
      <rgbColor rgb="FFFFFF00"/>
      <rgbColor rgb="FFF2DCDB"/>
      <rgbColor rgb="FF00FF99"/>
      <rgbColor rgb="FFC00000"/>
      <rgbColor rgb="FF008000"/>
      <rgbColor rgb="FF002060"/>
      <rgbColor rgb="FF4F6228"/>
      <rgbColor rgb="FF800080"/>
      <rgbColor rgb="FFB9CDE5"/>
      <rgbColor rgb="FFCCC1DA"/>
      <rgbColor rgb="FF808080"/>
      <rgbColor rgb="FFB3A2C7"/>
      <rgbColor rgb="FF7030A0"/>
      <rgbColor rgb="FFFFFFCC"/>
      <rgbColor rgb="FFDBEEF4"/>
      <rgbColor rgb="FFEEECE1"/>
      <rgbColor rgb="FFE6B9B8"/>
      <rgbColor rgb="FF0070C0"/>
      <rgbColor rgb="FFCCCCFF"/>
      <rgbColor rgb="FFF2F2F2"/>
      <rgbColor rgb="FFE6E0EC"/>
      <rgbColor rgb="FFFCD5B5"/>
      <rgbColor rgb="FFB7DEE8"/>
      <rgbColor rgb="FFDCE6F2"/>
      <rgbColor rgb="FFFDEADA"/>
      <rgbColor rgb="FFC3D69B"/>
      <rgbColor rgb="FFEDEDED"/>
      <rgbColor rgb="FF00B0F0"/>
      <rgbColor rgb="FFE3ECF8"/>
      <rgbColor rgb="FFCCFFCC"/>
      <rgbColor rgb="FFFFFF99"/>
      <rgbColor rgb="FFB8D0ED"/>
      <rgbColor rgb="FFFF99CC"/>
      <rgbColor rgb="FFCC99FF"/>
      <rgbColor rgb="FFFAC090"/>
      <rgbColor rgb="FF3172C4"/>
      <rgbColor rgb="FFB2B2B2"/>
      <rgbColor rgb="FF92D050"/>
      <rgbColor rgb="FFFFC000"/>
      <rgbColor rgb="FFFF9900"/>
      <rgbColor rgb="FFFC7E00"/>
      <rgbColor rgb="FF7F7F7F"/>
      <rgbColor rgb="FF878787"/>
      <rgbColor rgb="FF17375E"/>
      <rgbColor rgb="FFA6A6A6"/>
      <rgbColor rgb="FFEBF1DE"/>
      <rgbColor rgb="FFD9E1F2"/>
      <rgbColor rgb="FFD7E4BD"/>
      <rgbColor rgb="FFDDD9C3"/>
      <rgbColor rgb="FF1F3864"/>
      <rgbColor rgb="FF4A45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PE" sz="1800" b="1" strike="noStrike" spc="-1">
                <a:solidFill>
                  <a:srgbClr val="000000"/>
                </a:solidFill>
                <a:latin typeface="Calibri"/>
              </a:rPr>
              <a:t>Caja final por año (miles de S/)</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P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Resumen!$C$4:$K$4</c:f>
              <c:numCache>
                <c:formatCode>0</c:formatCode>
                <c:ptCount val="9"/>
                <c:pt idx="0">
                  <c:v>2026</c:v>
                </c:pt>
                <c:pt idx="1">
                  <c:v>2027</c:v>
                </c:pt>
                <c:pt idx="2">
                  <c:v>2028</c:v>
                </c:pt>
                <c:pt idx="3">
                  <c:v>2029</c:v>
                </c:pt>
                <c:pt idx="4">
                  <c:v>2030</c:v>
                </c:pt>
                <c:pt idx="5">
                  <c:v>2031</c:v>
                </c:pt>
                <c:pt idx="6">
                  <c:v>2032</c:v>
                </c:pt>
                <c:pt idx="7">
                  <c:v>2033</c:v>
                </c:pt>
                <c:pt idx="8">
                  <c:v>2034</c:v>
                </c:pt>
              </c:numCache>
            </c:numRef>
          </c:cat>
          <c:val>
            <c:numRef>
              <c:f>Resumen!$C$13:$K$13</c:f>
              <c:numCache>
                <c:formatCode>#,##0;[Red]\(#,##0\);\-</c:formatCode>
                <c:ptCount val="9"/>
                <c:pt idx="0">
                  <c:v>-9223.1308224102431</c:v>
                </c:pt>
                <c:pt idx="1">
                  <c:v>-16944.451277479297</c:v>
                </c:pt>
                <c:pt idx="2">
                  <c:v>-22777.215474245222</c:v>
                </c:pt>
                <c:pt idx="3">
                  <c:v>-25186.189036407835</c:v>
                </c:pt>
                <c:pt idx="4">
                  <c:v>-20588.139005985417</c:v>
                </c:pt>
                <c:pt idx="5">
                  <c:v>-10979.195210034908</c:v>
                </c:pt>
                <c:pt idx="6">
                  <c:v>3981.1473281128201</c:v>
                </c:pt>
                <c:pt idx="7">
                  <c:v>25390.349298699552</c:v>
                </c:pt>
                <c:pt idx="8">
                  <c:v>54304.159427349099</c:v>
                </c:pt>
              </c:numCache>
            </c:numRef>
          </c:val>
          <c:extLst>
            <c:ext xmlns:c16="http://schemas.microsoft.com/office/drawing/2014/chart" uri="{C3380CC4-5D6E-409C-BE32-E72D297353CC}">
              <c16:uniqueId val="{00000000-C7E9-4C81-BBE9-31111E521C54}"/>
            </c:ext>
          </c:extLst>
        </c:ser>
        <c:dLbls>
          <c:showLegendKey val="0"/>
          <c:showVal val="0"/>
          <c:showCatName val="0"/>
          <c:showSerName val="0"/>
          <c:showPercent val="0"/>
          <c:showBubbleSize val="0"/>
        </c:dLbls>
        <c:gapWidth val="150"/>
        <c:axId val="74431157"/>
        <c:axId val="93964316"/>
      </c:barChart>
      <c:catAx>
        <c:axId val="7443115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E"/>
          </a:p>
        </c:txPr>
        <c:crossAx val="93964316"/>
        <c:crosses val="autoZero"/>
        <c:auto val="1"/>
        <c:lblAlgn val="ctr"/>
        <c:lblOffset val="100"/>
        <c:noMultiLvlLbl val="0"/>
      </c:catAx>
      <c:valAx>
        <c:axId val="93964316"/>
        <c:scaling>
          <c:orientation val="minMax"/>
        </c:scaling>
        <c:delete val="0"/>
        <c:axPos val="l"/>
        <c:majorGridlines>
          <c:spPr>
            <a:ln w="9360">
              <a:solidFill>
                <a:srgbClr val="878787"/>
              </a:solidFill>
              <a:round/>
            </a:ln>
          </c:spPr>
        </c:majorGridlines>
        <c:numFmt formatCode="#,##0;[Red]\(#,##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PE"/>
          </a:p>
        </c:txPr>
        <c:crossAx val="744311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131040</xdr:rowOff>
    </xdr:from>
    <xdr:to>
      <xdr:col>8</xdr:col>
      <xdr:colOff>236880</xdr:colOff>
      <xdr:row>29</xdr:row>
      <xdr:rowOff>163440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B9F359-ECB7-4A05-ADB3-D6293D93881E}">
  <we:reference id="WA200005502" version="1.0.0.13" store="Omex" storeType="OMEX"/>
  <we:alternateReferences>
    <we:reference id="WA200005502" version="1.0.0.13" store="WA200005502" storeType="OMEX"/>
  </we:alternateReferences>
  <we:properties>
    <we:property name="docId" value="&quot;whtpTgKV7KdRd7OTOt3SR&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L87"/>
  <sheetViews>
    <sheetView showGridLines="0" zoomScaleNormal="100" workbookViewId="0"/>
  </sheetViews>
  <sheetFormatPr baseColWidth="10" defaultColWidth="8.6640625" defaultRowHeight="13.2" x14ac:dyDescent="0.25"/>
  <cols>
    <col min="1" max="1" width="34" customWidth="1"/>
    <col min="2" max="2" width="3" customWidth="1"/>
    <col min="3" max="12" width="12" customWidth="1"/>
  </cols>
  <sheetData>
    <row r="1" spans="1:12" ht="21" x14ac:dyDescent="0.4">
      <c r="A1" s="10" t="s">
        <v>0</v>
      </c>
    </row>
    <row r="2" spans="1:12" ht="13.8" x14ac:dyDescent="0.3">
      <c r="A2" s="294" t="s">
        <v>459</v>
      </c>
    </row>
    <row r="4" spans="1:12" ht="13.8" x14ac:dyDescent="0.3">
      <c r="A4" s="12" t="s">
        <v>1</v>
      </c>
      <c r="B4" s="13"/>
      <c r="C4" s="14">
        <f>'Flujo Anual'!C4</f>
        <v>2026</v>
      </c>
      <c r="D4" s="14">
        <f>'Flujo Anual'!D4</f>
        <v>2027</v>
      </c>
      <c r="E4" s="14">
        <f>'Flujo Anual'!E4</f>
        <v>2028</v>
      </c>
      <c r="F4" s="14">
        <f>'Flujo Anual'!F4</f>
        <v>2029</v>
      </c>
      <c r="G4" s="14">
        <f>'Flujo Anual'!G4</f>
        <v>2030</v>
      </c>
      <c r="H4" s="14">
        <f>'Flujo Anual'!H4</f>
        <v>2031</v>
      </c>
      <c r="I4" s="14">
        <f>'Flujo Anual'!I4</f>
        <v>2032</v>
      </c>
      <c r="J4" s="14">
        <f>'Flujo Anual'!J4</f>
        <v>2033</v>
      </c>
      <c r="K4" s="14">
        <f>'Flujo Anual'!K4</f>
        <v>2034</v>
      </c>
      <c r="L4" s="15" t="s">
        <v>2</v>
      </c>
    </row>
    <row r="5" spans="1:12" ht="13.8" x14ac:dyDescent="0.3">
      <c r="A5" s="16" t="s">
        <v>3</v>
      </c>
      <c r="C5" s="17">
        <f>'Flujo Anual'!C7</f>
        <v>140027.5129244368</v>
      </c>
      <c r="D5" s="17">
        <f>'Flujo Anual'!D7</f>
        <v>170243.83154984997</v>
      </c>
      <c r="E5" s="17">
        <f>'Flujo Anual'!E7</f>
        <v>199056.11099773319</v>
      </c>
      <c r="F5" s="17">
        <f>'Flujo Anual'!F7</f>
        <v>231900.36931235914</v>
      </c>
      <c r="G5" s="17">
        <f>'Flujo Anual'!G7</f>
        <v>269004.42840233655</v>
      </c>
      <c r="H5" s="17">
        <f>'Flujo Anual'!H7</f>
        <v>310700.11480469879</v>
      </c>
      <c r="I5" s="17">
        <f>'Flujo Anual'!I7</f>
        <v>354198.13087735669</v>
      </c>
      <c r="J5" s="17">
        <f>'Flujo Anual'!J7</f>
        <v>403785.86920018663</v>
      </c>
      <c r="K5" s="17">
        <f>'Flujo Anual'!K7</f>
        <v>460315.89088821277</v>
      </c>
      <c r="L5" s="17">
        <f>'Flujo Anual'!L7</f>
        <v>2539232.2589571704</v>
      </c>
    </row>
    <row r="6" spans="1:12" ht="13.8" x14ac:dyDescent="0.3">
      <c r="A6" s="16" t="s">
        <v>4</v>
      </c>
      <c r="C6" s="17">
        <f>'Flujo Anual'!C13</f>
        <v>135832.09247967025</v>
      </c>
      <c r="D6" s="17">
        <f>'Flujo Anual'!D13</f>
        <v>167690.26707425073</v>
      </c>
      <c r="E6" s="17">
        <f>'Flujo Anual'!E13</f>
        <v>196375.92456022062</v>
      </c>
      <c r="F6" s="17">
        <f>'Flujo Anual'!F13</f>
        <v>229024.28098833811</v>
      </c>
      <c r="G6" s="17">
        <f>'Flujo Anual'!G13</f>
        <v>265954.051727326</v>
      </c>
      <c r="H6" s="17">
        <f>'Flujo Anual'!H13</f>
        <v>307507.29663547216</v>
      </c>
      <c r="I6" s="17">
        <f>'Flujo Anual'!I13</f>
        <v>350980.95667442429</v>
      </c>
      <c r="J6" s="17">
        <f>'Flujo Anual'!J13</f>
        <v>400522.07647804386</v>
      </c>
      <c r="K6" s="17">
        <f>'Flujo Anual'!K13</f>
        <v>457055.48307585827</v>
      </c>
      <c r="L6" s="17">
        <f>'Flujo Anual'!L13</f>
        <v>2510942.4296936039</v>
      </c>
    </row>
    <row r="7" spans="1:12" ht="13.8" x14ac:dyDescent="0.3">
      <c r="A7" s="16" t="s">
        <v>5</v>
      </c>
      <c r="C7" s="17">
        <f>'Flujo Anual'!C23</f>
        <v>142200.85450132299</v>
      </c>
      <c r="D7" s="17">
        <f>'Flujo Anual'!D23</f>
        <v>170708.59420175513</v>
      </c>
      <c r="E7" s="17">
        <f>'Flujo Anual'!E23</f>
        <v>197120.66937572308</v>
      </c>
      <c r="F7" s="17">
        <f>'Flujo Anual'!F23</f>
        <v>226509.94840060227</v>
      </c>
      <c r="G7" s="17">
        <f>'Flujo Anual'!G23</f>
        <v>259338.43854539053</v>
      </c>
      <c r="H7" s="17">
        <f>'Flujo Anual'!H23</f>
        <v>295434.52785623615</v>
      </c>
      <c r="I7" s="17">
        <f>'Flujo Anual'!I23</f>
        <v>333273.36100930726</v>
      </c>
      <c r="J7" s="17">
        <f>'Flujo Anual'!J23</f>
        <v>376121.74928234372</v>
      </c>
      <c r="K7" s="17">
        <f>'Flujo Anual'!K23</f>
        <v>425173.89800604782</v>
      </c>
      <c r="L7" s="17">
        <f>'Flujo Anual'!L23</f>
        <v>2425882.0411787289</v>
      </c>
    </row>
    <row r="8" spans="1:12" ht="13.8" x14ac:dyDescent="0.3">
      <c r="A8" s="18" t="s">
        <v>6</v>
      </c>
      <c r="B8" s="19"/>
      <c r="C8" s="20">
        <f>'Flujo Anual'!C25</f>
        <v>-6368.7620216527675</v>
      </c>
      <c r="D8" s="20">
        <f>'Flujo Anual'!D25</f>
        <v>-3018.3271275044171</v>
      </c>
      <c r="E8" s="20">
        <f>'Flujo Anual'!E25</f>
        <v>-744.74481550243036</v>
      </c>
      <c r="F8" s="20">
        <f>'Flujo Anual'!F25</f>
        <v>2514.3325877358093</v>
      </c>
      <c r="G8" s="20">
        <f>'Flujo Anual'!G25</f>
        <v>6615.6131819354923</v>
      </c>
      <c r="H8" s="20">
        <f>'Flujo Anual'!H25</f>
        <v>12072.76877923603</v>
      </c>
      <c r="I8" s="20">
        <f>'Flujo Anual'!I25</f>
        <v>17707.595665117053</v>
      </c>
      <c r="J8" s="20">
        <f>'Flujo Anual'!J25</f>
        <v>24400.327195700203</v>
      </c>
      <c r="K8" s="20">
        <f>'Flujo Anual'!K25</f>
        <v>31881.585069810524</v>
      </c>
      <c r="L8" s="20">
        <f>'Flujo Anual'!L25</f>
        <v>85060.388514875493</v>
      </c>
    </row>
    <row r="9" spans="1:12" ht="13.8" x14ac:dyDescent="0.3">
      <c r="A9" s="16" t="s">
        <v>7</v>
      </c>
      <c r="C9" s="17">
        <f>'Flujo Anual'!C29</f>
        <v>2070</v>
      </c>
      <c r="D9" s="17">
        <f>'Flujo Anual'!D29</f>
        <v>1440</v>
      </c>
      <c r="E9" s="17">
        <f>'Flujo Anual'!E29</f>
        <v>570</v>
      </c>
      <c r="F9" s="17">
        <f>'Flujo Anual'!F29</f>
        <v>0</v>
      </c>
      <c r="G9" s="17">
        <f>'Flujo Anual'!G29</f>
        <v>200</v>
      </c>
      <c r="H9" s="17">
        <f>'Flujo Anual'!H29</f>
        <v>1050</v>
      </c>
      <c r="I9" s="17">
        <f>'Flujo Anual'!I29</f>
        <v>0</v>
      </c>
      <c r="J9" s="17">
        <f>'Flujo Anual'!J29</f>
        <v>0</v>
      </c>
      <c r="K9" s="17">
        <f>'Flujo Anual'!K29</f>
        <v>0</v>
      </c>
      <c r="L9" s="17">
        <f>'Flujo Anual'!L29</f>
        <v>5330</v>
      </c>
    </row>
    <row r="10" spans="1:12" ht="13.8" x14ac:dyDescent="0.3">
      <c r="A10" s="16" t="s">
        <v>8</v>
      </c>
      <c r="C10" s="17">
        <f>'Flujo Anual'!C40</f>
        <v>2854.3688007574747</v>
      </c>
      <c r="D10" s="17">
        <f>'Flujo Anual'!D40</f>
        <v>4702.9933275646345</v>
      </c>
      <c r="E10" s="17">
        <f>'Flujo Anual'!E40</f>
        <v>5088.0193812634989</v>
      </c>
      <c r="F10" s="17">
        <f>'Flujo Anual'!F40</f>
        <v>4923.306149898428</v>
      </c>
      <c r="G10" s="17">
        <f>'Flujo Anual'!G40</f>
        <v>2017.5631515130713</v>
      </c>
      <c r="H10" s="17">
        <f>'Flujo Anual'!H40</f>
        <v>2463.8249832855204</v>
      </c>
      <c r="I10" s="17">
        <f>'Flujo Anual'!I40</f>
        <v>2747.2531269693259</v>
      </c>
      <c r="J10" s="17">
        <f>'Flujo Anual'!J40</f>
        <v>2991.1252251134724</v>
      </c>
      <c r="K10" s="17">
        <f>'Flujo Anual'!K40</f>
        <v>2967.7749411609748</v>
      </c>
      <c r="L10" s="17">
        <f>'Flujo Anual'!L40</f>
        <v>30756.229087526401</v>
      </c>
    </row>
    <row r="11" spans="1:12" ht="13.8" x14ac:dyDescent="0.3">
      <c r="A11" s="16" t="s">
        <v>9</v>
      </c>
      <c r="C11" s="17">
        <f>'Flujo Anual'!C32</f>
        <v>2070</v>
      </c>
      <c r="D11" s="17">
        <f>'Flujo Anual'!D32</f>
        <v>1440</v>
      </c>
      <c r="E11" s="17">
        <f>'Flujo Anual'!E32</f>
        <v>570</v>
      </c>
      <c r="F11" s="17">
        <f>'Flujo Anual'!F32</f>
        <v>0</v>
      </c>
      <c r="G11" s="17">
        <f>'Flujo Anual'!G32</f>
        <v>200</v>
      </c>
      <c r="H11" s="17">
        <f>'Flujo Anual'!H32</f>
        <v>1050</v>
      </c>
      <c r="I11" s="17">
        <f>'Flujo Anual'!I32</f>
        <v>0</v>
      </c>
      <c r="J11" s="17">
        <f>'Flujo Anual'!J32</f>
        <v>0</v>
      </c>
      <c r="K11" s="17">
        <f>'Flujo Anual'!K32</f>
        <v>0</v>
      </c>
      <c r="L11" s="17">
        <f>'Flujo Anual'!L32</f>
        <v>5330</v>
      </c>
    </row>
    <row r="12" spans="1:12" ht="13.8" x14ac:dyDescent="0.3">
      <c r="A12" s="18" t="s">
        <v>10</v>
      </c>
      <c r="B12" s="19"/>
      <c r="C12" s="20">
        <f>'Flujo Anual'!C43</f>
        <v>-9223.1308224102431</v>
      </c>
      <c r="D12" s="20">
        <f>'Flujo Anual'!D43</f>
        <v>-7721.3204550690498</v>
      </c>
      <c r="E12" s="20">
        <f>'Flujo Anual'!E43</f>
        <v>-5832.7641967659292</v>
      </c>
      <c r="F12" s="20">
        <f>'Flujo Anual'!F43</f>
        <v>-2408.9735621626187</v>
      </c>
      <c r="G12" s="20">
        <f>'Flujo Anual'!G43</f>
        <v>4598.0500304224197</v>
      </c>
      <c r="H12" s="20">
        <f>'Flujo Anual'!H43</f>
        <v>9608.9437959505085</v>
      </c>
      <c r="I12" s="20">
        <f>'Flujo Anual'!I43</f>
        <v>14960.342538147726</v>
      </c>
      <c r="J12" s="20">
        <f>'Flujo Anual'!J43</f>
        <v>21409.201970586731</v>
      </c>
      <c r="K12" s="20">
        <f>'Flujo Anual'!K43</f>
        <v>28913.810128649551</v>
      </c>
      <c r="L12" s="20">
        <f>'Flujo Anual'!L43</f>
        <v>54304.159427349092</v>
      </c>
    </row>
    <row r="13" spans="1:12" ht="13.8" x14ac:dyDescent="0.3">
      <c r="A13" s="18" t="s">
        <v>11</v>
      </c>
      <c r="B13" s="19"/>
      <c r="C13" s="20">
        <f>'Flujo Anual'!C47</f>
        <v>-9223.1308224102431</v>
      </c>
      <c r="D13" s="20">
        <f>'Flujo Anual'!D47</f>
        <v>-16944.451277479297</v>
      </c>
      <c r="E13" s="20">
        <f>'Flujo Anual'!E47</f>
        <v>-22777.215474245222</v>
      </c>
      <c r="F13" s="20">
        <f>'Flujo Anual'!F47</f>
        <v>-25186.189036407835</v>
      </c>
      <c r="G13" s="20">
        <f>'Flujo Anual'!G47</f>
        <v>-20588.139005985417</v>
      </c>
      <c r="H13" s="20">
        <f>'Flujo Anual'!H47</f>
        <v>-10979.195210034908</v>
      </c>
      <c r="I13" s="20">
        <f>'Flujo Anual'!I47</f>
        <v>3981.1473281128201</v>
      </c>
      <c r="J13" s="20">
        <f>'Flujo Anual'!J47</f>
        <v>25390.349298699552</v>
      </c>
      <c r="K13" s="20">
        <f>'Flujo Anual'!K47</f>
        <v>54304.159427349099</v>
      </c>
      <c r="L13" s="20">
        <f>'Flujo Anual'!L47</f>
        <v>54304.159427349099</v>
      </c>
    </row>
    <row r="14" spans="1:12" ht="13.8" x14ac:dyDescent="0.3">
      <c r="A14" s="16" t="s">
        <v>12</v>
      </c>
      <c r="C14" s="17">
        <f>'Flujo Anual'!C48</f>
        <v>-9275.4055842483576</v>
      </c>
      <c r="D14" s="17">
        <f>'Flujo Anual'!D48</f>
        <v>-18263.212351546616</v>
      </c>
      <c r="E14" s="17">
        <f>'Flujo Anual'!E48</f>
        <v>-25394.365407232774</v>
      </c>
      <c r="F14" s="17">
        <f>'Flujo Anual'!F48</f>
        <v>-30035.422007281759</v>
      </c>
      <c r="G14" s="17">
        <f>'Flujo Anual'!G48</f>
        <v>-29115.046803228943</v>
      </c>
      <c r="H14" s="17">
        <f>'Flujo Anual'!H48</f>
        <v>-22988.755753597758</v>
      </c>
      <c r="I14" s="17">
        <f>'Flujo Anual'!I48</f>
        <v>-11360.064042481807</v>
      </c>
      <c r="J14" s="17">
        <f>'Flujo Anual'!J48</f>
        <v>2748.4620765941113</v>
      </c>
      <c r="K14" s="17">
        <f>'Flujo Anual'!K48</f>
        <v>24783.990961742693</v>
      </c>
      <c r="L14" s="17">
        <f>'Flujo Anual'!L48</f>
        <v>-30035.422007281759</v>
      </c>
    </row>
    <row r="33" spans="1:12" ht="13.8" x14ac:dyDescent="0.3">
      <c r="A33" s="12" t="s">
        <v>13</v>
      </c>
      <c r="B33" s="12"/>
      <c r="C33" s="12"/>
      <c r="D33" s="12"/>
      <c r="E33" s="12"/>
      <c r="F33" s="12"/>
      <c r="G33" s="12"/>
      <c r="H33" s="12"/>
      <c r="I33" s="12"/>
      <c r="J33" s="12"/>
      <c r="K33" s="12"/>
      <c r="L33" s="12"/>
    </row>
    <row r="34" spans="1:12" ht="13.8" x14ac:dyDescent="0.3">
      <c r="A34" s="21" t="s">
        <v>14</v>
      </c>
      <c r="B34" s="16" t="s">
        <v>15</v>
      </c>
    </row>
    <row r="35" spans="1:12" ht="13.8" x14ac:dyDescent="0.3">
      <c r="A35" s="21" t="s">
        <v>16</v>
      </c>
      <c r="B35" s="16" t="s">
        <v>17</v>
      </c>
    </row>
    <row r="36" spans="1:12" ht="13.8" x14ac:dyDescent="0.3">
      <c r="A36" s="21" t="s">
        <v>18</v>
      </c>
      <c r="B36" s="16" t="s">
        <v>19</v>
      </c>
    </row>
    <row r="37" spans="1:12" ht="13.8" x14ac:dyDescent="0.3">
      <c r="A37" s="21" t="s">
        <v>20</v>
      </c>
      <c r="B37" s="16" t="s">
        <v>21</v>
      </c>
    </row>
    <row r="38" spans="1:12" ht="13.8" x14ac:dyDescent="0.3">
      <c r="A38" s="21" t="s">
        <v>7</v>
      </c>
      <c r="B38" s="16" t="s">
        <v>22</v>
      </c>
    </row>
    <row r="39" spans="1:12" ht="13.8" x14ac:dyDescent="0.3">
      <c r="A39" s="21" t="s">
        <v>23</v>
      </c>
      <c r="B39" s="16" t="s">
        <v>24</v>
      </c>
    </row>
    <row r="40" spans="1:12" ht="13.8" x14ac:dyDescent="0.3">
      <c r="A40" s="21" t="s">
        <v>25</v>
      </c>
      <c r="B40" s="16" t="s">
        <v>26</v>
      </c>
    </row>
    <row r="41" spans="1:12" ht="13.8" x14ac:dyDescent="0.3">
      <c r="A41" s="21" t="s">
        <v>27</v>
      </c>
      <c r="B41" s="16" t="s">
        <v>28</v>
      </c>
    </row>
    <row r="42" spans="1:12" ht="13.8" x14ac:dyDescent="0.3">
      <c r="A42" s="21" t="s">
        <v>29</v>
      </c>
      <c r="B42" s="16" t="s">
        <v>30</v>
      </c>
    </row>
    <row r="43" spans="1:12" ht="13.8" x14ac:dyDescent="0.3">
      <c r="A43" s="21" t="s">
        <v>31</v>
      </c>
      <c r="B43" s="16" t="s">
        <v>32</v>
      </c>
    </row>
    <row r="45" spans="1:12" ht="13.8" x14ac:dyDescent="0.3">
      <c r="A45" s="12" t="s">
        <v>33</v>
      </c>
      <c r="B45" s="12"/>
      <c r="C45" s="12"/>
      <c r="D45" s="12"/>
      <c r="E45" s="12"/>
      <c r="F45" s="12"/>
      <c r="G45" s="12"/>
      <c r="H45" s="12"/>
      <c r="I45" s="12"/>
      <c r="J45" s="12"/>
      <c r="K45" s="12"/>
      <c r="L45" s="12"/>
    </row>
    <row r="46" spans="1:12" ht="13.8" x14ac:dyDescent="0.3">
      <c r="A46" s="22" t="s">
        <v>34</v>
      </c>
      <c r="B46" s="16" t="s">
        <v>35</v>
      </c>
    </row>
    <row r="47" spans="1:12" ht="13.8" x14ac:dyDescent="0.3">
      <c r="A47" s="21" t="s">
        <v>36</v>
      </c>
      <c r="B47" s="16" t="s">
        <v>37</v>
      </c>
    </row>
    <row r="48" spans="1:12" ht="13.8" x14ac:dyDescent="0.3">
      <c r="A48" s="23" t="s">
        <v>38</v>
      </c>
      <c r="B48" s="16" t="s">
        <v>39</v>
      </c>
    </row>
    <row r="49" spans="1:12" ht="13.8" x14ac:dyDescent="0.3">
      <c r="A49" s="24" t="s">
        <v>40</v>
      </c>
      <c r="B49" s="16" t="s">
        <v>41</v>
      </c>
    </row>
    <row r="51" spans="1:12" ht="13.8" x14ac:dyDescent="0.3">
      <c r="A51" s="12" t="s">
        <v>42</v>
      </c>
      <c r="B51" s="12"/>
      <c r="C51" s="12"/>
      <c r="D51" s="12"/>
      <c r="E51" s="12"/>
      <c r="F51" s="12"/>
      <c r="G51" s="12"/>
      <c r="H51" s="12"/>
      <c r="I51" s="12"/>
      <c r="J51" s="12"/>
      <c r="K51" s="12"/>
      <c r="L51" s="12"/>
    </row>
    <row r="52" spans="1:12" ht="13.8" x14ac:dyDescent="0.3">
      <c r="A52" s="16" t="s">
        <v>43</v>
      </c>
    </row>
    <row r="53" spans="1:12" ht="13.8" x14ac:dyDescent="0.3">
      <c r="A53" s="16" t="s">
        <v>44</v>
      </c>
    </row>
    <row r="54" spans="1:12" ht="13.8" x14ac:dyDescent="0.3">
      <c r="A54" s="16" t="s">
        <v>45</v>
      </c>
    </row>
    <row r="55" spans="1:12" ht="13.8" x14ac:dyDescent="0.3">
      <c r="A55" s="16" t="s">
        <v>46</v>
      </c>
    </row>
    <row r="56" spans="1:12" ht="13.8" x14ac:dyDescent="0.3">
      <c r="A56" s="16" t="s">
        <v>47</v>
      </c>
    </row>
    <row r="57" spans="1:12" ht="13.8" x14ac:dyDescent="0.3">
      <c r="A57" s="16" t="s">
        <v>48</v>
      </c>
    </row>
    <row r="58" spans="1:12" ht="13.8" x14ac:dyDescent="0.3">
      <c r="A58" s="16" t="s">
        <v>49</v>
      </c>
    </row>
    <row r="59" spans="1:12" ht="13.8" x14ac:dyDescent="0.3">
      <c r="A59" s="16" t="s">
        <v>50</v>
      </c>
    </row>
    <row r="60" spans="1:12" ht="13.8" x14ac:dyDescent="0.3">
      <c r="A60" s="16" t="s">
        <v>51</v>
      </c>
    </row>
    <row r="61" spans="1:12" ht="13.8" x14ac:dyDescent="0.3">
      <c r="A61" s="16" t="s">
        <v>52</v>
      </c>
    </row>
    <row r="62" spans="1:12" ht="13.8" x14ac:dyDescent="0.3">
      <c r="A62" s="16" t="s">
        <v>53</v>
      </c>
    </row>
    <row r="63" spans="1:12" ht="13.8" x14ac:dyDescent="0.3">
      <c r="A63" s="16" t="s">
        <v>54</v>
      </c>
    </row>
    <row r="64" spans="1:12" ht="13.8" x14ac:dyDescent="0.3">
      <c r="A64" s="16" t="s">
        <v>55</v>
      </c>
    </row>
    <row r="65" spans="1:12" ht="13.8" x14ac:dyDescent="0.3">
      <c r="A65" s="16" t="s">
        <v>56</v>
      </c>
    </row>
    <row r="67" spans="1:12" ht="13.8" x14ac:dyDescent="0.3">
      <c r="A67" s="12" t="s">
        <v>57</v>
      </c>
      <c r="B67" s="12"/>
      <c r="C67" s="12"/>
      <c r="D67" s="12"/>
      <c r="E67" s="12"/>
      <c r="F67" s="12"/>
      <c r="G67" s="12"/>
      <c r="H67" s="12"/>
      <c r="I67" s="12"/>
      <c r="J67" s="12"/>
      <c r="K67" s="12"/>
      <c r="L67" s="12"/>
    </row>
    <row r="68" spans="1:12" ht="13.8" x14ac:dyDescent="0.3">
      <c r="A68" s="21" t="s">
        <v>58</v>
      </c>
      <c r="B68" s="16" t="s">
        <v>59</v>
      </c>
    </row>
    <row r="69" spans="1:12" ht="13.8" x14ac:dyDescent="0.3">
      <c r="A69" s="21" t="s">
        <v>60</v>
      </c>
      <c r="B69" s="16" t="s">
        <v>61</v>
      </c>
    </row>
    <row r="70" spans="1:12" ht="13.8" x14ac:dyDescent="0.3">
      <c r="A70" s="21" t="s">
        <v>62</v>
      </c>
      <c r="B70" s="16" t="s">
        <v>63</v>
      </c>
    </row>
    <row r="71" spans="1:12" ht="13.8" x14ac:dyDescent="0.3">
      <c r="A71" s="21" t="s">
        <v>64</v>
      </c>
      <c r="B71" s="16" t="s">
        <v>65</v>
      </c>
    </row>
    <row r="72" spans="1:12" ht="13.8" x14ac:dyDescent="0.3">
      <c r="A72" s="21" t="s">
        <v>66</v>
      </c>
      <c r="B72" s="16" t="s">
        <v>67</v>
      </c>
    </row>
    <row r="73" spans="1:12" ht="13.8" x14ac:dyDescent="0.3">
      <c r="A73" s="21" t="s">
        <v>68</v>
      </c>
      <c r="B73" s="16" t="s">
        <v>69</v>
      </c>
    </row>
    <row r="74" spans="1:12" ht="13.8" x14ac:dyDescent="0.3">
      <c r="A74" s="21" t="s">
        <v>70</v>
      </c>
      <c r="B74" s="16" t="s">
        <v>71</v>
      </c>
    </row>
    <row r="75" spans="1:12" ht="13.8" x14ac:dyDescent="0.3">
      <c r="A75" s="21" t="s">
        <v>72</v>
      </c>
      <c r="B75" s="16" t="s">
        <v>73</v>
      </c>
    </row>
    <row r="76" spans="1:12" ht="13.8" x14ac:dyDescent="0.3">
      <c r="A76" s="21" t="s">
        <v>74</v>
      </c>
      <c r="B76" s="16" t="s">
        <v>75</v>
      </c>
    </row>
    <row r="77" spans="1:12" ht="13.8" x14ac:dyDescent="0.3">
      <c r="A77" s="21" t="s">
        <v>76</v>
      </c>
      <c r="B77" s="16" t="s">
        <v>77</v>
      </c>
    </row>
    <row r="78" spans="1:12" ht="13.8" x14ac:dyDescent="0.3">
      <c r="A78" s="21" t="s">
        <v>78</v>
      </c>
      <c r="B78" s="16" t="s">
        <v>79</v>
      </c>
    </row>
    <row r="79" spans="1:12" ht="13.8" x14ac:dyDescent="0.3">
      <c r="A79" s="21" t="s">
        <v>80</v>
      </c>
      <c r="B79" s="16" t="s">
        <v>81</v>
      </c>
    </row>
    <row r="80" spans="1:12" ht="13.8" x14ac:dyDescent="0.3">
      <c r="A80" s="21" t="s">
        <v>82</v>
      </c>
      <c r="B80" s="16" t="s">
        <v>83</v>
      </c>
    </row>
    <row r="81" spans="1:2" ht="13.8" x14ac:dyDescent="0.3">
      <c r="A81" s="21" t="s">
        <v>6</v>
      </c>
      <c r="B81" s="16" t="s">
        <v>84</v>
      </c>
    </row>
    <row r="82" spans="1:2" ht="13.8" x14ac:dyDescent="0.3">
      <c r="A82" s="21" t="s">
        <v>8</v>
      </c>
      <c r="B82" s="16" t="s">
        <v>85</v>
      </c>
    </row>
    <row r="83" spans="1:2" ht="13.8" x14ac:dyDescent="0.3">
      <c r="A83" s="21" t="s">
        <v>86</v>
      </c>
      <c r="B83" s="16" t="s">
        <v>87</v>
      </c>
    </row>
    <row r="84" spans="1:2" ht="13.8" x14ac:dyDescent="0.3">
      <c r="A84" s="21" t="s">
        <v>88</v>
      </c>
      <c r="B84" s="16" t="s">
        <v>89</v>
      </c>
    </row>
    <row r="85" spans="1:2" ht="13.8" x14ac:dyDescent="0.3">
      <c r="A85" s="21" t="s">
        <v>90</v>
      </c>
      <c r="B85" s="16" t="s">
        <v>91</v>
      </c>
    </row>
    <row r="86" spans="1:2" ht="13.8" x14ac:dyDescent="0.3">
      <c r="A86" s="21" t="s">
        <v>23</v>
      </c>
      <c r="B86" s="16" t="s">
        <v>92</v>
      </c>
    </row>
    <row r="87" spans="1:2" ht="13.8" x14ac:dyDescent="0.3">
      <c r="A87" s="21" t="s">
        <v>93</v>
      </c>
      <c r="B87" s="16" t="s">
        <v>94</v>
      </c>
    </row>
  </sheetData>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L56"/>
  <sheetViews>
    <sheetView showGridLines="0" zoomScaleNormal="100" workbookViewId="0">
      <pane xSplit="2" ySplit="4" topLeftCell="C22" activePane="bottomRight" state="frozen"/>
      <selection pane="topRight" activeCell="C1" sqref="C1"/>
      <selection pane="bottomLeft" activeCell="A5" sqref="A5"/>
      <selection pane="bottomRight" activeCell="C7" sqref="C7"/>
    </sheetView>
  </sheetViews>
  <sheetFormatPr baseColWidth="10" defaultColWidth="8.6640625" defaultRowHeight="13.2" x14ac:dyDescent="0.25"/>
  <cols>
    <col min="1" max="1" width="46" customWidth="1"/>
    <col min="2" max="2" width="2" customWidth="1"/>
    <col min="3" max="12" width="12.44140625" customWidth="1"/>
  </cols>
  <sheetData>
    <row r="1" spans="1:12" ht="18" x14ac:dyDescent="0.35">
      <c r="A1" s="25" t="s">
        <v>95</v>
      </c>
    </row>
    <row r="2" spans="1:12" ht="13.8" x14ac:dyDescent="0.3">
      <c r="A2" s="294" t="s">
        <v>460</v>
      </c>
    </row>
    <row r="4" spans="1:12" ht="13.8" x14ac:dyDescent="0.3">
      <c r="A4" s="12" t="s">
        <v>96</v>
      </c>
      <c r="B4" s="13"/>
      <c r="C4" s="14">
        <f>Supuestos!B1</f>
        <v>2026</v>
      </c>
      <c r="D4" s="14">
        <f>Supuestos!C1</f>
        <v>2027</v>
      </c>
      <c r="E4" s="14">
        <f>Supuestos!D1</f>
        <v>2028</v>
      </c>
      <c r="F4" s="14">
        <f>Supuestos!E1</f>
        <v>2029</v>
      </c>
      <c r="G4" s="14">
        <f>Supuestos!F1</f>
        <v>2030</v>
      </c>
      <c r="H4" s="14">
        <f>Supuestos!G1</f>
        <v>2031</v>
      </c>
      <c r="I4" s="14">
        <f>Supuestos!H1</f>
        <v>2032</v>
      </c>
      <c r="J4" s="14">
        <f>Supuestos!I1</f>
        <v>2033</v>
      </c>
      <c r="K4" s="14">
        <f>Supuestos!J1</f>
        <v>2034</v>
      </c>
      <c r="L4" s="15" t="s">
        <v>2</v>
      </c>
    </row>
    <row r="6" spans="1:12" ht="13.8" x14ac:dyDescent="0.3">
      <c r="A6" s="26" t="s">
        <v>97</v>
      </c>
      <c r="B6" s="27"/>
      <c r="C6" s="27"/>
      <c r="D6" s="27"/>
      <c r="E6" s="27"/>
      <c r="F6" s="27"/>
      <c r="G6" s="27"/>
      <c r="H6" s="27"/>
      <c r="I6" s="27"/>
      <c r="J6" s="27"/>
      <c r="K6" s="27"/>
      <c r="L6" s="27"/>
    </row>
    <row r="7" spans="1:12" ht="13.8" x14ac:dyDescent="0.3">
      <c r="A7" s="28" t="s">
        <v>98</v>
      </c>
      <c r="C7" s="29">
        <f>SUM('Flujo Mensual'!C10:N10)</f>
        <v>140027.5129244368</v>
      </c>
      <c r="D7" s="29">
        <f>SUM('Flujo Mensual'!O10:Z10)</f>
        <v>170243.83154984997</v>
      </c>
      <c r="E7" s="29">
        <f>SUM('Flujo Mensual'!AA10:AL10)</f>
        <v>199056.11099773319</v>
      </c>
      <c r="F7" s="29">
        <f>SUM('Flujo Mensual'!AM10:AX10)</f>
        <v>231900.36931235914</v>
      </c>
      <c r="G7" s="29">
        <f>SUM('Flujo Mensual'!AY10:BJ10)</f>
        <v>269004.42840233655</v>
      </c>
      <c r="H7" s="29">
        <f>SUM('Flujo Mensual'!BK10:BV10)</f>
        <v>310700.11480469879</v>
      </c>
      <c r="I7" s="29">
        <f>SUM('Flujo Mensual'!BW10:CH10)</f>
        <v>354198.13087735669</v>
      </c>
      <c r="J7" s="29">
        <f>SUM('Flujo Mensual'!CI10:CT10)</f>
        <v>403785.86920018663</v>
      </c>
      <c r="K7" s="29">
        <f>SUM('Flujo Mensual'!CU10:DF10)</f>
        <v>460315.89088821277</v>
      </c>
      <c r="L7" s="30">
        <f>SUM(C7:K7)</f>
        <v>2539232.2589571704</v>
      </c>
    </row>
    <row r="8" spans="1:12" ht="13.8" x14ac:dyDescent="0.3">
      <c r="A8" s="28" t="s">
        <v>99</v>
      </c>
      <c r="C8" s="31"/>
      <c r="D8" s="31">
        <f t="shared" ref="D8:K8" si="0">D7/C7-1</f>
        <v>0.2157884403882746</v>
      </c>
      <c r="E8" s="31">
        <f t="shared" si="0"/>
        <v>0.16924125347499919</v>
      </c>
      <c r="F8" s="31">
        <f t="shared" si="0"/>
        <v>0.16499999999999981</v>
      </c>
      <c r="G8" s="31">
        <f t="shared" si="0"/>
        <v>0.1599999999999997</v>
      </c>
      <c r="H8" s="31">
        <f t="shared" si="0"/>
        <v>0.15500000000000025</v>
      </c>
      <c r="I8" s="31">
        <f t="shared" si="0"/>
        <v>0.14000000000000012</v>
      </c>
      <c r="J8" s="31">
        <f t="shared" si="0"/>
        <v>0.14000000000000012</v>
      </c>
      <c r="K8" s="31">
        <f t="shared" si="0"/>
        <v>0.14000000000000012</v>
      </c>
    </row>
    <row r="9" spans="1:12" ht="13.8" x14ac:dyDescent="0.3">
      <c r="A9" s="16" t="s">
        <v>100</v>
      </c>
      <c r="C9" s="17">
        <f>SUM('Flujo Mensual'!C11:N11)</f>
        <v>87876.290917215403</v>
      </c>
      <c r="D9" s="17">
        <f>SUM('Flujo Mensual'!O11:Z11)</f>
        <v>112233.23112593142</v>
      </c>
      <c r="E9" s="17">
        <f>SUM('Flujo Mensual'!AA11:AL11)</f>
        <v>131324.35677532974</v>
      </c>
      <c r="F9" s="17">
        <f>SUM('Flujo Mensual'!AM11:AX11)</f>
        <v>152994.4249515878</v>
      </c>
      <c r="G9" s="17">
        <f>SUM('Flujo Mensual'!AY11:BJ11)</f>
        <v>177475.34563458635</v>
      </c>
      <c r="H9" s="17">
        <f>SUM('Flujo Mensual'!BK11:BV11)</f>
        <v>204986.13599266464</v>
      </c>
      <c r="I9" s="17">
        <f>SUM('Flujo Mensual'!BW11:CH11)</f>
        <v>233691.54404245416</v>
      </c>
      <c r="J9" s="17">
        <f>SUM('Flujo Mensual'!CI11:CT11)</f>
        <v>266408.36020839779</v>
      </c>
      <c r="K9" s="17">
        <f>SUM('Flujo Mensual'!CU11:DF11)</f>
        <v>303705.53063757351</v>
      </c>
      <c r="L9" s="32">
        <f>SUM(C9:K9)</f>
        <v>1670695.2202857407</v>
      </c>
    </row>
    <row r="10" spans="1:12" ht="13.8" x14ac:dyDescent="0.3">
      <c r="A10" s="16" t="s">
        <v>101</v>
      </c>
      <c r="C10" s="17">
        <f>SUM('Flujo Mensual'!C12:N12)</f>
        <v>23670.800162001164</v>
      </c>
      <c r="D10" s="17">
        <f>SUM('Flujo Mensual'!O12:Z12)</f>
        <v>26616.34237331857</v>
      </c>
      <c r="E10" s="17">
        <f>SUM('Flujo Mensual'!AA12:AL12)</f>
        <v>31090.766659194785</v>
      </c>
      <c r="F10" s="17">
        <f>SUM('Flujo Mensual'!AM12:AX12)</f>
        <v>36221.966955045769</v>
      </c>
      <c r="G10" s="17">
        <f>SUM('Flujo Mensual'!AY12:BJ12)</f>
        <v>42018.913510441183</v>
      </c>
      <c r="H10" s="17">
        <f>SUM('Flujo Mensual'!BK12:BV12)</f>
        <v>48533.513201174697</v>
      </c>
      <c r="I10" s="17">
        <f>SUM('Flujo Mensual'!BW12:CH12)</f>
        <v>55334.010025559837</v>
      </c>
      <c r="J10" s="17">
        <f>SUM('Flujo Mensual'!CI12:CT12)</f>
        <v>63080.771429138214</v>
      </c>
      <c r="K10" s="17">
        <f>SUM('Flujo Mensual'!CU12:DF12)</f>
        <v>71912.079429217571</v>
      </c>
      <c r="L10" s="32">
        <f>SUM(C10:K10)</f>
        <v>398479.16374509176</v>
      </c>
    </row>
    <row r="11" spans="1:12" ht="13.8" x14ac:dyDescent="0.3">
      <c r="A11" s="16" t="s">
        <v>78</v>
      </c>
      <c r="C11" s="17">
        <f>SUM('Flujo Mensual'!C13:N13)</f>
        <v>26105.359068471345</v>
      </c>
      <c r="D11" s="17">
        <f>SUM('Flujo Mensual'!O13:Z13)</f>
        <v>30883.619553598932</v>
      </c>
      <c r="E11" s="17">
        <f>SUM('Flujo Mensual'!AA13:AL13)</f>
        <v>36150.418346671155</v>
      </c>
      <c r="F11" s="17">
        <f>SUM('Flujo Mensual'!AM13:AX13)</f>
        <v>42126.892774828142</v>
      </c>
      <c r="G11" s="17">
        <f>SUM('Flujo Mensual'!AY13:BJ13)</f>
        <v>48880.832437919453</v>
      </c>
      <c r="H11" s="17">
        <f>SUM('Flujo Mensual'!BK13:BV13)</f>
        <v>56473.248360070407</v>
      </c>
      <c r="I11" s="17">
        <f>SUM('Flujo Mensual'!BW13:CH13)</f>
        <v>64434.789522551779</v>
      </c>
      <c r="J11" s="17">
        <f>SUM('Flujo Mensual'!CI13:CT13)</f>
        <v>73455.660055709042</v>
      </c>
      <c r="K11" s="17">
        <f>SUM('Flujo Mensual'!CU13:DF13)</f>
        <v>83739.452463508293</v>
      </c>
      <c r="L11" s="32">
        <f>SUM(C11:K11)</f>
        <v>462250.27258332848</v>
      </c>
    </row>
    <row r="12" spans="1:12" ht="13.8" x14ac:dyDescent="0.3">
      <c r="A12" s="16" t="s">
        <v>102</v>
      </c>
      <c r="C12" s="17">
        <f>SUM('Flujo Mensual'!C14:N14)</f>
        <v>-1820.3576680176784</v>
      </c>
      <c r="D12" s="17">
        <f>SUM('Flujo Mensual'!O14:Z14)</f>
        <v>-2042.925978598199</v>
      </c>
      <c r="E12" s="17">
        <f>SUM('Flujo Mensual'!AA14:AL14)</f>
        <v>-2189.6172209750648</v>
      </c>
      <c r="F12" s="17">
        <f>SUM('Flujo Mensual'!AM14:AX14)</f>
        <v>-2319.0036931235913</v>
      </c>
      <c r="G12" s="17">
        <f>SUM('Flujo Mensual'!AY14:BJ14)</f>
        <v>-2421.0398556210284</v>
      </c>
      <c r="H12" s="17">
        <f>SUM('Flujo Mensual'!BK14:BV14)</f>
        <v>-2485.6009184375898</v>
      </c>
      <c r="I12" s="17">
        <f>SUM('Flujo Mensual'!BW14:CH14)</f>
        <v>-2479.3869161414968</v>
      </c>
      <c r="J12" s="17">
        <f>SUM('Flujo Mensual'!CI14:CT14)</f>
        <v>-2422.7152152011199</v>
      </c>
      <c r="K12" s="17">
        <f>SUM('Flujo Mensual'!CU14:DF14)</f>
        <v>-2301.5794544410642</v>
      </c>
      <c r="L12" s="32">
        <f>SUM(C12:K12)</f>
        <v>-20482.226920556834</v>
      </c>
    </row>
    <row r="13" spans="1:12" ht="13.8" x14ac:dyDescent="0.3">
      <c r="A13" s="33" t="s">
        <v>103</v>
      </c>
      <c r="B13" s="34"/>
      <c r="C13" s="35">
        <f>SUM('Flujo Mensual'!C15:N15)</f>
        <v>135832.09247967025</v>
      </c>
      <c r="D13" s="35">
        <f>SUM('Flujo Mensual'!O15:Z15)</f>
        <v>167690.26707425073</v>
      </c>
      <c r="E13" s="35">
        <f>SUM('Flujo Mensual'!AA15:AL15)</f>
        <v>196375.92456022062</v>
      </c>
      <c r="F13" s="35">
        <f>SUM('Flujo Mensual'!AM15:AX15)</f>
        <v>229024.28098833811</v>
      </c>
      <c r="G13" s="35">
        <f>SUM('Flujo Mensual'!AY15:BJ15)</f>
        <v>265954.051727326</v>
      </c>
      <c r="H13" s="35">
        <f>SUM('Flujo Mensual'!BK15:BV15)</f>
        <v>307507.29663547216</v>
      </c>
      <c r="I13" s="35">
        <f>SUM('Flujo Mensual'!BW15:CH15)</f>
        <v>350980.95667442429</v>
      </c>
      <c r="J13" s="35">
        <f>SUM('Flujo Mensual'!CI15:CT15)</f>
        <v>400522.07647804386</v>
      </c>
      <c r="K13" s="35">
        <f>SUM('Flujo Mensual'!CU15:DF15)</f>
        <v>457055.48307585827</v>
      </c>
      <c r="L13" s="36">
        <f>SUM(C13:K13)</f>
        <v>2510942.4296936039</v>
      </c>
    </row>
    <row r="15" spans="1:12" ht="13.8" x14ac:dyDescent="0.3">
      <c r="A15" s="26" t="s">
        <v>104</v>
      </c>
      <c r="B15" s="27"/>
      <c r="C15" s="27"/>
      <c r="D15" s="27"/>
      <c r="E15" s="27"/>
      <c r="F15" s="27"/>
      <c r="G15" s="27"/>
      <c r="H15" s="27"/>
      <c r="I15" s="27"/>
      <c r="J15" s="27"/>
      <c r="K15" s="27"/>
      <c r="L15" s="27"/>
    </row>
    <row r="16" spans="1:12" ht="13.8" x14ac:dyDescent="0.3">
      <c r="A16" s="16" t="s">
        <v>105</v>
      </c>
      <c r="C16" s="17">
        <f>SUM('Flujo Mensual'!C18:N18)</f>
        <v>124789.36682962524</v>
      </c>
      <c r="D16" s="17">
        <f>SUM('Flujo Mensual'!O18:Z18)</f>
        <v>150392.29456770211</v>
      </c>
      <c r="E16" s="17">
        <f>SUM('Flujo Mensual'!AA18:AL18)</f>
        <v>174155.78436327475</v>
      </c>
      <c r="F16" s="17">
        <f>SUM('Flujo Mensual'!AM18:AX18)</f>
        <v>200815.16762849488</v>
      </c>
      <c r="G16" s="17">
        <f>SUM('Flujo Mensual'!AY18:BJ18)</f>
        <v>230668.72827521854</v>
      </c>
      <c r="H16" s="17">
        <f>SUM('Flujo Mensual'!BK18:BV18)</f>
        <v>264023.05525830411</v>
      </c>
      <c r="I16" s="17">
        <f>SUM('Flujo Mensual'!BW18:CH18)</f>
        <v>298975.42069558444</v>
      </c>
      <c r="J16" s="17">
        <f>SUM('Flujo Mensual'!CI18:CT18)</f>
        <v>338539.93414584623</v>
      </c>
      <c r="K16" s="17">
        <f>SUM('Flujo Mensual'!CU18:DF18)</f>
        <v>383800.0815561412</v>
      </c>
      <c r="L16" s="32">
        <f t="shared" ref="L16:L23" si="1">SUM(C16:K16)</f>
        <v>2166159.8333201916</v>
      </c>
    </row>
    <row r="17" spans="1:12" ht="13.8" x14ac:dyDescent="0.3">
      <c r="A17" s="16" t="s">
        <v>106</v>
      </c>
      <c r="C17" s="17">
        <f>SUM('Flujo Mensual'!C19:N19)</f>
        <v>2008.7878400000002</v>
      </c>
      <c r="D17" s="17">
        <f>SUM('Flujo Mensual'!O19:Z19)</f>
        <v>2371.6034999999997</v>
      </c>
      <c r="E17" s="17">
        <f>SUM('Flujo Mensual'!AA19:AL19)</f>
        <v>2574.8837999999996</v>
      </c>
      <c r="F17" s="17">
        <f>SUM('Flujo Mensual'!AM19:AX19)</f>
        <v>2642.6439</v>
      </c>
      <c r="G17" s="17">
        <f>SUM('Flujo Mensual'!AY19:BJ19)</f>
        <v>2845.9242000000008</v>
      </c>
      <c r="H17" s="17">
        <f>SUM('Flujo Mensual'!BK19:BV19)</f>
        <v>2913.6843000000003</v>
      </c>
      <c r="I17" s="17">
        <f>SUM('Flujo Mensual'!BW19:CH19)</f>
        <v>3184.7246999999993</v>
      </c>
      <c r="J17" s="17">
        <f>SUM('Flujo Mensual'!CI19:CT19)</f>
        <v>3388.0049999999987</v>
      </c>
      <c r="K17" s="17">
        <f>SUM('Flujo Mensual'!CU19:DF19)</f>
        <v>3523.5252000000005</v>
      </c>
      <c r="L17" s="32">
        <f t="shared" si="1"/>
        <v>25453.782439999999</v>
      </c>
    </row>
    <row r="18" spans="1:12" ht="13.8" x14ac:dyDescent="0.3">
      <c r="A18" s="16" t="s">
        <v>107</v>
      </c>
      <c r="C18" s="17">
        <f>SUM('Flujo Mensual'!C20:N20)</f>
        <v>2979.660519999999</v>
      </c>
      <c r="D18" s="17">
        <f>SUM('Flujo Mensual'!O20:Z20)</f>
        <v>3404.8766309969988</v>
      </c>
      <c r="E18" s="17">
        <f>SUM('Flujo Mensual'!AA20:AL20)</f>
        <v>3583.0099979591969</v>
      </c>
      <c r="F18" s="17">
        <f>SUM('Flujo Mensual'!AM20:AX20)</f>
        <v>4174.2066476224645</v>
      </c>
      <c r="G18" s="17">
        <f>SUM('Flujo Mensual'!AY20:BJ20)</f>
        <v>4842.0797112420587</v>
      </c>
      <c r="H18" s="17">
        <f>SUM('Flujo Mensual'!BK20:BV20)</f>
        <v>5592.6020664845782</v>
      </c>
      <c r="I18" s="17">
        <f>SUM('Flujo Mensual'!BW20:CH20)</f>
        <v>6021.3682249150643</v>
      </c>
      <c r="J18" s="17">
        <f>SUM('Flujo Mensual'!CI20:CT20)</f>
        <v>6864.3597764031729</v>
      </c>
      <c r="K18" s="17">
        <f>SUM('Flujo Mensual'!CU20:DF20)</f>
        <v>7825.3701450996168</v>
      </c>
      <c r="L18" s="32">
        <f t="shared" si="1"/>
        <v>45287.53372072315</v>
      </c>
    </row>
    <row r="19" spans="1:12" ht="13.8" x14ac:dyDescent="0.3">
      <c r="A19" s="16" t="s">
        <v>108</v>
      </c>
      <c r="C19" s="17">
        <f>SUM('Flujo Mensual'!C21:N21)</f>
        <v>5264.2598799999996</v>
      </c>
      <c r="D19" s="17">
        <f>SUM('Flujo Mensual'!O21:Z21)</f>
        <v>6089.8717571134002</v>
      </c>
      <c r="E19" s="17">
        <f>SUM('Flujo Mensual'!AA21:AL21)</f>
        <v>6983.7978865979385</v>
      </c>
      <c r="F19" s="17">
        <f>SUM('Flujo Mensual'!AM21:AX21)</f>
        <v>7710.1128668041265</v>
      </c>
      <c r="G19" s="17">
        <f>SUM('Flujo Mensual'!AY21:BJ21)</f>
        <v>8324.6870808247422</v>
      </c>
      <c r="H19" s="17">
        <f>SUM('Flujo Mensual'!BK21:BV21)</f>
        <v>8939.2612948453625</v>
      </c>
      <c r="I19" s="17">
        <f>SUM('Flujo Mensual'!BW21:CH21)</f>
        <v>9609.7058919587635</v>
      </c>
      <c r="J19" s="17">
        <f>SUM('Flujo Mensual'!CI21:CT21)</f>
        <v>10168.409722886599</v>
      </c>
      <c r="K19" s="17">
        <f>SUM('Flujo Mensual'!CU21:DF21)</f>
        <v>11006.465469278352</v>
      </c>
      <c r="L19" s="32">
        <f t="shared" si="1"/>
        <v>74096.571850309294</v>
      </c>
    </row>
    <row r="20" spans="1:12" ht="13.8" x14ac:dyDescent="0.3">
      <c r="A20" s="16" t="s">
        <v>109</v>
      </c>
      <c r="C20" s="17">
        <f>SUM('Flujo Mensual'!C22:N22)</f>
        <v>6598.6693800000021</v>
      </c>
      <c r="D20" s="17">
        <f>SUM('Flujo Mensual'!O22:Z22)</f>
        <v>7660.9724197432461</v>
      </c>
      <c r="E20" s="17">
        <f>SUM('Flujo Mensual'!AA22:AL22)</f>
        <v>8758.4688839002574</v>
      </c>
      <c r="F20" s="17">
        <f>SUM('Flujo Mensual'!AM22:AX22)</f>
        <v>9971.7158804314422</v>
      </c>
      <c r="G20" s="17">
        <f>SUM('Flujo Mensual'!AY22:BJ22)</f>
        <v>11029.181564495801</v>
      </c>
      <c r="H20" s="17">
        <f>SUM('Flujo Mensual'!BK22:BV22)</f>
        <v>12117.304477383252</v>
      </c>
      <c r="I20" s="17">
        <f>SUM('Flujo Mensual'!BW22:CH22)</f>
        <v>13459.528973339555</v>
      </c>
      <c r="J20" s="17">
        <f>SUM('Flujo Mensual'!CI22:CT22)</f>
        <v>14940.077160406905</v>
      </c>
      <c r="K20" s="17">
        <f>SUM('Flujo Mensual'!CU22:DF22)</f>
        <v>16571.37207197566</v>
      </c>
      <c r="L20" s="32">
        <f t="shared" si="1"/>
        <v>101107.2908116761</v>
      </c>
    </row>
    <row r="21" spans="1:12" ht="13.8" x14ac:dyDescent="0.3">
      <c r="A21" s="16" t="s">
        <v>82</v>
      </c>
      <c r="C21" s="17">
        <f>SUM('Flujo Mensual'!C23:N23)</f>
        <v>560.11005169774739</v>
      </c>
      <c r="D21" s="17">
        <f>SUM('Flujo Mensual'!O23:Z23)</f>
        <v>680.97532619939966</v>
      </c>
      <c r="E21" s="17">
        <f>SUM('Flujo Mensual'!AA23:AL23)</f>
        <v>796.22444399093251</v>
      </c>
      <c r="F21" s="17">
        <f>SUM('Flujo Mensual'!AM23:AX23)</f>
        <v>927.6014772494367</v>
      </c>
      <c r="G21" s="17">
        <f>SUM('Flujo Mensual'!AY23:BJ23)</f>
        <v>1076.0177136093464</v>
      </c>
      <c r="H21" s="17">
        <f>SUM('Flujo Mensual'!BK23:BV23)</f>
        <v>1242.8004592187951</v>
      </c>
      <c r="I21" s="17">
        <f>SUM('Flujo Mensual'!BW23:CH23)</f>
        <v>1416.7925235094267</v>
      </c>
      <c r="J21" s="17">
        <f>SUM('Flujo Mensual'!CI23:CT23)</f>
        <v>1615.1434768007464</v>
      </c>
      <c r="K21" s="17">
        <f>SUM('Flujo Mensual'!CU23:DF23)</f>
        <v>1841.2635635528511</v>
      </c>
      <c r="L21" s="32">
        <f t="shared" si="1"/>
        <v>10156.929035828682</v>
      </c>
    </row>
    <row r="22" spans="1:12" ht="13.8" x14ac:dyDescent="0.3">
      <c r="A22" s="16" t="s">
        <v>110</v>
      </c>
      <c r="C22" s="17">
        <f>SUM('Flujo Mensual'!C24:N24)</f>
        <v>0</v>
      </c>
      <c r="D22" s="17">
        <f>SUM('Flujo Mensual'!O24:Z24)</f>
        <v>108</v>
      </c>
      <c r="E22" s="17">
        <f>SUM('Flujo Mensual'!AA24:AL24)</f>
        <v>268.5</v>
      </c>
      <c r="F22" s="17">
        <f>SUM('Flujo Mensual'!AM24:AX24)</f>
        <v>268.5</v>
      </c>
      <c r="G22" s="17">
        <f>SUM('Flujo Mensual'!AY24:BJ24)</f>
        <v>551.82000000000005</v>
      </c>
      <c r="H22" s="17">
        <f>SUM('Flujo Mensual'!BK24:BV24)</f>
        <v>605.82000000000005</v>
      </c>
      <c r="I22" s="17">
        <f>SUM('Flujo Mensual'!BW24:CH24)</f>
        <v>605.82000000000005</v>
      </c>
      <c r="J22" s="17">
        <f>SUM('Flujo Mensual'!CI24:CT24)</f>
        <v>605.82000000000005</v>
      </c>
      <c r="K22" s="17">
        <f>SUM('Flujo Mensual'!CU24:DF24)</f>
        <v>605.82000000000005</v>
      </c>
      <c r="L22" s="32">
        <f t="shared" si="1"/>
        <v>3620.1000000000008</v>
      </c>
    </row>
    <row r="23" spans="1:12" ht="13.8" x14ac:dyDescent="0.3">
      <c r="A23" s="33" t="s">
        <v>111</v>
      </c>
      <c r="B23" s="34"/>
      <c r="C23" s="35">
        <f>SUM('Flujo Mensual'!C25:N25)</f>
        <v>142200.85450132299</v>
      </c>
      <c r="D23" s="35">
        <f>SUM('Flujo Mensual'!O25:Z25)</f>
        <v>170708.59420175513</v>
      </c>
      <c r="E23" s="35">
        <f>SUM('Flujo Mensual'!AA25:AL25)</f>
        <v>197120.66937572308</v>
      </c>
      <c r="F23" s="35">
        <f>SUM('Flujo Mensual'!AM25:AX25)</f>
        <v>226509.94840060227</v>
      </c>
      <c r="G23" s="35">
        <f>SUM('Flujo Mensual'!AY25:BJ25)</f>
        <v>259338.43854539053</v>
      </c>
      <c r="H23" s="35">
        <f>SUM('Flujo Mensual'!BK25:BV25)</f>
        <v>295434.52785623615</v>
      </c>
      <c r="I23" s="35">
        <f>SUM('Flujo Mensual'!BW25:CH25)</f>
        <v>333273.36100930726</v>
      </c>
      <c r="J23" s="35">
        <f>SUM('Flujo Mensual'!CI25:CT25)</f>
        <v>376121.74928234372</v>
      </c>
      <c r="K23" s="35">
        <f>SUM('Flujo Mensual'!CU25:DF25)</f>
        <v>425173.89800604782</v>
      </c>
      <c r="L23" s="36">
        <f t="shared" si="1"/>
        <v>2425882.0411787289</v>
      </c>
    </row>
    <row r="25" spans="1:12" ht="13.8" x14ac:dyDescent="0.3">
      <c r="A25" s="33" t="s">
        <v>112</v>
      </c>
      <c r="B25" s="34"/>
      <c r="C25" s="35">
        <f>SUM('Flujo Mensual'!C27:N27)</f>
        <v>-6368.7620216527675</v>
      </c>
      <c r="D25" s="35">
        <f>SUM('Flujo Mensual'!O27:Z27)</f>
        <v>-3018.3271275044171</v>
      </c>
      <c r="E25" s="35">
        <f>SUM('Flujo Mensual'!AA27:AL27)</f>
        <v>-744.74481550243036</v>
      </c>
      <c r="F25" s="35">
        <f>SUM('Flujo Mensual'!AM27:AX27)</f>
        <v>2514.3325877358093</v>
      </c>
      <c r="G25" s="35">
        <f>SUM('Flujo Mensual'!AY27:BJ27)</f>
        <v>6615.6131819354923</v>
      </c>
      <c r="H25" s="35">
        <f>SUM('Flujo Mensual'!BK27:BV27)</f>
        <v>12072.76877923603</v>
      </c>
      <c r="I25" s="35">
        <f>SUM('Flujo Mensual'!BW27:CH27)</f>
        <v>17707.595665117053</v>
      </c>
      <c r="J25" s="35">
        <f>SUM('Flujo Mensual'!CI27:CT27)</f>
        <v>24400.327195700203</v>
      </c>
      <c r="K25" s="35">
        <f>SUM('Flujo Mensual'!CU27:DF27)</f>
        <v>31881.585069810524</v>
      </c>
      <c r="L25" s="36">
        <f>SUM(C25:K25)</f>
        <v>85060.388514875493</v>
      </c>
    </row>
    <row r="26" spans="1:12" ht="13.8" x14ac:dyDescent="0.3">
      <c r="A26" s="28" t="s">
        <v>113</v>
      </c>
      <c r="C26" s="31">
        <f t="shared" ref="C26:L26" si="2">IF(C13=0,0,C25/C13)</f>
        <v>-4.6887019888955689E-2</v>
      </c>
      <c r="D26" s="31">
        <f t="shared" si="2"/>
        <v>-1.7999417498500061E-2</v>
      </c>
      <c r="E26" s="31">
        <f t="shared" si="2"/>
        <v>-3.792444604247029E-3</v>
      </c>
      <c r="F26" s="31">
        <f t="shared" si="2"/>
        <v>1.0978454235880076E-2</v>
      </c>
      <c r="G26" s="31">
        <f t="shared" si="2"/>
        <v>2.4875023106315612E-2</v>
      </c>
      <c r="H26" s="31">
        <f t="shared" si="2"/>
        <v>3.9260105081498055E-2</v>
      </c>
      <c r="I26" s="31">
        <f t="shared" si="2"/>
        <v>5.0451727731607131E-2</v>
      </c>
      <c r="J26" s="31">
        <f t="shared" si="2"/>
        <v>6.0921304039623397E-2</v>
      </c>
      <c r="K26" s="31">
        <f t="shared" si="2"/>
        <v>6.9754299533299952E-2</v>
      </c>
      <c r="L26" s="31">
        <f t="shared" si="2"/>
        <v>3.3875881624755105E-2</v>
      </c>
    </row>
    <row r="28" spans="1:12" ht="13.8" x14ac:dyDescent="0.3">
      <c r="A28" s="26" t="s">
        <v>114</v>
      </c>
      <c r="B28" s="27"/>
      <c r="C28" s="27"/>
      <c r="D28" s="27"/>
      <c r="E28" s="27"/>
      <c r="F28" s="27"/>
      <c r="G28" s="27"/>
      <c r="H28" s="27"/>
      <c r="I28" s="27"/>
      <c r="J28" s="27"/>
      <c r="K28" s="27"/>
      <c r="L28" s="27"/>
    </row>
    <row r="29" spans="1:12" ht="13.8" x14ac:dyDescent="0.3">
      <c r="A29" s="16" t="s">
        <v>115</v>
      </c>
      <c r="C29" s="17">
        <f>SUM('Flujo Mensual'!C31:N31)</f>
        <v>2070</v>
      </c>
      <c r="D29" s="17">
        <f>SUM('Flujo Mensual'!O31:Z31)</f>
        <v>1440</v>
      </c>
      <c r="E29" s="17">
        <f>SUM('Flujo Mensual'!AA31:AL31)</f>
        <v>570</v>
      </c>
      <c r="F29" s="17">
        <f>SUM('Flujo Mensual'!AM31:AX31)</f>
        <v>0</v>
      </c>
      <c r="G29" s="17">
        <f>SUM('Flujo Mensual'!AY31:BJ31)</f>
        <v>200</v>
      </c>
      <c r="H29" s="17">
        <f>SUM('Flujo Mensual'!BK31:BV31)</f>
        <v>1050</v>
      </c>
      <c r="I29" s="17">
        <f>SUM('Flujo Mensual'!BW31:CH31)</f>
        <v>0</v>
      </c>
      <c r="J29" s="17">
        <f>SUM('Flujo Mensual'!CI31:CT31)</f>
        <v>0</v>
      </c>
      <c r="K29" s="17">
        <f>SUM('Flujo Mensual'!CU31:DF31)</f>
        <v>0</v>
      </c>
      <c r="L29" s="32">
        <f>SUM(C29:K29)</f>
        <v>5330</v>
      </c>
    </row>
    <row r="31" spans="1:12" ht="13.8" x14ac:dyDescent="0.3">
      <c r="A31" s="26" t="s">
        <v>116</v>
      </c>
      <c r="B31" s="27"/>
      <c r="C31" s="27"/>
      <c r="D31" s="27"/>
      <c r="E31" s="27"/>
      <c r="F31" s="27"/>
      <c r="G31" s="27"/>
      <c r="H31" s="27"/>
      <c r="I31" s="27"/>
      <c r="J31" s="27"/>
      <c r="K31" s="27"/>
      <c r="L31" s="27"/>
    </row>
    <row r="32" spans="1:12" ht="13.8" x14ac:dyDescent="0.3">
      <c r="A32" s="16" t="s">
        <v>117</v>
      </c>
      <c r="C32" s="17">
        <f>SUM('Flujo Mensual'!C34:N34)</f>
        <v>2070</v>
      </c>
      <c r="D32" s="17">
        <f>SUM('Flujo Mensual'!O34:Z34)</f>
        <v>1440</v>
      </c>
      <c r="E32" s="17">
        <f>SUM('Flujo Mensual'!AA34:AL34)</f>
        <v>570</v>
      </c>
      <c r="F32" s="17">
        <f>SUM('Flujo Mensual'!AM34:AX34)</f>
        <v>0</v>
      </c>
      <c r="G32" s="17">
        <f>SUM('Flujo Mensual'!AY34:BJ34)</f>
        <v>200</v>
      </c>
      <c r="H32" s="17">
        <f>SUM('Flujo Mensual'!BK34:BV34)</f>
        <v>1050</v>
      </c>
      <c r="I32" s="17">
        <f>SUM('Flujo Mensual'!BW34:CH34)</f>
        <v>0</v>
      </c>
      <c r="J32" s="17">
        <f>SUM('Flujo Mensual'!CI34:CT34)</f>
        <v>0</v>
      </c>
      <c r="K32" s="17">
        <f>SUM('Flujo Mensual'!CU34:DF34)</f>
        <v>0</v>
      </c>
      <c r="L32" s="32">
        <f t="shared" ref="L32:L41" si="3">SUM(C32:K32)</f>
        <v>5330</v>
      </c>
    </row>
    <row r="33" spans="1:12" ht="13.8" x14ac:dyDescent="0.3">
      <c r="A33" s="16" t="s">
        <v>118</v>
      </c>
      <c r="C33" s="17">
        <f>SUM('Flujo Mensual'!C35:N35)</f>
        <v>475.45054256345554</v>
      </c>
      <c r="D33" s="17">
        <f>SUM('Flujo Mensual'!O35:Z35)</f>
        <v>2563.3155120184601</v>
      </c>
      <c r="E33" s="17">
        <f>SUM('Flujo Mensual'!AA35:AL35)</f>
        <v>2962.7568722344322</v>
      </c>
      <c r="F33" s="17">
        <f>SUM('Flujo Mensual'!AM35:AX35)</f>
        <v>2967.5416573102475</v>
      </c>
      <c r="G33" s="17">
        <f>SUM('Flujo Mensual'!AY35:BJ35)</f>
        <v>265.20047279853173</v>
      </c>
      <c r="H33" s="17">
        <f>SUM('Flujo Mensual'!BK35:BV35)</f>
        <v>66.565056455877297</v>
      </c>
      <c r="I33" s="17">
        <f>SUM('Flujo Mensual'!BW35:CH35)</f>
        <v>71.224610407788717</v>
      </c>
      <c r="J33" s="17">
        <f>SUM('Flujo Mensual'!CI35:CT35)</f>
        <v>0</v>
      </c>
      <c r="K33" s="17">
        <f>SUM('Flujo Mensual'!CU35:DF35)</f>
        <v>0</v>
      </c>
      <c r="L33" s="32">
        <f t="shared" si="3"/>
        <v>9372.0547237887913</v>
      </c>
    </row>
    <row r="34" spans="1:12" ht="13.8" x14ac:dyDescent="0.3">
      <c r="A34" s="16" t="s">
        <v>119</v>
      </c>
      <c r="C34" s="17">
        <f>SUM('Flujo Mensual'!C36:N36)</f>
        <v>66.548402063232757</v>
      </c>
      <c r="D34" s="17">
        <f>SUM('Flujo Mensual'!O36:Z36)</f>
        <v>387.27178611017939</v>
      </c>
      <c r="E34" s="17">
        <f>SUM('Flujo Mensual'!AA36:AL36)</f>
        <v>404.00916793789196</v>
      </c>
      <c r="F34" s="17">
        <f>SUM('Flujo Mensual'!AM36:AX36)</f>
        <v>313.35128388869543</v>
      </c>
      <c r="G34" s="17">
        <f>SUM('Flujo Mensual'!AY36:BJ36)</f>
        <v>0</v>
      </c>
      <c r="H34" s="17">
        <f>SUM('Flujo Mensual'!BK36:BV36)</f>
        <v>326.60424896575313</v>
      </c>
      <c r="I34" s="17">
        <f>SUM('Flujo Mensual'!BW36:CH36)</f>
        <v>349.46654639335583</v>
      </c>
      <c r="J34" s="17">
        <f>SUM('Flujo Mensual'!CI36:CT36)</f>
        <v>373.9292046408907</v>
      </c>
      <c r="K34" s="17">
        <f>SUM('Flujo Mensual'!CU36:DF36)</f>
        <v>0</v>
      </c>
      <c r="L34" s="32">
        <f t="shared" si="3"/>
        <v>2221.1806399999996</v>
      </c>
    </row>
    <row r="35" spans="1:12" ht="13.8" x14ac:dyDescent="0.3">
      <c r="A35" s="16" t="s">
        <v>120</v>
      </c>
      <c r="C35" s="17">
        <f>SUM('Flujo Mensual'!C37:N37)</f>
        <v>146.41171284774171</v>
      </c>
      <c r="D35" s="17">
        <f>SUM('Flujo Mensual'!O37:Z37)</f>
        <v>581.57036136711361</v>
      </c>
      <c r="E35" s="17">
        <f>SUM('Flujo Mensual'!AA37:AL37)</f>
        <v>392.65653232656211</v>
      </c>
      <c r="F35" s="17">
        <f>SUM('Flujo Mensual'!AM37:AX37)</f>
        <v>138.72505357587784</v>
      </c>
      <c r="G35" s="17">
        <f>SUM('Flujo Mensual'!AY37:BJ37)</f>
        <v>19.196367561246763</v>
      </c>
      <c r="H35" s="17">
        <f>SUM('Flujo Mensual'!BK37:BV37)</f>
        <v>7.3042527284807539</v>
      </c>
      <c r="I35" s="17">
        <f>SUM('Flujo Mensual'!BW37:CH37)</f>
        <v>2.6446987765693444</v>
      </c>
      <c r="J35" s="17">
        <f>SUM('Flujo Mensual'!CI37:CT37)</f>
        <v>0</v>
      </c>
      <c r="K35" s="17">
        <f>SUM('Flujo Mensual'!CU37:DF37)</f>
        <v>0</v>
      </c>
      <c r="L35" s="32">
        <f t="shared" si="3"/>
        <v>1288.5089791835921</v>
      </c>
    </row>
    <row r="36" spans="1:12" ht="13.8" x14ac:dyDescent="0.3">
      <c r="A36" s="16" t="s">
        <v>121</v>
      </c>
      <c r="C36" s="17">
        <f>SUM('Flujo Mensual'!C38:N38)</f>
        <v>13.753993473080534</v>
      </c>
      <c r="D36" s="17">
        <f>SUM('Flujo Mensual'!O38:Z38)</f>
        <v>63.209087107700363</v>
      </c>
      <c r="E36" s="17">
        <f>SUM('Flujo Mensual'!AA38:AL38)</f>
        <v>36.027265279987837</v>
      </c>
      <c r="F36" s="17">
        <f>SUM('Flujo Mensual'!AM38:AX38)</f>
        <v>9.8269437928709653</v>
      </c>
      <c r="G36" s="17">
        <f>SUM('Flujo Mensual'!AY38:BJ38)</f>
        <v>0</v>
      </c>
      <c r="H36" s="17">
        <f>SUM('Flujo Mensual'!BK38:BV38)</f>
        <v>61.209624252126652</v>
      </c>
      <c r="I36" s="17">
        <f>SUM('Flujo Mensual'!BW38:CH38)</f>
        <v>38.347326824523961</v>
      </c>
      <c r="J36" s="17">
        <f>SUM('Flujo Mensual'!CI38:CT38)</f>
        <v>13.884668576989077</v>
      </c>
      <c r="K36" s="17">
        <f>SUM('Flujo Mensual'!CU38:DF38)</f>
        <v>0</v>
      </c>
      <c r="L36" s="32">
        <f t="shared" si="3"/>
        <v>236.25890930727937</v>
      </c>
    </row>
    <row r="37" spans="1:12" ht="13.8" x14ac:dyDescent="0.3">
      <c r="A37" s="16" t="s">
        <v>122</v>
      </c>
      <c r="C37" s="17">
        <f>SUM('Flujo Mensual'!C39:N39)</f>
        <v>2.82003</v>
      </c>
      <c r="D37" s="17">
        <f>SUM('Flujo Mensual'!O39:Z39)</f>
        <v>11.280120000000004</v>
      </c>
      <c r="E37" s="17">
        <f>SUM('Flujo Mensual'!AA39:AL39)</f>
        <v>9.4001100000000015</v>
      </c>
      <c r="F37" s="17">
        <f>SUM('Flujo Mensual'!AM39:AX39)</f>
        <v>0</v>
      </c>
      <c r="G37" s="17">
        <f>SUM('Flujo Mensual'!AY39:BJ39)</f>
        <v>0</v>
      </c>
      <c r="H37" s="17">
        <f>SUM('Flujo Mensual'!BK39:BV39)</f>
        <v>0</v>
      </c>
      <c r="I37" s="17">
        <f>SUM('Flujo Mensual'!BW39:CH39)</f>
        <v>0</v>
      </c>
      <c r="J37" s="17">
        <f>SUM('Flujo Mensual'!CI39:CT39)</f>
        <v>0</v>
      </c>
      <c r="K37" s="17">
        <f>SUM('Flujo Mensual'!CU39:DF39)</f>
        <v>0</v>
      </c>
      <c r="L37" s="32">
        <f t="shared" si="3"/>
        <v>23.500260000000004</v>
      </c>
    </row>
    <row r="38" spans="1:12" ht="13.8" x14ac:dyDescent="0.3">
      <c r="A38" s="16" t="s">
        <v>123</v>
      </c>
      <c r="C38" s="17">
        <f>SUM('Flujo Mensual'!C40:N40)</f>
        <v>949.38411980996341</v>
      </c>
      <c r="D38" s="17">
        <f>SUM('Flujo Mensual'!O40:Z40)</f>
        <v>1096.3464609611808</v>
      </c>
      <c r="E38" s="17">
        <f>SUM('Flujo Mensual'!AA40:AL40)</f>
        <v>1283.1694334846243</v>
      </c>
      <c r="F38" s="17">
        <f>SUM('Flujo Mensual'!AM40:AX40)</f>
        <v>1493.8612113307363</v>
      </c>
      <c r="G38" s="17">
        <f>SUM('Flujo Mensual'!AY40:BJ40)</f>
        <v>1733.166311153293</v>
      </c>
      <c r="H38" s="17">
        <f>SUM('Flujo Mensual'!BK40:BV40)</f>
        <v>2002.1418008832829</v>
      </c>
      <c r="I38" s="17">
        <f>SUM('Flujo Mensual'!BW40:CH40)</f>
        <v>2285.5699445670884</v>
      </c>
      <c r="J38" s="17">
        <f>SUM('Flujo Mensual'!CI40:CT40)</f>
        <v>2603.3113518955925</v>
      </c>
      <c r="K38" s="17">
        <f>SUM('Flujo Mensual'!CU40:DF40)</f>
        <v>2967.7749411609748</v>
      </c>
      <c r="L38" s="32">
        <f t="shared" si="3"/>
        <v>16414.725575246735</v>
      </c>
    </row>
    <row r="39" spans="1:12" ht="13.8" x14ac:dyDescent="0.3">
      <c r="A39" s="16" t="s">
        <v>124</v>
      </c>
      <c r="C39" s="17">
        <f>SUM('Flujo Mensual'!C41:N41)</f>
        <v>1200</v>
      </c>
      <c r="D39" s="17">
        <f>SUM('Flujo Mensual'!O41:Z41)</f>
        <v>0</v>
      </c>
      <c r="E39" s="17">
        <f>SUM('Flujo Mensual'!AA41:AL41)</f>
        <v>0</v>
      </c>
      <c r="F39" s="17">
        <f>SUM('Flujo Mensual'!AM41:AX41)</f>
        <v>0</v>
      </c>
      <c r="G39" s="17">
        <f>SUM('Flujo Mensual'!AY41:BJ41)</f>
        <v>0</v>
      </c>
      <c r="H39" s="17">
        <f>SUM('Flujo Mensual'!BK41:BV41)</f>
        <v>0</v>
      </c>
      <c r="I39" s="17">
        <f>SUM('Flujo Mensual'!BW41:CH41)</f>
        <v>0</v>
      </c>
      <c r="J39" s="17">
        <f>SUM('Flujo Mensual'!CI41:CT41)</f>
        <v>0</v>
      </c>
      <c r="K39" s="17">
        <f>SUM('Flujo Mensual'!CU41:DF41)</f>
        <v>0</v>
      </c>
      <c r="L39" s="32">
        <f t="shared" si="3"/>
        <v>1200</v>
      </c>
    </row>
    <row r="40" spans="1:12" ht="13.8" x14ac:dyDescent="0.3">
      <c r="A40" s="33" t="s">
        <v>125</v>
      </c>
      <c r="B40" s="34"/>
      <c r="C40" s="35">
        <f>SUM('Flujo Mensual'!C42:N42)</f>
        <v>2854.3688007574747</v>
      </c>
      <c r="D40" s="35">
        <f>SUM('Flujo Mensual'!O42:Z42)</f>
        <v>4702.9933275646345</v>
      </c>
      <c r="E40" s="35">
        <f>SUM('Flujo Mensual'!AA42:AL42)</f>
        <v>5088.0193812634989</v>
      </c>
      <c r="F40" s="35">
        <f>SUM('Flujo Mensual'!AM42:AX42)</f>
        <v>4923.306149898428</v>
      </c>
      <c r="G40" s="35">
        <f>SUM('Flujo Mensual'!AY42:BJ42)</f>
        <v>2017.5631515130713</v>
      </c>
      <c r="H40" s="35">
        <f>SUM('Flujo Mensual'!BK42:BV42)</f>
        <v>2463.8249832855204</v>
      </c>
      <c r="I40" s="35">
        <f>SUM('Flujo Mensual'!BW42:CH42)</f>
        <v>2747.2531269693259</v>
      </c>
      <c r="J40" s="35">
        <f>SUM('Flujo Mensual'!CI42:CT42)</f>
        <v>2991.1252251134724</v>
      </c>
      <c r="K40" s="35">
        <f>SUM('Flujo Mensual'!CU42:DF42)</f>
        <v>2967.7749411609748</v>
      </c>
      <c r="L40" s="36">
        <f t="shared" si="3"/>
        <v>30756.229087526401</v>
      </c>
    </row>
    <row r="41" spans="1:12" ht="13.8" x14ac:dyDescent="0.3">
      <c r="A41" s="33" t="s">
        <v>126</v>
      </c>
      <c r="B41" s="34"/>
      <c r="C41" s="35">
        <f>SUM('Flujo Mensual'!C43:N43)</f>
        <v>-784.36880075747445</v>
      </c>
      <c r="D41" s="35">
        <f>SUM('Flujo Mensual'!O43:Z43)</f>
        <v>-3262.993327564634</v>
      </c>
      <c r="E41" s="35">
        <f>SUM('Flujo Mensual'!AA43:AL43)</f>
        <v>-4518.0193812634989</v>
      </c>
      <c r="F41" s="35">
        <f>SUM('Flujo Mensual'!AM43:AX43)</f>
        <v>-4923.306149898428</v>
      </c>
      <c r="G41" s="35">
        <f>SUM('Flujo Mensual'!AY43:BJ43)</f>
        <v>-1817.5631515130717</v>
      </c>
      <c r="H41" s="35">
        <f>SUM('Flujo Mensual'!BK43:BV43)</f>
        <v>-1413.8249832855206</v>
      </c>
      <c r="I41" s="35">
        <f>SUM('Flujo Mensual'!BW43:CH43)</f>
        <v>-2747.2531269693259</v>
      </c>
      <c r="J41" s="35">
        <f>SUM('Flujo Mensual'!CI43:CT43)</f>
        <v>-2991.1252251134724</v>
      </c>
      <c r="K41" s="35">
        <f>SUM('Flujo Mensual'!CU43:DF43)</f>
        <v>-2967.7749411609748</v>
      </c>
      <c r="L41" s="36">
        <f t="shared" si="3"/>
        <v>-25426.229087526401</v>
      </c>
    </row>
    <row r="43" spans="1:12" ht="13.8" x14ac:dyDescent="0.3">
      <c r="A43" s="33" t="s">
        <v>127</v>
      </c>
      <c r="B43" s="34"/>
      <c r="C43" s="35">
        <f>SUM('Flujo Mensual'!C45:N45)</f>
        <v>-9223.1308224102431</v>
      </c>
      <c r="D43" s="35">
        <f>SUM('Flujo Mensual'!O45:Z45)</f>
        <v>-7721.3204550690498</v>
      </c>
      <c r="E43" s="35">
        <f>SUM('Flujo Mensual'!AA45:AL45)</f>
        <v>-5832.7641967659292</v>
      </c>
      <c r="F43" s="35">
        <f>SUM('Flujo Mensual'!AM45:AX45)</f>
        <v>-2408.9735621626187</v>
      </c>
      <c r="G43" s="35">
        <f>SUM('Flujo Mensual'!AY45:BJ45)</f>
        <v>4598.0500304224197</v>
      </c>
      <c r="H43" s="35">
        <f>SUM('Flujo Mensual'!BK45:BV45)</f>
        <v>9608.9437959505085</v>
      </c>
      <c r="I43" s="35">
        <f>SUM('Flujo Mensual'!BW45:CH45)</f>
        <v>14960.342538147726</v>
      </c>
      <c r="J43" s="35">
        <f>SUM('Flujo Mensual'!CI45:CT45)</f>
        <v>21409.201970586731</v>
      </c>
      <c r="K43" s="35">
        <f>SUM('Flujo Mensual'!CU45:DF45)</f>
        <v>28913.810128649551</v>
      </c>
      <c r="L43" s="36">
        <f>SUM(C43:K43)</f>
        <v>54304.159427349092</v>
      </c>
    </row>
    <row r="45" spans="1:12" ht="13.8" x14ac:dyDescent="0.3">
      <c r="A45" s="26" t="s">
        <v>128</v>
      </c>
      <c r="B45" s="27"/>
      <c r="C45" s="27"/>
      <c r="D45" s="27"/>
      <c r="E45" s="27"/>
      <c r="F45" s="27"/>
      <c r="G45" s="27"/>
      <c r="H45" s="27"/>
      <c r="I45" s="27"/>
      <c r="J45" s="27"/>
      <c r="K45" s="27"/>
      <c r="L45" s="27"/>
    </row>
    <row r="46" spans="1:12" ht="13.8" x14ac:dyDescent="0.3">
      <c r="A46" s="16" t="s">
        <v>129</v>
      </c>
      <c r="C46" s="17">
        <f>'Flujo Mensual'!C48</f>
        <v>0</v>
      </c>
      <c r="D46" s="17">
        <f>'Flujo Mensual'!O48</f>
        <v>-9223.1308224102431</v>
      </c>
      <c r="E46" s="17">
        <f>'Flujo Mensual'!AA48</f>
        <v>-16944.451277479297</v>
      </c>
      <c r="F46" s="17">
        <f>'Flujo Mensual'!AM48</f>
        <v>-22777.215474245222</v>
      </c>
      <c r="G46" s="17">
        <f>'Flujo Mensual'!AY48</f>
        <v>-25186.189036407835</v>
      </c>
      <c r="H46" s="17">
        <f>'Flujo Mensual'!BK48</f>
        <v>-20588.139005985417</v>
      </c>
      <c r="I46" s="17">
        <f>'Flujo Mensual'!BW48</f>
        <v>-10979.195210034908</v>
      </c>
      <c r="J46" s="17">
        <f>'Flujo Mensual'!CI48</f>
        <v>3981.1473281128201</v>
      </c>
      <c r="K46" s="17">
        <f>'Flujo Mensual'!CU48</f>
        <v>25390.349298699552</v>
      </c>
      <c r="L46" s="37">
        <f>C46</f>
        <v>0</v>
      </c>
    </row>
    <row r="47" spans="1:12" ht="13.8" x14ac:dyDescent="0.3">
      <c r="A47" s="33" t="s">
        <v>130</v>
      </c>
      <c r="B47" s="34"/>
      <c r="C47" s="35">
        <f>'Flujo Mensual'!N49</f>
        <v>-9223.1308224102431</v>
      </c>
      <c r="D47" s="35">
        <f>'Flujo Mensual'!Z49</f>
        <v>-16944.451277479297</v>
      </c>
      <c r="E47" s="35">
        <f>'Flujo Mensual'!AL49</f>
        <v>-22777.215474245222</v>
      </c>
      <c r="F47" s="35">
        <f>'Flujo Mensual'!AX49</f>
        <v>-25186.189036407835</v>
      </c>
      <c r="G47" s="35">
        <f>'Flujo Mensual'!BJ49</f>
        <v>-20588.139005985417</v>
      </c>
      <c r="H47" s="35">
        <f>'Flujo Mensual'!BV49</f>
        <v>-10979.195210034908</v>
      </c>
      <c r="I47" s="35">
        <f>'Flujo Mensual'!CH49</f>
        <v>3981.1473281128201</v>
      </c>
      <c r="J47" s="35">
        <f>'Flujo Mensual'!CT49</f>
        <v>25390.349298699552</v>
      </c>
      <c r="K47" s="35">
        <f>'Flujo Mensual'!DF49</f>
        <v>54304.159427349099</v>
      </c>
      <c r="L47" s="36">
        <f>K47</f>
        <v>54304.159427349099</v>
      </c>
    </row>
    <row r="48" spans="1:12" ht="13.8" x14ac:dyDescent="0.3">
      <c r="A48" s="28" t="s">
        <v>131</v>
      </c>
      <c r="C48" s="29">
        <f>MIN('Flujo Mensual'!C49:N49)</f>
        <v>-9275.4055842483576</v>
      </c>
      <c r="D48" s="29">
        <f>MIN('Flujo Mensual'!O49:Z49)</f>
        <v>-18263.212351546616</v>
      </c>
      <c r="E48" s="29">
        <f>MIN('Flujo Mensual'!AA49:AL49)</f>
        <v>-25394.365407232774</v>
      </c>
      <c r="F48" s="29">
        <f>MIN('Flujo Mensual'!AM49:AX49)</f>
        <v>-30035.422007281759</v>
      </c>
      <c r="G48" s="29">
        <f>MIN('Flujo Mensual'!AY49:BJ49)</f>
        <v>-29115.046803228943</v>
      </c>
      <c r="H48" s="29">
        <f>MIN('Flujo Mensual'!BK49:BV49)</f>
        <v>-22988.755753597758</v>
      </c>
      <c r="I48" s="29">
        <f>MIN('Flujo Mensual'!BW49:CH49)</f>
        <v>-11360.064042481807</v>
      </c>
      <c r="J48" s="29">
        <f>MIN('Flujo Mensual'!CI49:CT49)</f>
        <v>2748.4620765941113</v>
      </c>
      <c r="K48" s="29">
        <f>MIN('Flujo Mensual'!CU49:DF49)</f>
        <v>24783.990961742693</v>
      </c>
      <c r="L48" s="38">
        <f>MIN(C48:K48)</f>
        <v>-30035.422007281759</v>
      </c>
    </row>
    <row r="50" spans="1:12" ht="13.8" x14ac:dyDescent="0.3">
      <c r="A50" s="26" t="s">
        <v>132</v>
      </c>
      <c r="B50" s="27"/>
      <c r="C50" s="27"/>
      <c r="D50" s="27"/>
      <c r="E50" s="27"/>
      <c r="F50" s="27"/>
      <c r="G50" s="27"/>
      <c r="H50" s="27"/>
      <c r="I50" s="27"/>
      <c r="J50" s="27"/>
      <c r="K50" s="27"/>
      <c r="L50" s="27"/>
    </row>
    <row r="51" spans="1:12" ht="13.8" x14ac:dyDescent="0.3">
      <c r="A51" s="16" t="s">
        <v>133</v>
      </c>
      <c r="C51" s="39">
        <f t="shared" ref="C51:L51" si="4">IF(C40=0,0,C25/C40)</f>
        <v>-2.2312330557854558</v>
      </c>
      <c r="D51" s="39">
        <f t="shared" si="4"/>
        <v>-0.64178852005035836</v>
      </c>
      <c r="E51" s="39">
        <f t="shared" si="4"/>
        <v>-0.14637224422629641</v>
      </c>
      <c r="F51" s="39">
        <f t="shared" si="4"/>
        <v>0.51070002782331181</v>
      </c>
      <c r="G51" s="39">
        <f t="shared" si="4"/>
        <v>3.2790117013061595</v>
      </c>
      <c r="H51" s="39">
        <f t="shared" si="4"/>
        <v>4.9000106992733494</v>
      </c>
      <c r="I51" s="39">
        <f t="shared" si="4"/>
        <v>6.4455639312171629</v>
      </c>
      <c r="J51" s="39">
        <f t="shared" si="4"/>
        <v>8.1575746113319418</v>
      </c>
      <c r="K51" s="39">
        <f t="shared" si="4"/>
        <v>10.742588539189784</v>
      </c>
      <c r="L51" s="39">
        <f t="shared" si="4"/>
        <v>2.7656312570962371</v>
      </c>
    </row>
    <row r="52" spans="1:12" ht="13.8" x14ac:dyDescent="0.3">
      <c r="A52" s="16" t="s">
        <v>134</v>
      </c>
      <c r="C52" s="39">
        <f t="shared" ref="C52:K52" si="5">IF(C40=0,0,C47/C40)</f>
        <v>-3.2312330557854563</v>
      </c>
      <c r="D52" s="39">
        <f t="shared" si="5"/>
        <v>-3.6029077860192702</v>
      </c>
      <c r="E52" s="39">
        <f t="shared" si="5"/>
        <v>-4.4766369322651824</v>
      </c>
      <c r="F52" s="39">
        <f t="shared" si="5"/>
        <v>-5.1157064520408602</v>
      </c>
      <c r="G52" s="39">
        <f t="shared" si="5"/>
        <v>-10.204458279556377</v>
      </c>
      <c r="H52" s="39">
        <f t="shared" si="5"/>
        <v>-4.4561587306392632</v>
      </c>
      <c r="I52" s="39">
        <f t="shared" si="5"/>
        <v>1.4491374271378785</v>
      </c>
      <c r="J52" s="39">
        <f t="shared" si="5"/>
        <v>8.488561122591026</v>
      </c>
      <c r="K52" s="39">
        <f t="shared" si="5"/>
        <v>18.297937176498181</v>
      </c>
    </row>
    <row r="54" spans="1:12" ht="13.8" x14ac:dyDescent="0.3">
      <c r="A54" s="26" t="s">
        <v>135</v>
      </c>
      <c r="B54" s="27"/>
      <c r="C54" s="27"/>
      <c r="D54" s="27"/>
      <c r="E54" s="27"/>
      <c r="F54" s="27"/>
      <c r="G54" s="27"/>
      <c r="H54" s="27"/>
      <c r="I54" s="27"/>
      <c r="J54" s="27"/>
      <c r="K54" s="27"/>
      <c r="L54" s="27"/>
    </row>
    <row r="55" spans="1:12" ht="13.8" x14ac:dyDescent="0.3">
      <c r="A55" s="28" t="s">
        <v>136</v>
      </c>
      <c r="C55" s="40">
        <f t="shared" ref="C55:K55" si="6">ROUND(C47-(C46+C43),4)</f>
        <v>0</v>
      </c>
      <c r="D55" s="40">
        <f t="shared" si="6"/>
        <v>0</v>
      </c>
      <c r="E55" s="40">
        <f t="shared" si="6"/>
        <v>0</v>
      </c>
      <c r="F55" s="40">
        <f t="shared" si="6"/>
        <v>0</v>
      </c>
      <c r="G55" s="40">
        <f t="shared" si="6"/>
        <v>0</v>
      </c>
      <c r="H55" s="40">
        <f t="shared" si="6"/>
        <v>0</v>
      </c>
      <c r="I55" s="40">
        <f t="shared" si="6"/>
        <v>0</v>
      </c>
      <c r="J55" s="40">
        <f t="shared" si="6"/>
        <v>0</v>
      </c>
      <c r="K55" s="40">
        <f t="shared" si="6"/>
        <v>0</v>
      </c>
    </row>
    <row r="56" spans="1:12" ht="13.8" x14ac:dyDescent="0.3">
      <c r="A56" s="28" t="s">
        <v>137</v>
      </c>
      <c r="C56" s="40">
        <f>ROUND(C13-SUM('Motor Semanal'!B17:BH17),4)</f>
        <v>0</v>
      </c>
      <c r="D56" s="40">
        <f>ROUND(D13-SUM('Motor Semanal'!BI17:DO17),4)</f>
        <v>0</v>
      </c>
      <c r="E56" s="40">
        <f>ROUND(E13-SUM('Motor Semanal'!DP17:FW17),4)</f>
        <v>0</v>
      </c>
      <c r="F56" s="40">
        <f>ROUND(F13-SUM('Motor Semanal'!FX17:ID17),4)</f>
        <v>0</v>
      </c>
      <c r="G56" s="40">
        <f>ROUND(G13-SUM('Motor Semanal'!IE17:KK17),4)</f>
        <v>0</v>
      </c>
      <c r="H56" s="40">
        <f>ROUND(H13-SUM('Motor Semanal'!KL17:MR17),4)</f>
        <v>0</v>
      </c>
      <c r="I56" s="40">
        <f>ROUND(I13-SUM('Motor Semanal'!MS17:OZ17),4)</f>
        <v>0</v>
      </c>
      <c r="J56" s="40">
        <f>ROUND(J13-SUM('Motor Semanal'!PA17:RG17),4)</f>
        <v>0</v>
      </c>
      <c r="K56" s="40">
        <f>ROUND(K13-SUM('Motor Semanal'!RH17:TN17),4)</f>
        <v>0</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DH61"/>
  <sheetViews>
    <sheetView showGridLines="0" zoomScaleNormal="100" workbookViewId="0">
      <pane xSplit="2" ySplit="7" topLeftCell="C8" activePane="bottomRight" state="frozen"/>
      <selection pane="topRight" activeCell="C1" sqref="C1"/>
      <selection pane="bottomLeft" activeCell="A8" sqref="A8"/>
      <selection pane="bottomRight" activeCell="L36" sqref="L36"/>
    </sheetView>
  </sheetViews>
  <sheetFormatPr baseColWidth="10" defaultColWidth="8.6640625" defaultRowHeight="13.2" x14ac:dyDescent="0.25"/>
  <cols>
    <col min="1" max="1" width="46" customWidth="1"/>
    <col min="2" max="2" width="30" customWidth="1"/>
    <col min="3" max="112" width="9.5546875" customWidth="1"/>
  </cols>
  <sheetData>
    <row r="1" spans="1:112" ht="18" x14ac:dyDescent="0.35">
      <c r="A1" s="25" t="s">
        <v>138</v>
      </c>
    </row>
    <row r="2" spans="1:112" ht="13.8" x14ac:dyDescent="0.3">
      <c r="A2" s="294" t="s">
        <v>461</v>
      </c>
    </row>
    <row r="3" spans="1:112" x14ac:dyDescent="0.25">
      <c r="DG3" s="41" t="s">
        <v>139</v>
      </c>
    </row>
    <row r="4" spans="1:112" ht="13.8" x14ac:dyDescent="0.3">
      <c r="A4" s="12" t="s">
        <v>140</v>
      </c>
      <c r="B4" s="12" t="s">
        <v>141</v>
      </c>
      <c r="C4" s="42">
        <f>DATE(Supuestos!$B$1,1,1)</f>
        <v>46023</v>
      </c>
      <c r="D4" s="42">
        <f t="shared" ref="D4:AI4" si="0">EDATE(C4,1)</f>
        <v>46054</v>
      </c>
      <c r="E4" s="42">
        <f t="shared" si="0"/>
        <v>46082</v>
      </c>
      <c r="F4" s="42">
        <f t="shared" si="0"/>
        <v>46113</v>
      </c>
      <c r="G4" s="42">
        <f t="shared" si="0"/>
        <v>46143</v>
      </c>
      <c r="H4" s="42">
        <f t="shared" si="0"/>
        <v>46174</v>
      </c>
      <c r="I4" s="42">
        <f t="shared" si="0"/>
        <v>46204</v>
      </c>
      <c r="J4" s="42">
        <f t="shared" si="0"/>
        <v>46235</v>
      </c>
      <c r="K4" s="42">
        <f t="shared" si="0"/>
        <v>46266</v>
      </c>
      <c r="L4" s="42">
        <f t="shared" si="0"/>
        <v>46296</v>
      </c>
      <c r="M4" s="42">
        <f t="shared" si="0"/>
        <v>46327</v>
      </c>
      <c r="N4" s="42">
        <f t="shared" si="0"/>
        <v>46357</v>
      </c>
      <c r="O4" s="42">
        <f t="shared" si="0"/>
        <v>46388</v>
      </c>
      <c r="P4" s="42">
        <f t="shared" si="0"/>
        <v>46419</v>
      </c>
      <c r="Q4" s="42">
        <f t="shared" si="0"/>
        <v>46447</v>
      </c>
      <c r="R4" s="42">
        <f t="shared" si="0"/>
        <v>46478</v>
      </c>
      <c r="S4" s="42">
        <f t="shared" si="0"/>
        <v>46508</v>
      </c>
      <c r="T4" s="42">
        <f t="shared" si="0"/>
        <v>46539</v>
      </c>
      <c r="U4" s="42">
        <f t="shared" si="0"/>
        <v>46569</v>
      </c>
      <c r="V4" s="42">
        <f t="shared" si="0"/>
        <v>46600</v>
      </c>
      <c r="W4" s="42">
        <f t="shared" si="0"/>
        <v>46631</v>
      </c>
      <c r="X4" s="42">
        <f t="shared" si="0"/>
        <v>46661</v>
      </c>
      <c r="Y4" s="42">
        <f t="shared" si="0"/>
        <v>46692</v>
      </c>
      <c r="Z4" s="42">
        <f t="shared" si="0"/>
        <v>46722</v>
      </c>
      <c r="AA4" s="42">
        <f t="shared" si="0"/>
        <v>46753</v>
      </c>
      <c r="AB4" s="42">
        <f t="shared" si="0"/>
        <v>46784</v>
      </c>
      <c r="AC4" s="42">
        <f t="shared" si="0"/>
        <v>46813</v>
      </c>
      <c r="AD4" s="42">
        <f t="shared" si="0"/>
        <v>46844</v>
      </c>
      <c r="AE4" s="42">
        <f t="shared" si="0"/>
        <v>46874</v>
      </c>
      <c r="AF4" s="42">
        <f t="shared" si="0"/>
        <v>46905</v>
      </c>
      <c r="AG4" s="42">
        <f t="shared" si="0"/>
        <v>46935</v>
      </c>
      <c r="AH4" s="42">
        <f t="shared" si="0"/>
        <v>46966</v>
      </c>
      <c r="AI4" s="42">
        <f t="shared" si="0"/>
        <v>46997</v>
      </c>
      <c r="AJ4" s="42">
        <f t="shared" ref="AJ4:BO4" si="1">EDATE(AI4,1)</f>
        <v>47027</v>
      </c>
      <c r="AK4" s="42">
        <f t="shared" si="1"/>
        <v>47058</v>
      </c>
      <c r="AL4" s="42">
        <f t="shared" si="1"/>
        <v>47088</v>
      </c>
      <c r="AM4" s="42">
        <f t="shared" si="1"/>
        <v>47119</v>
      </c>
      <c r="AN4" s="42">
        <f t="shared" si="1"/>
        <v>47150</v>
      </c>
      <c r="AO4" s="42">
        <f t="shared" si="1"/>
        <v>47178</v>
      </c>
      <c r="AP4" s="42">
        <f t="shared" si="1"/>
        <v>47209</v>
      </c>
      <c r="AQ4" s="42">
        <f t="shared" si="1"/>
        <v>47239</v>
      </c>
      <c r="AR4" s="42">
        <f t="shared" si="1"/>
        <v>47270</v>
      </c>
      <c r="AS4" s="42">
        <f t="shared" si="1"/>
        <v>47300</v>
      </c>
      <c r="AT4" s="42">
        <f t="shared" si="1"/>
        <v>47331</v>
      </c>
      <c r="AU4" s="42">
        <f t="shared" si="1"/>
        <v>47362</v>
      </c>
      <c r="AV4" s="42">
        <f t="shared" si="1"/>
        <v>47392</v>
      </c>
      <c r="AW4" s="42">
        <f t="shared" si="1"/>
        <v>47423</v>
      </c>
      <c r="AX4" s="42">
        <f t="shared" si="1"/>
        <v>47453</v>
      </c>
      <c r="AY4" s="42">
        <f t="shared" si="1"/>
        <v>47484</v>
      </c>
      <c r="AZ4" s="42">
        <f t="shared" si="1"/>
        <v>47515</v>
      </c>
      <c r="BA4" s="42">
        <f t="shared" si="1"/>
        <v>47543</v>
      </c>
      <c r="BB4" s="42">
        <f t="shared" si="1"/>
        <v>47574</v>
      </c>
      <c r="BC4" s="42">
        <f t="shared" si="1"/>
        <v>47604</v>
      </c>
      <c r="BD4" s="42">
        <f t="shared" si="1"/>
        <v>47635</v>
      </c>
      <c r="BE4" s="42">
        <f t="shared" si="1"/>
        <v>47665</v>
      </c>
      <c r="BF4" s="42">
        <f t="shared" si="1"/>
        <v>47696</v>
      </c>
      <c r="BG4" s="42">
        <f t="shared" si="1"/>
        <v>47727</v>
      </c>
      <c r="BH4" s="42">
        <f t="shared" si="1"/>
        <v>47757</v>
      </c>
      <c r="BI4" s="42">
        <f t="shared" si="1"/>
        <v>47788</v>
      </c>
      <c r="BJ4" s="42">
        <f t="shared" si="1"/>
        <v>47818</v>
      </c>
      <c r="BK4" s="42">
        <f t="shared" si="1"/>
        <v>47849</v>
      </c>
      <c r="BL4" s="42">
        <f t="shared" si="1"/>
        <v>47880</v>
      </c>
      <c r="BM4" s="42">
        <f t="shared" si="1"/>
        <v>47908</v>
      </c>
      <c r="BN4" s="42">
        <f t="shared" si="1"/>
        <v>47939</v>
      </c>
      <c r="BO4" s="42">
        <f t="shared" si="1"/>
        <v>47969</v>
      </c>
      <c r="BP4" s="42">
        <f t="shared" ref="BP4:CU4" si="2">EDATE(BO4,1)</f>
        <v>48000</v>
      </c>
      <c r="BQ4" s="42">
        <f t="shared" si="2"/>
        <v>48030</v>
      </c>
      <c r="BR4" s="42">
        <f t="shared" si="2"/>
        <v>48061</v>
      </c>
      <c r="BS4" s="42">
        <f t="shared" si="2"/>
        <v>48092</v>
      </c>
      <c r="BT4" s="42">
        <f t="shared" si="2"/>
        <v>48122</v>
      </c>
      <c r="BU4" s="42">
        <f t="shared" si="2"/>
        <v>48153</v>
      </c>
      <c r="BV4" s="42">
        <f t="shared" si="2"/>
        <v>48183</v>
      </c>
      <c r="BW4" s="42">
        <f t="shared" si="2"/>
        <v>48214</v>
      </c>
      <c r="BX4" s="42">
        <f t="shared" si="2"/>
        <v>48245</v>
      </c>
      <c r="BY4" s="42">
        <f t="shared" si="2"/>
        <v>48274</v>
      </c>
      <c r="BZ4" s="42">
        <f t="shared" si="2"/>
        <v>48305</v>
      </c>
      <c r="CA4" s="42">
        <f t="shared" si="2"/>
        <v>48335</v>
      </c>
      <c r="CB4" s="42">
        <f t="shared" si="2"/>
        <v>48366</v>
      </c>
      <c r="CC4" s="42">
        <f t="shared" si="2"/>
        <v>48396</v>
      </c>
      <c r="CD4" s="42">
        <f t="shared" si="2"/>
        <v>48427</v>
      </c>
      <c r="CE4" s="42">
        <f t="shared" si="2"/>
        <v>48458</v>
      </c>
      <c r="CF4" s="42">
        <f t="shared" si="2"/>
        <v>48488</v>
      </c>
      <c r="CG4" s="42">
        <f t="shared" si="2"/>
        <v>48519</v>
      </c>
      <c r="CH4" s="42">
        <f t="shared" si="2"/>
        <v>48549</v>
      </c>
      <c r="CI4" s="42">
        <f t="shared" si="2"/>
        <v>48580</v>
      </c>
      <c r="CJ4" s="42">
        <f t="shared" si="2"/>
        <v>48611</v>
      </c>
      <c r="CK4" s="42">
        <f t="shared" si="2"/>
        <v>48639</v>
      </c>
      <c r="CL4" s="42">
        <f t="shared" si="2"/>
        <v>48670</v>
      </c>
      <c r="CM4" s="42">
        <f t="shared" si="2"/>
        <v>48700</v>
      </c>
      <c r="CN4" s="42">
        <f t="shared" si="2"/>
        <v>48731</v>
      </c>
      <c r="CO4" s="42">
        <f t="shared" si="2"/>
        <v>48761</v>
      </c>
      <c r="CP4" s="42">
        <f t="shared" si="2"/>
        <v>48792</v>
      </c>
      <c r="CQ4" s="42">
        <f t="shared" si="2"/>
        <v>48823</v>
      </c>
      <c r="CR4" s="42">
        <f t="shared" si="2"/>
        <v>48853</v>
      </c>
      <c r="CS4" s="42">
        <f t="shared" si="2"/>
        <v>48884</v>
      </c>
      <c r="CT4" s="42">
        <f t="shared" si="2"/>
        <v>48914</v>
      </c>
      <c r="CU4" s="42">
        <f t="shared" si="2"/>
        <v>48945</v>
      </c>
      <c r="CV4" s="42">
        <f t="shared" ref="CV4:DH4" si="3">EDATE(CU4,1)</f>
        <v>48976</v>
      </c>
      <c r="CW4" s="42">
        <f t="shared" si="3"/>
        <v>49004</v>
      </c>
      <c r="CX4" s="42">
        <f t="shared" si="3"/>
        <v>49035</v>
      </c>
      <c r="CY4" s="42">
        <f t="shared" si="3"/>
        <v>49065</v>
      </c>
      <c r="CZ4" s="42">
        <f t="shared" si="3"/>
        <v>49096</v>
      </c>
      <c r="DA4" s="42">
        <f t="shared" si="3"/>
        <v>49126</v>
      </c>
      <c r="DB4" s="42">
        <f t="shared" si="3"/>
        <v>49157</v>
      </c>
      <c r="DC4" s="42">
        <f t="shared" si="3"/>
        <v>49188</v>
      </c>
      <c r="DD4" s="42">
        <f t="shared" si="3"/>
        <v>49218</v>
      </c>
      <c r="DE4" s="42">
        <f t="shared" si="3"/>
        <v>49249</v>
      </c>
      <c r="DF4" s="42">
        <f t="shared" si="3"/>
        <v>49279</v>
      </c>
      <c r="DG4" s="43">
        <f t="shared" si="3"/>
        <v>49310</v>
      </c>
      <c r="DH4" s="43">
        <f t="shared" si="3"/>
        <v>49341</v>
      </c>
    </row>
    <row r="5" spans="1:112" x14ac:dyDescent="0.25">
      <c r="A5" s="44" t="s">
        <v>96</v>
      </c>
      <c r="C5" s="45">
        <f t="shared" ref="C5:AH5" si="4">YEAR(C4)</f>
        <v>2026</v>
      </c>
      <c r="D5" s="45">
        <f t="shared" si="4"/>
        <v>2026</v>
      </c>
      <c r="E5" s="45">
        <f t="shared" si="4"/>
        <v>2026</v>
      </c>
      <c r="F5" s="45">
        <f t="shared" si="4"/>
        <v>2026</v>
      </c>
      <c r="G5" s="45">
        <f t="shared" si="4"/>
        <v>2026</v>
      </c>
      <c r="H5" s="45">
        <f t="shared" si="4"/>
        <v>2026</v>
      </c>
      <c r="I5" s="45">
        <f t="shared" si="4"/>
        <v>2026</v>
      </c>
      <c r="J5" s="45">
        <f t="shared" si="4"/>
        <v>2026</v>
      </c>
      <c r="K5" s="45">
        <f t="shared" si="4"/>
        <v>2026</v>
      </c>
      <c r="L5" s="45">
        <f t="shared" si="4"/>
        <v>2026</v>
      </c>
      <c r="M5" s="45">
        <f t="shared" si="4"/>
        <v>2026</v>
      </c>
      <c r="N5" s="45">
        <f t="shared" si="4"/>
        <v>2026</v>
      </c>
      <c r="O5" s="45">
        <f t="shared" si="4"/>
        <v>2027</v>
      </c>
      <c r="P5" s="45">
        <f t="shared" si="4"/>
        <v>2027</v>
      </c>
      <c r="Q5" s="45">
        <f t="shared" si="4"/>
        <v>2027</v>
      </c>
      <c r="R5" s="45">
        <f t="shared" si="4"/>
        <v>2027</v>
      </c>
      <c r="S5" s="45">
        <f t="shared" si="4"/>
        <v>2027</v>
      </c>
      <c r="T5" s="45">
        <f t="shared" si="4"/>
        <v>2027</v>
      </c>
      <c r="U5" s="45">
        <f t="shared" si="4"/>
        <v>2027</v>
      </c>
      <c r="V5" s="45">
        <f t="shared" si="4"/>
        <v>2027</v>
      </c>
      <c r="W5" s="45">
        <f t="shared" si="4"/>
        <v>2027</v>
      </c>
      <c r="X5" s="45">
        <f t="shared" si="4"/>
        <v>2027</v>
      </c>
      <c r="Y5" s="45">
        <f t="shared" si="4"/>
        <v>2027</v>
      </c>
      <c r="Z5" s="45">
        <f t="shared" si="4"/>
        <v>2027</v>
      </c>
      <c r="AA5" s="45">
        <f t="shared" si="4"/>
        <v>2028</v>
      </c>
      <c r="AB5" s="45">
        <f t="shared" si="4"/>
        <v>2028</v>
      </c>
      <c r="AC5" s="45">
        <f t="shared" si="4"/>
        <v>2028</v>
      </c>
      <c r="AD5" s="45">
        <f t="shared" si="4"/>
        <v>2028</v>
      </c>
      <c r="AE5" s="45">
        <f t="shared" si="4"/>
        <v>2028</v>
      </c>
      <c r="AF5" s="45">
        <f t="shared" si="4"/>
        <v>2028</v>
      </c>
      <c r="AG5" s="45">
        <f t="shared" si="4"/>
        <v>2028</v>
      </c>
      <c r="AH5" s="45">
        <f t="shared" si="4"/>
        <v>2028</v>
      </c>
      <c r="AI5" s="45">
        <f t="shared" ref="AI5:BN5" si="5">YEAR(AI4)</f>
        <v>2028</v>
      </c>
      <c r="AJ5" s="45">
        <f t="shared" si="5"/>
        <v>2028</v>
      </c>
      <c r="AK5" s="45">
        <f t="shared" si="5"/>
        <v>2028</v>
      </c>
      <c r="AL5" s="45">
        <f t="shared" si="5"/>
        <v>2028</v>
      </c>
      <c r="AM5" s="45">
        <f t="shared" si="5"/>
        <v>2029</v>
      </c>
      <c r="AN5" s="45">
        <f t="shared" si="5"/>
        <v>2029</v>
      </c>
      <c r="AO5" s="45">
        <f t="shared" si="5"/>
        <v>2029</v>
      </c>
      <c r="AP5" s="45">
        <f t="shared" si="5"/>
        <v>2029</v>
      </c>
      <c r="AQ5" s="45">
        <f t="shared" si="5"/>
        <v>2029</v>
      </c>
      <c r="AR5" s="45">
        <f t="shared" si="5"/>
        <v>2029</v>
      </c>
      <c r="AS5" s="45">
        <f t="shared" si="5"/>
        <v>2029</v>
      </c>
      <c r="AT5" s="45">
        <f t="shared" si="5"/>
        <v>2029</v>
      </c>
      <c r="AU5" s="45">
        <f t="shared" si="5"/>
        <v>2029</v>
      </c>
      <c r="AV5" s="45">
        <f t="shared" si="5"/>
        <v>2029</v>
      </c>
      <c r="AW5" s="45">
        <f t="shared" si="5"/>
        <v>2029</v>
      </c>
      <c r="AX5" s="45">
        <f t="shared" si="5"/>
        <v>2029</v>
      </c>
      <c r="AY5" s="45">
        <f t="shared" si="5"/>
        <v>2030</v>
      </c>
      <c r="AZ5" s="45">
        <f t="shared" si="5"/>
        <v>2030</v>
      </c>
      <c r="BA5" s="45">
        <f t="shared" si="5"/>
        <v>2030</v>
      </c>
      <c r="BB5" s="45">
        <f t="shared" si="5"/>
        <v>2030</v>
      </c>
      <c r="BC5" s="45">
        <f t="shared" si="5"/>
        <v>2030</v>
      </c>
      <c r="BD5" s="45">
        <f t="shared" si="5"/>
        <v>2030</v>
      </c>
      <c r="BE5" s="45">
        <f t="shared" si="5"/>
        <v>2030</v>
      </c>
      <c r="BF5" s="45">
        <f t="shared" si="5"/>
        <v>2030</v>
      </c>
      <c r="BG5" s="45">
        <f t="shared" si="5"/>
        <v>2030</v>
      </c>
      <c r="BH5" s="45">
        <f t="shared" si="5"/>
        <v>2030</v>
      </c>
      <c r="BI5" s="45">
        <f t="shared" si="5"/>
        <v>2030</v>
      </c>
      <c r="BJ5" s="45">
        <f t="shared" si="5"/>
        <v>2030</v>
      </c>
      <c r="BK5" s="45">
        <f t="shared" si="5"/>
        <v>2031</v>
      </c>
      <c r="BL5" s="45">
        <f t="shared" si="5"/>
        <v>2031</v>
      </c>
      <c r="BM5" s="45">
        <f t="shared" si="5"/>
        <v>2031</v>
      </c>
      <c r="BN5" s="45">
        <f t="shared" si="5"/>
        <v>2031</v>
      </c>
      <c r="BO5" s="45">
        <f t="shared" ref="BO5:CT5" si="6">YEAR(BO4)</f>
        <v>2031</v>
      </c>
      <c r="BP5" s="45">
        <f t="shared" si="6"/>
        <v>2031</v>
      </c>
      <c r="BQ5" s="45">
        <f t="shared" si="6"/>
        <v>2031</v>
      </c>
      <c r="BR5" s="45">
        <f t="shared" si="6"/>
        <v>2031</v>
      </c>
      <c r="BS5" s="45">
        <f t="shared" si="6"/>
        <v>2031</v>
      </c>
      <c r="BT5" s="45">
        <f t="shared" si="6"/>
        <v>2031</v>
      </c>
      <c r="BU5" s="45">
        <f t="shared" si="6"/>
        <v>2031</v>
      </c>
      <c r="BV5" s="45">
        <f t="shared" si="6"/>
        <v>2031</v>
      </c>
      <c r="BW5" s="45">
        <f t="shared" si="6"/>
        <v>2032</v>
      </c>
      <c r="BX5" s="45">
        <f t="shared" si="6"/>
        <v>2032</v>
      </c>
      <c r="BY5" s="45">
        <f t="shared" si="6"/>
        <v>2032</v>
      </c>
      <c r="BZ5" s="45">
        <f t="shared" si="6"/>
        <v>2032</v>
      </c>
      <c r="CA5" s="45">
        <f t="shared" si="6"/>
        <v>2032</v>
      </c>
      <c r="CB5" s="45">
        <f t="shared" si="6"/>
        <v>2032</v>
      </c>
      <c r="CC5" s="45">
        <f t="shared" si="6"/>
        <v>2032</v>
      </c>
      <c r="CD5" s="45">
        <f t="shared" si="6"/>
        <v>2032</v>
      </c>
      <c r="CE5" s="45">
        <f t="shared" si="6"/>
        <v>2032</v>
      </c>
      <c r="CF5" s="45">
        <f t="shared" si="6"/>
        <v>2032</v>
      </c>
      <c r="CG5" s="45">
        <f t="shared" si="6"/>
        <v>2032</v>
      </c>
      <c r="CH5" s="45">
        <f t="shared" si="6"/>
        <v>2032</v>
      </c>
      <c r="CI5" s="45">
        <f t="shared" si="6"/>
        <v>2033</v>
      </c>
      <c r="CJ5" s="45">
        <f t="shared" si="6"/>
        <v>2033</v>
      </c>
      <c r="CK5" s="45">
        <f t="shared" si="6"/>
        <v>2033</v>
      </c>
      <c r="CL5" s="45">
        <f t="shared" si="6"/>
        <v>2033</v>
      </c>
      <c r="CM5" s="45">
        <f t="shared" si="6"/>
        <v>2033</v>
      </c>
      <c r="CN5" s="45">
        <f t="shared" si="6"/>
        <v>2033</v>
      </c>
      <c r="CO5" s="45">
        <f t="shared" si="6"/>
        <v>2033</v>
      </c>
      <c r="CP5" s="45">
        <f t="shared" si="6"/>
        <v>2033</v>
      </c>
      <c r="CQ5" s="45">
        <f t="shared" si="6"/>
        <v>2033</v>
      </c>
      <c r="CR5" s="45">
        <f t="shared" si="6"/>
        <v>2033</v>
      </c>
      <c r="CS5" s="45">
        <f t="shared" si="6"/>
        <v>2033</v>
      </c>
      <c r="CT5" s="45">
        <f t="shared" si="6"/>
        <v>2033</v>
      </c>
      <c r="CU5" s="45">
        <f t="shared" ref="CU5:DZ5" si="7">YEAR(CU4)</f>
        <v>2034</v>
      </c>
      <c r="CV5" s="45">
        <f t="shared" si="7"/>
        <v>2034</v>
      </c>
      <c r="CW5" s="45">
        <f t="shared" si="7"/>
        <v>2034</v>
      </c>
      <c r="CX5" s="45">
        <f t="shared" si="7"/>
        <v>2034</v>
      </c>
      <c r="CY5" s="45">
        <f t="shared" si="7"/>
        <v>2034</v>
      </c>
      <c r="CZ5" s="45">
        <f t="shared" si="7"/>
        <v>2034</v>
      </c>
      <c r="DA5" s="45">
        <f t="shared" si="7"/>
        <v>2034</v>
      </c>
      <c r="DB5" s="45">
        <f t="shared" si="7"/>
        <v>2034</v>
      </c>
      <c r="DC5" s="45">
        <f t="shared" si="7"/>
        <v>2034</v>
      </c>
      <c r="DD5" s="45">
        <f t="shared" si="7"/>
        <v>2034</v>
      </c>
      <c r="DE5" s="45">
        <f t="shared" si="7"/>
        <v>2034</v>
      </c>
      <c r="DF5" s="45">
        <f t="shared" si="7"/>
        <v>2034</v>
      </c>
      <c r="DG5" s="45">
        <f t="shared" si="7"/>
        <v>2035</v>
      </c>
      <c r="DH5" s="45">
        <f t="shared" si="7"/>
        <v>2035</v>
      </c>
    </row>
    <row r="6" spans="1:112" x14ac:dyDescent="0.25">
      <c r="A6" s="44" t="s">
        <v>142</v>
      </c>
      <c r="C6" s="45">
        <f t="shared" ref="C6:AH6" si="8">MONTH(C4)</f>
        <v>1</v>
      </c>
      <c r="D6" s="45">
        <f t="shared" si="8"/>
        <v>2</v>
      </c>
      <c r="E6" s="45">
        <f t="shared" si="8"/>
        <v>3</v>
      </c>
      <c r="F6" s="45">
        <f t="shared" si="8"/>
        <v>4</v>
      </c>
      <c r="G6" s="45">
        <f t="shared" si="8"/>
        <v>5</v>
      </c>
      <c r="H6" s="45">
        <f t="shared" si="8"/>
        <v>6</v>
      </c>
      <c r="I6" s="45">
        <f t="shared" si="8"/>
        <v>7</v>
      </c>
      <c r="J6" s="45">
        <f t="shared" si="8"/>
        <v>8</v>
      </c>
      <c r="K6" s="45">
        <f t="shared" si="8"/>
        <v>9</v>
      </c>
      <c r="L6" s="45">
        <f t="shared" si="8"/>
        <v>10</v>
      </c>
      <c r="M6" s="45">
        <f t="shared" si="8"/>
        <v>11</v>
      </c>
      <c r="N6" s="45">
        <f t="shared" si="8"/>
        <v>12</v>
      </c>
      <c r="O6" s="45">
        <f t="shared" si="8"/>
        <v>1</v>
      </c>
      <c r="P6" s="45">
        <f t="shared" si="8"/>
        <v>2</v>
      </c>
      <c r="Q6" s="45">
        <f t="shared" si="8"/>
        <v>3</v>
      </c>
      <c r="R6" s="45">
        <f t="shared" si="8"/>
        <v>4</v>
      </c>
      <c r="S6" s="45">
        <f t="shared" si="8"/>
        <v>5</v>
      </c>
      <c r="T6" s="45">
        <f t="shared" si="8"/>
        <v>6</v>
      </c>
      <c r="U6" s="45">
        <f t="shared" si="8"/>
        <v>7</v>
      </c>
      <c r="V6" s="45">
        <f t="shared" si="8"/>
        <v>8</v>
      </c>
      <c r="W6" s="45">
        <f t="shared" si="8"/>
        <v>9</v>
      </c>
      <c r="X6" s="45">
        <f t="shared" si="8"/>
        <v>10</v>
      </c>
      <c r="Y6" s="45">
        <f t="shared" si="8"/>
        <v>11</v>
      </c>
      <c r="Z6" s="45">
        <f t="shared" si="8"/>
        <v>12</v>
      </c>
      <c r="AA6" s="45">
        <f t="shared" si="8"/>
        <v>1</v>
      </c>
      <c r="AB6" s="45">
        <f t="shared" si="8"/>
        <v>2</v>
      </c>
      <c r="AC6" s="45">
        <f t="shared" si="8"/>
        <v>3</v>
      </c>
      <c r="AD6" s="45">
        <f t="shared" si="8"/>
        <v>4</v>
      </c>
      <c r="AE6" s="45">
        <f t="shared" si="8"/>
        <v>5</v>
      </c>
      <c r="AF6" s="45">
        <f t="shared" si="8"/>
        <v>6</v>
      </c>
      <c r="AG6" s="45">
        <f t="shared" si="8"/>
        <v>7</v>
      </c>
      <c r="AH6" s="45">
        <f t="shared" si="8"/>
        <v>8</v>
      </c>
      <c r="AI6" s="45">
        <f t="shared" ref="AI6:BN6" si="9">MONTH(AI4)</f>
        <v>9</v>
      </c>
      <c r="AJ6" s="45">
        <f t="shared" si="9"/>
        <v>10</v>
      </c>
      <c r="AK6" s="45">
        <f t="shared" si="9"/>
        <v>11</v>
      </c>
      <c r="AL6" s="45">
        <f t="shared" si="9"/>
        <v>12</v>
      </c>
      <c r="AM6" s="45">
        <f t="shared" si="9"/>
        <v>1</v>
      </c>
      <c r="AN6" s="45">
        <f t="shared" si="9"/>
        <v>2</v>
      </c>
      <c r="AO6" s="45">
        <f t="shared" si="9"/>
        <v>3</v>
      </c>
      <c r="AP6" s="45">
        <f t="shared" si="9"/>
        <v>4</v>
      </c>
      <c r="AQ6" s="45">
        <f t="shared" si="9"/>
        <v>5</v>
      </c>
      <c r="AR6" s="45">
        <f t="shared" si="9"/>
        <v>6</v>
      </c>
      <c r="AS6" s="45">
        <f t="shared" si="9"/>
        <v>7</v>
      </c>
      <c r="AT6" s="45">
        <f t="shared" si="9"/>
        <v>8</v>
      </c>
      <c r="AU6" s="45">
        <f t="shared" si="9"/>
        <v>9</v>
      </c>
      <c r="AV6" s="45">
        <f t="shared" si="9"/>
        <v>10</v>
      </c>
      <c r="AW6" s="45">
        <f t="shared" si="9"/>
        <v>11</v>
      </c>
      <c r="AX6" s="45">
        <f t="shared" si="9"/>
        <v>12</v>
      </c>
      <c r="AY6" s="45">
        <f t="shared" si="9"/>
        <v>1</v>
      </c>
      <c r="AZ6" s="45">
        <f t="shared" si="9"/>
        <v>2</v>
      </c>
      <c r="BA6" s="45">
        <f t="shared" si="9"/>
        <v>3</v>
      </c>
      <c r="BB6" s="45">
        <f t="shared" si="9"/>
        <v>4</v>
      </c>
      <c r="BC6" s="45">
        <f t="shared" si="9"/>
        <v>5</v>
      </c>
      <c r="BD6" s="45">
        <f t="shared" si="9"/>
        <v>6</v>
      </c>
      <c r="BE6" s="45">
        <f t="shared" si="9"/>
        <v>7</v>
      </c>
      <c r="BF6" s="45">
        <f t="shared" si="9"/>
        <v>8</v>
      </c>
      <c r="BG6" s="45">
        <f t="shared" si="9"/>
        <v>9</v>
      </c>
      <c r="BH6" s="45">
        <f t="shared" si="9"/>
        <v>10</v>
      </c>
      <c r="BI6" s="45">
        <f t="shared" si="9"/>
        <v>11</v>
      </c>
      <c r="BJ6" s="45">
        <f t="shared" si="9"/>
        <v>12</v>
      </c>
      <c r="BK6" s="45">
        <f t="shared" si="9"/>
        <v>1</v>
      </c>
      <c r="BL6" s="45">
        <f t="shared" si="9"/>
        <v>2</v>
      </c>
      <c r="BM6" s="45">
        <f t="shared" si="9"/>
        <v>3</v>
      </c>
      <c r="BN6" s="45">
        <f t="shared" si="9"/>
        <v>4</v>
      </c>
      <c r="BO6" s="45">
        <f t="shared" ref="BO6:CT6" si="10">MONTH(BO4)</f>
        <v>5</v>
      </c>
      <c r="BP6" s="45">
        <f t="shared" si="10"/>
        <v>6</v>
      </c>
      <c r="BQ6" s="45">
        <f t="shared" si="10"/>
        <v>7</v>
      </c>
      <c r="BR6" s="45">
        <f t="shared" si="10"/>
        <v>8</v>
      </c>
      <c r="BS6" s="45">
        <f t="shared" si="10"/>
        <v>9</v>
      </c>
      <c r="BT6" s="45">
        <f t="shared" si="10"/>
        <v>10</v>
      </c>
      <c r="BU6" s="45">
        <f t="shared" si="10"/>
        <v>11</v>
      </c>
      <c r="BV6" s="45">
        <f t="shared" si="10"/>
        <v>12</v>
      </c>
      <c r="BW6" s="45">
        <f t="shared" si="10"/>
        <v>1</v>
      </c>
      <c r="BX6" s="45">
        <f t="shared" si="10"/>
        <v>2</v>
      </c>
      <c r="BY6" s="45">
        <f t="shared" si="10"/>
        <v>3</v>
      </c>
      <c r="BZ6" s="45">
        <f t="shared" si="10"/>
        <v>4</v>
      </c>
      <c r="CA6" s="45">
        <f t="shared" si="10"/>
        <v>5</v>
      </c>
      <c r="CB6" s="45">
        <f t="shared" si="10"/>
        <v>6</v>
      </c>
      <c r="CC6" s="45">
        <f t="shared" si="10"/>
        <v>7</v>
      </c>
      <c r="CD6" s="45">
        <f t="shared" si="10"/>
        <v>8</v>
      </c>
      <c r="CE6" s="45">
        <f t="shared" si="10"/>
        <v>9</v>
      </c>
      <c r="CF6" s="45">
        <f t="shared" si="10"/>
        <v>10</v>
      </c>
      <c r="CG6" s="45">
        <f t="shared" si="10"/>
        <v>11</v>
      </c>
      <c r="CH6" s="45">
        <f t="shared" si="10"/>
        <v>12</v>
      </c>
      <c r="CI6" s="45">
        <f t="shared" si="10"/>
        <v>1</v>
      </c>
      <c r="CJ6" s="45">
        <f t="shared" si="10"/>
        <v>2</v>
      </c>
      <c r="CK6" s="45">
        <f t="shared" si="10"/>
        <v>3</v>
      </c>
      <c r="CL6" s="45">
        <f t="shared" si="10"/>
        <v>4</v>
      </c>
      <c r="CM6" s="45">
        <f t="shared" si="10"/>
        <v>5</v>
      </c>
      <c r="CN6" s="45">
        <f t="shared" si="10"/>
        <v>6</v>
      </c>
      <c r="CO6" s="45">
        <f t="shared" si="10"/>
        <v>7</v>
      </c>
      <c r="CP6" s="45">
        <f t="shared" si="10"/>
        <v>8</v>
      </c>
      <c r="CQ6" s="45">
        <f t="shared" si="10"/>
        <v>9</v>
      </c>
      <c r="CR6" s="45">
        <f t="shared" si="10"/>
        <v>10</v>
      </c>
      <c r="CS6" s="45">
        <f t="shared" si="10"/>
        <v>11</v>
      </c>
      <c r="CT6" s="45">
        <f t="shared" si="10"/>
        <v>12</v>
      </c>
      <c r="CU6" s="45">
        <f t="shared" ref="CU6:DH6" si="11">MONTH(CU4)</f>
        <v>1</v>
      </c>
      <c r="CV6" s="45">
        <f t="shared" si="11"/>
        <v>2</v>
      </c>
      <c r="CW6" s="45">
        <f t="shared" si="11"/>
        <v>3</v>
      </c>
      <c r="CX6" s="45">
        <f t="shared" si="11"/>
        <v>4</v>
      </c>
      <c r="CY6" s="45">
        <f t="shared" si="11"/>
        <v>5</v>
      </c>
      <c r="CZ6" s="45">
        <f t="shared" si="11"/>
        <v>6</v>
      </c>
      <c r="DA6" s="45">
        <f t="shared" si="11"/>
        <v>7</v>
      </c>
      <c r="DB6" s="45">
        <f t="shared" si="11"/>
        <v>8</v>
      </c>
      <c r="DC6" s="45">
        <f t="shared" si="11"/>
        <v>9</v>
      </c>
      <c r="DD6" s="45">
        <f t="shared" si="11"/>
        <v>10</v>
      </c>
      <c r="DE6" s="45">
        <f t="shared" si="11"/>
        <v>11</v>
      </c>
      <c r="DF6" s="45">
        <f t="shared" si="11"/>
        <v>12</v>
      </c>
      <c r="DG6" s="45">
        <f t="shared" si="11"/>
        <v>1</v>
      </c>
      <c r="DH6" s="45">
        <f t="shared" si="11"/>
        <v>2</v>
      </c>
    </row>
    <row r="7" spans="1:112" x14ac:dyDescent="0.25">
      <c r="A7" s="44" t="s">
        <v>143</v>
      </c>
      <c r="C7" s="45">
        <f t="shared" ref="C7:AH7" si="12">DAY(EOMONTH(C4,0))</f>
        <v>31</v>
      </c>
      <c r="D7" s="45">
        <f t="shared" si="12"/>
        <v>28</v>
      </c>
      <c r="E7" s="45">
        <f t="shared" si="12"/>
        <v>31</v>
      </c>
      <c r="F7" s="45">
        <f t="shared" si="12"/>
        <v>30</v>
      </c>
      <c r="G7" s="45">
        <f t="shared" si="12"/>
        <v>31</v>
      </c>
      <c r="H7" s="45">
        <f t="shared" si="12"/>
        <v>30</v>
      </c>
      <c r="I7" s="45">
        <f t="shared" si="12"/>
        <v>31</v>
      </c>
      <c r="J7" s="45">
        <f t="shared" si="12"/>
        <v>31</v>
      </c>
      <c r="K7" s="45">
        <f t="shared" si="12"/>
        <v>30</v>
      </c>
      <c r="L7" s="45">
        <f t="shared" si="12"/>
        <v>31</v>
      </c>
      <c r="M7" s="45">
        <f t="shared" si="12"/>
        <v>30</v>
      </c>
      <c r="N7" s="45">
        <f t="shared" si="12"/>
        <v>31</v>
      </c>
      <c r="O7" s="45">
        <f t="shared" si="12"/>
        <v>31</v>
      </c>
      <c r="P7" s="45">
        <f t="shared" si="12"/>
        <v>28</v>
      </c>
      <c r="Q7" s="45">
        <f t="shared" si="12"/>
        <v>31</v>
      </c>
      <c r="R7" s="45">
        <f t="shared" si="12"/>
        <v>30</v>
      </c>
      <c r="S7" s="45">
        <f t="shared" si="12"/>
        <v>31</v>
      </c>
      <c r="T7" s="45">
        <f t="shared" si="12"/>
        <v>30</v>
      </c>
      <c r="U7" s="45">
        <f t="shared" si="12"/>
        <v>31</v>
      </c>
      <c r="V7" s="45">
        <f t="shared" si="12"/>
        <v>31</v>
      </c>
      <c r="W7" s="45">
        <f t="shared" si="12"/>
        <v>30</v>
      </c>
      <c r="X7" s="45">
        <f t="shared" si="12"/>
        <v>31</v>
      </c>
      <c r="Y7" s="45">
        <f t="shared" si="12"/>
        <v>30</v>
      </c>
      <c r="Z7" s="45">
        <f t="shared" si="12"/>
        <v>31</v>
      </c>
      <c r="AA7" s="45">
        <f t="shared" si="12"/>
        <v>31</v>
      </c>
      <c r="AB7" s="45">
        <f t="shared" si="12"/>
        <v>29</v>
      </c>
      <c r="AC7" s="45">
        <f t="shared" si="12"/>
        <v>31</v>
      </c>
      <c r="AD7" s="45">
        <f t="shared" si="12"/>
        <v>30</v>
      </c>
      <c r="AE7" s="45">
        <f t="shared" si="12"/>
        <v>31</v>
      </c>
      <c r="AF7" s="45">
        <f t="shared" si="12"/>
        <v>30</v>
      </c>
      <c r="AG7" s="45">
        <f t="shared" si="12"/>
        <v>31</v>
      </c>
      <c r="AH7" s="45">
        <f t="shared" si="12"/>
        <v>31</v>
      </c>
      <c r="AI7" s="45">
        <f t="shared" ref="AI7:BN7" si="13">DAY(EOMONTH(AI4,0))</f>
        <v>30</v>
      </c>
      <c r="AJ7" s="45">
        <f t="shared" si="13"/>
        <v>31</v>
      </c>
      <c r="AK7" s="45">
        <f t="shared" si="13"/>
        <v>30</v>
      </c>
      <c r="AL7" s="45">
        <f t="shared" si="13"/>
        <v>31</v>
      </c>
      <c r="AM7" s="45">
        <f t="shared" si="13"/>
        <v>31</v>
      </c>
      <c r="AN7" s="45">
        <f t="shared" si="13"/>
        <v>28</v>
      </c>
      <c r="AO7" s="45">
        <f t="shared" si="13"/>
        <v>31</v>
      </c>
      <c r="AP7" s="45">
        <f t="shared" si="13"/>
        <v>30</v>
      </c>
      <c r="AQ7" s="45">
        <f t="shared" si="13"/>
        <v>31</v>
      </c>
      <c r="AR7" s="45">
        <f t="shared" si="13"/>
        <v>30</v>
      </c>
      <c r="AS7" s="45">
        <f t="shared" si="13"/>
        <v>31</v>
      </c>
      <c r="AT7" s="45">
        <f t="shared" si="13"/>
        <v>31</v>
      </c>
      <c r="AU7" s="45">
        <f t="shared" si="13"/>
        <v>30</v>
      </c>
      <c r="AV7" s="45">
        <f t="shared" si="13"/>
        <v>31</v>
      </c>
      <c r="AW7" s="45">
        <f t="shared" si="13"/>
        <v>30</v>
      </c>
      <c r="AX7" s="45">
        <f t="shared" si="13"/>
        <v>31</v>
      </c>
      <c r="AY7" s="45">
        <f t="shared" si="13"/>
        <v>31</v>
      </c>
      <c r="AZ7" s="45">
        <f t="shared" si="13"/>
        <v>28</v>
      </c>
      <c r="BA7" s="45">
        <f t="shared" si="13"/>
        <v>31</v>
      </c>
      <c r="BB7" s="45">
        <f t="shared" si="13"/>
        <v>30</v>
      </c>
      <c r="BC7" s="45">
        <f t="shared" si="13"/>
        <v>31</v>
      </c>
      <c r="BD7" s="45">
        <f t="shared" si="13"/>
        <v>30</v>
      </c>
      <c r="BE7" s="45">
        <f t="shared" si="13"/>
        <v>31</v>
      </c>
      <c r="BF7" s="45">
        <f t="shared" si="13"/>
        <v>31</v>
      </c>
      <c r="BG7" s="45">
        <f t="shared" si="13"/>
        <v>30</v>
      </c>
      <c r="BH7" s="45">
        <f t="shared" si="13"/>
        <v>31</v>
      </c>
      <c r="BI7" s="45">
        <f t="shared" si="13"/>
        <v>30</v>
      </c>
      <c r="BJ7" s="45">
        <f t="shared" si="13"/>
        <v>31</v>
      </c>
      <c r="BK7" s="45">
        <f t="shared" si="13"/>
        <v>31</v>
      </c>
      <c r="BL7" s="45">
        <f t="shared" si="13"/>
        <v>28</v>
      </c>
      <c r="BM7" s="45">
        <f t="shared" si="13"/>
        <v>31</v>
      </c>
      <c r="BN7" s="45">
        <f t="shared" si="13"/>
        <v>30</v>
      </c>
      <c r="BO7" s="45">
        <f t="shared" ref="BO7:CT7" si="14">DAY(EOMONTH(BO4,0))</f>
        <v>31</v>
      </c>
      <c r="BP7" s="45">
        <f t="shared" si="14"/>
        <v>30</v>
      </c>
      <c r="BQ7" s="45">
        <f t="shared" si="14"/>
        <v>31</v>
      </c>
      <c r="BR7" s="45">
        <f t="shared" si="14"/>
        <v>31</v>
      </c>
      <c r="BS7" s="45">
        <f t="shared" si="14"/>
        <v>30</v>
      </c>
      <c r="BT7" s="45">
        <f t="shared" si="14"/>
        <v>31</v>
      </c>
      <c r="BU7" s="45">
        <f t="shared" si="14"/>
        <v>30</v>
      </c>
      <c r="BV7" s="45">
        <f t="shared" si="14"/>
        <v>31</v>
      </c>
      <c r="BW7" s="45">
        <f t="shared" si="14"/>
        <v>31</v>
      </c>
      <c r="BX7" s="45">
        <f t="shared" si="14"/>
        <v>29</v>
      </c>
      <c r="BY7" s="45">
        <f t="shared" si="14"/>
        <v>31</v>
      </c>
      <c r="BZ7" s="45">
        <f t="shared" si="14"/>
        <v>30</v>
      </c>
      <c r="CA7" s="45">
        <f t="shared" si="14"/>
        <v>31</v>
      </c>
      <c r="CB7" s="45">
        <f t="shared" si="14"/>
        <v>30</v>
      </c>
      <c r="CC7" s="45">
        <f t="shared" si="14"/>
        <v>31</v>
      </c>
      <c r="CD7" s="45">
        <f t="shared" si="14"/>
        <v>31</v>
      </c>
      <c r="CE7" s="45">
        <f t="shared" si="14"/>
        <v>30</v>
      </c>
      <c r="CF7" s="45">
        <f t="shared" si="14"/>
        <v>31</v>
      </c>
      <c r="CG7" s="45">
        <f t="shared" si="14"/>
        <v>30</v>
      </c>
      <c r="CH7" s="45">
        <f t="shared" si="14"/>
        <v>31</v>
      </c>
      <c r="CI7" s="45">
        <f t="shared" si="14"/>
        <v>31</v>
      </c>
      <c r="CJ7" s="45">
        <f t="shared" si="14"/>
        <v>28</v>
      </c>
      <c r="CK7" s="45">
        <f t="shared" si="14"/>
        <v>31</v>
      </c>
      <c r="CL7" s="45">
        <f t="shared" si="14"/>
        <v>30</v>
      </c>
      <c r="CM7" s="45">
        <f t="shared" si="14"/>
        <v>31</v>
      </c>
      <c r="CN7" s="45">
        <f t="shared" si="14"/>
        <v>30</v>
      </c>
      <c r="CO7" s="45">
        <f t="shared" si="14"/>
        <v>31</v>
      </c>
      <c r="CP7" s="45">
        <f t="shared" si="14"/>
        <v>31</v>
      </c>
      <c r="CQ7" s="45">
        <f t="shared" si="14"/>
        <v>30</v>
      </c>
      <c r="CR7" s="45">
        <f t="shared" si="14"/>
        <v>31</v>
      </c>
      <c r="CS7" s="45">
        <f t="shared" si="14"/>
        <v>30</v>
      </c>
      <c r="CT7" s="45">
        <f t="shared" si="14"/>
        <v>31</v>
      </c>
      <c r="CU7" s="45">
        <f t="shared" ref="CU7:DH7" si="15">DAY(EOMONTH(CU4,0))</f>
        <v>31</v>
      </c>
      <c r="CV7" s="45">
        <f t="shared" si="15"/>
        <v>28</v>
      </c>
      <c r="CW7" s="45">
        <f t="shared" si="15"/>
        <v>31</v>
      </c>
      <c r="CX7" s="45">
        <f t="shared" si="15"/>
        <v>30</v>
      </c>
      <c r="CY7" s="45">
        <f t="shared" si="15"/>
        <v>31</v>
      </c>
      <c r="CZ7" s="45">
        <f t="shared" si="15"/>
        <v>30</v>
      </c>
      <c r="DA7" s="45">
        <f t="shared" si="15"/>
        <v>31</v>
      </c>
      <c r="DB7" s="45">
        <f t="shared" si="15"/>
        <v>31</v>
      </c>
      <c r="DC7" s="45">
        <f t="shared" si="15"/>
        <v>30</v>
      </c>
      <c r="DD7" s="45">
        <f t="shared" si="15"/>
        <v>31</v>
      </c>
      <c r="DE7" s="45">
        <f t="shared" si="15"/>
        <v>30</v>
      </c>
      <c r="DF7" s="45">
        <f t="shared" si="15"/>
        <v>31</v>
      </c>
      <c r="DG7" s="45">
        <f t="shared" si="15"/>
        <v>31</v>
      </c>
      <c r="DH7" s="45">
        <f t="shared" si="15"/>
        <v>28</v>
      </c>
    </row>
    <row r="9" spans="1:112" ht="13.8" x14ac:dyDescent="0.3">
      <c r="A9" s="26" t="s">
        <v>97</v>
      </c>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row>
    <row r="10" spans="1:112" ht="13.8" x14ac:dyDescent="0.3">
      <c r="A10" s="28" t="s">
        <v>144</v>
      </c>
      <c r="B10" s="41" t="s">
        <v>145</v>
      </c>
      <c r="C10" s="29">
        <f>SUM('Motor Semanal'!B9:F9)</f>
        <v>12462.316088246262</v>
      </c>
      <c r="D10" s="29">
        <f>SUM('Motor Semanal'!G9:J9)</f>
        <v>10499.207018905588</v>
      </c>
      <c r="E10" s="29">
        <f>SUM('Motor Semanal'!K9:O9)</f>
        <v>11314.83256615392</v>
      </c>
      <c r="F10" s="29">
        <f>SUM('Motor Semanal'!P9:T9)</f>
        <v>10945.82515448272</v>
      </c>
      <c r="G10" s="29">
        <f>SUM('Motor Semanal'!U9:Y9)</f>
        <v>12393.374122751198</v>
      </c>
      <c r="H10" s="29">
        <f>SUM('Motor Semanal'!Z9:AD9)</f>
        <v>9631.5746493020342</v>
      </c>
      <c r="I10" s="29">
        <f>SUM('Motor Semanal'!AE9:AI9)</f>
        <v>12526.85966609951</v>
      </c>
      <c r="J10" s="29">
        <f>SUM('Motor Semanal'!AJ9:AN9)</f>
        <v>13904.90085995689</v>
      </c>
      <c r="K10" s="29">
        <f>SUM('Motor Semanal'!AO9:AS9)</f>
        <v>13278.4534174738</v>
      </c>
      <c r="L10" s="29">
        <f>SUM('Motor Semanal'!AT9:AX9)</f>
        <v>13619.536307349499</v>
      </c>
      <c r="M10" s="29">
        <f>SUM('Motor Semanal'!AY9:BC9)</f>
        <v>12809.2039886485</v>
      </c>
      <c r="N10" s="29">
        <f>SUM('Motor Semanal'!BD9:BH9)</f>
        <v>6641.4290850668913</v>
      </c>
      <c r="O10" s="29">
        <f>SUM('Motor Semanal'!BI9:BM9)</f>
        <v>15141.714047219211</v>
      </c>
      <c r="P10" s="29">
        <f>SUM('Motor Semanal'!BN9:BQ9)</f>
        <v>12756.536527970293</v>
      </c>
      <c r="Q10" s="29">
        <f>SUM('Motor Semanal'!BR9:BV9)</f>
        <v>13747.521567877018</v>
      </c>
      <c r="R10" s="29">
        <f>SUM('Motor Semanal'!BW9:CA9)</f>
        <v>13299.177562696508</v>
      </c>
      <c r="S10" s="29">
        <f>SUM('Motor Semanal'!CB9:CF9)</f>
        <v>15057.949559142708</v>
      </c>
      <c r="T10" s="29">
        <f>SUM('Motor Semanal'!CG9:CK9)</f>
        <v>11702.363198901974</v>
      </c>
      <c r="U10" s="29">
        <f>SUM('Motor Semanal'!CL9:CP9)</f>
        <v>15330.537840970075</v>
      </c>
      <c r="V10" s="29">
        <f>SUM('Motor Semanal'!CQ9:CU9)</f>
        <v>16894.454544847624</v>
      </c>
      <c r="W10" s="29">
        <f>SUM('Motor Semanal'!CV9:CZ9)</f>
        <v>16133.320902230667</v>
      </c>
      <c r="X10" s="29">
        <f>SUM('Motor Semanal'!DA9:DE9)</f>
        <v>16547.736613429646</v>
      </c>
      <c r="Y10" s="29">
        <f>SUM('Motor Semanal'!DF9:DJ9)</f>
        <v>15563.182846207932</v>
      </c>
      <c r="Z10" s="29">
        <f>SUM('Motor Semanal'!DK9:DO9)</f>
        <v>8069.3363383562737</v>
      </c>
      <c r="AA10" s="29">
        <f>SUM('Motor Semanal'!DP9:DT9)</f>
        <v>17715.805435246471</v>
      </c>
      <c r="AB10" s="29">
        <f>SUM('Motor Semanal'!DU9:DY9)</f>
        <v>14925.147737725239</v>
      </c>
      <c r="AC10" s="29">
        <f>SUM('Motor Semanal'!DZ9:ED9)</f>
        <v>16084.600234416106</v>
      </c>
      <c r="AD10" s="29">
        <f>SUM('Motor Semanal'!EE9:EI9)</f>
        <v>15560.037748354913</v>
      </c>
      <c r="AE10" s="29">
        <f>SUM('Motor Semanal'!EJ9:EN9)</f>
        <v>17617.800984196965</v>
      </c>
      <c r="AF10" s="29">
        <f>SUM('Motor Semanal'!EO9:ES9)</f>
        <v>13691.764942715308</v>
      </c>
      <c r="AG10" s="29">
        <f>SUM('Motor Semanal'!ET9:EX9)</f>
        <v>17807.557358343758</v>
      </c>
      <c r="AH10" s="29">
        <f>SUM('Motor Semanal'!EY9:FC9)</f>
        <v>19766.511817471721</v>
      </c>
      <c r="AI10" s="29">
        <f>SUM('Motor Semanal'!FD9:FH9)</f>
        <v>18875.985455609884</v>
      </c>
      <c r="AJ10" s="29">
        <f>SUM('Motor Semanal'!FI9:FM9)</f>
        <v>19360.851837712686</v>
      </c>
      <c r="AK10" s="29">
        <f>SUM('Motor Semanal'!FN9:FR9)</f>
        <v>18208.923930063276</v>
      </c>
      <c r="AL10" s="29">
        <f>SUM('Motor Semanal'!FS9:FW9)</f>
        <v>9441.1235158768377</v>
      </c>
      <c r="AM10" s="29">
        <f>SUM('Motor Semanal'!FX9:GB9)</f>
        <v>20638.913332062144</v>
      </c>
      <c r="AN10" s="29">
        <f>SUM('Motor Semanal'!GC9:GF9)</f>
        <v>17387.797114449902</v>
      </c>
      <c r="AO10" s="29">
        <f>SUM('Motor Semanal'!GG9:GK9)</f>
        <v>18738.559273094768</v>
      </c>
      <c r="AP10" s="29">
        <f>SUM('Motor Semanal'!GL9:GP9)</f>
        <v>18127.443976833474</v>
      </c>
      <c r="AQ10" s="29">
        <f>SUM('Motor Semanal'!GQ9:GU9)</f>
        <v>20524.738146589465</v>
      </c>
      <c r="AR10" s="29">
        <f>SUM('Motor Semanal'!GV9:GZ9)</f>
        <v>15950.906158263333</v>
      </c>
      <c r="AS10" s="29">
        <f>SUM('Motor Semanal'!HA9:HE9)</f>
        <v>20745.804322470478</v>
      </c>
      <c r="AT10" s="29">
        <f>SUM('Motor Semanal'!HF9:HJ9)</f>
        <v>23027.98626735455</v>
      </c>
      <c r="AU10" s="29">
        <f>SUM('Motor Semanal'!HK9:HO9)</f>
        <v>21990.52305578551</v>
      </c>
      <c r="AV10" s="29">
        <f>SUM('Motor Semanal'!HP9:HT9)</f>
        <v>22555.392390935282</v>
      </c>
      <c r="AW10" s="29">
        <f>SUM('Motor Semanal'!HU9:HY9)</f>
        <v>21213.396378523721</v>
      </c>
      <c r="AX10" s="29">
        <f>SUM('Motor Semanal'!HZ9:ID9)</f>
        <v>10998.908895996517</v>
      </c>
      <c r="AY10" s="29">
        <f>SUM('Motor Semanal'!IE9:II9)</f>
        <v>23941.139465192082</v>
      </c>
      <c r="AZ10" s="29">
        <f>SUM('Motor Semanal'!IJ9:IM9)</f>
        <v>20169.844652761887</v>
      </c>
      <c r="BA10" s="29">
        <f>SUM('Motor Semanal'!IN9:IR9)</f>
        <v>21736.728756789926</v>
      </c>
      <c r="BB10" s="29">
        <f>SUM('Motor Semanal'!IS9:IW9)</f>
        <v>21027.835013126827</v>
      </c>
      <c r="BC10" s="29">
        <f>SUM('Motor Semanal'!IX9:JB9)</f>
        <v>23808.69625004378</v>
      </c>
      <c r="BD10" s="29">
        <f>SUM('Motor Semanal'!JC9:JG9)</f>
        <v>18503.051143585468</v>
      </c>
      <c r="BE10" s="29">
        <f>SUM('Motor Semanal'!JH9:JL9)</f>
        <v>24065.133014065752</v>
      </c>
      <c r="BF10" s="29">
        <f>SUM('Motor Semanal'!JM9:JQ9)</f>
        <v>26712.464070131282</v>
      </c>
      <c r="BG10" s="29">
        <f>SUM('Motor Semanal'!JR9:JV9)</f>
        <v>25509.006744711194</v>
      </c>
      <c r="BH10" s="29">
        <f>SUM('Motor Semanal'!JW9:KA9)</f>
        <v>26164.255173484922</v>
      </c>
      <c r="BI10" s="29">
        <f>SUM('Motor Semanal'!KB9:KF9)</f>
        <v>24607.539799087514</v>
      </c>
      <c r="BJ10" s="29">
        <f>SUM('Motor Semanal'!KG9:KK9)</f>
        <v>12758.734319355957</v>
      </c>
      <c r="BK10" s="29">
        <f>SUM('Motor Semanal'!KL9:KP9)</f>
        <v>27652.016082296861</v>
      </c>
      <c r="BL10" s="29">
        <f>SUM('Motor Semanal'!KQ9:KT9)</f>
        <v>23296.170573939984</v>
      </c>
      <c r="BM10" s="29">
        <f>SUM('Motor Semanal'!KU9:KY9)</f>
        <v>25105.921714092368</v>
      </c>
      <c r="BN10" s="29">
        <f>SUM('Motor Semanal'!KZ9:LD9)</f>
        <v>24287.149440161491</v>
      </c>
      <c r="BO10" s="29">
        <f>SUM('Motor Semanal'!LE9:LI9)</f>
        <v>27499.044168800563</v>
      </c>
      <c r="BP10" s="29">
        <f>SUM('Motor Semanal'!LJ9:LN9)</f>
        <v>21371.024070841213</v>
      </c>
      <c r="BQ10" s="29">
        <f>SUM('Motor Semanal'!LO9:LS9)</f>
        <v>27795.228631245947</v>
      </c>
      <c r="BR10" s="29">
        <f>SUM('Motor Semanal'!LT9:LX9)</f>
        <v>30852.896001001631</v>
      </c>
      <c r="BS10" s="29">
        <f>SUM('Motor Semanal'!LY9:MC9)</f>
        <v>29462.90279014143</v>
      </c>
      <c r="BT10" s="29">
        <f>SUM('Motor Semanal'!MD9:MH9)</f>
        <v>30219.714725375088</v>
      </c>
      <c r="BU10" s="29">
        <f>SUM('Motor Semanal'!MI9:MM9)</f>
        <v>28421.708467946079</v>
      </c>
      <c r="BV10" s="29">
        <f>SUM('Motor Semanal'!MN9:MR9)</f>
        <v>14736.338138856132</v>
      </c>
      <c r="BW10" s="29">
        <f>SUM('Motor Semanal'!MS9:MW9)</f>
        <v>31523.298333818428</v>
      </c>
      <c r="BX10" s="29">
        <f>SUM('Motor Semanal'!MX9:NB9)</f>
        <v>26557.634454291583</v>
      </c>
      <c r="BY10" s="29">
        <f>SUM('Motor Semanal'!NC9:NG9)</f>
        <v>28620.75075406531</v>
      </c>
      <c r="BZ10" s="29">
        <f>SUM('Motor Semanal'!NH9:NL9)</f>
        <v>27687.350361784098</v>
      </c>
      <c r="CA10" s="29">
        <f>SUM('Motor Semanal'!NM9:NQ9)</f>
        <v>31348.910352432657</v>
      </c>
      <c r="CB10" s="29">
        <f>SUM('Motor Semanal'!NR9:NV9)</f>
        <v>24362.967440758988</v>
      </c>
      <c r="CC10" s="29">
        <f>SUM('Motor Semanal'!NW9:OA9)</f>
        <v>31686.560639620388</v>
      </c>
      <c r="CD10" s="29">
        <f>SUM('Motor Semanal'!OB9:OF9)</f>
        <v>35172.301441141863</v>
      </c>
      <c r="CE10" s="29">
        <f>SUM('Motor Semanal'!OG9:OK9)</f>
        <v>33587.709180761238</v>
      </c>
      <c r="CF10" s="29">
        <f>SUM('Motor Semanal'!OL9:OP9)</f>
        <v>34450.474786927603</v>
      </c>
      <c r="CG10" s="29">
        <f>SUM('Motor Semanal'!OQ9:OU9)</f>
        <v>32400.747653458533</v>
      </c>
      <c r="CH10" s="29">
        <f>SUM('Motor Semanal'!OV9:OZ9)</f>
        <v>16799.425478295994</v>
      </c>
      <c r="CI10" s="29">
        <f>SUM('Motor Semanal'!PA9:PE9)</f>
        <v>35936.560100553004</v>
      </c>
      <c r="CJ10" s="29">
        <f>SUM('Motor Semanal'!PF9:PI9)</f>
        <v>30275.703277892411</v>
      </c>
      <c r="CK10" s="29">
        <f>SUM('Motor Semanal'!PJ9:PN9)</f>
        <v>32627.655859634448</v>
      </c>
      <c r="CL10" s="29">
        <f>SUM('Motor Semanal'!PO9:PS9)</f>
        <v>31563.579412433879</v>
      </c>
      <c r="CM10" s="29">
        <f>SUM('Motor Semanal'!PT9:PX9)</f>
        <v>35737.757801773223</v>
      </c>
      <c r="CN10" s="29">
        <f>SUM('Motor Semanal'!PY9:QC9)</f>
        <v>27773.782882465246</v>
      </c>
      <c r="CO10" s="29">
        <f>SUM('Motor Semanal'!QD9:QH9)</f>
        <v>36122.679129167242</v>
      </c>
      <c r="CP10" s="29">
        <f>SUM('Motor Semanal'!QI9:QM9)</f>
        <v>40096.423642901726</v>
      </c>
      <c r="CQ10" s="29">
        <f>SUM('Motor Semanal'!QN9:QR9)</f>
        <v>38289.988466067807</v>
      </c>
      <c r="CR10" s="29">
        <f>SUM('Motor Semanal'!QS9:QW9)</f>
        <v>39273.541257097473</v>
      </c>
      <c r="CS10" s="29">
        <f>SUM('Motor Semanal'!QX9:RB9)</f>
        <v>36936.852324942731</v>
      </c>
      <c r="CT10" s="29">
        <f>SUM('Motor Semanal'!RC9:RG9)</f>
        <v>19151.345045257436</v>
      </c>
      <c r="CU10" s="29">
        <f>SUM('Motor Semanal'!RH9:RL9)</f>
        <v>40967.678514630425</v>
      </c>
      <c r="CV10" s="29">
        <f>SUM('Motor Semanal'!RM9:RP9)</f>
        <v>34514.301736797352</v>
      </c>
      <c r="CW10" s="29">
        <f>SUM('Motor Semanal'!RQ9:RU9)</f>
        <v>37195.527679983272</v>
      </c>
      <c r="CX10" s="29">
        <f>SUM('Motor Semanal'!RV9:RZ9)</f>
        <v>35982.480530174624</v>
      </c>
      <c r="CY10" s="29">
        <f>SUM('Motor Semanal'!SA9:SE9)</f>
        <v>40741.043894021474</v>
      </c>
      <c r="CZ10" s="29">
        <f>SUM('Motor Semanal'!SF9:SJ9)</f>
        <v>31662.112486010385</v>
      </c>
      <c r="DA10" s="29">
        <f>SUM('Motor Semanal'!SK9:SO9)</f>
        <v>41179.854207250653</v>
      </c>
      <c r="DB10" s="29">
        <f>SUM('Motor Semanal'!SP9:ST9)</f>
        <v>45709.922952907975</v>
      </c>
      <c r="DC10" s="29">
        <f>SUM('Motor Semanal'!SU9:SY9)</f>
        <v>43650.586851317305</v>
      </c>
      <c r="DD10" s="29">
        <f>SUM('Motor Semanal'!SZ9:TD9)</f>
        <v>44771.83703309112</v>
      </c>
      <c r="DE10" s="29">
        <f>SUM('Motor Semanal'!TE9:TI9)</f>
        <v>42108.011650434717</v>
      </c>
      <c r="DF10" s="29">
        <f>SUM('Motor Semanal'!TJ9:TN9)</f>
        <v>21832.533351593484</v>
      </c>
      <c r="DG10" s="46">
        <f>CU10*(1+Supuestos!$B$21)</f>
        <v>46703.153506678689</v>
      </c>
      <c r="DH10" s="46">
        <f>CV10*(1+Supuestos!$B$21)</f>
        <v>39346.303979948985</v>
      </c>
    </row>
    <row r="11" spans="1:112" ht="13.8" x14ac:dyDescent="0.3">
      <c r="A11" s="16" t="s">
        <v>100</v>
      </c>
      <c r="B11" s="41" t="s">
        <v>146</v>
      </c>
      <c r="C11" s="17">
        <f>SUM('Motor Semanal'!B11:F11)</f>
        <v>7688.3131717247998</v>
      </c>
      <c r="D11" s="17">
        <f>SUM('Motor Semanal'!G11:J11)</f>
        <v>5675.1534666751249</v>
      </c>
      <c r="E11" s="17">
        <f>SUM('Motor Semanal'!K11:O11)</f>
        <v>7124.41541592255</v>
      </c>
      <c r="F11" s="17">
        <f>SUM('Motor Semanal'!P11:T11)</f>
        <v>6782.2126086807339</v>
      </c>
      <c r="G11" s="17">
        <f>SUM('Motor Semanal'!U11:Y11)</f>
        <v>7152.043285058744</v>
      </c>
      <c r="H11" s="17">
        <f>SUM('Motor Semanal'!Z11:AD11)</f>
        <v>5920.7573030000003</v>
      </c>
      <c r="I11" s="17">
        <f>SUM('Motor Semanal'!AE11:AI11)</f>
        <v>6807.6876195249724</v>
      </c>
      <c r="J11" s="17">
        <f>SUM('Motor Semanal'!AJ11:AN11)</f>
        <v>10057.843644474477</v>
      </c>
      <c r="K11" s="17">
        <f>SUM('Motor Semanal'!AO11:AS11)</f>
        <v>8539.6444984489444</v>
      </c>
      <c r="L11" s="17">
        <f>SUM('Motor Semanal'!AT11:AX11)</f>
        <v>9022.8434924786652</v>
      </c>
      <c r="M11" s="17">
        <f>SUM('Motor Semanal'!AY11:BC11)</f>
        <v>8485.191308221998</v>
      </c>
      <c r="N11" s="17">
        <f>SUM('Motor Semanal'!BD11:BH11)</f>
        <v>4620.1851030043854</v>
      </c>
      <c r="O11" s="17">
        <f>SUM('Motor Semanal'!BI11:BM11)</f>
        <v>9667.1212236575175</v>
      </c>
      <c r="P11" s="17">
        <f>SUM('Motor Semanal'!BN11:BQ11)</f>
        <v>7833.6256993049956</v>
      </c>
      <c r="Q11" s="17">
        <f>SUM('Motor Semanal'!BR11:BV11)</f>
        <v>9712.5894883591463</v>
      </c>
      <c r="R11" s="17">
        <f>SUM('Motor Semanal'!BW11:CA11)</f>
        <v>8794.6735539701403</v>
      </c>
      <c r="S11" s="17">
        <f>SUM('Motor Semanal'!CB11:CF11)</f>
        <v>9870.7100495609611</v>
      </c>
      <c r="T11" s="17">
        <f>SUM('Motor Semanal'!CG11:CK11)</f>
        <v>7852.4138741812976</v>
      </c>
      <c r="U11" s="17">
        <f>SUM('Motor Semanal'!CL11:CP11)</f>
        <v>9910.2067189060454</v>
      </c>
      <c r="V11" s="17">
        <f>SUM('Motor Semanal'!CQ11:CU11)</f>
        <v>11086.046285956741</v>
      </c>
      <c r="W11" s="17">
        <f>SUM('Motor Semanal'!CV11:CZ11)</f>
        <v>10677.219247204988</v>
      </c>
      <c r="X11" s="17">
        <f>SUM('Motor Semanal'!DA11:DE11)</f>
        <v>10905.592645189523</v>
      </c>
      <c r="Y11" s="17">
        <f>SUM('Motor Semanal'!DF11:DJ11)</f>
        <v>10309.507439489729</v>
      </c>
      <c r="Z11" s="17">
        <f>SUM('Motor Semanal'!DK11:DO11)</f>
        <v>5613.5249001503289</v>
      </c>
      <c r="AA11" s="17">
        <f>SUM('Motor Semanal'!DP11:DT11)</f>
        <v>11322.008189669301</v>
      </c>
      <c r="AB11" s="17">
        <f>SUM('Motor Semanal'!DU11:DY11)</f>
        <v>9957.7584686405207</v>
      </c>
      <c r="AC11" s="17">
        <f>SUM('Motor Semanal'!DZ11:ED11)</f>
        <v>10571.313300926522</v>
      </c>
      <c r="AD11" s="17">
        <f>SUM('Motor Semanal'!EE11:EI11)</f>
        <v>10289.768058145062</v>
      </c>
      <c r="AE11" s="17">
        <f>SUM('Motor Semanal'!EJ11:EN11)</f>
        <v>11548.730757986321</v>
      </c>
      <c r="AF11" s="17">
        <f>SUM('Motor Semanal'!EO11:ES11)</f>
        <v>9187.324232792118</v>
      </c>
      <c r="AG11" s="17">
        <f>SUM('Motor Semanal'!ET11:EX11)</f>
        <v>11594.941861120069</v>
      </c>
      <c r="AH11" s="17">
        <f>SUM('Motor Semanal'!EY11:FC11)</f>
        <v>12970.674154569386</v>
      </c>
      <c r="AI11" s="17">
        <f>SUM('Motor Semanal'!FD11:FH11)</f>
        <v>12492.346519229835</v>
      </c>
      <c r="AJ11" s="17">
        <f>SUM('Motor Semanal'!FI11:FM11)</f>
        <v>12759.543394871744</v>
      </c>
      <c r="AK11" s="17">
        <f>SUM('Motor Semanal'!FN11:FR11)</f>
        <v>12062.123704202982</v>
      </c>
      <c r="AL11" s="17">
        <f>SUM('Motor Semanal'!FS11:FW11)</f>
        <v>6567.8241331758827</v>
      </c>
      <c r="AM11" s="17">
        <f>SUM('Motor Semanal'!FX11:GB11)</f>
        <v>13191.688849293387</v>
      </c>
      <c r="AN11" s="17">
        <f>SUM('Motor Semanal'!GC11:GF11)</f>
        <v>10677.623509437672</v>
      </c>
      <c r="AO11" s="17">
        <f>SUM('Motor Semanal'!GG11:GK11)</f>
        <v>13238.745102107934</v>
      </c>
      <c r="AP11" s="17">
        <f>SUM('Motor Semanal'!GL11:GP11)</f>
        <v>11987.579787738996</v>
      </c>
      <c r="AQ11" s="17">
        <f>SUM('Motor Semanal'!GQ11:GU11)</f>
        <v>13454.271333054065</v>
      </c>
      <c r="AR11" s="17">
        <f>SUM('Motor Semanal'!GV11:GZ11)</f>
        <v>10703.232731202817</v>
      </c>
      <c r="AS11" s="17">
        <f>SUM('Motor Semanal'!HA11:HE11)</f>
        <v>13508.107268204882</v>
      </c>
      <c r="AT11" s="17">
        <f>SUM('Motor Semanal'!HF11:HJ11)</f>
        <v>15110.835390073336</v>
      </c>
      <c r="AU11" s="17">
        <f>SUM('Motor Semanal'!HK11:HO11)</f>
        <v>14553.583694902758</v>
      </c>
      <c r="AV11" s="17">
        <f>SUM('Motor Semanal'!HP11:HT11)</f>
        <v>14864.868055025581</v>
      </c>
      <c r="AW11" s="17">
        <f>SUM('Motor Semanal'!HU11:HY11)</f>
        <v>14052.374115396475</v>
      </c>
      <c r="AX11" s="17">
        <f>SUM('Motor Semanal'!HZ11:ID11)</f>
        <v>7651.515115149904</v>
      </c>
      <c r="AY11" s="17">
        <f>SUM('Motor Semanal'!IE11:II11)</f>
        <v>15304.17175592485</v>
      </c>
      <c r="AZ11" s="17">
        <f>SUM('Motor Semanal'!IJ11:IM11)</f>
        <v>12386.043270947697</v>
      </c>
      <c r="BA11" s="17">
        <f>SUM('Motor Semanal'!IN11:IR11)</f>
        <v>15356.944318445201</v>
      </c>
      <c r="BB11" s="17">
        <f>SUM('Motor Semanal'!IS11:IW11)</f>
        <v>13905.592553777238</v>
      </c>
      <c r="BC11" s="17">
        <f>SUM('Motor Semanal'!IX11:JB11)</f>
        <v>15606.954746342713</v>
      </c>
      <c r="BD11" s="17">
        <f>SUM('Motor Semanal'!JC11:JG11)</f>
        <v>12415.749968195269</v>
      </c>
      <c r="BE11" s="17">
        <f>SUM('Motor Semanal'!JH11:JL11)</f>
        <v>15669.40443111766</v>
      </c>
      <c r="BF11" s="17">
        <f>SUM('Motor Semanal'!JM11:JQ11)</f>
        <v>17528.569052485065</v>
      </c>
      <c r="BG11" s="17">
        <f>SUM('Motor Semanal'!JR11:JV11)</f>
        <v>16882.157086087198</v>
      </c>
      <c r="BH11" s="17">
        <f>SUM('Motor Semanal'!JW11:KA11)</f>
        <v>17243.246943829676</v>
      </c>
      <c r="BI11" s="17">
        <f>SUM('Motor Semanal'!KB11:KF11)</f>
        <v>16300.75397385991</v>
      </c>
      <c r="BJ11" s="17">
        <f>SUM('Motor Semanal'!KG11:KK11)</f>
        <v>8875.7575335738875</v>
      </c>
      <c r="BK11" s="17">
        <f>SUM('Motor Semanal'!KL11:KP11)</f>
        <v>17678.430162810571</v>
      </c>
      <c r="BL11" s="17">
        <f>SUM('Motor Semanal'!KQ11:KT11)</f>
        <v>14305.879977944591</v>
      </c>
      <c r="BM11" s="17">
        <f>SUM('Motor Semanal'!KU11:KY11)</f>
        <v>17737.270687804208</v>
      </c>
      <c r="BN11" s="17">
        <f>SUM('Motor Semanal'!KZ11:LD11)</f>
        <v>16060.95939961271</v>
      </c>
      <c r="BO11" s="17">
        <f>SUM('Motor Semanal'!LE11:LI11)</f>
        <v>18026.032732025833</v>
      </c>
      <c r="BP11" s="17">
        <f>SUM('Motor Semanal'!LJ11:LN11)</f>
        <v>14340.191213265534</v>
      </c>
      <c r="BQ11" s="17">
        <f>SUM('Motor Semanal'!LO11:LS11)</f>
        <v>18098.162117940901</v>
      </c>
      <c r="BR11" s="17">
        <f>SUM('Motor Semanal'!LT11:LX11)</f>
        <v>20245.497255620256</v>
      </c>
      <c r="BS11" s="17">
        <f>SUM('Motor Semanal'!LY11:MC11)</f>
        <v>19498.891434430712</v>
      </c>
      <c r="BT11" s="17">
        <f>SUM('Motor Semanal'!MD11:MH11)</f>
        <v>19915.950220123272</v>
      </c>
      <c r="BU11" s="17">
        <f>SUM('Motor Semanal'!MI11:MM11)</f>
        <v>18827.370839808194</v>
      </c>
      <c r="BV11" s="17">
        <f>SUM('Motor Semanal'!MN11:MR11)</f>
        <v>10251.499951277841</v>
      </c>
      <c r="BW11" s="17">
        <f>SUM('Motor Semanal'!MS11:MW11)</f>
        <v>20160.759396420497</v>
      </c>
      <c r="BX11" s="17">
        <f>SUM('Motor Semanal'!MX11:NB11)</f>
        <v>17718.719709945541</v>
      </c>
      <c r="BY11" s="17">
        <f>SUM('Motor Semanal'!NC11:NG11)</f>
        <v>18810.472049008102</v>
      </c>
      <c r="BZ11" s="17">
        <f>SUM('Motor Semanal'!NH11:NL11)</f>
        <v>18309.493715558492</v>
      </c>
      <c r="CA11" s="17">
        <f>SUM('Motor Semanal'!NM11:NQ11)</f>
        <v>20549.677314509459</v>
      </c>
      <c r="CB11" s="17">
        <f>SUM('Motor Semanal'!NR11:NV11)</f>
        <v>16347.817983122713</v>
      </c>
      <c r="CC11" s="17">
        <f>SUM('Motor Semanal'!NW11:OA11)</f>
        <v>20631.904814452628</v>
      </c>
      <c r="CD11" s="17">
        <f>SUM('Motor Semanal'!OB11:OF11)</f>
        <v>23079.866871407092</v>
      </c>
      <c r="CE11" s="17">
        <f>SUM('Motor Semanal'!OG11:OK11)</f>
        <v>22228.736235251017</v>
      </c>
      <c r="CF11" s="17">
        <f>SUM('Motor Semanal'!OL11:OP11)</f>
        <v>22704.183250940536</v>
      </c>
      <c r="CG11" s="17">
        <f>SUM('Motor Semanal'!OQ11:OU11)</f>
        <v>21463.202757381347</v>
      </c>
      <c r="CH11" s="17">
        <f>SUM('Motor Semanal'!OV11:OZ11)</f>
        <v>11686.709944456743</v>
      </c>
      <c r="CI11" s="17">
        <f>SUM('Motor Semanal'!PA11:PE11)</f>
        <v>22983.265711919368</v>
      </c>
      <c r="CJ11" s="17">
        <f>SUM('Motor Semanal'!PF11:PI11)</f>
        <v>18591.921619336797</v>
      </c>
      <c r="CK11" s="17">
        <f>SUM('Motor Semanal'!PJ11:PN11)</f>
        <v>23051.356985870356</v>
      </c>
      <c r="CL11" s="17">
        <f>SUM('Motor Semanal'!PO11:PS11)</f>
        <v>20872.822835736682</v>
      </c>
      <c r="CM11" s="17">
        <f>SUM('Motor Semanal'!PT11:PX11)</f>
        <v>23426.632138540783</v>
      </c>
      <c r="CN11" s="17">
        <f>SUM('Motor Semanal'!PY11:QC11)</f>
        <v>18636.512500759891</v>
      </c>
      <c r="CO11" s="17">
        <f>SUM('Motor Semanal'!QD11:QH11)</f>
        <v>23520.371488476001</v>
      </c>
      <c r="CP11" s="17">
        <f>SUM('Motor Semanal'!QI11:QM11)</f>
        <v>26311.048233404086</v>
      </c>
      <c r="CQ11" s="17">
        <f>SUM('Motor Semanal'!QN11:QR11)</f>
        <v>25340.75930818616</v>
      </c>
      <c r="CR11" s="17">
        <f>SUM('Motor Semanal'!QS11:QW11)</f>
        <v>25882.768906072211</v>
      </c>
      <c r="CS11" s="17">
        <f>SUM('Motor Semanal'!QX11:RB11)</f>
        <v>24468.051143414741</v>
      </c>
      <c r="CT11" s="17">
        <f>SUM('Motor Semanal'!RC11:RG11)</f>
        <v>13322.849336680689</v>
      </c>
      <c r="CU11" s="17">
        <f>SUM('Motor Semanal'!RH11:RL11)</f>
        <v>26200.922911588077</v>
      </c>
      <c r="CV11" s="17">
        <f>SUM('Motor Semanal'!RM11:RP11)</f>
        <v>21194.790646043948</v>
      </c>
      <c r="CW11" s="17">
        <f>SUM('Motor Semanal'!RQ11:RU11)</f>
        <v>26278.546963892208</v>
      </c>
      <c r="CX11" s="17">
        <f>SUM('Motor Semanal'!RV11:RZ11)</f>
        <v>23795.018032739819</v>
      </c>
      <c r="CY11" s="17">
        <f>SUM('Motor Semanal'!SA11:SE11)</f>
        <v>26706.360637936494</v>
      </c>
      <c r="CZ11" s="17">
        <f>SUM('Motor Semanal'!SF11:SJ11)</f>
        <v>21245.624250866276</v>
      </c>
      <c r="DA11" s="17">
        <f>SUM('Motor Semanal'!SK11:SO11)</f>
        <v>26813.22349686264</v>
      </c>
      <c r="DB11" s="17">
        <f>SUM('Motor Semanal'!SP11:ST11)</f>
        <v>29994.594986080665</v>
      </c>
      <c r="DC11" s="17">
        <f>SUM('Motor Semanal'!SU11:SY11)</f>
        <v>28888.465611332227</v>
      </c>
      <c r="DD11" s="17">
        <f>SUM('Motor Semanal'!SZ11:TD11)</f>
        <v>29506.356552922327</v>
      </c>
      <c r="DE11" s="17">
        <f>SUM('Motor Semanal'!TE11:TI11)</f>
        <v>27893.578303492799</v>
      </c>
      <c r="DF11" s="17">
        <f>SUM('Motor Semanal'!TJ11:TN11)</f>
        <v>15188.048243815985</v>
      </c>
    </row>
    <row r="12" spans="1:112" ht="13.8" x14ac:dyDescent="0.3">
      <c r="A12" s="16" t="s">
        <v>101</v>
      </c>
      <c r="B12" s="41" t="s">
        <v>147</v>
      </c>
      <c r="C12" s="17">
        <f>SUM('Motor Semanal'!B13:F13)</f>
        <v>1568.0469932998722</v>
      </c>
      <c r="D12" s="17">
        <f>SUM('Motor Semanal'!G13:J13)</f>
        <v>1460.4980583344998</v>
      </c>
      <c r="E12" s="17">
        <f>SUM('Motor Semanal'!K13:O13)</f>
        <v>2685.4250982979434</v>
      </c>
      <c r="F12" s="17">
        <f>SUM('Motor Semanal'!P13:T13)</f>
        <v>1803.1158291999991</v>
      </c>
      <c r="G12" s="17">
        <f>SUM('Motor Semanal'!U13:Y13)</f>
        <v>2486.2205481074416</v>
      </c>
      <c r="H12" s="17">
        <f>SUM('Motor Semanal'!Z13:AD13)</f>
        <v>1743.6983418789357</v>
      </c>
      <c r="I12" s="17">
        <f>SUM('Motor Semanal'!AE13:AI13)</f>
        <v>2482.637629304289</v>
      </c>
      <c r="J12" s="17">
        <f>SUM('Motor Semanal'!AJ13:AN13)</f>
        <v>2223.8701701999998</v>
      </c>
      <c r="K12" s="17">
        <f>SUM('Motor Semanal'!AO13:AS13)</f>
        <v>1806.6360893087924</v>
      </c>
      <c r="L12" s="17">
        <f>SUM('Motor Semanal'!AT13:AX13)</f>
        <v>2156.9121776301608</v>
      </c>
      <c r="M12" s="17">
        <f>SUM('Motor Semanal'!AY13:BC13)</f>
        <v>2027.938534540119</v>
      </c>
      <c r="N12" s="17">
        <f>SUM('Motor Semanal'!BD13:BH13)</f>
        <v>1225.8006918991139</v>
      </c>
      <c r="O12" s="17">
        <f>SUM('Motor Semanal'!BI13:BM13)</f>
        <v>2110.3331101662961</v>
      </c>
      <c r="P12" s="17">
        <f>SUM('Motor Semanal'!BN13:BQ13)</f>
        <v>1532.4876301871586</v>
      </c>
      <c r="Q12" s="17">
        <f>SUM('Motor Semanal'!BR13:BV13)</f>
        <v>2655.0357553211848</v>
      </c>
      <c r="R12" s="17">
        <f>SUM('Motor Semanal'!BW13:CA13)</f>
        <v>2093.5905582256614</v>
      </c>
      <c r="S12" s="17">
        <f>SUM('Motor Semanal'!CB13:CF13)</f>
        <v>2301.7161719508658</v>
      </c>
      <c r="T12" s="17">
        <f>SUM('Motor Semanal'!CG13:CK13)</f>
        <v>1932.0313774319948</v>
      </c>
      <c r="U12" s="17">
        <f>SUM('Motor Semanal'!CL13:CP13)</f>
        <v>2273.727862163541</v>
      </c>
      <c r="V12" s="17">
        <f>SUM('Motor Semanal'!CQ13:CU13)</f>
        <v>2642.2926908141685</v>
      </c>
      <c r="W12" s="17">
        <f>SUM('Motor Semanal'!CV13:CZ13)</f>
        <v>2546.3381237098947</v>
      </c>
      <c r="X12" s="17">
        <f>SUM('Motor Semanal'!DA13:DE13)</f>
        <v>2575.4959332241338</v>
      </c>
      <c r="Y12" s="17">
        <f>SUM('Motor Semanal'!DF13:DJ13)</f>
        <v>2463.9453194662456</v>
      </c>
      <c r="Z12" s="17">
        <f>SUM('Motor Semanal'!DK13:DO13)</f>
        <v>1489.3478406574236</v>
      </c>
      <c r="AA12" s="17">
        <f>SUM('Motor Semanal'!DP13:DT13)</f>
        <v>2478.1549024785932</v>
      </c>
      <c r="AB12" s="17">
        <f>SUM('Motor Semanal'!DU13:DY13)</f>
        <v>2418.9394416167288</v>
      </c>
      <c r="AC12" s="17">
        <f>SUM('Motor Semanal'!DZ13:ED13)</f>
        <v>2480.4629194280324</v>
      </c>
      <c r="AD12" s="17">
        <f>SUM('Motor Semanal'!EE13:EI13)</f>
        <v>2449.500953124023</v>
      </c>
      <c r="AE12" s="17">
        <f>SUM('Motor Semanal'!EJ13:EN13)</f>
        <v>2693.0079211825127</v>
      </c>
      <c r="AF12" s="17">
        <f>SUM('Motor Semanal'!EO13:ES13)</f>
        <v>2260.4767115954337</v>
      </c>
      <c r="AG12" s="17">
        <f>SUM('Motor Semanal'!ET13:EX13)</f>
        <v>2660.261598731342</v>
      </c>
      <c r="AH12" s="17">
        <f>SUM('Motor Semanal'!EY13:FC13)</f>
        <v>3032.0633670806151</v>
      </c>
      <c r="AI12" s="17">
        <f>SUM('Motor Semanal'!FD13:FH13)</f>
        <v>2979.2156047405765</v>
      </c>
      <c r="AJ12" s="17">
        <f>SUM('Motor Semanal'!FI13:FM13)</f>
        <v>3013.3302418722365</v>
      </c>
      <c r="AK12" s="17">
        <f>SUM('Motor Semanal'!FN13:FR13)</f>
        <v>2882.8160237755069</v>
      </c>
      <c r="AL12" s="17">
        <f>SUM('Motor Semanal'!FS13:FW13)</f>
        <v>1742.5369735691852</v>
      </c>
      <c r="AM12" s="17">
        <f>SUM('Motor Semanal'!FX13:GB13)</f>
        <v>2888.2742584714042</v>
      </c>
      <c r="AN12" s="17">
        <f>SUM('Motor Semanal'!GC13:GF13)</f>
        <v>2088.8572643266061</v>
      </c>
      <c r="AO12" s="17">
        <f>SUM('Motor Semanal'!GG13:GK13)</f>
        <v>3618.9464862905406</v>
      </c>
      <c r="AP12" s="17">
        <f>SUM('Motor Semanal'!GL13:GP13)</f>
        <v>2853.6686103894876</v>
      </c>
      <c r="AQ12" s="17">
        <f>SUM('Motor Semanal'!GQ13:GU13)</f>
        <v>3137.3542281776276</v>
      </c>
      <c r="AR12" s="17">
        <f>SUM('Motor Semanal'!GV13:GZ13)</f>
        <v>2633.4553690086805</v>
      </c>
      <c r="AS12" s="17">
        <f>SUM('Motor Semanal'!HA13:HE13)</f>
        <v>3099.2047625220139</v>
      </c>
      <c r="AT12" s="17">
        <f>SUM('Motor Semanal'!HF13:HJ13)</f>
        <v>3532.3538226489163</v>
      </c>
      <c r="AU12" s="17">
        <f>SUM('Motor Semanal'!HK13:HO13)</f>
        <v>3470.7861795227723</v>
      </c>
      <c r="AV12" s="17">
        <f>SUM('Motor Semanal'!HP13:HT13)</f>
        <v>3510.5297317811555</v>
      </c>
      <c r="AW12" s="17">
        <f>SUM('Motor Semanal'!HU13:HY13)</f>
        <v>3358.4806676984654</v>
      </c>
      <c r="AX12" s="17">
        <f>SUM('Motor Semanal'!HZ13:ID13)</f>
        <v>2030.0555742081008</v>
      </c>
      <c r="AY12" s="17">
        <f>SUM('Motor Semanal'!IE13:II13)</f>
        <v>3351.8299824149262</v>
      </c>
      <c r="AZ12" s="17">
        <f>SUM('Motor Semanal'!IJ13:IM13)</f>
        <v>2423.0744266188631</v>
      </c>
      <c r="BA12" s="17">
        <f>SUM('Motor Semanal'!IN13:IR13)</f>
        <v>4197.9779240970265</v>
      </c>
      <c r="BB12" s="17">
        <f>SUM('Motor Semanal'!IS13:IW13)</f>
        <v>3310.2555880518053</v>
      </c>
      <c r="BC12" s="17">
        <f>SUM('Motor Semanal'!IX13:JB13)</f>
        <v>3639.3309046860477</v>
      </c>
      <c r="BD12" s="17">
        <f>SUM('Motor Semanal'!JC13:JG13)</f>
        <v>3054.8082280500689</v>
      </c>
      <c r="BE12" s="17">
        <f>SUM('Motor Semanal'!JH13:JL13)</f>
        <v>3595.0775245255354</v>
      </c>
      <c r="BF12" s="17">
        <f>SUM('Motor Semanal'!JM13:JQ13)</f>
        <v>4097.5304342727422</v>
      </c>
      <c r="BG12" s="17">
        <f>SUM('Motor Semanal'!JR13:JV13)</f>
        <v>4026.111968246415</v>
      </c>
      <c r="BH12" s="17">
        <f>SUM('Motor Semanal'!JW13:KA13)</f>
        <v>4072.2144888661396</v>
      </c>
      <c r="BI12" s="17">
        <f>SUM('Motor Semanal'!KB13:KF13)</f>
        <v>3895.8375745302192</v>
      </c>
      <c r="BJ12" s="17">
        <f>SUM('Motor Semanal'!KG13:KK13)</f>
        <v>2354.864466081397</v>
      </c>
      <c r="BK12" s="17">
        <f>SUM('Motor Semanal'!KL13:KP13)</f>
        <v>3873.0317263043726</v>
      </c>
      <c r="BL12" s="17">
        <f>SUM('Motor Semanal'!KQ13:KT13)</f>
        <v>2798.6509627447872</v>
      </c>
      <c r="BM12" s="17">
        <f>SUM('Motor Semanal'!KU13:KY13)</f>
        <v>4848.6645023320661</v>
      </c>
      <c r="BN12" s="17">
        <f>SUM('Motor Semanal'!KZ13:LD13)</f>
        <v>3823.3452041998348</v>
      </c>
      <c r="BO12" s="17">
        <f>SUM('Motor Semanal'!LE13:LI13)</f>
        <v>4203.4271949123849</v>
      </c>
      <c r="BP12" s="17">
        <f>SUM('Motor Semanal'!LJ13:LN13)</f>
        <v>3528.3035033978304</v>
      </c>
      <c r="BQ12" s="17">
        <f>SUM('Motor Semanal'!LO13:LS13)</f>
        <v>4152.3145408269938</v>
      </c>
      <c r="BR12" s="17">
        <f>SUM('Motor Semanal'!LT13:LX13)</f>
        <v>4732.6476515850172</v>
      </c>
      <c r="BS12" s="17">
        <f>SUM('Motor Semanal'!LY13:MC13)</f>
        <v>4650.1593233246103</v>
      </c>
      <c r="BT12" s="17">
        <f>SUM('Motor Semanal'!MD13:MH13)</f>
        <v>4703.4077346403919</v>
      </c>
      <c r="BU12" s="17">
        <f>SUM('Motor Semanal'!MI13:MM13)</f>
        <v>4499.6923985824033</v>
      </c>
      <c r="BV12" s="17">
        <f>SUM('Motor Semanal'!MN13:MR13)</f>
        <v>2719.8684583240133</v>
      </c>
      <c r="BW12" s="17">
        <f>SUM('Motor Semanal'!MS13:MW13)</f>
        <v>4421.0611442076497</v>
      </c>
      <c r="BX12" s="17">
        <f>SUM('Motor Semanal'!MX13:NB13)</f>
        <v>4304.2327343364968</v>
      </c>
      <c r="BY12" s="17">
        <f>SUM('Motor Semanal'!NC13:NG13)</f>
        <v>4413.7068958511181</v>
      </c>
      <c r="BZ12" s="17">
        <f>SUM('Motor Semanal'!NH13:NL13)</f>
        <v>4358.6135327878128</v>
      </c>
      <c r="CA12" s="17">
        <f>SUM('Motor Semanal'!NM13:NQ13)</f>
        <v>4791.9070022001197</v>
      </c>
      <c r="CB12" s="17">
        <f>SUM('Motor Semanal'!NR13:NV13)</f>
        <v>4022.2659938735273</v>
      </c>
      <c r="CC12" s="17">
        <f>SUM('Motor Semanal'!NW13:OA13)</f>
        <v>4733.638576542774</v>
      </c>
      <c r="CD12" s="17">
        <f>SUM('Motor Semanal'!OB13:OF13)</f>
        <v>5395.2183228069216</v>
      </c>
      <c r="CE12" s="17">
        <f>SUM('Motor Semanal'!OG13:OK13)</f>
        <v>5301.1816285900559</v>
      </c>
      <c r="CF12" s="17">
        <f>SUM('Motor Semanal'!OL13:OP13)</f>
        <v>5361.8848174900477</v>
      </c>
      <c r="CG12" s="17">
        <f>SUM('Motor Semanal'!OQ13:OU13)</f>
        <v>5129.6493343839411</v>
      </c>
      <c r="CH12" s="17">
        <f>SUM('Motor Semanal'!OV13:OZ13)</f>
        <v>3100.6500424893757</v>
      </c>
      <c r="CI12" s="17">
        <f>SUM('Motor Semanal'!PA13:PE13)</f>
        <v>5040.0097043967207</v>
      </c>
      <c r="CJ12" s="17">
        <f>SUM('Motor Semanal'!PF13:PI13)</f>
        <v>3637.1267911831264</v>
      </c>
      <c r="CK12" s="17">
        <f>SUM('Motor Semanal'!PJ13:PN13)</f>
        <v>6301.3243872307557</v>
      </c>
      <c r="CL12" s="17">
        <f>SUM('Motor Semanal'!PO13:PS13)</f>
        <v>4968.8194273781064</v>
      </c>
      <c r="CM12" s="17">
        <f>SUM('Motor Semanal'!PT13:PX13)</f>
        <v>5462.7739825081371</v>
      </c>
      <c r="CN12" s="17">
        <f>SUM('Motor Semanal'!PY13:QC13)</f>
        <v>4585.3832330158211</v>
      </c>
      <c r="CO12" s="17">
        <f>SUM('Motor Semanal'!QD13:QH13)</f>
        <v>5396.3479772587625</v>
      </c>
      <c r="CP12" s="17">
        <f>SUM('Motor Semanal'!QI13:QM13)</f>
        <v>6150.5488879998911</v>
      </c>
      <c r="CQ12" s="17">
        <f>SUM('Motor Semanal'!QN13:QR13)</f>
        <v>6043.3470565926646</v>
      </c>
      <c r="CR12" s="17">
        <f>SUM('Motor Semanal'!QS13:QW13)</f>
        <v>6112.5486919386549</v>
      </c>
      <c r="CS12" s="17">
        <f>SUM('Motor Semanal'!QX13:RB13)</f>
        <v>5847.800241197694</v>
      </c>
      <c r="CT12" s="17">
        <f>SUM('Motor Semanal'!RC13:RG13)</f>
        <v>3534.7410484378888</v>
      </c>
      <c r="CU12" s="17">
        <f>SUM('Motor Semanal'!RH13:RL13)</f>
        <v>5745.6110630122621</v>
      </c>
      <c r="CV12" s="17">
        <f>SUM('Motor Semanal'!RM13:RP13)</f>
        <v>4146.3245419487648</v>
      </c>
      <c r="CW12" s="17">
        <f>SUM('Motor Semanal'!RQ13:RU13)</f>
        <v>7183.5098014430614</v>
      </c>
      <c r="CX12" s="17">
        <f>SUM('Motor Semanal'!RV13:RZ13)</f>
        <v>5664.4541472110413</v>
      </c>
      <c r="CY12" s="17">
        <f>SUM('Motor Semanal'!SA13:SE13)</f>
        <v>6227.5623400592767</v>
      </c>
      <c r="CZ12" s="17">
        <f>SUM('Motor Semanal'!SF13:SJ13)</f>
        <v>5227.3368856380357</v>
      </c>
      <c r="DA12" s="17">
        <f>SUM('Motor Semanal'!SK13:SO13)</f>
        <v>6151.8366940749893</v>
      </c>
      <c r="DB12" s="17">
        <f>SUM('Motor Semanal'!SP13:ST13)</f>
        <v>7011.6257323198761</v>
      </c>
      <c r="DC12" s="17">
        <f>SUM('Motor Semanal'!SU13:SY13)</f>
        <v>6889.4156445156377</v>
      </c>
      <c r="DD12" s="17">
        <f>SUM('Motor Semanal'!SZ13:TD13)</f>
        <v>6968.3055088100664</v>
      </c>
      <c r="DE12" s="17">
        <f>SUM('Motor Semanal'!TE13:TI13)</f>
        <v>6666.4922749653706</v>
      </c>
      <c r="DF12" s="17">
        <f>SUM('Motor Semanal'!TJ13:TN13)</f>
        <v>4029.6047952191934</v>
      </c>
    </row>
    <row r="13" spans="1:112" ht="13.8" x14ac:dyDescent="0.3">
      <c r="A13" s="16" t="s">
        <v>78</v>
      </c>
      <c r="B13" s="41" t="s">
        <v>148</v>
      </c>
      <c r="C13" s="17">
        <f>SUM('Motor Semanal'!B14:F14)</f>
        <v>29.442891960000004</v>
      </c>
      <c r="D13" s="17">
        <f>SUM('Motor Semanal'!G14:J14)</f>
        <v>1064.649319724318</v>
      </c>
      <c r="E13" s="17">
        <f>SUM('Motor Semanal'!K14:O14)</f>
        <v>2473.9772316659837</v>
      </c>
      <c r="F13" s="17">
        <f>SUM('Motor Semanal'!P14:T14)</f>
        <v>2865.4534818606771</v>
      </c>
      <c r="G13" s="17">
        <f>SUM('Motor Semanal'!U14:Y14)</f>
        <v>2238.0926324399993</v>
      </c>
      <c r="H13" s="17">
        <f>SUM('Motor Semanal'!Z14:AD14)</f>
        <v>2740.2836418755178</v>
      </c>
      <c r="I13" s="17">
        <f>SUM('Motor Semanal'!AE14:AI14)</f>
        <v>2244.1558507145778</v>
      </c>
      <c r="J13" s="17">
        <f>SUM('Motor Semanal'!AJ14:AN14)</f>
        <v>2704.9997726291772</v>
      </c>
      <c r="K13" s="17">
        <f>SUM('Motor Semanal'!AO14:AS14)</f>
        <v>2734.7989654811754</v>
      </c>
      <c r="L13" s="17">
        <f>SUM('Motor Semanal'!AT14:AX14)</f>
        <v>2089.7689398298139</v>
      </c>
      <c r="M13" s="17">
        <f>SUM('Motor Semanal'!AY14:BC14)</f>
        <v>2543.5801996914888</v>
      </c>
      <c r="N13" s="17">
        <f>SUM('Motor Semanal'!BD14:BH14)</f>
        <v>2376.1561405986167</v>
      </c>
      <c r="O13" s="17">
        <f>SUM('Motor Semanal'!BI14:BM14)</f>
        <v>1596.4434745407443</v>
      </c>
      <c r="P13" s="17">
        <f>SUM('Motor Semanal'!BN14:BQ14)</f>
        <v>1717.9558231321096</v>
      </c>
      <c r="Q13" s="17">
        <f>SUM('Motor Semanal'!BR14:BV14)</f>
        <v>2614.0617297413637</v>
      </c>
      <c r="R13" s="17">
        <f>SUM('Motor Semanal'!BW14:CA14)</f>
        <v>2907.1592849848494</v>
      </c>
      <c r="S13" s="17">
        <f>SUM('Motor Semanal'!CB14:CF14)</f>
        <v>2473.0788700098474</v>
      </c>
      <c r="T13" s="17">
        <f>SUM('Motor Semanal'!CG14:CK14)</f>
        <v>2653.8968486621425</v>
      </c>
      <c r="U13" s="17">
        <f>SUM('Motor Semanal'!CL14:CP14)</f>
        <v>2349.8811673681253</v>
      </c>
      <c r="V13" s="17">
        <f>SUM('Motor Semanal'!CQ14:CU14)</f>
        <v>2613.7984806165196</v>
      </c>
      <c r="W13" s="17">
        <f>SUM('Motor Semanal'!CV14:CZ14)</f>
        <v>3052.4936589822955</v>
      </c>
      <c r="X13" s="17">
        <f>SUM('Motor Semanal'!DA14:DE14)</f>
        <v>3006.4196396376465</v>
      </c>
      <c r="Y13" s="17">
        <f>SUM('Motor Semanal'!DF14:DJ14)</f>
        <v>3011.4008650959663</v>
      </c>
      <c r="Z13" s="17">
        <f>SUM('Motor Semanal'!DK14:DO14)</f>
        <v>2887.0297108273198</v>
      </c>
      <c r="AA13" s="17">
        <f>SUM('Motor Semanal'!DP14:DT14)</f>
        <v>1937.3259194736738</v>
      </c>
      <c r="AB13" s="17">
        <f>SUM('Motor Semanal'!DU14:DY14)</f>
        <v>2699.1406308476626</v>
      </c>
      <c r="AC13" s="17">
        <f>SUM('Motor Semanal'!DZ14:ED14)</f>
        <v>2901.5914481794371</v>
      </c>
      <c r="AD13" s="17">
        <f>SUM('Motor Semanal'!EE14:EI14)</f>
        <v>2885.9540703857997</v>
      </c>
      <c r="AE13" s="17">
        <f>SUM('Motor Semanal'!EJ14:EN14)</f>
        <v>2893.5022779115207</v>
      </c>
      <c r="AF13" s="17">
        <f>SUM('Motor Semanal'!EO14:ES14)</f>
        <v>3105.0593129347062</v>
      </c>
      <c r="AG13" s="17">
        <f>SUM('Motor Semanal'!ET14:EX14)</f>
        <v>2749.360965820706</v>
      </c>
      <c r="AH13" s="17">
        <f>SUM('Motor Semanal'!EY14:FC14)</f>
        <v>3044.1936554374752</v>
      </c>
      <c r="AI13" s="17">
        <f>SUM('Motor Semanal'!FD14:FH14)</f>
        <v>3515.6153134738779</v>
      </c>
      <c r="AJ13" s="17">
        <f>SUM('Motor Semanal'!FI14:FM14)</f>
        <v>3517.5109783760454</v>
      </c>
      <c r="AK13" s="17">
        <f>SUM('Motor Semanal'!FN14:FR14)</f>
        <v>3523.3390121622806</v>
      </c>
      <c r="AL13" s="17">
        <f>SUM('Motor Semanal'!FS14:FW14)</f>
        <v>3377.8247616679646</v>
      </c>
      <c r="AM13" s="17">
        <f>SUM('Motor Semanal'!FX14:GB14)</f>
        <v>2266.3654485120651</v>
      </c>
      <c r="AN13" s="17">
        <f>SUM('Motor Semanal'!GC14:GF14)</f>
        <v>2363.5637085744829</v>
      </c>
      <c r="AO13" s="17">
        <f>SUM('Motor Semanal'!GG14:GK14)</f>
        <v>3563.0968407239652</v>
      </c>
      <c r="AP13" s="17">
        <f>SUM('Motor Semanal'!GL14:GP14)</f>
        <v>3962.6034633985992</v>
      </c>
      <c r="AQ13" s="17">
        <f>SUM('Motor Semanal'!GQ14:GU14)</f>
        <v>3370.9301537669221</v>
      </c>
      <c r="AR13" s="17">
        <f>SUM('Motor Semanal'!GV14:GZ14)</f>
        <v>3617.3940995689327</v>
      </c>
      <c r="AS13" s="17">
        <f>SUM('Motor Semanal'!HA14:HE14)</f>
        <v>3203.0055251811236</v>
      </c>
      <c r="AT13" s="17">
        <f>SUM('Motor Semanal'!HF14:HJ14)</f>
        <v>3546.4856085846591</v>
      </c>
      <c r="AU13" s="17">
        <f>SUM('Motor Semanal'!HK14:HO14)</f>
        <v>4095.691840197067</v>
      </c>
      <c r="AV13" s="17">
        <f>SUM('Motor Semanal'!HP14:HT14)</f>
        <v>4097.9002898080926</v>
      </c>
      <c r="AW13" s="17">
        <f>SUM('Motor Semanal'!HU14:HY14)</f>
        <v>4104.6899491690565</v>
      </c>
      <c r="AX13" s="17">
        <f>SUM('Motor Semanal'!HZ14:ID14)</f>
        <v>3935.165847343178</v>
      </c>
      <c r="AY13" s="17">
        <f>SUM('Motor Semanal'!IE14:II14)</f>
        <v>2639.9594004945207</v>
      </c>
      <c r="AZ13" s="17">
        <f>SUM('Motor Semanal'!IJ14:IM14)</f>
        <v>2744.3952408446926</v>
      </c>
      <c r="BA13" s="17">
        <f>SUM('Motor Semanal'!IN14:IR14)</f>
        <v>4133.1923352397998</v>
      </c>
      <c r="BB13" s="17">
        <f>SUM('Motor Semanal'!IS14:IW14)</f>
        <v>4596.6200175423746</v>
      </c>
      <c r="BC13" s="17">
        <f>SUM('Motor Semanal'!IX14:JB14)</f>
        <v>3910.2789783696289</v>
      </c>
      <c r="BD13" s="17">
        <f>SUM('Motor Semanal'!JC14:JG14)</f>
        <v>4196.1771554999614</v>
      </c>
      <c r="BE13" s="17">
        <f>SUM('Motor Semanal'!JH14:JL14)</f>
        <v>3715.486409210102</v>
      </c>
      <c r="BF13" s="17">
        <f>SUM('Motor Semanal'!JM14:JQ14)</f>
        <v>4113.9233059582039</v>
      </c>
      <c r="BG13" s="17">
        <f>SUM('Motor Semanal'!JR14:JV14)</f>
        <v>4751.0025346285984</v>
      </c>
      <c r="BH13" s="17">
        <f>SUM('Motor Semanal'!JW14:KA14)</f>
        <v>4753.5643361773873</v>
      </c>
      <c r="BI13" s="17">
        <f>SUM('Motor Semanal'!KB14:KF14)</f>
        <v>4761.4403410361056</v>
      </c>
      <c r="BJ13" s="17">
        <f>SUM('Motor Semanal'!KG14:KK14)</f>
        <v>4564.7923829180863</v>
      </c>
      <c r="BK13" s="17">
        <f>SUM('Motor Semanal'!KL14:KP14)</f>
        <v>3061.9395420280835</v>
      </c>
      <c r="BL13" s="17">
        <f>SUM('Motor Semanal'!KQ14:KT14)</f>
        <v>3172.8769629921308</v>
      </c>
      <c r="BM13" s="17">
        <f>SUM('Motor Semanal'!KU14:KY14)</f>
        <v>4773.8371472019689</v>
      </c>
      <c r="BN13" s="17">
        <f>SUM('Motor Semanal'!KZ14:LD14)</f>
        <v>5309.0961202614417</v>
      </c>
      <c r="BO13" s="17">
        <f>SUM('Motor Semanal'!LE14:LI14)</f>
        <v>4516.3722200169223</v>
      </c>
      <c r="BP13" s="17">
        <f>SUM('Motor Semanal'!LJ14:LN14)</f>
        <v>4846.584614602456</v>
      </c>
      <c r="BQ13" s="17">
        <f>SUM('Motor Semanal'!LO14:LS14)</f>
        <v>4291.3868026376686</v>
      </c>
      <c r="BR13" s="17">
        <f>SUM('Motor Semanal'!LT14:LX14)</f>
        <v>4751.5814183817265</v>
      </c>
      <c r="BS13" s="17">
        <f>SUM('Motor Semanal'!LY14:MC14)</f>
        <v>5487.4079274960295</v>
      </c>
      <c r="BT13" s="17">
        <f>SUM('Motor Semanal'!MD14:MH14)</f>
        <v>5490.3668082848826</v>
      </c>
      <c r="BU13" s="17">
        <f>SUM('Motor Semanal'!MI14:MM14)</f>
        <v>5499.4635938967022</v>
      </c>
      <c r="BV13" s="17">
        <f>SUM('Motor Semanal'!MN14:MR14)</f>
        <v>5272.3352022703903</v>
      </c>
      <c r="BW13" s="17">
        <f>SUM('Motor Semanal'!MS14:MW14)</f>
        <v>3535.107869822069</v>
      </c>
      <c r="BX13" s="17">
        <f>SUM('Motor Semanal'!MX14:NB14)</f>
        <v>4824.1220184247213</v>
      </c>
      <c r="BY13" s="17">
        <f>SUM('Motor Semanal'!NC14:NG14)</f>
        <v>5163.0581063978625</v>
      </c>
      <c r="BZ13" s="17">
        <f>SUM('Motor Semanal'!NH14:NL14)</f>
        <v>5135.2331380581954</v>
      </c>
      <c r="CA13" s="17">
        <f>SUM('Motor Semanal'!NM14:NQ14)</f>
        <v>5148.6643308192915</v>
      </c>
      <c r="CB13" s="17">
        <f>SUM('Motor Semanal'!NR14:NV14)</f>
        <v>5525.1064606468008</v>
      </c>
      <c r="CC13" s="17">
        <f>SUM('Motor Semanal'!NW14:OA14)</f>
        <v>4892.1809550069429</v>
      </c>
      <c r="CD13" s="17">
        <f>SUM('Motor Semanal'!OB14:OF14)</f>
        <v>5416.802816955169</v>
      </c>
      <c r="CE13" s="17">
        <f>SUM('Motor Semanal'!OG14:OK14)</f>
        <v>6255.6450373454754</v>
      </c>
      <c r="CF13" s="17">
        <f>SUM('Motor Semanal'!OL14:OP14)</f>
        <v>6259.0181614447674</v>
      </c>
      <c r="CG13" s="17">
        <f>SUM('Motor Semanal'!OQ14:OU14)</f>
        <v>6269.3884970422414</v>
      </c>
      <c r="CH13" s="17">
        <f>SUM('Motor Semanal'!OV14:OZ14)</f>
        <v>6010.4621305882465</v>
      </c>
      <c r="CI13" s="17">
        <f>SUM('Motor Semanal'!PA14:PE14)</f>
        <v>4030.02297159716</v>
      </c>
      <c r="CJ13" s="17">
        <f>SUM('Motor Semanal'!PF14:PI14)</f>
        <v>4135.7710452886367</v>
      </c>
      <c r="CK13" s="17">
        <f>SUM('Motor Semanal'!PJ14:PN14)</f>
        <v>6204.0787565036808</v>
      </c>
      <c r="CL13" s="17">
        <f>SUM('Motor Semanal'!PO14:PS14)</f>
        <v>6899.7013178917732</v>
      </c>
      <c r="CM13" s="17">
        <f>SUM('Motor Semanal'!PT14:PX14)</f>
        <v>5869.4773371339934</v>
      </c>
      <c r="CN13" s="17">
        <f>SUM('Motor Semanal'!PY14:QC14)</f>
        <v>6298.6213651373537</v>
      </c>
      <c r="CO13" s="17">
        <f>SUM('Motor Semanal'!QD14:QH14)</f>
        <v>5577.0862887079156</v>
      </c>
      <c r="CP13" s="17">
        <f>SUM('Motor Semanal'!QI14:QM14)</f>
        <v>6175.1552113288926</v>
      </c>
      <c r="CQ13" s="17">
        <f>SUM('Motor Semanal'!QN14:QR14)</f>
        <v>7131.4353425738436</v>
      </c>
      <c r="CR13" s="17">
        <f>SUM('Motor Semanal'!QS14:QW14)</f>
        <v>7135.2807040470361</v>
      </c>
      <c r="CS13" s="17">
        <f>SUM('Motor Semanal'!QX14:RB14)</f>
        <v>7147.1028866281558</v>
      </c>
      <c r="CT13" s="17">
        <f>SUM('Motor Semanal'!RC14:RG14)</f>
        <v>6851.9268288706025</v>
      </c>
      <c r="CU13" s="17">
        <f>SUM('Motor Semanal'!RH14:RL14)</f>
        <v>4594.2261876207622</v>
      </c>
      <c r="CV13" s="17">
        <f>SUM('Motor Semanal'!RM14:RP14)</f>
        <v>4714.7789916290467</v>
      </c>
      <c r="CW13" s="17">
        <f>SUM('Motor Semanal'!RQ14:RU14)</f>
        <v>7072.6497824141952</v>
      </c>
      <c r="CX13" s="17">
        <f>SUM('Motor Semanal'!RV14:RZ14)</f>
        <v>7865.659502396622</v>
      </c>
      <c r="CY13" s="17">
        <f>SUM('Motor Semanal'!SA14:SE14)</f>
        <v>6691.204164332752</v>
      </c>
      <c r="CZ13" s="17">
        <f>SUM('Motor Semanal'!SF14:SJ14)</f>
        <v>7180.4283562565815</v>
      </c>
      <c r="DA13" s="17">
        <f>SUM('Motor Semanal'!SK14:SO14)</f>
        <v>6357.8783691270237</v>
      </c>
      <c r="DB13" s="17">
        <f>SUM('Motor Semanal'!SP14:ST14)</f>
        <v>7039.6769409149374</v>
      </c>
      <c r="DC13" s="17">
        <f>SUM('Motor Semanal'!SU14:SY14)</f>
        <v>8129.8362905341819</v>
      </c>
      <c r="DD13" s="17">
        <f>SUM('Motor Semanal'!SZ14:TD14)</f>
        <v>8134.2200026136197</v>
      </c>
      <c r="DE13" s="17">
        <f>SUM('Motor Semanal'!TE14:TI14)</f>
        <v>8147.6972907560985</v>
      </c>
      <c r="DF13" s="17">
        <f>SUM('Motor Semanal'!TJ14:TN14)</f>
        <v>7811.1965849124845</v>
      </c>
    </row>
    <row r="14" spans="1:112" ht="13.8" x14ac:dyDescent="0.3">
      <c r="A14" s="16" t="s">
        <v>102</v>
      </c>
      <c r="B14" s="41" t="s">
        <v>149</v>
      </c>
      <c r="C14" s="17">
        <f>-SUM('Motor Semanal'!B16:F16)</f>
        <v>-162.0101091472014</v>
      </c>
      <c r="D14" s="17">
        <f>-SUM('Motor Semanal'!G16:J16)</f>
        <v>-136.48969124577263</v>
      </c>
      <c r="E14" s="17">
        <f>-SUM('Motor Semanal'!K16:O16)</f>
        <v>-147.09282336000095</v>
      </c>
      <c r="F14" s="17">
        <f>-SUM('Motor Semanal'!P16:T16)</f>
        <v>-142.29572700827532</v>
      </c>
      <c r="G14" s="17">
        <f>-SUM('Motor Semanal'!U16:Y16)</f>
        <v>-161.11386359576557</v>
      </c>
      <c r="H14" s="17">
        <f>-SUM('Motor Semanal'!Z16:AD16)</f>
        <v>-125.21047044092643</v>
      </c>
      <c r="I14" s="17">
        <f>-SUM('Motor Semanal'!AE16:AI16)</f>
        <v>-162.84917565929362</v>
      </c>
      <c r="J14" s="17">
        <f>-SUM('Motor Semanal'!AJ16:AN16)</f>
        <v>-180.76371117943955</v>
      </c>
      <c r="K14" s="17">
        <f>-SUM('Motor Semanal'!AO16:AS16)</f>
        <v>-172.61989442715941</v>
      </c>
      <c r="L14" s="17">
        <f>-SUM('Motor Semanal'!AT16:AX16)</f>
        <v>-177.05397199554346</v>
      </c>
      <c r="M14" s="17">
        <f>-SUM('Motor Semanal'!AY16:BC16)</f>
        <v>-166.51965185243048</v>
      </c>
      <c r="N14" s="17">
        <f>-SUM('Motor Semanal'!BD16:BH16)</f>
        <v>-86.338578105869573</v>
      </c>
      <c r="O14" s="17">
        <f>-SUM('Motor Semanal'!BI16:BM16)</f>
        <v>-181.70056856663052</v>
      </c>
      <c r="P14" s="17">
        <f>-SUM('Motor Semanal'!BN16:BQ16)</f>
        <v>-153.07843833564351</v>
      </c>
      <c r="Q14" s="17">
        <f>-SUM('Motor Semanal'!BR16:BV16)</f>
        <v>-164.97025881452421</v>
      </c>
      <c r="R14" s="17">
        <f>-SUM('Motor Semanal'!BW16:CA16)</f>
        <v>-159.59013075235808</v>
      </c>
      <c r="S14" s="17">
        <f>-SUM('Motor Semanal'!CB16:CF16)</f>
        <v>-180.6953947097125</v>
      </c>
      <c r="T14" s="17">
        <f>-SUM('Motor Semanal'!CG16:CK16)</f>
        <v>-140.4283583868237</v>
      </c>
      <c r="U14" s="17">
        <f>-SUM('Motor Semanal'!CL16:CP16)</f>
        <v>-183.96645409164086</v>
      </c>
      <c r="V14" s="17">
        <f>-SUM('Motor Semanal'!CQ16:CU16)</f>
        <v>-202.73345453817151</v>
      </c>
      <c r="W14" s="17">
        <f>-SUM('Motor Semanal'!CV16:CZ16)</f>
        <v>-193.59985082676803</v>
      </c>
      <c r="X14" s="17">
        <f>-SUM('Motor Semanal'!DA16:DE16)</f>
        <v>-198.57283936115576</v>
      </c>
      <c r="Y14" s="17">
        <f>-SUM('Motor Semanal'!DF16:DJ16)</f>
        <v>-186.75819415449519</v>
      </c>
      <c r="Z14" s="17">
        <f>-SUM('Motor Semanal'!DK16:DO16)</f>
        <v>-96.832036060275271</v>
      </c>
      <c r="AA14" s="17">
        <f>-SUM('Motor Semanal'!DP16:DT16)</f>
        <v>-194.87385978771118</v>
      </c>
      <c r="AB14" s="17">
        <f>-SUM('Motor Semanal'!DU16:DY16)</f>
        <v>-164.17662511497764</v>
      </c>
      <c r="AC14" s="17">
        <f>-SUM('Motor Semanal'!DZ16:ED16)</f>
        <v>-176.93060257857718</v>
      </c>
      <c r="AD14" s="17">
        <f>-SUM('Motor Semanal'!EE16:EI16)</f>
        <v>-171.16041523190401</v>
      </c>
      <c r="AE14" s="17">
        <f>-SUM('Motor Semanal'!EJ16:EN16)</f>
        <v>-193.79581082616662</v>
      </c>
      <c r="AF14" s="17">
        <f>-SUM('Motor Semanal'!EO16:ES16)</f>
        <v>-150.60941436986838</v>
      </c>
      <c r="AG14" s="17">
        <f>-SUM('Motor Semanal'!ET16:EX16)</f>
        <v>-195.88313094178133</v>
      </c>
      <c r="AH14" s="17">
        <f>-SUM('Motor Semanal'!EY16:FC16)</f>
        <v>-217.4316299921889</v>
      </c>
      <c r="AI14" s="17">
        <f>-SUM('Motor Semanal'!FD16:FH16)</f>
        <v>-207.63584001170867</v>
      </c>
      <c r="AJ14" s="17">
        <f>-SUM('Motor Semanal'!FI16:FM16)</f>
        <v>-212.96937021483956</v>
      </c>
      <c r="AK14" s="17">
        <f>-SUM('Motor Semanal'!FN16:FR16)</f>
        <v>-200.29816323069605</v>
      </c>
      <c r="AL14" s="17">
        <f>-SUM('Motor Semanal'!FS16:FW16)</f>
        <v>-103.85235867464522</v>
      </c>
      <c r="AM14" s="17">
        <f>-SUM('Motor Semanal'!FX16:GB16)</f>
        <v>-206.38913332062145</v>
      </c>
      <c r="AN14" s="17">
        <f>-SUM('Motor Semanal'!GC16:GF16)</f>
        <v>-173.87797114449904</v>
      </c>
      <c r="AO14" s="17">
        <f>-SUM('Motor Semanal'!GG16:GK16)</f>
        <v>-187.38559273094765</v>
      </c>
      <c r="AP14" s="17">
        <f>-SUM('Motor Semanal'!GL16:GP16)</f>
        <v>-181.27443976833473</v>
      </c>
      <c r="AQ14" s="17">
        <f>-SUM('Motor Semanal'!GQ16:GU16)</f>
        <v>-205.24738146589468</v>
      </c>
      <c r="AR14" s="17">
        <f>-SUM('Motor Semanal'!GV16:GZ16)</f>
        <v>-159.50906158263336</v>
      </c>
      <c r="AS14" s="17">
        <f>-SUM('Motor Semanal'!HA16:HE16)</f>
        <v>-207.4580432247048</v>
      </c>
      <c r="AT14" s="17">
        <f>-SUM('Motor Semanal'!HF16:HJ16)</f>
        <v>-230.27986267354549</v>
      </c>
      <c r="AU14" s="17">
        <f>-SUM('Motor Semanal'!HK16:HO16)</f>
        <v>-219.90523055785513</v>
      </c>
      <c r="AV14" s="17">
        <f>-SUM('Motor Semanal'!HP16:HT16)</f>
        <v>-225.55392390935279</v>
      </c>
      <c r="AW14" s="17">
        <f>-SUM('Motor Semanal'!HU16:HY16)</f>
        <v>-212.1339637852372</v>
      </c>
      <c r="AX14" s="17">
        <f>-SUM('Motor Semanal'!HZ16:ID16)</f>
        <v>-109.98908895996516</v>
      </c>
      <c r="AY14" s="17">
        <f>-SUM('Motor Semanal'!IE16:II16)</f>
        <v>-215.47025518672871</v>
      </c>
      <c r="AZ14" s="17">
        <f>-SUM('Motor Semanal'!IJ16:IM16)</f>
        <v>-181.52860187485697</v>
      </c>
      <c r="BA14" s="17">
        <f>-SUM('Motor Semanal'!IN16:IR16)</f>
        <v>-195.63055881110932</v>
      </c>
      <c r="BB14" s="17">
        <f>-SUM('Motor Semanal'!IS16:IW16)</f>
        <v>-189.25051511814144</v>
      </c>
      <c r="BC14" s="17">
        <f>-SUM('Motor Semanal'!IX16:JB16)</f>
        <v>-214.27826625039398</v>
      </c>
      <c r="BD14" s="17">
        <f>-SUM('Motor Semanal'!JC16:JG16)</f>
        <v>-166.52746029226918</v>
      </c>
      <c r="BE14" s="17">
        <f>-SUM('Motor Semanal'!JH16:JL16)</f>
        <v>-216.58619712659177</v>
      </c>
      <c r="BF14" s="17">
        <f>-SUM('Motor Semanal'!JM16:JQ16)</f>
        <v>-240.41217663118152</v>
      </c>
      <c r="BG14" s="17">
        <f>-SUM('Motor Semanal'!JR16:JV16)</f>
        <v>-229.58106070240072</v>
      </c>
      <c r="BH14" s="17">
        <f>-SUM('Motor Semanal'!JW16:KA16)</f>
        <v>-235.47829656136429</v>
      </c>
      <c r="BI14" s="17">
        <f>-SUM('Motor Semanal'!KB16:KF16)</f>
        <v>-221.46785819178763</v>
      </c>
      <c r="BJ14" s="17">
        <f>-SUM('Motor Semanal'!KG16:KK16)</f>
        <v>-114.82860887420361</v>
      </c>
      <c r="BK14" s="17">
        <f>-SUM('Motor Semanal'!KL16:KP16)</f>
        <v>-221.21612865837486</v>
      </c>
      <c r="BL14" s="17">
        <f>-SUM('Motor Semanal'!KQ16:KT16)</f>
        <v>-186.36936459151985</v>
      </c>
      <c r="BM14" s="17">
        <f>-SUM('Motor Semanal'!KU16:KY16)</f>
        <v>-200.84737371273891</v>
      </c>
      <c r="BN14" s="17">
        <f>-SUM('Motor Semanal'!KZ16:LD16)</f>
        <v>-194.29719552129191</v>
      </c>
      <c r="BO14" s="17">
        <f>-SUM('Motor Semanal'!LE16:LI16)</f>
        <v>-219.99235335040456</v>
      </c>
      <c r="BP14" s="17">
        <f>-SUM('Motor Semanal'!LJ16:LN16)</f>
        <v>-170.96819256672973</v>
      </c>
      <c r="BQ14" s="17">
        <f>-SUM('Motor Semanal'!LO16:LS16)</f>
        <v>-222.36182904996758</v>
      </c>
      <c r="BR14" s="17">
        <f>-SUM('Motor Semanal'!LT16:LX16)</f>
        <v>-246.82316800801303</v>
      </c>
      <c r="BS14" s="17">
        <f>-SUM('Motor Semanal'!LY16:MC16)</f>
        <v>-235.70322232113142</v>
      </c>
      <c r="BT14" s="17">
        <f>-SUM('Motor Semanal'!MD16:MH16)</f>
        <v>-241.75771780300073</v>
      </c>
      <c r="BU14" s="17">
        <f>-SUM('Motor Semanal'!MI16:MM16)</f>
        <v>-227.37366774356863</v>
      </c>
      <c r="BV14" s="17">
        <f>-SUM('Motor Semanal'!MN16:MR16)</f>
        <v>-117.89070511084905</v>
      </c>
      <c r="BW14" s="17">
        <f>-SUM('Motor Semanal'!MS16:MW16)</f>
        <v>-220.66308833672898</v>
      </c>
      <c r="BX14" s="17">
        <f>-SUM('Motor Semanal'!MX16:NB16)</f>
        <v>-185.90344118004106</v>
      </c>
      <c r="BY14" s="17">
        <f>-SUM('Motor Semanal'!NC16:NG16)</f>
        <v>-200.34525527845716</v>
      </c>
      <c r="BZ14" s="17">
        <f>-SUM('Motor Semanal'!NH16:NL16)</f>
        <v>-193.81145253248872</v>
      </c>
      <c r="CA14" s="17">
        <f>-SUM('Motor Semanal'!NM16:NQ16)</f>
        <v>-219.4423724670286</v>
      </c>
      <c r="CB14" s="17">
        <f>-SUM('Motor Semanal'!NR16:NV16)</f>
        <v>-170.54077208531294</v>
      </c>
      <c r="CC14" s="17">
        <f>-SUM('Motor Semanal'!NW16:OA16)</f>
        <v>-221.8059244773427</v>
      </c>
      <c r="CD14" s="17">
        <f>-SUM('Motor Semanal'!OB16:OF16)</f>
        <v>-246.20611008799307</v>
      </c>
      <c r="CE14" s="17">
        <f>-SUM('Motor Semanal'!OG16:OK16)</f>
        <v>-235.11396426532863</v>
      </c>
      <c r="CF14" s="17">
        <f>-SUM('Motor Semanal'!OL16:OP16)</f>
        <v>-241.15332350849326</v>
      </c>
      <c r="CG14" s="17">
        <f>-SUM('Motor Semanal'!OQ16:OU16)</f>
        <v>-226.80523357420972</v>
      </c>
      <c r="CH14" s="17">
        <f>-SUM('Motor Semanal'!OV16:OZ16)</f>
        <v>-117.59597834807197</v>
      </c>
      <c r="CI14" s="17">
        <f>-SUM('Motor Semanal'!PA16:PE16)</f>
        <v>-215.61936060331803</v>
      </c>
      <c r="CJ14" s="17">
        <f>-SUM('Motor Semanal'!PF16:PI16)</f>
        <v>-181.65421966735445</v>
      </c>
      <c r="CK14" s="17">
        <f>-SUM('Motor Semanal'!PJ16:PN16)</f>
        <v>-195.76593515780669</v>
      </c>
      <c r="CL14" s="17">
        <f>-SUM('Motor Semanal'!PO16:PS16)</f>
        <v>-189.38147647460326</v>
      </c>
      <c r="CM14" s="17">
        <f>-SUM('Motor Semanal'!PT16:PX16)</f>
        <v>-214.42654681063934</v>
      </c>
      <c r="CN14" s="17">
        <f>-SUM('Motor Semanal'!PY16:QC16)</f>
        <v>-166.6426972947915</v>
      </c>
      <c r="CO14" s="17">
        <f>-SUM('Motor Semanal'!QD16:QH16)</f>
        <v>-216.73607477500346</v>
      </c>
      <c r="CP14" s="17">
        <f>-SUM('Motor Semanal'!QI16:QM16)</f>
        <v>-240.57854185741036</v>
      </c>
      <c r="CQ14" s="17">
        <f>-SUM('Motor Semanal'!QN16:QR16)</f>
        <v>-229.73993079640687</v>
      </c>
      <c r="CR14" s="17">
        <f>-SUM('Motor Semanal'!QS16:QW16)</f>
        <v>-235.64124754258484</v>
      </c>
      <c r="CS14" s="17">
        <f>-SUM('Motor Semanal'!QX16:RB16)</f>
        <v>-221.6211139496564</v>
      </c>
      <c r="CT14" s="17">
        <f>-SUM('Motor Semanal'!RC16:RG16)</f>
        <v>-114.90807027154463</v>
      </c>
      <c r="CU14" s="17">
        <f>-SUM('Motor Semanal'!RH16:RL16)</f>
        <v>-204.83839257315213</v>
      </c>
      <c r="CV14" s="17">
        <f>-SUM('Motor Semanal'!RM16:RP16)</f>
        <v>-172.57150868398674</v>
      </c>
      <c r="CW14" s="17">
        <f>-SUM('Motor Semanal'!RQ16:RU16)</f>
        <v>-185.97763839991637</v>
      </c>
      <c r="CX14" s="17">
        <f>-SUM('Motor Semanal'!RV16:RZ16)</f>
        <v>-179.9124026508731</v>
      </c>
      <c r="CY14" s="17">
        <f>-SUM('Motor Semanal'!SA16:SE16)</f>
        <v>-203.70521947010738</v>
      </c>
      <c r="CZ14" s="17">
        <f>-SUM('Motor Semanal'!SF16:SJ16)</f>
        <v>-158.3105624300519</v>
      </c>
      <c r="DA14" s="17">
        <f>-SUM('Motor Semanal'!SK16:SO16)</f>
        <v>-205.89927103625328</v>
      </c>
      <c r="DB14" s="17">
        <f>-SUM('Motor Semanal'!SP16:ST16)</f>
        <v>-228.54961476453988</v>
      </c>
      <c r="DC14" s="17">
        <f>-SUM('Motor Semanal'!SU16:SY16)</f>
        <v>-218.25293425658651</v>
      </c>
      <c r="DD14" s="17">
        <f>-SUM('Motor Semanal'!SZ16:TD16)</f>
        <v>-223.85918516545561</v>
      </c>
      <c r="DE14" s="17">
        <f>-SUM('Motor Semanal'!TE16:TI16)</f>
        <v>-210.54005825217359</v>
      </c>
      <c r="DF14" s="17">
        <f>-SUM('Motor Semanal'!TJ16:TN16)</f>
        <v>-109.16266675796743</v>
      </c>
    </row>
    <row r="15" spans="1:112" ht="13.8" x14ac:dyDescent="0.3">
      <c r="A15" s="33" t="s">
        <v>103</v>
      </c>
      <c r="B15" s="47" t="s">
        <v>150</v>
      </c>
      <c r="C15" s="36">
        <f t="shared" ref="C15:AH15" si="16">SUM(C11:C14)</f>
        <v>9123.7929478374699</v>
      </c>
      <c r="D15" s="36">
        <f t="shared" si="16"/>
        <v>8063.8111534881691</v>
      </c>
      <c r="E15" s="36">
        <f t="shared" si="16"/>
        <v>12136.724922526477</v>
      </c>
      <c r="F15" s="36">
        <f t="shared" si="16"/>
        <v>11308.486192733135</v>
      </c>
      <c r="G15" s="36">
        <f t="shared" si="16"/>
        <v>11715.242602010419</v>
      </c>
      <c r="H15" s="36">
        <f t="shared" si="16"/>
        <v>10279.528816313528</v>
      </c>
      <c r="I15" s="36">
        <f t="shared" si="16"/>
        <v>11371.631923884546</v>
      </c>
      <c r="J15" s="36">
        <f t="shared" si="16"/>
        <v>14805.949876124214</v>
      </c>
      <c r="K15" s="36">
        <f t="shared" si="16"/>
        <v>12908.459658811753</v>
      </c>
      <c r="L15" s="36">
        <f t="shared" si="16"/>
        <v>13092.470637943095</v>
      </c>
      <c r="M15" s="36">
        <f t="shared" si="16"/>
        <v>12890.190390601176</v>
      </c>
      <c r="N15" s="36">
        <f t="shared" si="16"/>
        <v>8135.8033573962475</v>
      </c>
      <c r="O15" s="36">
        <f t="shared" si="16"/>
        <v>13192.19723979793</v>
      </c>
      <c r="P15" s="36">
        <f t="shared" si="16"/>
        <v>10930.99071428862</v>
      </c>
      <c r="Q15" s="36">
        <f t="shared" si="16"/>
        <v>14816.716714607172</v>
      </c>
      <c r="R15" s="36">
        <f t="shared" si="16"/>
        <v>13635.833266428293</v>
      </c>
      <c r="S15" s="36">
        <f t="shared" si="16"/>
        <v>14464.809696811963</v>
      </c>
      <c r="T15" s="36">
        <f t="shared" si="16"/>
        <v>12297.913741888609</v>
      </c>
      <c r="U15" s="36">
        <f t="shared" si="16"/>
        <v>14349.849294346071</v>
      </c>
      <c r="V15" s="36">
        <f t="shared" si="16"/>
        <v>16139.40400284926</v>
      </c>
      <c r="W15" s="36">
        <f t="shared" si="16"/>
        <v>16082.451179070411</v>
      </c>
      <c r="X15" s="36">
        <f t="shared" si="16"/>
        <v>16288.93537869015</v>
      </c>
      <c r="Y15" s="36">
        <f t="shared" si="16"/>
        <v>15598.095429897445</v>
      </c>
      <c r="Z15" s="36">
        <f t="shared" si="16"/>
        <v>9893.0704155747972</v>
      </c>
      <c r="AA15" s="36">
        <f t="shared" si="16"/>
        <v>15542.615151833857</v>
      </c>
      <c r="AB15" s="36">
        <f t="shared" si="16"/>
        <v>14911.661915989935</v>
      </c>
      <c r="AC15" s="36">
        <f t="shared" si="16"/>
        <v>15776.437065955413</v>
      </c>
      <c r="AD15" s="36">
        <f t="shared" si="16"/>
        <v>15454.062666422982</v>
      </c>
      <c r="AE15" s="36">
        <f t="shared" si="16"/>
        <v>16941.445146254187</v>
      </c>
      <c r="AF15" s="36">
        <f t="shared" si="16"/>
        <v>14402.250842952391</v>
      </c>
      <c r="AG15" s="36">
        <f t="shared" si="16"/>
        <v>16808.681294730337</v>
      </c>
      <c r="AH15" s="36">
        <f t="shared" si="16"/>
        <v>18829.499547095289</v>
      </c>
      <c r="AI15" s="36">
        <f t="shared" ref="AI15:BN15" si="17">SUM(AI11:AI14)</f>
        <v>18779.541597432581</v>
      </c>
      <c r="AJ15" s="36">
        <f t="shared" si="17"/>
        <v>19077.415244905187</v>
      </c>
      <c r="AK15" s="36">
        <f t="shared" si="17"/>
        <v>18267.980576910075</v>
      </c>
      <c r="AL15" s="36">
        <f t="shared" si="17"/>
        <v>11584.333509738386</v>
      </c>
      <c r="AM15" s="36">
        <f t="shared" si="17"/>
        <v>18139.939422956231</v>
      </c>
      <c r="AN15" s="36">
        <f t="shared" si="17"/>
        <v>14956.16651119426</v>
      </c>
      <c r="AO15" s="36">
        <f t="shared" si="17"/>
        <v>20233.402836391491</v>
      </c>
      <c r="AP15" s="36">
        <f t="shared" si="17"/>
        <v>18622.57742175875</v>
      </c>
      <c r="AQ15" s="36">
        <f t="shared" si="17"/>
        <v>19757.308333532721</v>
      </c>
      <c r="AR15" s="36">
        <f t="shared" si="17"/>
        <v>16794.573138197797</v>
      </c>
      <c r="AS15" s="36">
        <f t="shared" si="17"/>
        <v>19602.859512683313</v>
      </c>
      <c r="AT15" s="36">
        <f t="shared" si="17"/>
        <v>21959.394958633366</v>
      </c>
      <c r="AU15" s="36">
        <f t="shared" si="17"/>
        <v>21900.156484064744</v>
      </c>
      <c r="AV15" s="36">
        <f t="shared" si="17"/>
        <v>22247.74415270548</v>
      </c>
      <c r="AW15" s="36">
        <f t="shared" si="17"/>
        <v>21303.41076847876</v>
      </c>
      <c r="AX15" s="36">
        <f t="shared" si="17"/>
        <v>13506.747447741218</v>
      </c>
      <c r="AY15" s="36">
        <f t="shared" si="17"/>
        <v>21080.490883647566</v>
      </c>
      <c r="AZ15" s="36">
        <f t="shared" si="17"/>
        <v>17371.984336536396</v>
      </c>
      <c r="BA15" s="36">
        <f t="shared" si="17"/>
        <v>23492.484018970918</v>
      </c>
      <c r="BB15" s="36">
        <f t="shared" si="17"/>
        <v>21623.217644253276</v>
      </c>
      <c r="BC15" s="36">
        <f t="shared" si="17"/>
        <v>22942.286363147996</v>
      </c>
      <c r="BD15" s="36">
        <f t="shared" si="17"/>
        <v>19500.207891453032</v>
      </c>
      <c r="BE15" s="36">
        <f t="shared" si="17"/>
        <v>22763.382167726708</v>
      </c>
      <c r="BF15" s="36">
        <f t="shared" si="17"/>
        <v>25499.610616084832</v>
      </c>
      <c r="BG15" s="36">
        <f t="shared" si="17"/>
        <v>25429.690528259813</v>
      </c>
      <c r="BH15" s="36">
        <f t="shared" si="17"/>
        <v>25833.547472311839</v>
      </c>
      <c r="BI15" s="36">
        <f t="shared" si="17"/>
        <v>24736.564031234448</v>
      </c>
      <c r="BJ15" s="36">
        <f t="shared" si="17"/>
        <v>15680.585773699166</v>
      </c>
      <c r="BK15" s="36">
        <f t="shared" si="17"/>
        <v>24392.185302484653</v>
      </c>
      <c r="BL15" s="36">
        <f t="shared" si="17"/>
        <v>20091.03853908999</v>
      </c>
      <c r="BM15" s="36">
        <f t="shared" si="17"/>
        <v>27158.924963625504</v>
      </c>
      <c r="BN15" s="36">
        <f t="shared" si="17"/>
        <v>24999.103528552692</v>
      </c>
      <c r="BO15" s="36">
        <f t="shared" ref="BO15:CT15" si="18">SUM(BO11:BO14)</f>
        <v>26525.839793604733</v>
      </c>
      <c r="BP15" s="36">
        <f t="shared" si="18"/>
        <v>22544.111138699092</v>
      </c>
      <c r="BQ15" s="36">
        <f t="shared" si="18"/>
        <v>26319.501632355597</v>
      </c>
      <c r="BR15" s="36">
        <f t="shared" si="18"/>
        <v>29482.903157578985</v>
      </c>
      <c r="BS15" s="36">
        <f t="shared" si="18"/>
        <v>29400.755462930221</v>
      </c>
      <c r="BT15" s="36">
        <f t="shared" si="18"/>
        <v>29867.967045245543</v>
      </c>
      <c r="BU15" s="36">
        <f t="shared" si="18"/>
        <v>28599.153164543732</v>
      </c>
      <c r="BV15" s="36">
        <f t="shared" si="18"/>
        <v>18125.812906761395</v>
      </c>
      <c r="BW15" s="36">
        <f t="shared" si="18"/>
        <v>27896.26532211349</v>
      </c>
      <c r="BX15" s="36">
        <f t="shared" si="18"/>
        <v>26661.171021526716</v>
      </c>
      <c r="BY15" s="36">
        <f t="shared" si="18"/>
        <v>28186.891795978627</v>
      </c>
      <c r="BZ15" s="36">
        <f t="shared" si="18"/>
        <v>27609.528933872014</v>
      </c>
      <c r="CA15" s="36">
        <f t="shared" si="18"/>
        <v>30270.806275061845</v>
      </c>
      <c r="CB15" s="36">
        <f t="shared" si="18"/>
        <v>25724.649665557725</v>
      </c>
      <c r="CC15" s="36">
        <f t="shared" si="18"/>
        <v>30035.918421525002</v>
      </c>
      <c r="CD15" s="36">
        <f t="shared" si="18"/>
        <v>33645.681901081189</v>
      </c>
      <c r="CE15" s="36">
        <f t="shared" si="18"/>
        <v>33550.448936921224</v>
      </c>
      <c r="CF15" s="36">
        <f t="shared" si="18"/>
        <v>34083.932906366856</v>
      </c>
      <c r="CG15" s="36">
        <f t="shared" si="18"/>
        <v>32635.43535523332</v>
      </c>
      <c r="CH15" s="36">
        <f t="shared" si="18"/>
        <v>20680.226139186292</v>
      </c>
      <c r="CI15" s="36">
        <f t="shared" si="18"/>
        <v>31837.679027309932</v>
      </c>
      <c r="CJ15" s="36">
        <f t="shared" si="18"/>
        <v>26183.165236141205</v>
      </c>
      <c r="CK15" s="36">
        <f t="shared" si="18"/>
        <v>35360.99419444699</v>
      </c>
      <c r="CL15" s="36">
        <f t="shared" si="18"/>
        <v>32551.962104531958</v>
      </c>
      <c r="CM15" s="36">
        <f t="shared" si="18"/>
        <v>34544.456911372275</v>
      </c>
      <c r="CN15" s="36">
        <f t="shared" si="18"/>
        <v>29353.874401618275</v>
      </c>
      <c r="CO15" s="36">
        <f t="shared" si="18"/>
        <v>34277.069679667671</v>
      </c>
      <c r="CP15" s="36">
        <f t="shared" si="18"/>
        <v>38396.173790875459</v>
      </c>
      <c r="CQ15" s="36">
        <f t="shared" si="18"/>
        <v>38285.801776556262</v>
      </c>
      <c r="CR15" s="36">
        <f t="shared" si="18"/>
        <v>38894.957054515318</v>
      </c>
      <c r="CS15" s="36">
        <f t="shared" si="18"/>
        <v>37241.33315729093</v>
      </c>
      <c r="CT15" s="36">
        <f t="shared" si="18"/>
        <v>23594.609143717636</v>
      </c>
      <c r="CU15" s="36">
        <f t="shared" ref="CU15:DZ15" si="19">SUM(CU11:CU14)</f>
        <v>36335.921769647946</v>
      </c>
      <c r="CV15" s="36">
        <f t="shared" si="19"/>
        <v>29883.32267093777</v>
      </c>
      <c r="CW15" s="36">
        <f t="shared" si="19"/>
        <v>40348.728909349542</v>
      </c>
      <c r="CX15" s="36">
        <f t="shared" si="19"/>
        <v>37145.219279696612</v>
      </c>
      <c r="CY15" s="36">
        <f t="shared" si="19"/>
        <v>39421.421922858412</v>
      </c>
      <c r="CZ15" s="36">
        <f t="shared" si="19"/>
        <v>33495.078930330841</v>
      </c>
      <c r="DA15" s="36">
        <f t="shared" si="19"/>
        <v>39117.039289028398</v>
      </c>
      <c r="DB15" s="36">
        <f t="shared" si="19"/>
        <v>43817.348044550934</v>
      </c>
      <c r="DC15" s="36">
        <f t="shared" si="19"/>
        <v>43689.464612125463</v>
      </c>
      <c r="DD15" s="36">
        <f t="shared" si="19"/>
        <v>44385.022879180557</v>
      </c>
      <c r="DE15" s="36">
        <f t="shared" si="19"/>
        <v>42497.227810962089</v>
      </c>
      <c r="DF15" s="36">
        <f t="shared" si="19"/>
        <v>26919.6869571897</v>
      </c>
    </row>
    <row r="17" spans="1:112" ht="13.8" x14ac:dyDescent="0.3">
      <c r="A17" s="26" t="s">
        <v>104</v>
      </c>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row>
    <row r="18" spans="1:112" ht="13.8" x14ac:dyDescent="0.3">
      <c r="A18" s="16" t="s">
        <v>105</v>
      </c>
      <c r="B18" s="41" t="s">
        <v>151</v>
      </c>
      <c r="C18" s="37">
        <f t="shared" ref="C18:AH18" si="20">E10*C60</f>
        <v>9740.0794289268833</v>
      </c>
      <c r="D18" s="37">
        <f t="shared" si="20"/>
        <v>9422.4289927824339</v>
      </c>
      <c r="E18" s="37">
        <f t="shared" si="20"/>
        <v>10668.513885843178</v>
      </c>
      <c r="F18" s="37">
        <f t="shared" si="20"/>
        <v>8291.0906159107744</v>
      </c>
      <c r="G18" s="37">
        <f t="shared" si="20"/>
        <v>10783.421445210444</v>
      </c>
      <c r="H18" s="37">
        <f t="shared" si="20"/>
        <v>11969.67237787153</v>
      </c>
      <c r="I18" s="37">
        <f t="shared" si="20"/>
        <v>11430.411384643467</v>
      </c>
      <c r="J18" s="37">
        <f t="shared" si="20"/>
        <v>11724.023722237825</v>
      </c>
      <c r="K18" s="37">
        <f t="shared" si="20"/>
        <v>11026.470214324358</v>
      </c>
      <c r="L18" s="37">
        <f t="shared" si="20"/>
        <v>5717.1015507236216</v>
      </c>
      <c r="M18" s="37">
        <f t="shared" si="20"/>
        <v>13034.714254120563</v>
      </c>
      <c r="N18" s="37">
        <f t="shared" si="20"/>
        <v>10981.43895703017</v>
      </c>
      <c r="O18" s="37">
        <f t="shared" si="20"/>
        <v>11834.526446663795</v>
      </c>
      <c r="P18" s="37">
        <f t="shared" si="20"/>
        <v>11448.570406492163</v>
      </c>
      <c r="Q18" s="37">
        <f t="shared" si="20"/>
        <v>12962.605762088881</v>
      </c>
      <c r="R18" s="37">
        <f t="shared" si="20"/>
        <v>10073.955955048366</v>
      </c>
      <c r="S18" s="37">
        <f t="shared" si="20"/>
        <v>13197.262839323406</v>
      </c>
      <c r="T18" s="37">
        <f t="shared" si="20"/>
        <v>14543.557406022986</v>
      </c>
      <c r="U18" s="37">
        <f t="shared" si="20"/>
        <v>13888.337032043464</v>
      </c>
      <c r="V18" s="37">
        <f t="shared" si="20"/>
        <v>14245.085968197684</v>
      </c>
      <c r="W18" s="37">
        <f t="shared" si="20"/>
        <v>13397.534826792406</v>
      </c>
      <c r="X18" s="37">
        <f t="shared" si="20"/>
        <v>6946.4720482013208</v>
      </c>
      <c r="Y18" s="37">
        <f t="shared" si="20"/>
        <v>15117.906578805623</v>
      </c>
      <c r="Z18" s="37">
        <f t="shared" si="20"/>
        <v>12736.479298021997</v>
      </c>
      <c r="AA18" s="37">
        <f t="shared" si="20"/>
        <v>13725.906202240625</v>
      </c>
      <c r="AB18" s="37">
        <f t="shared" si="20"/>
        <v>13278.267132822904</v>
      </c>
      <c r="AC18" s="37">
        <f t="shared" si="20"/>
        <v>15034.27379447137</v>
      </c>
      <c r="AD18" s="37">
        <f t="shared" si="20"/>
        <v>11683.963456220708</v>
      </c>
      <c r="AE18" s="37">
        <f t="shared" si="20"/>
        <v>15196.203724644154</v>
      </c>
      <c r="AF18" s="37">
        <f t="shared" si="20"/>
        <v>16867.891225022217</v>
      </c>
      <c r="AG18" s="37">
        <f t="shared" si="20"/>
        <v>16107.954320442885</v>
      </c>
      <c r="AH18" s="37">
        <f t="shared" si="20"/>
        <v>16521.718441674984</v>
      </c>
      <c r="AI18" s="37">
        <f t="shared" ref="AI18:BN18" si="21">AK10*AI60</f>
        <v>15538.712698187008</v>
      </c>
      <c r="AJ18" s="37">
        <f t="shared" si="21"/>
        <v>8056.6488401381112</v>
      </c>
      <c r="AK18" s="37">
        <f t="shared" si="21"/>
        <v>17446.217911985455</v>
      </c>
      <c r="AL18" s="37">
        <f t="shared" si="21"/>
        <v>14698.026615424304</v>
      </c>
      <c r="AM18" s="37">
        <f t="shared" si="21"/>
        <v>15839.835323461919</v>
      </c>
      <c r="AN18" s="37">
        <f t="shared" si="21"/>
        <v>15323.255285725174</v>
      </c>
      <c r="AO18" s="37">
        <f t="shared" si="21"/>
        <v>17349.704828479102</v>
      </c>
      <c r="AP18" s="37">
        <f t="shared" si="21"/>
        <v>13483.412631923104</v>
      </c>
      <c r="AQ18" s="37">
        <f t="shared" si="21"/>
        <v>17536.573614414552</v>
      </c>
      <c r="AR18" s="37">
        <f t="shared" si="21"/>
        <v>19465.717987698674</v>
      </c>
      <c r="AS18" s="37">
        <f t="shared" si="21"/>
        <v>18588.743072716883</v>
      </c>
      <c r="AT18" s="37">
        <f t="shared" si="21"/>
        <v>19066.231075804331</v>
      </c>
      <c r="AU18" s="37">
        <f t="shared" si="21"/>
        <v>17931.832452540752</v>
      </c>
      <c r="AV18" s="37">
        <f t="shared" si="21"/>
        <v>9297.454682148129</v>
      </c>
      <c r="AW18" s="37">
        <f t="shared" si="21"/>
        <v>20044.982369766189</v>
      </c>
      <c r="AX18" s="37">
        <f t="shared" si="21"/>
        <v>16887.424303816071</v>
      </c>
      <c r="AY18" s="37">
        <f t="shared" si="21"/>
        <v>18199.315255638692</v>
      </c>
      <c r="AZ18" s="37">
        <f t="shared" si="21"/>
        <v>17605.786170925581</v>
      </c>
      <c r="BA18" s="37">
        <f t="shared" si="21"/>
        <v>19934.092831007907</v>
      </c>
      <c r="BB18" s="37">
        <f t="shared" si="21"/>
        <v>15491.883103529513</v>
      </c>
      <c r="BC18" s="37">
        <f t="shared" si="21"/>
        <v>20148.797332489707</v>
      </c>
      <c r="BD18" s="37">
        <f t="shared" si="21"/>
        <v>22365.304379822188</v>
      </c>
      <c r="BE18" s="37">
        <f t="shared" si="21"/>
        <v>21357.696496083641</v>
      </c>
      <c r="BF18" s="37">
        <f t="shared" si="21"/>
        <v>21906.310450807159</v>
      </c>
      <c r="BG18" s="37">
        <f t="shared" si="21"/>
        <v>20602.933379723811</v>
      </c>
      <c r="BH18" s="37">
        <f t="shared" si="21"/>
        <v>10682.390654958288</v>
      </c>
      <c r="BI18" s="37">
        <f t="shared" si="21"/>
        <v>22998.513599839287</v>
      </c>
      <c r="BJ18" s="37">
        <f t="shared" si="21"/>
        <v>19375.704620392771</v>
      </c>
      <c r="BK18" s="37">
        <f t="shared" si="21"/>
        <v>20880.896360671191</v>
      </c>
      <c r="BL18" s="37">
        <f t="shared" si="21"/>
        <v>20199.913635175595</v>
      </c>
      <c r="BM18" s="37">
        <f t="shared" si="21"/>
        <v>22871.285023721455</v>
      </c>
      <c r="BN18" s="37">
        <f t="shared" si="21"/>
        <v>17774.537172007487</v>
      </c>
      <c r="BO18" s="37">
        <f t="shared" ref="BO18:CT18" si="22">BQ10*BO60</f>
        <v>23117.625195350829</v>
      </c>
      <c r="BP18" s="37">
        <f t="shared" si="22"/>
        <v>25660.72383878507</v>
      </c>
      <c r="BQ18" s="37">
        <f t="shared" si="22"/>
        <v>24504.64980539411</v>
      </c>
      <c r="BR18" s="37">
        <f t="shared" si="22"/>
        <v>25134.099373671164</v>
      </c>
      <c r="BS18" s="37">
        <f t="shared" si="22"/>
        <v>23638.675993292371</v>
      </c>
      <c r="BT18" s="37">
        <f t="shared" si="22"/>
        <v>12256.389266144311</v>
      </c>
      <c r="BU18" s="37">
        <f t="shared" si="22"/>
        <v>26043.351198064098</v>
      </c>
      <c r="BV18" s="37">
        <f t="shared" si="22"/>
        <v>21940.908396026443</v>
      </c>
      <c r="BW18" s="37">
        <f t="shared" si="22"/>
        <v>23645.376684480103</v>
      </c>
      <c r="BX18" s="37">
        <f t="shared" si="22"/>
        <v>22874.236749592274</v>
      </c>
      <c r="BY18" s="37">
        <f t="shared" si="22"/>
        <v>25899.278474586466</v>
      </c>
      <c r="BZ18" s="37">
        <f t="shared" si="22"/>
        <v>20127.757906792325</v>
      </c>
      <c r="CA18" s="37">
        <f t="shared" si="22"/>
        <v>26178.232311150055</v>
      </c>
      <c r="CB18" s="37">
        <f t="shared" si="22"/>
        <v>29058.018903216642</v>
      </c>
      <c r="CC18" s="37">
        <f t="shared" si="22"/>
        <v>27748.888992196065</v>
      </c>
      <c r="CD18" s="37">
        <f t="shared" si="22"/>
        <v>28461.673150917683</v>
      </c>
      <c r="CE18" s="37">
        <f t="shared" si="22"/>
        <v>26768.266482876606</v>
      </c>
      <c r="CF18" s="37">
        <f t="shared" si="22"/>
        <v>13879.046951999975</v>
      </c>
      <c r="CG18" s="37">
        <f t="shared" si="22"/>
        <v>29490.008393795102</v>
      </c>
      <c r="CH18" s="37">
        <f t="shared" si="22"/>
        <v>24844.635693981127</v>
      </c>
      <c r="CI18" s="37">
        <f t="shared" si="22"/>
        <v>26774.678557942203</v>
      </c>
      <c r="CJ18" s="37">
        <f t="shared" si="22"/>
        <v>25901.483592375604</v>
      </c>
      <c r="CK18" s="37">
        <f t="shared" si="22"/>
        <v>29326.86864298653</v>
      </c>
      <c r="CL18" s="37">
        <f t="shared" si="22"/>
        <v>22791.527292528455</v>
      </c>
      <c r="CM18" s="37">
        <f t="shared" si="22"/>
        <v>29642.74008822332</v>
      </c>
      <c r="CN18" s="37">
        <f t="shared" si="22"/>
        <v>32903.646494872519</v>
      </c>
      <c r="CO18" s="37">
        <f t="shared" si="22"/>
        <v>31421.262305105301</v>
      </c>
      <c r="CP18" s="37">
        <f t="shared" si="22"/>
        <v>32228.378511610532</v>
      </c>
      <c r="CQ18" s="37">
        <f t="shared" si="22"/>
        <v>30310.861196928232</v>
      </c>
      <c r="CR18" s="37">
        <f t="shared" si="22"/>
        <v>15715.842711623842</v>
      </c>
      <c r="CS18" s="37">
        <f t="shared" si="22"/>
        <v>33391.279920848734</v>
      </c>
      <c r="CT18" s="37">
        <f t="shared" si="22"/>
        <v>28131.364830800998</v>
      </c>
      <c r="CU18" s="37">
        <f t="shared" ref="CU18:DZ18" si="23">CW10*CU60</f>
        <v>30316.735572957885</v>
      </c>
      <c r="CV18" s="37">
        <f t="shared" si="23"/>
        <v>29328.024510846251</v>
      </c>
      <c r="CW18" s="37">
        <f t="shared" si="23"/>
        <v>33206.558200436717</v>
      </c>
      <c r="CX18" s="37">
        <f t="shared" si="23"/>
        <v>25806.648051297569</v>
      </c>
      <c r="CY18" s="37">
        <f t="shared" si="23"/>
        <v>33564.216689578549</v>
      </c>
      <c r="CZ18" s="37">
        <f t="shared" si="23"/>
        <v>37256.512641688983</v>
      </c>
      <c r="DA18" s="37">
        <f t="shared" si="23"/>
        <v>35578.021921382089</v>
      </c>
      <c r="DB18" s="37">
        <f t="shared" si="23"/>
        <v>36491.912579539385</v>
      </c>
      <c r="DC18" s="37">
        <f t="shared" si="23"/>
        <v>34320.724407849921</v>
      </c>
      <c r="DD18" s="37">
        <f t="shared" si="23"/>
        <v>17794.911963683193</v>
      </c>
      <c r="DE18" s="37">
        <f t="shared" si="23"/>
        <v>38066.059109767557</v>
      </c>
      <c r="DF18" s="37">
        <f t="shared" si="23"/>
        <v>32069.75590711314</v>
      </c>
    </row>
    <row r="19" spans="1:112" ht="13.8" x14ac:dyDescent="0.3">
      <c r="A19" s="16" t="s">
        <v>106</v>
      </c>
      <c r="B19" s="41" t="s">
        <v>448</v>
      </c>
      <c r="C19" s="17">
        <f>Supuestos!B28</f>
        <v>190.68289999999999</v>
      </c>
      <c r="D19" s="17">
        <f>Supuestos!C28</f>
        <v>162.33706000000001</v>
      </c>
      <c r="E19" s="17">
        <f>Supuestos!D28</f>
        <v>161.86676</v>
      </c>
      <c r="F19" s="17">
        <f>Supuestos!E28</f>
        <v>130.37506999999999</v>
      </c>
      <c r="G19" s="17">
        <f>Supuestos!F28</f>
        <v>147.09969000000001</v>
      </c>
      <c r="H19" s="17">
        <f>Supuestos!G28</f>
        <v>162.25641999999999</v>
      </c>
      <c r="I19" s="17">
        <f>Supuestos!H28</f>
        <v>150.70194000000001</v>
      </c>
      <c r="J19" s="17">
        <f>Supuestos!I28</f>
        <v>180.6936</v>
      </c>
      <c r="K19" s="17">
        <f>Supuestos!J28</f>
        <v>180.6936</v>
      </c>
      <c r="L19" s="17">
        <f>Supuestos!K28</f>
        <v>180.6936</v>
      </c>
      <c r="M19" s="17">
        <f>Supuestos!L28</f>
        <v>180.6936</v>
      </c>
      <c r="N19" s="17">
        <f>Supuestos!M28</f>
        <v>180.6936</v>
      </c>
      <c r="O19" s="17">
        <f>IF(Supuestos!$B$25=1,N19*(1+Supuestos!$C$18),Supuestos!$C$60*O10)</f>
        <v>197.63362499999999</v>
      </c>
      <c r="P19" s="17">
        <f>IF(Supuestos!$B$25=1,O19,Supuestos!$C$60*P10)</f>
        <v>197.63362499999999</v>
      </c>
      <c r="Q19" s="17">
        <f>IF(Supuestos!$B$25=1,P19,Supuestos!$C$60*Q10)</f>
        <v>197.63362499999999</v>
      </c>
      <c r="R19" s="17">
        <f>IF(Supuestos!$B$25=1,Q19,Supuestos!$C$60*R10)</f>
        <v>197.63362499999999</v>
      </c>
      <c r="S19" s="17">
        <f>IF(Supuestos!$B$25=1,R19,Supuestos!$C$60*S10)</f>
        <v>197.63362499999999</v>
      </c>
      <c r="T19" s="17">
        <f>IF(Supuestos!$B$25=1,S19,Supuestos!$C$60*T10)</f>
        <v>197.63362499999999</v>
      </c>
      <c r="U19" s="17">
        <f>IF(Supuestos!$B$25=1,T19,Supuestos!$C$60*U10)</f>
        <v>197.63362499999999</v>
      </c>
      <c r="V19" s="17">
        <f>IF(Supuestos!$B$25=1,U19,Supuestos!$C$60*V10)</f>
        <v>197.63362499999999</v>
      </c>
      <c r="W19" s="17">
        <f>IF(Supuestos!$B$25=1,V19,Supuestos!$C$60*W10)</f>
        <v>197.63362499999999</v>
      </c>
      <c r="X19" s="17">
        <f>IF(Supuestos!$B$25=1,W19,Supuestos!$C$60*X10)</f>
        <v>197.63362499999999</v>
      </c>
      <c r="Y19" s="17">
        <f>IF(Supuestos!$B$25=1,X19,Supuestos!$C$60*Y10)</f>
        <v>197.63362499999999</v>
      </c>
      <c r="Z19" s="17">
        <f>IF(Supuestos!$B$25=1,Y19,Supuestos!$C$60*Z10)</f>
        <v>197.63362499999999</v>
      </c>
      <c r="AA19" s="17">
        <f>IF(Supuestos!$B$25=1,Z19*(1+Supuestos!$D$18),Supuestos!$D$60*AA10)</f>
        <v>214.57364999999999</v>
      </c>
      <c r="AB19" s="17">
        <f>IF(Supuestos!$B$25=1,AA19,Supuestos!$D$60*AB10)</f>
        <v>214.57364999999999</v>
      </c>
      <c r="AC19" s="17">
        <f>IF(Supuestos!$B$25=1,AB19,Supuestos!$D$60*AC10)</f>
        <v>214.57364999999999</v>
      </c>
      <c r="AD19" s="17">
        <f>IF(Supuestos!$B$25=1,AC19,Supuestos!$D$60*AD10)</f>
        <v>214.57364999999999</v>
      </c>
      <c r="AE19" s="17">
        <f>IF(Supuestos!$B$25=1,AD19,Supuestos!$D$60*AE10)</f>
        <v>214.57364999999999</v>
      </c>
      <c r="AF19" s="17">
        <f>IF(Supuestos!$B$25=1,AE19,Supuestos!$D$60*AF10)</f>
        <v>214.57364999999999</v>
      </c>
      <c r="AG19" s="17">
        <f>IF(Supuestos!$B$25=1,AF19,Supuestos!$D$60*AG10)</f>
        <v>214.57364999999999</v>
      </c>
      <c r="AH19" s="17">
        <f>IF(Supuestos!$B$25=1,AG19,Supuestos!$D$60*AH10)</f>
        <v>214.57364999999999</v>
      </c>
      <c r="AI19" s="17">
        <f>IF(Supuestos!$B$25=1,AH19,Supuestos!$D$60*AI10)</f>
        <v>214.57364999999999</v>
      </c>
      <c r="AJ19" s="17">
        <f>IF(Supuestos!$B$25=1,AI19,Supuestos!$D$60*AJ10)</f>
        <v>214.57364999999999</v>
      </c>
      <c r="AK19" s="17">
        <f>IF(Supuestos!$B$25=1,AJ19,Supuestos!$D$60*AK10)</f>
        <v>214.57364999999999</v>
      </c>
      <c r="AL19" s="17">
        <f>IF(Supuestos!$B$25=1,AK19,Supuestos!$D$60*AL10)</f>
        <v>214.57364999999999</v>
      </c>
      <c r="AM19" s="17">
        <f>IF(Supuestos!$B$25=1,AL19*(1+Supuestos!$E$18),Supuestos!$E$60*AM10)</f>
        <v>220.220325</v>
      </c>
      <c r="AN19" s="17">
        <f>IF(Supuestos!$B$25=1,AM19,Supuestos!$E$60*AN10)</f>
        <v>220.220325</v>
      </c>
      <c r="AO19" s="17">
        <f>IF(Supuestos!$B$25=1,AN19,Supuestos!$E$60*AO10)</f>
        <v>220.220325</v>
      </c>
      <c r="AP19" s="17">
        <f>IF(Supuestos!$B$25=1,AO19,Supuestos!$E$60*AP10)</f>
        <v>220.220325</v>
      </c>
      <c r="AQ19" s="17">
        <f>IF(Supuestos!$B$25=1,AP19,Supuestos!$E$60*AQ10)</f>
        <v>220.220325</v>
      </c>
      <c r="AR19" s="17">
        <f>IF(Supuestos!$B$25=1,AQ19,Supuestos!$E$60*AR10)</f>
        <v>220.220325</v>
      </c>
      <c r="AS19" s="17">
        <f>IF(Supuestos!$B$25=1,AR19,Supuestos!$E$60*AS10)</f>
        <v>220.220325</v>
      </c>
      <c r="AT19" s="17">
        <f>IF(Supuestos!$B$25=1,AS19,Supuestos!$E$60*AT10)</f>
        <v>220.220325</v>
      </c>
      <c r="AU19" s="17">
        <f>IF(Supuestos!$B$25=1,AT19,Supuestos!$E$60*AU10)</f>
        <v>220.220325</v>
      </c>
      <c r="AV19" s="17">
        <f>IF(Supuestos!$B$25=1,AU19,Supuestos!$E$60*AV10)</f>
        <v>220.220325</v>
      </c>
      <c r="AW19" s="17">
        <f>IF(Supuestos!$B$25=1,AV19,Supuestos!$E$60*AW10)</f>
        <v>220.220325</v>
      </c>
      <c r="AX19" s="17">
        <f>IF(Supuestos!$B$25=1,AW19,Supuestos!$E$60*AX10)</f>
        <v>220.220325</v>
      </c>
      <c r="AY19" s="17">
        <f>IF(Supuestos!$B$25=1,AX19*(1+Supuestos!$F$18),Supuestos!$F$60*AY10)</f>
        <v>237.16034999999999</v>
      </c>
      <c r="AZ19" s="17">
        <f>IF(Supuestos!$B$25=1,AY19,Supuestos!$F$60*AZ10)</f>
        <v>237.16034999999999</v>
      </c>
      <c r="BA19" s="17">
        <f>IF(Supuestos!$B$25=1,AZ19,Supuestos!$F$60*BA10)</f>
        <v>237.16034999999999</v>
      </c>
      <c r="BB19" s="17">
        <f>IF(Supuestos!$B$25=1,BA19,Supuestos!$F$60*BB10)</f>
        <v>237.16034999999999</v>
      </c>
      <c r="BC19" s="17">
        <f>IF(Supuestos!$B$25=1,BB19,Supuestos!$F$60*BC10)</f>
        <v>237.16034999999999</v>
      </c>
      <c r="BD19" s="17">
        <f>IF(Supuestos!$B$25=1,BC19,Supuestos!$F$60*BD10)</f>
        <v>237.16034999999999</v>
      </c>
      <c r="BE19" s="17">
        <f>IF(Supuestos!$B$25=1,BD19,Supuestos!$F$60*BE10)</f>
        <v>237.16034999999999</v>
      </c>
      <c r="BF19" s="17">
        <f>IF(Supuestos!$B$25=1,BE19,Supuestos!$F$60*BF10)</f>
        <v>237.16034999999999</v>
      </c>
      <c r="BG19" s="17">
        <f>IF(Supuestos!$B$25=1,BF19,Supuestos!$F$60*BG10)</f>
        <v>237.16034999999999</v>
      </c>
      <c r="BH19" s="17">
        <f>IF(Supuestos!$B$25=1,BG19,Supuestos!$F$60*BH10)</f>
        <v>237.16034999999999</v>
      </c>
      <c r="BI19" s="17">
        <f>IF(Supuestos!$B$25=1,BH19,Supuestos!$F$60*BI10)</f>
        <v>237.16034999999999</v>
      </c>
      <c r="BJ19" s="17">
        <f>IF(Supuestos!$B$25=1,BI19,Supuestos!$F$60*BJ10)</f>
        <v>237.16034999999999</v>
      </c>
      <c r="BK19" s="17">
        <f>IF(Supuestos!$B$25=1,BJ19*(1+Supuestos!$G$18),Supuestos!$G$60*BK10)</f>
        <v>242.80702499999998</v>
      </c>
      <c r="BL19" s="17">
        <f>IF(Supuestos!$B$25=1,BK19,Supuestos!$G$60*BL10)</f>
        <v>242.80702499999998</v>
      </c>
      <c r="BM19" s="17">
        <f>IF(Supuestos!$B$25=1,BL19,Supuestos!$G$60*BM10)</f>
        <v>242.80702499999998</v>
      </c>
      <c r="BN19" s="17">
        <f>IF(Supuestos!$B$25=1,BM19,Supuestos!$G$60*BN10)</f>
        <v>242.80702499999998</v>
      </c>
      <c r="BO19" s="17">
        <f>IF(Supuestos!$B$25=1,BN19,Supuestos!$G$60*BO10)</f>
        <v>242.80702499999998</v>
      </c>
      <c r="BP19" s="17">
        <f>IF(Supuestos!$B$25=1,BO19,Supuestos!$G$60*BP10)</f>
        <v>242.80702499999998</v>
      </c>
      <c r="BQ19" s="17">
        <f>IF(Supuestos!$B$25=1,BP19,Supuestos!$G$60*BQ10)</f>
        <v>242.80702499999998</v>
      </c>
      <c r="BR19" s="17">
        <f>IF(Supuestos!$B$25=1,BQ19,Supuestos!$G$60*BR10)</f>
        <v>242.80702499999998</v>
      </c>
      <c r="BS19" s="17">
        <f>IF(Supuestos!$B$25=1,BR19,Supuestos!$G$60*BS10)</f>
        <v>242.80702499999998</v>
      </c>
      <c r="BT19" s="17">
        <f>IF(Supuestos!$B$25=1,BS19,Supuestos!$G$60*BT10)</f>
        <v>242.80702499999998</v>
      </c>
      <c r="BU19" s="17">
        <f>IF(Supuestos!$B$25=1,BT19,Supuestos!$G$60*BU10)</f>
        <v>242.80702499999998</v>
      </c>
      <c r="BV19" s="17">
        <f>IF(Supuestos!$B$25=1,BU19,Supuestos!$G$60*BV10)</f>
        <v>242.80702499999998</v>
      </c>
      <c r="BW19" s="17">
        <f>IF(Supuestos!$B$25=1,BV19*(1+Supuestos!$H$18),Supuestos!$H$60*BW10)</f>
        <v>265.39372499999996</v>
      </c>
      <c r="BX19" s="17">
        <f>IF(Supuestos!$B$25=1,BW19,Supuestos!$H$60*BX10)</f>
        <v>265.39372499999996</v>
      </c>
      <c r="BY19" s="17">
        <f>IF(Supuestos!$B$25=1,BX19,Supuestos!$H$60*BY10)</f>
        <v>265.39372499999996</v>
      </c>
      <c r="BZ19" s="17">
        <f>IF(Supuestos!$B$25=1,BY19,Supuestos!$H$60*BZ10)</f>
        <v>265.39372499999996</v>
      </c>
      <c r="CA19" s="17">
        <f>IF(Supuestos!$B$25=1,BZ19,Supuestos!$H$60*CA10)</f>
        <v>265.39372499999996</v>
      </c>
      <c r="CB19" s="17">
        <f>IF(Supuestos!$B$25=1,CA19,Supuestos!$H$60*CB10)</f>
        <v>265.39372499999996</v>
      </c>
      <c r="CC19" s="17">
        <f>IF(Supuestos!$B$25=1,CB19,Supuestos!$H$60*CC10)</f>
        <v>265.39372499999996</v>
      </c>
      <c r="CD19" s="17">
        <f>IF(Supuestos!$B$25=1,CC19,Supuestos!$H$60*CD10)</f>
        <v>265.39372499999996</v>
      </c>
      <c r="CE19" s="17">
        <f>IF(Supuestos!$B$25=1,CD19,Supuestos!$H$60*CE10)</f>
        <v>265.39372499999996</v>
      </c>
      <c r="CF19" s="17">
        <f>IF(Supuestos!$B$25=1,CE19,Supuestos!$H$60*CF10)</f>
        <v>265.39372499999996</v>
      </c>
      <c r="CG19" s="17">
        <f>IF(Supuestos!$B$25=1,CF19,Supuestos!$H$60*CG10)</f>
        <v>265.39372499999996</v>
      </c>
      <c r="CH19" s="17">
        <f>IF(Supuestos!$B$25=1,CG19,Supuestos!$H$60*CH10)</f>
        <v>265.39372499999996</v>
      </c>
      <c r="CI19" s="17">
        <f>IF(Supuestos!$B$25=1,CH19*(1+Supuestos!$I$18),Supuestos!$I$60*CI10)</f>
        <v>282.33374999999995</v>
      </c>
      <c r="CJ19" s="17">
        <f>IF(Supuestos!$B$25=1,CI19,Supuestos!$I$60*CJ10)</f>
        <v>282.33374999999995</v>
      </c>
      <c r="CK19" s="17">
        <f>IF(Supuestos!$B$25=1,CJ19,Supuestos!$I$60*CK10)</f>
        <v>282.33374999999995</v>
      </c>
      <c r="CL19" s="17">
        <f>IF(Supuestos!$B$25=1,CK19,Supuestos!$I$60*CL10)</f>
        <v>282.33374999999995</v>
      </c>
      <c r="CM19" s="17">
        <f>IF(Supuestos!$B$25=1,CL19,Supuestos!$I$60*CM10)</f>
        <v>282.33374999999995</v>
      </c>
      <c r="CN19" s="17">
        <f>IF(Supuestos!$B$25=1,CM19,Supuestos!$I$60*CN10)</f>
        <v>282.33374999999995</v>
      </c>
      <c r="CO19" s="17">
        <f>IF(Supuestos!$B$25=1,CN19,Supuestos!$I$60*CO10)</f>
        <v>282.33374999999995</v>
      </c>
      <c r="CP19" s="17">
        <f>IF(Supuestos!$B$25=1,CO19,Supuestos!$I$60*CP10)</f>
        <v>282.33374999999995</v>
      </c>
      <c r="CQ19" s="17">
        <f>IF(Supuestos!$B$25=1,CP19,Supuestos!$I$60*CQ10)</f>
        <v>282.33374999999995</v>
      </c>
      <c r="CR19" s="17">
        <f>IF(Supuestos!$B$25=1,CQ19,Supuestos!$I$60*CR10)</f>
        <v>282.33374999999995</v>
      </c>
      <c r="CS19" s="17">
        <f>IF(Supuestos!$B$25=1,CR19,Supuestos!$I$60*CS10)</f>
        <v>282.33374999999995</v>
      </c>
      <c r="CT19" s="17">
        <f>IF(Supuestos!$B$25=1,CS19,Supuestos!$I$60*CT10)</f>
        <v>282.33374999999995</v>
      </c>
      <c r="CU19" s="17">
        <f>IF(Supuestos!$B$25=1,CT19*(1+Supuestos!$J$18),Supuestos!$J$60*CU10)</f>
        <v>293.62709999999998</v>
      </c>
      <c r="CV19" s="17">
        <f>IF(Supuestos!$B$25=1,CU19,Supuestos!$J$60*CV10)</f>
        <v>293.62709999999998</v>
      </c>
      <c r="CW19" s="17">
        <f>IF(Supuestos!$B$25=1,CV19,Supuestos!$J$60*CW10)</f>
        <v>293.62709999999998</v>
      </c>
      <c r="CX19" s="17">
        <f>IF(Supuestos!$B$25=1,CW19,Supuestos!$J$60*CX10)</f>
        <v>293.62709999999998</v>
      </c>
      <c r="CY19" s="17">
        <f>IF(Supuestos!$B$25=1,CX19,Supuestos!$J$60*CY10)</f>
        <v>293.62709999999998</v>
      </c>
      <c r="CZ19" s="17">
        <f>IF(Supuestos!$B$25=1,CY19,Supuestos!$J$60*CZ10)</f>
        <v>293.62709999999998</v>
      </c>
      <c r="DA19" s="17">
        <f>IF(Supuestos!$B$25=1,CZ19,Supuestos!$J$60*DA10)</f>
        <v>293.62709999999998</v>
      </c>
      <c r="DB19" s="17">
        <f>IF(Supuestos!$B$25=1,DA19,Supuestos!$J$60*DB10)</f>
        <v>293.62709999999998</v>
      </c>
      <c r="DC19" s="17">
        <f>IF(Supuestos!$B$25=1,DB19,Supuestos!$J$60*DC10)</f>
        <v>293.62709999999998</v>
      </c>
      <c r="DD19" s="17">
        <f>IF(Supuestos!$B$25=1,DC19,Supuestos!$J$60*DD10)</f>
        <v>293.62709999999998</v>
      </c>
      <c r="DE19" s="17">
        <f>IF(Supuestos!$B$25=1,DD19,Supuestos!$J$60*DE10)</f>
        <v>293.62709999999998</v>
      </c>
      <c r="DF19" s="17">
        <f>IF(Supuestos!$B$25=1,DE19,Supuestos!$J$60*DF10)</f>
        <v>293.62709999999998</v>
      </c>
    </row>
    <row r="20" spans="1:112" ht="13.8" x14ac:dyDescent="0.3">
      <c r="A20" s="16" t="s">
        <v>107</v>
      </c>
      <c r="B20" s="41" t="s">
        <v>449</v>
      </c>
      <c r="C20" s="17">
        <f>Supuestos!B29</f>
        <v>188.76043000000001</v>
      </c>
      <c r="D20" s="17">
        <f>Supuestos!C29</f>
        <v>178.79868999999999</v>
      </c>
      <c r="E20" s="17">
        <f>Supuestos!D29</f>
        <v>169.81774999999999</v>
      </c>
      <c r="F20" s="17">
        <f>Supuestos!E29</f>
        <v>194.14934</v>
      </c>
      <c r="G20" s="17">
        <f>Supuestos!F29</f>
        <v>103.13808</v>
      </c>
      <c r="H20" s="17">
        <f>Supuestos!G29</f>
        <v>205.85346999999899</v>
      </c>
      <c r="I20" s="17">
        <f>Supuestos!H29</f>
        <v>224.18030999999999</v>
      </c>
      <c r="J20" s="17">
        <f>Supuestos!I29</f>
        <v>342.99248999999998</v>
      </c>
      <c r="K20" s="17">
        <f>Supuestos!J29</f>
        <v>342.99248999999998</v>
      </c>
      <c r="L20" s="17">
        <f>Supuestos!K29</f>
        <v>342.99248999999998</v>
      </c>
      <c r="M20" s="17">
        <f>Supuestos!L29</f>
        <v>342.99248999999998</v>
      </c>
      <c r="N20" s="17">
        <f>Supuestos!M29</f>
        <v>342.99248999999998</v>
      </c>
      <c r="O20" s="17">
        <f>Supuestos!$B$22*O10*Supuestos!$C$61</f>
        <v>302.83428094438426</v>
      </c>
      <c r="P20" s="17">
        <f>Supuestos!$B$22*P10*Supuestos!$C$61</f>
        <v>255.13073055940586</v>
      </c>
      <c r="Q20" s="17">
        <f>Supuestos!$B$22*Q10*Supuestos!$C$61</f>
        <v>274.95043135754037</v>
      </c>
      <c r="R20" s="17">
        <f>Supuestos!$B$22*R10*Supuestos!$C$61</f>
        <v>265.98355125393016</v>
      </c>
      <c r="S20" s="17">
        <f>Supuestos!$B$22*S10*Supuestos!$C$61</f>
        <v>301.15899118285415</v>
      </c>
      <c r="T20" s="17">
        <f>Supuestos!$B$22*T10*Supuestos!$C$61</f>
        <v>234.0472639780395</v>
      </c>
      <c r="U20" s="17">
        <f>Supuestos!$B$22*U10*Supuestos!$C$61</f>
        <v>306.6107568194015</v>
      </c>
      <c r="V20" s="17">
        <f>Supuestos!$B$22*V10*Supuestos!$C$61</f>
        <v>337.8890908969525</v>
      </c>
      <c r="W20" s="17">
        <f>Supuestos!$B$22*W10*Supuestos!$C$61</f>
        <v>322.66641804461335</v>
      </c>
      <c r="X20" s="17">
        <f>Supuestos!$B$22*X10*Supuestos!$C$61</f>
        <v>330.95473226859292</v>
      </c>
      <c r="Y20" s="17">
        <f>Supuestos!$B$22*Y10*Supuestos!$C$61</f>
        <v>311.26365692415862</v>
      </c>
      <c r="Z20" s="17">
        <f>Supuestos!$B$22*Z10*Supuestos!$C$61</f>
        <v>161.38672676712548</v>
      </c>
      <c r="AA20" s="17">
        <f>Supuestos!$B$22*AA10*Supuestos!$D$61</f>
        <v>318.88449783443644</v>
      </c>
      <c r="AB20" s="17">
        <f>Supuestos!$B$22*AB10*Supuestos!$D$61</f>
        <v>268.65265927905426</v>
      </c>
      <c r="AC20" s="17">
        <f>Supuestos!$B$22*AC10*Supuestos!$D$61</f>
        <v>289.5228042194899</v>
      </c>
      <c r="AD20" s="17">
        <f>Supuestos!$B$22*AD10*Supuestos!$D$61</f>
        <v>280.08067947038842</v>
      </c>
      <c r="AE20" s="17">
        <f>Supuestos!$B$22*AE10*Supuestos!$D$61</f>
        <v>317.12041771554533</v>
      </c>
      <c r="AF20" s="17">
        <f>Supuestos!$B$22*AF10*Supuestos!$D$61</f>
        <v>246.45176896887554</v>
      </c>
      <c r="AG20" s="17">
        <f>Supuestos!$B$22*AG10*Supuestos!$D$61</f>
        <v>320.53603245018763</v>
      </c>
      <c r="AH20" s="17">
        <f>Supuestos!$B$22*AH10*Supuestos!$D$61</f>
        <v>355.79721271449097</v>
      </c>
      <c r="AI20" s="17">
        <f>Supuestos!$B$22*AI10*Supuestos!$D$61</f>
        <v>339.76773820097787</v>
      </c>
      <c r="AJ20" s="17">
        <f>Supuestos!$B$22*AJ10*Supuestos!$D$61</f>
        <v>348.49533307882831</v>
      </c>
      <c r="AK20" s="17">
        <f>Supuestos!$B$22*AK10*Supuestos!$D$61</f>
        <v>327.76063074113893</v>
      </c>
      <c r="AL20" s="17">
        <f>Supuestos!$B$22*AL10*Supuestos!$D$61</f>
        <v>169.94022328578308</v>
      </c>
      <c r="AM20" s="17">
        <f>Supuestos!$B$22*AM10*Supuestos!$E$61</f>
        <v>371.50043997711856</v>
      </c>
      <c r="AN20" s="17">
        <f>Supuestos!$B$22*AN10*Supuestos!$E$61</f>
        <v>312.98034806009821</v>
      </c>
      <c r="AO20" s="17">
        <f>Supuestos!$B$22*AO10*Supuestos!$E$61</f>
        <v>337.2940669157058</v>
      </c>
      <c r="AP20" s="17">
        <f>Supuestos!$B$22*AP10*Supuestos!$E$61</f>
        <v>326.29399158300254</v>
      </c>
      <c r="AQ20" s="17">
        <f>Supuestos!$B$22*AQ10*Supuestos!$E$61</f>
        <v>369.44528663861036</v>
      </c>
      <c r="AR20" s="17">
        <f>Supuestos!$B$22*AR10*Supuestos!$E$61</f>
        <v>287.11631084874</v>
      </c>
      <c r="AS20" s="17">
        <f>Supuestos!$B$22*AS10*Supuestos!$E$61</f>
        <v>373.42447780446855</v>
      </c>
      <c r="AT20" s="17">
        <f>Supuestos!$B$22*AT10*Supuestos!$E$61</f>
        <v>414.50375281238189</v>
      </c>
      <c r="AU20" s="17">
        <f>Supuestos!$B$22*AU10*Supuestos!$E$61</f>
        <v>395.82941500413915</v>
      </c>
      <c r="AV20" s="17">
        <f>Supuestos!$B$22*AV10*Supuestos!$E$61</f>
        <v>405.99706303683502</v>
      </c>
      <c r="AW20" s="17">
        <f>Supuestos!$B$22*AW10*Supuestos!$E$61</f>
        <v>381.84113481342695</v>
      </c>
      <c r="AX20" s="17">
        <f>Supuestos!$B$22*AX10*Supuestos!$E$61</f>
        <v>197.9803601279373</v>
      </c>
      <c r="AY20" s="17">
        <f>Supuestos!$B$22*AY10*Supuestos!$F$61</f>
        <v>430.94051037345741</v>
      </c>
      <c r="AZ20" s="17">
        <f>Supuestos!$B$22*AZ10*Supuestos!$F$61</f>
        <v>363.05720374971395</v>
      </c>
      <c r="BA20" s="17">
        <f>Supuestos!$B$22*BA10*Supuestos!$F$61</f>
        <v>391.26111762221865</v>
      </c>
      <c r="BB20" s="17">
        <f>Supuestos!$B$22*BB10*Supuestos!$F$61</f>
        <v>378.50103023628287</v>
      </c>
      <c r="BC20" s="17">
        <f>Supuestos!$B$22*BC10*Supuestos!$F$61</f>
        <v>428.55653250078802</v>
      </c>
      <c r="BD20" s="17">
        <f>Supuestos!$B$22*BD10*Supuestos!$F$61</f>
        <v>333.05492058453842</v>
      </c>
      <c r="BE20" s="17">
        <f>Supuestos!$B$22*BE10*Supuestos!$F$61</f>
        <v>433.17239425318348</v>
      </c>
      <c r="BF20" s="17">
        <f>Supuestos!$B$22*BF10*Supuestos!$F$61</f>
        <v>480.82435326236305</v>
      </c>
      <c r="BG20" s="17">
        <f>Supuestos!$B$22*BG10*Supuestos!$F$61</f>
        <v>459.16212140480144</v>
      </c>
      <c r="BH20" s="17">
        <f>Supuestos!$B$22*BH10*Supuestos!$F$61</f>
        <v>470.95659312272858</v>
      </c>
      <c r="BI20" s="17">
        <f>Supuestos!$B$22*BI10*Supuestos!$F$61</f>
        <v>442.9357163835752</v>
      </c>
      <c r="BJ20" s="17">
        <f>Supuestos!$B$22*BJ10*Supuestos!$F$61</f>
        <v>229.65721774840722</v>
      </c>
      <c r="BK20" s="17">
        <f>Supuestos!$B$22*BK10*Supuestos!$G$61</f>
        <v>497.73628948134348</v>
      </c>
      <c r="BL20" s="17">
        <f>Supuestos!$B$22*BL10*Supuestos!$G$61</f>
        <v>419.33107033091966</v>
      </c>
      <c r="BM20" s="17">
        <f>Supuestos!$B$22*BM10*Supuestos!$G$61</f>
        <v>451.90659085366258</v>
      </c>
      <c r="BN20" s="17">
        <f>Supuestos!$B$22*BN10*Supuestos!$G$61</f>
        <v>437.16868992290682</v>
      </c>
      <c r="BO20" s="17">
        <f>Supuestos!$B$22*BO10*Supuestos!$G$61</f>
        <v>494.98279503841007</v>
      </c>
      <c r="BP20" s="17">
        <f>Supuestos!$B$22*BP10*Supuestos!$G$61</f>
        <v>384.6784332751418</v>
      </c>
      <c r="BQ20" s="17">
        <f>Supuestos!$B$22*BQ10*Supuestos!$G$61</f>
        <v>500.314115362427</v>
      </c>
      <c r="BR20" s="17">
        <f>Supuestos!$B$22*BR10*Supuestos!$G$61</f>
        <v>555.35212801802936</v>
      </c>
      <c r="BS20" s="17">
        <f>Supuestos!$B$22*BS10*Supuestos!$G$61</f>
        <v>530.33225022254567</v>
      </c>
      <c r="BT20" s="17">
        <f>Supuestos!$B$22*BT10*Supuestos!$G$61</f>
        <v>543.9548650567516</v>
      </c>
      <c r="BU20" s="17">
        <f>Supuestos!$B$22*BU10*Supuestos!$G$61</f>
        <v>511.59075242302936</v>
      </c>
      <c r="BV20" s="17">
        <f>Supuestos!$B$22*BV10*Supuestos!$G$61</f>
        <v>265.25408649941033</v>
      </c>
      <c r="BW20" s="17">
        <f>Supuestos!$B$22*BW10*Supuestos!$H$61</f>
        <v>535.89607167491329</v>
      </c>
      <c r="BX20" s="17">
        <f>Supuestos!$B$22*BX10*Supuestos!$H$61</f>
        <v>451.47978572295693</v>
      </c>
      <c r="BY20" s="17">
        <f>Supuestos!$B$22*BY10*Supuestos!$H$61</f>
        <v>486.55276281911028</v>
      </c>
      <c r="BZ20" s="17">
        <f>Supuestos!$B$22*BZ10*Supuestos!$H$61</f>
        <v>470.6849561503297</v>
      </c>
      <c r="CA20" s="17">
        <f>Supuestos!$B$22*CA10*Supuestos!$H$61</f>
        <v>532.93147599135523</v>
      </c>
      <c r="CB20" s="17">
        <f>Supuestos!$B$22*CB10*Supuestos!$H$61</f>
        <v>414.17044649290284</v>
      </c>
      <c r="CC20" s="17">
        <f>Supuestos!$B$22*CC10*Supuestos!$H$61</f>
        <v>538.67153087354666</v>
      </c>
      <c r="CD20" s="17">
        <f>Supuestos!$B$22*CD10*Supuestos!$H$61</f>
        <v>597.92912449941173</v>
      </c>
      <c r="CE20" s="17">
        <f>Supuestos!$B$22*CE10*Supuestos!$H$61</f>
        <v>570.99105607294109</v>
      </c>
      <c r="CF20" s="17">
        <f>Supuestos!$B$22*CF10*Supuestos!$H$61</f>
        <v>585.65807137776926</v>
      </c>
      <c r="CG20" s="17">
        <f>Supuestos!$B$22*CG10*Supuestos!$H$61</f>
        <v>550.81271010879505</v>
      </c>
      <c r="CH20" s="17">
        <f>Supuestos!$B$22*CH10*Supuestos!$H$61</f>
        <v>285.59023313103194</v>
      </c>
      <c r="CI20" s="17">
        <f>Supuestos!$B$22*CI10*Supuestos!$I$61</f>
        <v>610.92152170940108</v>
      </c>
      <c r="CJ20" s="17">
        <f>Supuestos!$B$22*CJ10*Supuestos!$I$61</f>
        <v>514.68695572417107</v>
      </c>
      <c r="CK20" s="17">
        <f>Supuestos!$B$22*CK10*Supuestos!$I$61</f>
        <v>554.67014961378561</v>
      </c>
      <c r="CL20" s="17">
        <f>Supuestos!$B$22*CL10*Supuestos!$I$61</f>
        <v>536.58085001137601</v>
      </c>
      <c r="CM20" s="17">
        <f>Supuestos!$B$22*CM10*Supuestos!$I$61</f>
        <v>607.54188263014487</v>
      </c>
      <c r="CN20" s="17">
        <f>Supuestos!$B$22*CN10*Supuestos!$I$61</f>
        <v>472.15430900190921</v>
      </c>
      <c r="CO20" s="17">
        <f>Supuestos!$B$22*CO10*Supuestos!$I$61</f>
        <v>614.08554519584311</v>
      </c>
      <c r="CP20" s="17">
        <f>Supuestos!$B$22*CP10*Supuestos!$I$61</f>
        <v>681.63920192932937</v>
      </c>
      <c r="CQ20" s="17">
        <f>Supuestos!$B$22*CQ10*Supuestos!$I$61</f>
        <v>650.9298039231528</v>
      </c>
      <c r="CR20" s="17">
        <f>Supuestos!$B$22*CR10*Supuestos!$I$61</f>
        <v>667.6502013706571</v>
      </c>
      <c r="CS20" s="17">
        <f>Supuestos!$B$22*CS10*Supuestos!$I$61</f>
        <v>627.92648952402647</v>
      </c>
      <c r="CT20" s="17">
        <f>Supuestos!$B$22*CT10*Supuestos!$I$61</f>
        <v>325.57286576937645</v>
      </c>
      <c r="CU20" s="17">
        <f>Supuestos!$B$22*CU10*Supuestos!$J$61</f>
        <v>696.45053474871725</v>
      </c>
      <c r="CV20" s="17">
        <f>Supuestos!$B$22*CV10*Supuestos!$J$61</f>
        <v>586.74312952555499</v>
      </c>
      <c r="CW20" s="17">
        <f>Supuestos!$B$22*CW10*Supuestos!$J$61</f>
        <v>632.32397055971569</v>
      </c>
      <c r="CX20" s="17">
        <f>Supuestos!$B$22*CX10*Supuestos!$J$61</f>
        <v>611.70216901296862</v>
      </c>
      <c r="CY20" s="17">
        <f>Supuestos!$B$22*CY10*Supuestos!$J$61</f>
        <v>692.59774619836514</v>
      </c>
      <c r="CZ20" s="17">
        <f>Supuestos!$B$22*CZ10*Supuestos!$J$61</f>
        <v>538.25591226217659</v>
      </c>
      <c r="DA20" s="17">
        <f>Supuestos!$B$22*DA10*Supuestos!$J$61</f>
        <v>700.05752152326113</v>
      </c>
      <c r="DB20" s="17">
        <f>Supuestos!$B$22*DB10*Supuestos!$J$61</f>
        <v>777.06869019943565</v>
      </c>
      <c r="DC20" s="17">
        <f>Supuestos!$B$22*DC10*Supuestos!$J$61</f>
        <v>742.05997647239428</v>
      </c>
      <c r="DD20" s="17">
        <f>Supuestos!$B$22*DD10*Supuestos!$J$61</f>
        <v>761.12122956254905</v>
      </c>
      <c r="DE20" s="17">
        <f>Supuestos!$B$22*DE10*Supuestos!$J$61</f>
        <v>715.83619805739022</v>
      </c>
      <c r="DF20" s="17">
        <f>Supuestos!$B$22*DF10*Supuestos!$J$61</f>
        <v>371.15306697708922</v>
      </c>
    </row>
    <row r="21" spans="1:112" ht="13.8" x14ac:dyDescent="0.3">
      <c r="A21" s="16" t="s">
        <v>108</v>
      </c>
      <c r="B21" s="41" t="s">
        <v>450</v>
      </c>
      <c r="C21" s="17">
        <f>Supuestos!B30</f>
        <v>430.5652</v>
      </c>
      <c r="D21" s="17">
        <f>Supuestos!C30</f>
        <v>434.00675999999999</v>
      </c>
      <c r="E21" s="17">
        <f>Supuestos!D30</f>
        <v>435.05002999999999</v>
      </c>
      <c r="F21" s="17">
        <f>Supuestos!E30</f>
        <v>394.40649999999999</v>
      </c>
      <c r="G21" s="17">
        <f>Supuestos!F30</f>
        <v>408.76330999999999</v>
      </c>
      <c r="H21" s="17">
        <f>Supuestos!G30</f>
        <v>434.17689999999999</v>
      </c>
      <c r="I21" s="17">
        <f>Supuestos!H30</f>
        <v>469.19653</v>
      </c>
      <c r="J21" s="17">
        <f>Supuestos!I30</f>
        <v>451.61892999999998</v>
      </c>
      <c r="K21" s="17">
        <f>Supuestos!J30</f>
        <v>451.61892999999998</v>
      </c>
      <c r="L21" s="17">
        <f>Supuestos!K30</f>
        <v>451.61892999999998</v>
      </c>
      <c r="M21" s="17">
        <f>Supuestos!L30</f>
        <v>451.61892999999998</v>
      </c>
      <c r="N21" s="17">
        <f>Supuestos!M30</f>
        <v>451.61892999999998</v>
      </c>
      <c r="O21" s="17">
        <f>IF(Supuestos!$B$25=1,N21*(1+Supuestos!$C$19),Supuestos!$C$62*O10)</f>
        <v>507.4893130927835</v>
      </c>
      <c r="P21" s="17">
        <f>IF(Supuestos!$B$25=1,O21,Supuestos!$C$62*P10)</f>
        <v>507.4893130927835</v>
      </c>
      <c r="Q21" s="17">
        <f>IF(Supuestos!$B$25=1,P21,Supuestos!$C$62*Q10)</f>
        <v>507.4893130927835</v>
      </c>
      <c r="R21" s="17">
        <f>IF(Supuestos!$B$25=1,Q21,Supuestos!$C$62*R10)</f>
        <v>507.4893130927835</v>
      </c>
      <c r="S21" s="17">
        <f>IF(Supuestos!$B$25=1,R21,Supuestos!$C$62*S10)</f>
        <v>507.4893130927835</v>
      </c>
      <c r="T21" s="17">
        <f>IF(Supuestos!$B$25=1,S21,Supuestos!$C$62*T10)</f>
        <v>507.4893130927835</v>
      </c>
      <c r="U21" s="17">
        <f>IF(Supuestos!$B$25=1,T21,Supuestos!$C$62*U10)</f>
        <v>507.4893130927835</v>
      </c>
      <c r="V21" s="17">
        <f>IF(Supuestos!$B$25=1,U21,Supuestos!$C$62*V10)</f>
        <v>507.4893130927835</v>
      </c>
      <c r="W21" s="17">
        <f>IF(Supuestos!$B$25=1,V21,Supuestos!$C$62*W10)</f>
        <v>507.4893130927835</v>
      </c>
      <c r="X21" s="17">
        <f>IF(Supuestos!$B$25=1,W21,Supuestos!$C$62*X10)</f>
        <v>507.4893130927835</v>
      </c>
      <c r="Y21" s="17">
        <f>IF(Supuestos!$B$25=1,X21,Supuestos!$C$62*Y10)</f>
        <v>507.4893130927835</v>
      </c>
      <c r="Z21" s="17">
        <f>IF(Supuestos!$B$25=1,Y21,Supuestos!$C$62*Z10)</f>
        <v>507.4893130927835</v>
      </c>
      <c r="AA21" s="17">
        <f>IF(Supuestos!$B$25=1,Z21*(1+Supuestos!$D$19),Supuestos!$D$62*AA10)</f>
        <v>581.98315721649487</v>
      </c>
      <c r="AB21" s="17">
        <f>IF(Supuestos!$B$25=1,AA21,Supuestos!$D$62*AB10)</f>
        <v>581.98315721649487</v>
      </c>
      <c r="AC21" s="17">
        <f>IF(Supuestos!$B$25=1,AB21,Supuestos!$D$62*AC10)</f>
        <v>581.98315721649487</v>
      </c>
      <c r="AD21" s="17">
        <f>IF(Supuestos!$B$25=1,AC21,Supuestos!$D$62*AD10)</f>
        <v>581.98315721649487</v>
      </c>
      <c r="AE21" s="17">
        <f>IF(Supuestos!$B$25=1,AD21,Supuestos!$D$62*AE10)</f>
        <v>581.98315721649487</v>
      </c>
      <c r="AF21" s="17">
        <f>IF(Supuestos!$B$25=1,AE21,Supuestos!$D$62*AF10)</f>
        <v>581.98315721649487</v>
      </c>
      <c r="AG21" s="17">
        <f>IF(Supuestos!$B$25=1,AF21,Supuestos!$D$62*AG10)</f>
        <v>581.98315721649487</v>
      </c>
      <c r="AH21" s="17">
        <f>IF(Supuestos!$B$25=1,AG21,Supuestos!$D$62*AH10)</f>
        <v>581.98315721649487</v>
      </c>
      <c r="AI21" s="17">
        <f>IF(Supuestos!$B$25=1,AH21,Supuestos!$D$62*AI10)</f>
        <v>581.98315721649487</v>
      </c>
      <c r="AJ21" s="17">
        <f>IF(Supuestos!$B$25=1,AI21,Supuestos!$D$62*AJ10)</f>
        <v>581.98315721649487</v>
      </c>
      <c r="AK21" s="17">
        <f>IF(Supuestos!$B$25=1,AJ21,Supuestos!$D$62*AK10)</f>
        <v>581.98315721649487</v>
      </c>
      <c r="AL21" s="17">
        <f>IF(Supuestos!$B$25=1,AK21,Supuestos!$D$62*AL10)</f>
        <v>581.98315721649487</v>
      </c>
      <c r="AM21" s="17">
        <f>IF(Supuestos!$B$25=1,AL21*(1+Supuestos!$E$19),Supuestos!$E$62*AM10)</f>
        <v>642.50940556701039</v>
      </c>
      <c r="AN21" s="17">
        <f>IF(Supuestos!$B$25=1,AM21,Supuestos!$E$62*AN10)</f>
        <v>642.50940556701039</v>
      </c>
      <c r="AO21" s="17">
        <f>IF(Supuestos!$B$25=1,AN21,Supuestos!$E$62*AO10)</f>
        <v>642.50940556701039</v>
      </c>
      <c r="AP21" s="17">
        <f>IF(Supuestos!$B$25=1,AO21,Supuestos!$E$62*AP10)</f>
        <v>642.50940556701039</v>
      </c>
      <c r="AQ21" s="17">
        <f>IF(Supuestos!$B$25=1,AP21,Supuestos!$E$62*AQ10)</f>
        <v>642.50940556701039</v>
      </c>
      <c r="AR21" s="17">
        <f>IF(Supuestos!$B$25=1,AQ21,Supuestos!$E$62*AR10)</f>
        <v>642.50940556701039</v>
      </c>
      <c r="AS21" s="17">
        <f>IF(Supuestos!$B$25=1,AR21,Supuestos!$E$62*AS10)</f>
        <v>642.50940556701039</v>
      </c>
      <c r="AT21" s="17">
        <f>IF(Supuestos!$B$25=1,AS21,Supuestos!$E$62*AT10)</f>
        <v>642.50940556701039</v>
      </c>
      <c r="AU21" s="17">
        <f>IF(Supuestos!$B$25=1,AT21,Supuestos!$E$62*AU10)</f>
        <v>642.50940556701039</v>
      </c>
      <c r="AV21" s="17">
        <f>IF(Supuestos!$B$25=1,AU21,Supuestos!$E$62*AV10)</f>
        <v>642.50940556701039</v>
      </c>
      <c r="AW21" s="17">
        <f>IF(Supuestos!$B$25=1,AV21,Supuestos!$E$62*AW10)</f>
        <v>642.50940556701039</v>
      </c>
      <c r="AX21" s="17">
        <f>IF(Supuestos!$B$25=1,AW21,Supuestos!$E$62*AX10)</f>
        <v>642.50940556701039</v>
      </c>
      <c r="AY21" s="17">
        <f>IF(Supuestos!$B$25=1,AX21*(1+Supuestos!$F$19),Supuestos!$F$62*AY10)</f>
        <v>693.72392340206193</v>
      </c>
      <c r="AZ21" s="17">
        <f>IF(Supuestos!$B$25=1,AY21,Supuestos!$F$62*AZ10)</f>
        <v>693.72392340206193</v>
      </c>
      <c r="BA21" s="17">
        <f>IF(Supuestos!$B$25=1,AZ21,Supuestos!$F$62*BA10)</f>
        <v>693.72392340206193</v>
      </c>
      <c r="BB21" s="17">
        <f>IF(Supuestos!$B$25=1,BA21,Supuestos!$F$62*BB10)</f>
        <v>693.72392340206193</v>
      </c>
      <c r="BC21" s="17">
        <f>IF(Supuestos!$B$25=1,BB21,Supuestos!$F$62*BC10)</f>
        <v>693.72392340206193</v>
      </c>
      <c r="BD21" s="17">
        <f>IF(Supuestos!$B$25=1,BC21,Supuestos!$F$62*BD10)</f>
        <v>693.72392340206193</v>
      </c>
      <c r="BE21" s="17">
        <f>IF(Supuestos!$B$25=1,BD21,Supuestos!$F$62*BE10)</f>
        <v>693.72392340206193</v>
      </c>
      <c r="BF21" s="17">
        <f>IF(Supuestos!$B$25=1,BE21,Supuestos!$F$62*BF10)</f>
        <v>693.72392340206193</v>
      </c>
      <c r="BG21" s="17">
        <f>IF(Supuestos!$B$25=1,BF21,Supuestos!$F$62*BG10)</f>
        <v>693.72392340206193</v>
      </c>
      <c r="BH21" s="17">
        <f>IF(Supuestos!$B$25=1,BG21,Supuestos!$F$62*BH10)</f>
        <v>693.72392340206193</v>
      </c>
      <c r="BI21" s="17">
        <f>IF(Supuestos!$B$25=1,BH21,Supuestos!$F$62*BI10)</f>
        <v>693.72392340206193</v>
      </c>
      <c r="BJ21" s="17">
        <f>IF(Supuestos!$B$25=1,BI21,Supuestos!$F$62*BJ10)</f>
        <v>693.72392340206193</v>
      </c>
      <c r="BK21" s="17">
        <f>IF(Supuestos!$B$25=1,BJ21*(1+Supuestos!$G$19),Supuestos!$G$62*BK10)</f>
        <v>744.93844123711347</v>
      </c>
      <c r="BL21" s="17">
        <f>IF(Supuestos!$B$25=1,BK21,Supuestos!$G$62*BL10)</f>
        <v>744.93844123711347</v>
      </c>
      <c r="BM21" s="17">
        <f>IF(Supuestos!$B$25=1,BL21,Supuestos!$G$62*BM10)</f>
        <v>744.93844123711347</v>
      </c>
      <c r="BN21" s="17">
        <f>IF(Supuestos!$B$25=1,BM21,Supuestos!$G$62*BN10)</f>
        <v>744.93844123711347</v>
      </c>
      <c r="BO21" s="17">
        <f>IF(Supuestos!$B$25=1,BN21,Supuestos!$G$62*BO10)</f>
        <v>744.93844123711347</v>
      </c>
      <c r="BP21" s="17">
        <f>IF(Supuestos!$B$25=1,BO21,Supuestos!$G$62*BP10)</f>
        <v>744.93844123711347</v>
      </c>
      <c r="BQ21" s="17">
        <f>IF(Supuestos!$B$25=1,BP21,Supuestos!$G$62*BQ10)</f>
        <v>744.93844123711347</v>
      </c>
      <c r="BR21" s="17">
        <f>IF(Supuestos!$B$25=1,BQ21,Supuestos!$G$62*BR10)</f>
        <v>744.93844123711347</v>
      </c>
      <c r="BS21" s="17">
        <f>IF(Supuestos!$B$25=1,BR21,Supuestos!$G$62*BS10)</f>
        <v>744.93844123711347</v>
      </c>
      <c r="BT21" s="17">
        <f>IF(Supuestos!$B$25=1,BS21,Supuestos!$G$62*BT10)</f>
        <v>744.93844123711347</v>
      </c>
      <c r="BU21" s="17">
        <f>IF(Supuestos!$B$25=1,BT21,Supuestos!$G$62*BU10)</f>
        <v>744.93844123711347</v>
      </c>
      <c r="BV21" s="17">
        <f>IF(Supuestos!$B$25=1,BU21,Supuestos!$G$62*BV10)</f>
        <v>744.93844123711347</v>
      </c>
      <c r="BW21" s="17">
        <f>IF(Supuestos!$B$25=1,BV21*(1+Supuestos!$H$19),Supuestos!$H$62*BW10)</f>
        <v>800.80882432989699</v>
      </c>
      <c r="BX21" s="17">
        <f>IF(Supuestos!$B$25=1,BW21,Supuestos!$H$62*BX10)</f>
        <v>800.80882432989699</v>
      </c>
      <c r="BY21" s="17">
        <f>IF(Supuestos!$B$25=1,BX21,Supuestos!$H$62*BY10)</f>
        <v>800.80882432989699</v>
      </c>
      <c r="BZ21" s="17">
        <f>IF(Supuestos!$B$25=1,BY21,Supuestos!$H$62*BZ10)</f>
        <v>800.80882432989699</v>
      </c>
      <c r="CA21" s="17">
        <f>IF(Supuestos!$B$25=1,BZ21,Supuestos!$H$62*CA10)</f>
        <v>800.80882432989699</v>
      </c>
      <c r="CB21" s="17">
        <f>IF(Supuestos!$B$25=1,CA21,Supuestos!$H$62*CB10)</f>
        <v>800.80882432989699</v>
      </c>
      <c r="CC21" s="17">
        <f>IF(Supuestos!$B$25=1,CB21,Supuestos!$H$62*CC10)</f>
        <v>800.80882432989699</v>
      </c>
      <c r="CD21" s="17">
        <f>IF(Supuestos!$B$25=1,CC21,Supuestos!$H$62*CD10)</f>
        <v>800.80882432989699</v>
      </c>
      <c r="CE21" s="17">
        <f>IF(Supuestos!$B$25=1,CD21,Supuestos!$H$62*CE10)</f>
        <v>800.80882432989699</v>
      </c>
      <c r="CF21" s="17">
        <f>IF(Supuestos!$B$25=1,CE21,Supuestos!$H$62*CF10)</f>
        <v>800.80882432989699</v>
      </c>
      <c r="CG21" s="17">
        <f>IF(Supuestos!$B$25=1,CF21,Supuestos!$H$62*CG10)</f>
        <v>800.80882432989699</v>
      </c>
      <c r="CH21" s="17">
        <f>IF(Supuestos!$B$25=1,CG21,Supuestos!$H$62*CH10)</f>
        <v>800.80882432989699</v>
      </c>
      <c r="CI21" s="17">
        <f>IF(Supuestos!$B$25=1,CH21*(1+Supuestos!$I$19),Supuestos!$I$62*CI10)</f>
        <v>847.36747690721666</v>
      </c>
      <c r="CJ21" s="17">
        <f>IF(Supuestos!$B$25=1,CI21,Supuestos!$I$62*CJ10)</f>
        <v>847.36747690721666</v>
      </c>
      <c r="CK21" s="17">
        <f>IF(Supuestos!$B$25=1,CJ21,Supuestos!$I$62*CK10)</f>
        <v>847.36747690721666</v>
      </c>
      <c r="CL21" s="17">
        <f>IF(Supuestos!$B$25=1,CK21,Supuestos!$I$62*CL10)</f>
        <v>847.36747690721666</v>
      </c>
      <c r="CM21" s="17">
        <f>IF(Supuestos!$B$25=1,CL21,Supuestos!$I$62*CM10)</f>
        <v>847.36747690721666</v>
      </c>
      <c r="CN21" s="17">
        <f>IF(Supuestos!$B$25=1,CM21,Supuestos!$I$62*CN10)</f>
        <v>847.36747690721666</v>
      </c>
      <c r="CO21" s="17">
        <f>IF(Supuestos!$B$25=1,CN21,Supuestos!$I$62*CO10)</f>
        <v>847.36747690721666</v>
      </c>
      <c r="CP21" s="17">
        <f>IF(Supuestos!$B$25=1,CO21,Supuestos!$I$62*CP10)</f>
        <v>847.36747690721666</v>
      </c>
      <c r="CQ21" s="17">
        <f>IF(Supuestos!$B$25=1,CP21,Supuestos!$I$62*CQ10)</f>
        <v>847.36747690721666</v>
      </c>
      <c r="CR21" s="17">
        <f>IF(Supuestos!$B$25=1,CQ21,Supuestos!$I$62*CR10)</f>
        <v>847.36747690721666</v>
      </c>
      <c r="CS21" s="17">
        <f>IF(Supuestos!$B$25=1,CR21,Supuestos!$I$62*CS10)</f>
        <v>847.36747690721666</v>
      </c>
      <c r="CT21" s="17">
        <f>IF(Supuestos!$B$25=1,CS21,Supuestos!$I$62*CT10)</f>
        <v>847.36747690721666</v>
      </c>
      <c r="CU21" s="17">
        <f>IF(Supuestos!$B$25=1,CT21*(1+Supuestos!$J$19),Supuestos!$J$62*CU10)</f>
        <v>917.20545577319604</v>
      </c>
      <c r="CV21" s="17">
        <f>IF(Supuestos!$B$25=1,CU21,Supuestos!$J$62*CV10)</f>
        <v>917.20545577319604</v>
      </c>
      <c r="CW21" s="17">
        <f>IF(Supuestos!$B$25=1,CV21,Supuestos!$J$62*CW10)</f>
        <v>917.20545577319604</v>
      </c>
      <c r="CX21" s="17">
        <f>IF(Supuestos!$B$25=1,CW21,Supuestos!$J$62*CX10)</f>
        <v>917.20545577319604</v>
      </c>
      <c r="CY21" s="17">
        <f>IF(Supuestos!$B$25=1,CX21,Supuestos!$J$62*CY10)</f>
        <v>917.20545577319604</v>
      </c>
      <c r="CZ21" s="17">
        <f>IF(Supuestos!$B$25=1,CY21,Supuestos!$J$62*CZ10)</f>
        <v>917.20545577319604</v>
      </c>
      <c r="DA21" s="17">
        <f>IF(Supuestos!$B$25=1,CZ21,Supuestos!$J$62*DA10)</f>
        <v>917.20545577319604</v>
      </c>
      <c r="DB21" s="17">
        <f>IF(Supuestos!$B$25=1,DA21,Supuestos!$J$62*DB10)</f>
        <v>917.20545577319604</v>
      </c>
      <c r="DC21" s="17">
        <f>IF(Supuestos!$B$25=1,DB21,Supuestos!$J$62*DC10)</f>
        <v>917.20545577319604</v>
      </c>
      <c r="DD21" s="17">
        <f>IF(Supuestos!$B$25=1,DC21,Supuestos!$J$62*DD10)</f>
        <v>917.20545577319604</v>
      </c>
      <c r="DE21" s="17">
        <f>IF(Supuestos!$B$25=1,DD21,Supuestos!$J$62*DE10)</f>
        <v>917.20545577319604</v>
      </c>
      <c r="DF21" s="17">
        <f>IF(Supuestos!$B$25=1,DE21,Supuestos!$J$62*DF10)</f>
        <v>917.20545577319604</v>
      </c>
    </row>
    <row r="22" spans="1:112" ht="13.8" x14ac:dyDescent="0.3">
      <c r="A22" s="16" t="s">
        <v>109</v>
      </c>
      <c r="B22" s="41" t="s">
        <v>451</v>
      </c>
      <c r="C22" s="17">
        <f>Supuestos!B31</f>
        <v>459.12596000000002</v>
      </c>
      <c r="D22" s="17">
        <f>Supuestos!C31</f>
        <v>360.89612</v>
      </c>
      <c r="E22" s="17">
        <f>Supuestos!D31</f>
        <v>334.86291</v>
      </c>
      <c r="F22" s="17">
        <f>Supuestos!E31</f>
        <v>432.30547999999999</v>
      </c>
      <c r="G22" s="17">
        <f>Supuestos!F31</f>
        <v>591.71879999999999</v>
      </c>
      <c r="H22" s="17">
        <f>Supuestos!G31</f>
        <v>847.21690999999998</v>
      </c>
      <c r="I22" s="17">
        <f>Supuestos!H31</f>
        <v>517.15570000000002</v>
      </c>
      <c r="J22" s="17">
        <f>Supuestos!I31</f>
        <v>611.07749999999999</v>
      </c>
      <c r="K22" s="17">
        <f>Supuestos!J31</f>
        <v>611.07749999999999</v>
      </c>
      <c r="L22" s="17">
        <f>Supuestos!K31</f>
        <v>611.07749999999999</v>
      </c>
      <c r="M22" s="17">
        <f>Supuestos!L31</f>
        <v>611.07749999999999</v>
      </c>
      <c r="N22" s="17">
        <f>Supuestos!M31</f>
        <v>611.07749999999999</v>
      </c>
      <c r="O22" s="17">
        <f>Supuestos!$B$22*O10*Supuestos!$C$63</f>
        <v>681.37713212486449</v>
      </c>
      <c r="P22" s="17">
        <f>Supuestos!$B$22*P10*Supuestos!$C$63</f>
        <v>574.04414375866315</v>
      </c>
      <c r="Q22" s="17">
        <f>Supuestos!$B$22*Q10*Supuestos!$C$63</f>
        <v>618.63847055446581</v>
      </c>
      <c r="R22" s="17">
        <f>Supuestos!$B$22*R10*Supuestos!$C$63</f>
        <v>598.46299032134289</v>
      </c>
      <c r="S22" s="17">
        <f>Supuestos!$B$22*S10*Supuestos!$C$63</f>
        <v>677.60773016142184</v>
      </c>
      <c r="T22" s="17">
        <f>Supuestos!$B$22*T10*Supuestos!$C$63</f>
        <v>526.60634395058878</v>
      </c>
      <c r="U22" s="17">
        <f>Supuestos!$B$22*U10*Supuestos!$C$63</f>
        <v>689.87420284365339</v>
      </c>
      <c r="V22" s="17">
        <f>Supuestos!$B$22*V10*Supuestos!$C$63</f>
        <v>760.25045451814299</v>
      </c>
      <c r="W22" s="17">
        <f>Supuestos!$B$22*W10*Supuestos!$C$63</f>
        <v>725.99944060038001</v>
      </c>
      <c r="X22" s="17">
        <f>Supuestos!$B$22*X10*Supuestos!$C$63</f>
        <v>744.6481476043341</v>
      </c>
      <c r="Y22" s="17">
        <f>Supuestos!$B$22*Y10*Supuestos!$C$63</f>
        <v>700.34322807935689</v>
      </c>
      <c r="Z22" s="17">
        <f>Supuestos!$B$22*Z10*Supuestos!$C$63</f>
        <v>363.12013522603229</v>
      </c>
      <c r="AA22" s="17">
        <f>Supuestos!$B$22*AA10*Supuestos!$D$63</f>
        <v>779.49543915084473</v>
      </c>
      <c r="AB22" s="17">
        <f>Supuestos!$B$22*AB10*Supuestos!$D$63</f>
        <v>656.70650045991044</v>
      </c>
      <c r="AC22" s="17">
        <f>Supuestos!$B$22*AC10*Supuestos!$D$63</f>
        <v>707.7224103143086</v>
      </c>
      <c r="AD22" s="17">
        <f>Supuestos!$B$22*AD10*Supuestos!$D$63</f>
        <v>684.64166092761616</v>
      </c>
      <c r="AE22" s="17">
        <f>Supuestos!$B$22*AE10*Supuestos!$D$63</f>
        <v>775.18324330466646</v>
      </c>
      <c r="AF22" s="17">
        <f>Supuestos!$B$22*AF10*Supuestos!$D$63</f>
        <v>602.4376574794735</v>
      </c>
      <c r="AG22" s="17">
        <f>Supuestos!$B$22*AG10*Supuestos!$D$63</f>
        <v>783.53252376712533</v>
      </c>
      <c r="AH22" s="17">
        <f>Supuestos!$B$22*AH10*Supuestos!$D$63</f>
        <v>869.72651996875561</v>
      </c>
      <c r="AI22" s="17">
        <f>Supuestos!$B$22*AI10*Supuestos!$D$63</f>
        <v>830.54336004683478</v>
      </c>
      <c r="AJ22" s="17">
        <f>Supuestos!$B$22*AJ10*Supuestos!$D$63</f>
        <v>851.87748085935812</v>
      </c>
      <c r="AK22" s="17">
        <f>Supuestos!$B$22*AK10*Supuestos!$D$63</f>
        <v>801.19265292278408</v>
      </c>
      <c r="AL22" s="17">
        <f>Supuestos!$B$22*AL10*Supuestos!$D$63</f>
        <v>415.40943469858081</v>
      </c>
      <c r="AM22" s="17">
        <f>Supuestos!$B$22*AM10*Supuestos!$E$63</f>
        <v>887.47327327867208</v>
      </c>
      <c r="AN22" s="17">
        <f>Supuestos!$B$22*AN10*Supuestos!$E$63</f>
        <v>747.6752759213457</v>
      </c>
      <c r="AO22" s="17">
        <f>Supuestos!$B$22*AO10*Supuestos!$E$63</f>
        <v>805.75804874307494</v>
      </c>
      <c r="AP22" s="17">
        <f>Supuestos!$B$22*AP10*Supuestos!$E$63</f>
        <v>779.48009100383933</v>
      </c>
      <c r="AQ22" s="17">
        <f>Supuestos!$B$22*AQ10*Supuestos!$E$63</f>
        <v>882.56374030334689</v>
      </c>
      <c r="AR22" s="17">
        <f>Supuestos!$B$22*AR10*Supuestos!$E$63</f>
        <v>685.88896480532321</v>
      </c>
      <c r="AS22" s="17">
        <f>Supuestos!$B$22*AS10*Supuestos!$E$63</f>
        <v>892.06958586623045</v>
      </c>
      <c r="AT22" s="17">
        <f>Supuestos!$B$22*AT10*Supuestos!$E$63</f>
        <v>990.20340949624563</v>
      </c>
      <c r="AU22" s="17">
        <f>Supuestos!$B$22*AU10*Supuestos!$E$63</f>
        <v>945.59249139877682</v>
      </c>
      <c r="AV22" s="17">
        <f>Supuestos!$B$22*AV10*Supuestos!$E$63</f>
        <v>969.88187281021703</v>
      </c>
      <c r="AW22" s="17">
        <f>Supuestos!$B$22*AW10*Supuestos!$E$63</f>
        <v>912.17604427651997</v>
      </c>
      <c r="AX22" s="17">
        <f>Supuestos!$B$22*AX10*Supuestos!$E$63</f>
        <v>472.9530825278502</v>
      </c>
      <c r="AY22" s="17">
        <f>Supuestos!$B$22*AY10*Supuestos!$F$63</f>
        <v>981.58671807287544</v>
      </c>
      <c r="AZ22" s="17">
        <f>Supuestos!$B$22*AZ10*Supuestos!$F$63</f>
        <v>826.96363076323746</v>
      </c>
      <c r="BA22" s="17">
        <f>Supuestos!$B$22*BA10*Supuestos!$F$63</f>
        <v>891.20587902838702</v>
      </c>
      <c r="BB22" s="17">
        <f>Supuestos!$B$22*BB10*Supuestos!$F$63</f>
        <v>862.14123553819991</v>
      </c>
      <c r="BC22" s="17">
        <f>Supuestos!$B$22*BC10*Supuestos!$F$63</f>
        <v>976.15654625179502</v>
      </c>
      <c r="BD22" s="17">
        <f>Supuestos!$B$22*BD10*Supuestos!$F$63</f>
        <v>758.62509688700425</v>
      </c>
      <c r="BE22" s="17">
        <f>Supuestos!$B$22*BE10*Supuestos!$F$63</f>
        <v>986.67045357669588</v>
      </c>
      <c r="BF22" s="17">
        <f>Supuestos!$B$22*BF10*Supuestos!$F$63</f>
        <v>1095.2110268753827</v>
      </c>
      <c r="BG22" s="17">
        <f>Supuestos!$B$22*BG10*Supuestos!$F$63</f>
        <v>1045.8692765331591</v>
      </c>
      <c r="BH22" s="17">
        <f>Supuestos!$B$22*BH10*Supuestos!$F$63</f>
        <v>1072.7344621128818</v>
      </c>
      <c r="BI22" s="17">
        <f>Supuestos!$B$22*BI10*Supuestos!$F$63</f>
        <v>1008.9091317625881</v>
      </c>
      <c r="BJ22" s="17">
        <f>Supuestos!$B$22*BJ10*Supuestos!$F$63</f>
        <v>523.1081070935943</v>
      </c>
      <c r="BK22" s="17">
        <f>Supuestos!$B$22*BK10*Supuestos!$G$63</f>
        <v>1078.4286272095776</v>
      </c>
      <c r="BL22" s="17">
        <f>Supuestos!$B$22*BL10*Supuestos!$G$63</f>
        <v>908.55065238365933</v>
      </c>
      <c r="BM22" s="17">
        <f>Supuestos!$B$22*BM10*Supuestos!$G$63</f>
        <v>979.13094684960231</v>
      </c>
      <c r="BN22" s="17">
        <f>Supuestos!$B$22*BN10*Supuestos!$G$63</f>
        <v>947.1988281662982</v>
      </c>
      <c r="BO22" s="17">
        <f>Supuestos!$B$22*BO10*Supuestos!$G$63</f>
        <v>1072.4627225832219</v>
      </c>
      <c r="BP22" s="17">
        <f>Supuestos!$B$22*BP10*Supuestos!$G$63</f>
        <v>833.46993876280726</v>
      </c>
      <c r="BQ22" s="17">
        <f>Supuestos!$B$22*BQ10*Supuestos!$G$63</f>
        <v>1084.013916618592</v>
      </c>
      <c r="BR22" s="17">
        <f>Supuestos!$B$22*BR10*Supuestos!$G$63</f>
        <v>1203.2629440390635</v>
      </c>
      <c r="BS22" s="17">
        <f>Supuestos!$B$22*BS10*Supuestos!$G$63</f>
        <v>1149.0532088155157</v>
      </c>
      <c r="BT22" s="17">
        <f>Supuestos!$B$22*BT10*Supuestos!$G$63</f>
        <v>1178.5688742896284</v>
      </c>
      <c r="BU22" s="17">
        <f>Supuestos!$B$22*BU10*Supuestos!$G$63</f>
        <v>1108.446630249897</v>
      </c>
      <c r="BV22" s="17">
        <f>Supuestos!$B$22*BV10*Supuestos!$G$63</f>
        <v>574.71718741538916</v>
      </c>
      <c r="BW22" s="17">
        <f>Supuestos!$B$22*BW10*Supuestos!$H$63</f>
        <v>1197.8853366851001</v>
      </c>
      <c r="BX22" s="17">
        <f>Supuestos!$B$22*BX10*Supuestos!$H$63</f>
        <v>1009.1901092630801</v>
      </c>
      <c r="BY22" s="17">
        <f>Supuestos!$B$22*BY10*Supuestos!$H$63</f>
        <v>1087.5885286544817</v>
      </c>
      <c r="BZ22" s="17">
        <f>Supuestos!$B$22*BZ10*Supuestos!$H$63</f>
        <v>1052.1193137477958</v>
      </c>
      <c r="CA22" s="17">
        <f>Supuestos!$B$22*CA10*Supuestos!$H$63</f>
        <v>1191.2585933924408</v>
      </c>
      <c r="CB22" s="17">
        <f>Supuestos!$B$22*CB10*Supuestos!$H$63</f>
        <v>925.79276274884148</v>
      </c>
      <c r="CC22" s="17">
        <f>Supuestos!$B$22*CC10*Supuestos!$H$63</f>
        <v>1204.0893043055746</v>
      </c>
      <c r="CD22" s="17">
        <f>Supuestos!$B$22*CD10*Supuestos!$H$63</f>
        <v>1336.5474547633908</v>
      </c>
      <c r="CE22" s="17">
        <f>Supuestos!$B$22*CE10*Supuestos!$H$63</f>
        <v>1276.3329488689269</v>
      </c>
      <c r="CF22" s="17">
        <f>Supuestos!$B$22*CF10*Supuestos!$H$63</f>
        <v>1309.1180419032489</v>
      </c>
      <c r="CG22" s="17">
        <f>Supuestos!$B$22*CG10*Supuestos!$H$63</f>
        <v>1231.2284108314243</v>
      </c>
      <c r="CH22" s="17">
        <f>Supuestos!$B$22*CH10*Supuestos!$H$63</f>
        <v>638.37816817524777</v>
      </c>
      <c r="CI22" s="17">
        <f>Supuestos!$B$22*CI10*Supuestos!$I$63</f>
        <v>1329.6527237204612</v>
      </c>
      <c r="CJ22" s="17">
        <f>Supuestos!$B$22*CJ10*Supuestos!$I$63</f>
        <v>1120.2010212820192</v>
      </c>
      <c r="CK22" s="17">
        <f>Supuestos!$B$22*CK10*Supuestos!$I$63</f>
        <v>1207.2232668064746</v>
      </c>
      <c r="CL22" s="17">
        <f>Supuestos!$B$22*CL10*Supuestos!$I$63</f>
        <v>1167.8524382600535</v>
      </c>
      <c r="CM22" s="17">
        <f>Supuestos!$B$22*CM10*Supuestos!$I$63</f>
        <v>1322.2970386656091</v>
      </c>
      <c r="CN22" s="17">
        <f>Supuestos!$B$22*CN10*Supuestos!$I$63</f>
        <v>1027.6299666512141</v>
      </c>
      <c r="CO22" s="17">
        <f>Supuestos!$B$22*CO10*Supuestos!$I$63</f>
        <v>1336.5391277791878</v>
      </c>
      <c r="CP22" s="17">
        <f>Supuestos!$B$22*CP10*Supuestos!$I$63</f>
        <v>1483.5676747873638</v>
      </c>
      <c r="CQ22" s="17">
        <f>Supuestos!$B$22*CQ10*Supuestos!$I$63</f>
        <v>1416.7295732445089</v>
      </c>
      <c r="CR22" s="17">
        <f>Supuestos!$B$22*CR10*Supuestos!$I$63</f>
        <v>1453.1210265126065</v>
      </c>
      <c r="CS22" s="17">
        <f>Supuestos!$B$22*CS10*Supuestos!$I$63</f>
        <v>1366.6635360228809</v>
      </c>
      <c r="CT22" s="17">
        <f>Supuestos!$B$22*CT10*Supuestos!$I$63</f>
        <v>708.59976667452509</v>
      </c>
      <c r="CU22" s="17">
        <f>Supuestos!$B$22*CU10*Supuestos!$J$63</f>
        <v>1474.8364265266953</v>
      </c>
      <c r="CV22" s="17">
        <f>Supuestos!$B$22*CV10*Supuestos!$J$63</f>
        <v>1242.5148625247045</v>
      </c>
      <c r="CW22" s="17">
        <f>Supuestos!$B$22*CW10*Supuestos!$J$63</f>
        <v>1339.0389964793976</v>
      </c>
      <c r="CX22" s="17">
        <f>Supuestos!$B$22*CX10*Supuestos!$J$63</f>
        <v>1295.3692990862864</v>
      </c>
      <c r="CY22" s="17">
        <f>Supuestos!$B$22*CY10*Supuestos!$J$63</f>
        <v>1466.677580184773</v>
      </c>
      <c r="CZ22" s="17">
        <f>Supuestos!$B$22*CZ10*Supuestos!$J$63</f>
        <v>1139.8360494963738</v>
      </c>
      <c r="DA22" s="17">
        <f>Supuestos!$B$22*DA10*Supuestos!$J$63</f>
        <v>1482.4747514610235</v>
      </c>
      <c r="DB22" s="17">
        <f>Supuestos!$B$22*DB10*Supuestos!$J$63</f>
        <v>1645.557226304687</v>
      </c>
      <c r="DC22" s="17">
        <f>Supuestos!$B$22*DC10*Supuestos!$J$63</f>
        <v>1571.4211266474229</v>
      </c>
      <c r="DD22" s="17">
        <f>Supuestos!$B$22*DD10*Supuestos!$J$63</f>
        <v>1611.7861331912802</v>
      </c>
      <c r="DE22" s="17">
        <f>Supuestos!$B$22*DE10*Supuestos!$J$63</f>
        <v>1515.8884194156497</v>
      </c>
      <c r="DF22" s="17">
        <f>Supuestos!$B$22*DF10*Supuestos!$J$63</f>
        <v>785.97120065736533</v>
      </c>
    </row>
    <row r="23" spans="1:112" ht="13.8" x14ac:dyDescent="0.3">
      <c r="A23" s="16" t="s">
        <v>82</v>
      </c>
      <c r="B23" s="41" t="s">
        <v>152</v>
      </c>
      <c r="C23" s="17">
        <f>Supuestos!$B$58*C10</f>
        <v>49.849264352985045</v>
      </c>
      <c r="D23" s="17">
        <f>Supuestos!$B$58*D10</f>
        <v>41.996828075622354</v>
      </c>
      <c r="E23" s="17">
        <f>Supuestos!$B$58*E10</f>
        <v>45.259330264615684</v>
      </c>
      <c r="F23" s="17">
        <f>Supuestos!$B$58*F10</f>
        <v>43.783300617930884</v>
      </c>
      <c r="G23" s="17">
        <f>Supuestos!$B$58*G10</f>
        <v>49.573496491004796</v>
      </c>
      <c r="H23" s="17">
        <f>Supuestos!$B$58*H10</f>
        <v>38.52629859720814</v>
      </c>
      <c r="I23" s="17">
        <f>Supuestos!$B$58*I10</f>
        <v>50.107438664398039</v>
      </c>
      <c r="J23" s="17">
        <f>Supuestos!$B$58*J10</f>
        <v>55.619603439827557</v>
      </c>
      <c r="K23" s="17">
        <f>Supuestos!$B$58*K10</f>
        <v>53.113813669895201</v>
      </c>
      <c r="L23" s="17">
        <f>Supuestos!$B$58*L10</f>
        <v>54.478145229397995</v>
      </c>
      <c r="M23" s="17">
        <f>Supuestos!$B$58*M10</f>
        <v>51.236815954594</v>
      </c>
      <c r="N23" s="17">
        <f>Supuestos!$B$58*N10</f>
        <v>26.565716340267567</v>
      </c>
      <c r="O23" s="17">
        <f>Supuestos!$C$58*O10</f>
        <v>60.566856188876848</v>
      </c>
      <c r="P23" s="17">
        <f>Supuestos!$C$58*P10</f>
        <v>51.026146111881175</v>
      </c>
      <c r="Q23" s="17">
        <f>Supuestos!$C$58*Q10</f>
        <v>54.990086271508076</v>
      </c>
      <c r="R23" s="17">
        <f>Supuestos!$C$58*R10</f>
        <v>53.196710250786033</v>
      </c>
      <c r="S23" s="17">
        <f>Supuestos!$C$58*S10</f>
        <v>60.231798236570832</v>
      </c>
      <c r="T23" s="17">
        <f>Supuestos!$C$58*T10</f>
        <v>46.809452795607896</v>
      </c>
      <c r="U23" s="17">
        <f>Supuestos!$C$58*U10</f>
        <v>61.322151363880302</v>
      </c>
      <c r="V23" s="17">
        <f>Supuestos!$C$58*V10</f>
        <v>67.577818179390491</v>
      </c>
      <c r="W23" s="17">
        <f>Supuestos!$C$58*W10</f>
        <v>64.533283608922673</v>
      </c>
      <c r="X23" s="17">
        <f>Supuestos!$C$58*X10</f>
        <v>66.190946453718581</v>
      </c>
      <c r="Y23" s="17">
        <f>Supuestos!$C$58*Y10</f>
        <v>62.252731384831726</v>
      </c>
      <c r="Z23" s="17">
        <f>Supuestos!$C$58*Z10</f>
        <v>32.277345353425098</v>
      </c>
      <c r="AA23" s="17">
        <f>Supuestos!$D$58*AA10</f>
        <v>70.863221740985892</v>
      </c>
      <c r="AB23" s="17">
        <f>Supuestos!$D$58*AB10</f>
        <v>59.70059095090096</v>
      </c>
      <c r="AC23" s="17">
        <f>Supuestos!$D$58*AC10</f>
        <v>64.338400937664431</v>
      </c>
      <c r="AD23" s="17">
        <f>Supuestos!$D$58*AD10</f>
        <v>62.240150993419654</v>
      </c>
      <c r="AE23" s="17">
        <f>Supuestos!$D$58*AE10</f>
        <v>70.471203936787859</v>
      </c>
      <c r="AF23" s="17">
        <f>Supuestos!$D$58*AF10</f>
        <v>54.767059770861238</v>
      </c>
      <c r="AG23" s="17">
        <f>Supuestos!$D$58*AG10</f>
        <v>71.23022943337503</v>
      </c>
      <c r="AH23" s="17">
        <f>Supuestos!$D$58*AH10</f>
        <v>79.06604726988688</v>
      </c>
      <c r="AI23" s="17">
        <f>Supuestos!$D$58*AI10</f>
        <v>75.503941822439529</v>
      </c>
      <c r="AJ23" s="17">
        <f>Supuestos!$D$58*AJ10</f>
        <v>77.443407350850748</v>
      </c>
      <c r="AK23" s="17">
        <f>Supuestos!$D$58*AK10</f>
        <v>72.835695720253099</v>
      </c>
      <c r="AL23" s="17">
        <f>Supuestos!$D$58*AL10</f>
        <v>37.76449406350735</v>
      </c>
      <c r="AM23" s="17">
        <f>Supuestos!$E$58*AM10</f>
        <v>82.555653328248582</v>
      </c>
      <c r="AN23" s="17">
        <f>Supuestos!$E$58*AN10</f>
        <v>69.551188457799611</v>
      </c>
      <c r="AO23" s="17">
        <f>Supuestos!$E$58*AO10</f>
        <v>74.954237092379074</v>
      </c>
      <c r="AP23" s="17">
        <f>Supuestos!$E$58*AP10</f>
        <v>72.509775907333903</v>
      </c>
      <c r="AQ23" s="17">
        <f>Supuestos!$E$58*AQ10</f>
        <v>82.098952586357868</v>
      </c>
      <c r="AR23" s="17">
        <f>Supuestos!$E$58*AR10</f>
        <v>63.803624633053332</v>
      </c>
      <c r="AS23" s="17">
        <f>Supuestos!$E$58*AS10</f>
        <v>82.983217289881907</v>
      </c>
      <c r="AT23" s="17">
        <f>Supuestos!$E$58*AT10</f>
        <v>92.111945069418198</v>
      </c>
      <c r="AU23" s="17">
        <f>Supuestos!$E$58*AU10</f>
        <v>87.962092223142037</v>
      </c>
      <c r="AV23" s="17">
        <f>Supuestos!$E$58*AV10</f>
        <v>90.221569563741127</v>
      </c>
      <c r="AW23" s="17">
        <f>Supuestos!$E$58*AW10</f>
        <v>84.853585514094888</v>
      </c>
      <c r="AX23" s="17">
        <f>Supuestos!$E$58*AX10</f>
        <v>43.995635583986072</v>
      </c>
      <c r="AY23" s="17">
        <f>Supuestos!$F$58*AY10</f>
        <v>95.764557860768335</v>
      </c>
      <c r="AZ23" s="17">
        <f>Supuestos!$F$58*AZ10</f>
        <v>80.679378611047554</v>
      </c>
      <c r="BA23" s="17">
        <f>Supuestos!$F$58*BA10</f>
        <v>86.946915027159704</v>
      </c>
      <c r="BB23" s="17">
        <f>Supuestos!$F$58*BB10</f>
        <v>84.111340052507316</v>
      </c>
      <c r="BC23" s="17">
        <f>Supuestos!$F$58*BC10</f>
        <v>95.234785000175123</v>
      </c>
      <c r="BD23" s="17">
        <f>Supuestos!$F$58*BD10</f>
        <v>74.012204574341879</v>
      </c>
      <c r="BE23" s="17">
        <f>Supuestos!$F$58*BE10</f>
        <v>96.260532056263003</v>
      </c>
      <c r="BF23" s="17">
        <f>Supuestos!$F$58*BF10</f>
        <v>106.84985628052513</v>
      </c>
      <c r="BG23" s="17">
        <f>Supuestos!$F$58*BG10</f>
        <v>102.03602697884477</v>
      </c>
      <c r="BH23" s="17">
        <f>Supuestos!$F$58*BH10</f>
        <v>104.65702069393969</v>
      </c>
      <c r="BI23" s="17">
        <f>Supuestos!$F$58*BI10</f>
        <v>98.430159196350061</v>
      </c>
      <c r="BJ23" s="17">
        <f>Supuestos!$F$58*BJ10</f>
        <v>51.034937277423829</v>
      </c>
      <c r="BK23" s="17">
        <f>Supuestos!$G$58*BK10</f>
        <v>110.60806432918744</v>
      </c>
      <c r="BL23" s="17">
        <f>Supuestos!$G$58*BL10</f>
        <v>93.184682295759941</v>
      </c>
      <c r="BM23" s="17">
        <f>Supuestos!$G$58*BM10</f>
        <v>100.42368685636947</v>
      </c>
      <c r="BN23" s="17">
        <f>Supuestos!$G$58*BN10</f>
        <v>97.14859776064597</v>
      </c>
      <c r="BO23" s="17">
        <f>Supuestos!$G$58*BO10</f>
        <v>109.99617667520225</v>
      </c>
      <c r="BP23" s="17">
        <f>Supuestos!$G$58*BP10</f>
        <v>85.484096283364849</v>
      </c>
      <c r="BQ23" s="17">
        <f>Supuestos!$G$58*BQ10</f>
        <v>111.18091452498379</v>
      </c>
      <c r="BR23" s="17">
        <f>Supuestos!$G$58*BR10</f>
        <v>123.41158400400653</v>
      </c>
      <c r="BS23" s="17">
        <f>Supuestos!$G$58*BS10</f>
        <v>117.85161116056572</v>
      </c>
      <c r="BT23" s="17">
        <f>Supuestos!$G$58*BT10</f>
        <v>120.87885890150035</v>
      </c>
      <c r="BU23" s="17">
        <f>Supuestos!$G$58*BU10</f>
        <v>113.68683387178432</v>
      </c>
      <c r="BV23" s="17">
        <f>Supuestos!$G$58*BV10</f>
        <v>58.945352555424527</v>
      </c>
      <c r="BW23" s="17">
        <f>Supuestos!$H$58*BW10</f>
        <v>126.09319333527371</v>
      </c>
      <c r="BX23" s="17">
        <f>Supuestos!$H$58*BX10</f>
        <v>106.23053781716634</v>
      </c>
      <c r="BY23" s="17">
        <f>Supuestos!$H$58*BY10</f>
        <v>114.48300301626124</v>
      </c>
      <c r="BZ23" s="17">
        <f>Supuestos!$H$58*BZ10</f>
        <v>110.74940144713639</v>
      </c>
      <c r="CA23" s="17">
        <f>Supuestos!$H$58*CA10</f>
        <v>125.39564140973063</v>
      </c>
      <c r="CB23" s="17">
        <f>Supuestos!$H$58*CB10</f>
        <v>97.451869763035958</v>
      </c>
      <c r="CC23" s="17">
        <f>Supuestos!$H$58*CC10</f>
        <v>126.74624255848155</v>
      </c>
      <c r="CD23" s="17">
        <f>Supuestos!$H$58*CD10</f>
        <v>140.68920576456745</v>
      </c>
      <c r="CE23" s="17">
        <f>Supuestos!$H$58*CE10</f>
        <v>134.35083672304495</v>
      </c>
      <c r="CF23" s="17">
        <f>Supuestos!$H$58*CF10</f>
        <v>137.80189914771043</v>
      </c>
      <c r="CG23" s="17">
        <f>Supuestos!$H$58*CG10</f>
        <v>129.60299061383412</v>
      </c>
      <c r="CH23" s="17">
        <f>Supuestos!$H$58*CH10</f>
        <v>67.197701913183977</v>
      </c>
      <c r="CI23" s="17">
        <f>Supuestos!$I$58*CI10</f>
        <v>143.74624040221201</v>
      </c>
      <c r="CJ23" s="17">
        <f>Supuestos!$I$58*CJ10</f>
        <v>121.10281311156965</v>
      </c>
      <c r="CK23" s="17">
        <f>Supuestos!$I$58*CK10</f>
        <v>130.51062343853781</v>
      </c>
      <c r="CL23" s="17">
        <f>Supuestos!$I$58*CL10</f>
        <v>126.25431764973551</v>
      </c>
      <c r="CM23" s="17">
        <f>Supuestos!$I$58*CM10</f>
        <v>142.95103120709288</v>
      </c>
      <c r="CN23" s="17">
        <f>Supuestos!$I$58*CN10</f>
        <v>111.09513152986099</v>
      </c>
      <c r="CO23" s="17">
        <f>Supuestos!$I$58*CO10</f>
        <v>144.49071651666898</v>
      </c>
      <c r="CP23" s="17">
        <f>Supuestos!$I$58*CP10</f>
        <v>160.3856945716069</v>
      </c>
      <c r="CQ23" s="17">
        <f>Supuestos!$I$58*CQ10</f>
        <v>153.15995386427124</v>
      </c>
      <c r="CR23" s="17">
        <f>Supuestos!$I$58*CR10</f>
        <v>157.09416502838991</v>
      </c>
      <c r="CS23" s="17">
        <f>Supuestos!$I$58*CS10</f>
        <v>147.74740929977094</v>
      </c>
      <c r="CT23" s="17">
        <f>Supuestos!$I$58*CT10</f>
        <v>76.605380181029744</v>
      </c>
      <c r="CU23" s="17">
        <f>Supuestos!$J$58*CU10</f>
        <v>163.87071405852171</v>
      </c>
      <c r="CV23" s="17">
        <f>Supuestos!$J$58*CV10</f>
        <v>138.0572069471894</v>
      </c>
      <c r="CW23" s="17">
        <f>Supuestos!$J$58*CW10</f>
        <v>148.78211071993309</v>
      </c>
      <c r="CX23" s="17">
        <f>Supuestos!$J$58*CX10</f>
        <v>143.92992212069851</v>
      </c>
      <c r="CY23" s="17">
        <f>Supuestos!$J$58*CY10</f>
        <v>162.96417557608589</v>
      </c>
      <c r="CZ23" s="17">
        <f>Supuestos!$J$58*CZ10</f>
        <v>126.64844994404154</v>
      </c>
      <c r="DA23" s="17">
        <f>Supuestos!$J$58*DA10</f>
        <v>164.71941682900263</v>
      </c>
      <c r="DB23" s="17">
        <f>Supuestos!$J$58*DB10</f>
        <v>182.83969181163189</v>
      </c>
      <c r="DC23" s="17">
        <f>Supuestos!$J$58*DC10</f>
        <v>174.60234740526923</v>
      </c>
      <c r="DD23" s="17">
        <f>Supuestos!$J$58*DD10</f>
        <v>179.0873481323645</v>
      </c>
      <c r="DE23" s="17">
        <f>Supuestos!$J$58*DE10</f>
        <v>168.43204660173888</v>
      </c>
      <c r="DF23" s="17">
        <f>Supuestos!$J$58*DF10</f>
        <v>87.330133406373932</v>
      </c>
    </row>
    <row r="24" spans="1:112" ht="13.8" x14ac:dyDescent="0.3">
      <c r="A24" s="16" t="s">
        <v>110</v>
      </c>
      <c r="B24" s="41" t="s">
        <v>153</v>
      </c>
      <c r="C24" s="17">
        <f>Inversiones!$B$25/12/1000</f>
        <v>0</v>
      </c>
      <c r="D24" s="17">
        <f>Inversiones!$B$25/12/1000</f>
        <v>0</v>
      </c>
      <c r="E24" s="17">
        <f>Inversiones!$B$25/12/1000</f>
        <v>0</v>
      </c>
      <c r="F24" s="17">
        <f>Inversiones!$B$25/12/1000</f>
        <v>0</v>
      </c>
      <c r="G24" s="17">
        <f>Inversiones!$B$25/12/1000</f>
        <v>0</v>
      </c>
      <c r="H24" s="17">
        <f>Inversiones!$B$25/12/1000</f>
        <v>0</v>
      </c>
      <c r="I24" s="17">
        <f>Inversiones!$B$25/12/1000</f>
        <v>0</v>
      </c>
      <c r="J24" s="17">
        <f>Inversiones!$B$25/12/1000</f>
        <v>0</v>
      </c>
      <c r="K24" s="17">
        <f>Inversiones!$B$25/12/1000</f>
        <v>0</v>
      </c>
      <c r="L24" s="17">
        <f>Inversiones!$B$25/12/1000</f>
        <v>0</v>
      </c>
      <c r="M24" s="17">
        <f>Inversiones!$B$25/12/1000</f>
        <v>0</v>
      </c>
      <c r="N24" s="17">
        <f>Inversiones!$B$25/12/1000</f>
        <v>0</v>
      </c>
      <c r="O24" s="17">
        <f>Inversiones!$C$25/12/1000</f>
        <v>9</v>
      </c>
      <c r="P24" s="17">
        <f>Inversiones!$C$25/12/1000</f>
        <v>9</v>
      </c>
      <c r="Q24" s="17">
        <f>Inversiones!$C$25/12/1000</f>
        <v>9</v>
      </c>
      <c r="R24" s="17">
        <f>Inversiones!$C$25/12/1000</f>
        <v>9</v>
      </c>
      <c r="S24" s="17">
        <f>Inversiones!$C$25/12/1000</f>
        <v>9</v>
      </c>
      <c r="T24" s="17">
        <f>Inversiones!$C$25/12/1000</f>
        <v>9</v>
      </c>
      <c r="U24" s="17">
        <f>Inversiones!$C$25/12/1000</f>
        <v>9</v>
      </c>
      <c r="V24" s="17">
        <f>Inversiones!$C$25/12/1000</f>
        <v>9</v>
      </c>
      <c r="W24" s="17">
        <f>Inversiones!$C$25/12/1000</f>
        <v>9</v>
      </c>
      <c r="X24" s="17">
        <f>Inversiones!$C$25/12/1000</f>
        <v>9</v>
      </c>
      <c r="Y24" s="17">
        <f>Inversiones!$C$25/12/1000</f>
        <v>9</v>
      </c>
      <c r="Z24" s="17">
        <f>Inversiones!$C$25/12/1000</f>
        <v>9</v>
      </c>
      <c r="AA24" s="17">
        <f>Inversiones!$D$25/12/1000</f>
        <v>22.375</v>
      </c>
      <c r="AB24" s="17">
        <f>Inversiones!$D$25/12/1000</f>
        <v>22.375</v>
      </c>
      <c r="AC24" s="17">
        <f>Inversiones!$D$25/12/1000</f>
        <v>22.375</v>
      </c>
      <c r="AD24" s="17">
        <f>Inversiones!$D$25/12/1000</f>
        <v>22.375</v>
      </c>
      <c r="AE24" s="17">
        <f>Inversiones!$D$25/12/1000</f>
        <v>22.375</v>
      </c>
      <c r="AF24" s="17">
        <f>Inversiones!$D$25/12/1000</f>
        <v>22.375</v>
      </c>
      <c r="AG24" s="17">
        <f>Inversiones!$D$25/12/1000</f>
        <v>22.375</v>
      </c>
      <c r="AH24" s="17">
        <f>Inversiones!$D$25/12/1000</f>
        <v>22.375</v>
      </c>
      <c r="AI24" s="17">
        <f>Inversiones!$D$25/12/1000</f>
        <v>22.375</v>
      </c>
      <c r="AJ24" s="17">
        <f>Inversiones!$D$25/12/1000</f>
        <v>22.375</v>
      </c>
      <c r="AK24" s="17">
        <f>Inversiones!$D$25/12/1000</f>
        <v>22.375</v>
      </c>
      <c r="AL24" s="17">
        <f>Inversiones!$D$25/12/1000</f>
        <v>22.375</v>
      </c>
      <c r="AM24" s="17">
        <f>Inversiones!$E$25/12/1000</f>
        <v>22.375</v>
      </c>
      <c r="AN24" s="17">
        <f>Inversiones!$E$25/12/1000</f>
        <v>22.375</v>
      </c>
      <c r="AO24" s="17">
        <f>Inversiones!$E$25/12/1000</f>
        <v>22.375</v>
      </c>
      <c r="AP24" s="17">
        <f>Inversiones!$E$25/12/1000</f>
        <v>22.375</v>
      </c>
      <c r="AQ24" s="17">
        <f>Inversiones!$E$25/12/1000</f>
        <v>22.375</v>
      </c>
      <c r="AR24" s="17">
        <f>Inversiones!$E$25/12/1000</f>
        <v>22.375</v>
      </c>
      <c r="AS24" s="17">
        <f>Inversiones!$E$25/12/1000</f>
        <v>22.375</v>
      </c>
      <c r="AT24" s="17">
        <f>Inversiones!$E$25/12/1000</f>
        <v>22.375</v>
      </c>
      <c r="AU24" s="17">
        <f>Inversiones!$E$25/12/1000</f>
        <v>22.375</v>
      </c>
      <c r="AV24" s="17">
        <f>Inversiones!$E$25/12/1000</f>
        <v>22.375</v>
      </c>
      <c r="AW24" s="17">
        <f>Inversiones!$E$25/12/1000</f>
        <v>22.375</v>
      </c>
      <c r="AX24" s="17">
        <f>Inversiones!$E$25/12/1000</f>
        <v>22.375</v>
      </c>
      <c r="AY24" s="17">
        <f>Inversiones!$F$25/12/1000</f>
        <v>45.984999999999999</v>
      </c>
      <c r="AZ24" s="17">
        <f>Inversiones!$F$25/12/1000</f>
        <v>45.984999999999999</v>
      </c>
      <c r="BA24" s="17">
        <f>Inversiones!$F$25/12/1000</f>
        <v>45.984999999999999</v>
      </c>
      <c r="BB24" s="17">
        <f>Inversiones!$F$25/12/1000</f>
        <v>45.984999999999999</v>
      </c>
      <c r="BC24" s="17">
        <f>Inversiones!$F$25/12/1000</f>
        <v>45.984999999999999</v>
      </c>
      <c r="BD24" s="17">
        <f>Inversiones!$F$25/12/1000</f>
        <v>45.984999999999999</v>
      </c>
      <c r="BE24" s="17">
        <f>Inversiones!$F$25/12/1000</f>
        <v>45.984999999999999</v>
      </c>
      <c r="BF24" s="17">
        <f>Inversiones!$F$25/12/1000</f>
        <v>45.984999999999999</v>
      </c>
      <c r="BG24" s="17">
        <f>Inversiones!$F$25/12/1000</f>
        <v>45.984999999999999</v>
      </c>
      <c r="BH24" s="17">
        <f>Inversiones!$F$25/12/1000</f>
        <v>45.984999999999999</v>
      </c>
      <c r="BI24" s="17">
        <f>Inversiones!$F$25/12/1000</f>
        <v>45.984999999999999</v>
      </c>
      <c r="BJ24" s="17">
        <f>Inversiones!$F$25/12/1000</f>
        <v>45.984999999999999</v>
      </c>
      <c r="BK24" s="17">
        <f>Inversiones!$G$25/12/1000</f>
        <v>50.484999999999999</v>
      </c>
      <c r="BL24" s="17">
        <f>Inversiones!$G$25/12/1000</f>
        <v>50.484999999999999</v>
      </c>
      <c r="BM24" s="17">
        <f>Inversiones!$G$25/12/1000</f>
        <v>50.484999999999999</v>
      </c>
      <c r="BN24" s="17">
        <f>Inversiones!$G$25/12/1000</f>
        <v>50.484999999999999</v>
      </c>
      <c r="BO24" s="17">
        <f>Inversiones!$G$25/12/1000</f>
        <v>50.484999999999999</v>
      </c>
      <c r="BP24" s="17">
        <f>Inversiones!$G$25/12/1000</f>
        <v>50.484999999999999</v>
      </c>
      <c r="BQ24" s="17">
        <f>Inversiones!$G$25/12/1000</f>
        <v>50.484999999999999</v>
      </c>
      <c r="BR24" s="17">
        <f>Inversiones!$G$25/12/1000</f>
        <v>50.484999999999999</v>
      </c>
      <c r="BS24" s="17">
        <f>Inversiones!$G$25/12/1000</f>
        <v>50.484999999999999</v>
      </c>
      <c r="BT24" s="17">
        <f>Inversiones!$G$25/12/1000</f>
        <v>50.484999999999999</v>
      </c>
      <c r="BU24" s="17">
        <f>Inversiones!$G$25/12/1000</f>
        <v>50.484999999999999</v>
      </c>
      <c r="BV24" s="17">
        <f>Inversiones!$G$25/12/1000</f>
        <v>50.484999999999999</v>
      </c>
      <c r="BW24" s="17">
        <f>Inversiones!$H$25/12/1000</f>
        <v>50.484999999999999</v>
      </c>
      <c r="BX24" s="17">
        <f>Inversiones!$H$25/12/1000</f>
        <v>50.484999999999999</v>
      </c>
      <c r="BY24" s="17">
        <f>Inversiones!$H$25/12/1000</f>
        <v>50.484999999999999</v>
      </c>
      <c r="BZ24" s="17">
        <f>Inversiones!$H$25/12/1000</f>
        <v>50.484999999999999</v>
      </c>
      <c r="CA24" s="17">
        <f>Inversiones!$H$25/12/1000</f>
        <v>50.484999999999999</v>
      </c>
      <c r="CB24" s="17">
        <f>Inversiones!$H$25/12/1000</f>
        <v>50.484999999999999</v>
      </c>
      <c r="CC24" s="17">
        <f>Inversiones!$H$25/12/1000</f>
        <v>50.484999999999999</v>
      </c>
      <c r="CD24" s="17">
        <f>Inversiones!$H$25/12/1000</f>
        <v>50.484999999999999</v>
      </c>
      <c r="CE24" s="17">
        <f>Inversiones!$H$25/12/1000</f>
        <v>50.484999999999999</v>
      </c>
      <c r="CF24" s="17">
        <f>Inversiones!$H$25/12/1000</f>
        <v>50.484999999999999</v>
      </c>
      <c r="CG24" s="17">
        <f>Inversiones!$H$25/12/1000</f>
        <v>50.484999999999999</v>
      </c>
      <c r="CH24" s="17">
        <f>Inversiones!$H$25/12/1000</f>
        <v>50.484999999999999</v>
      </c>
      <c r="CI24" s="17">
        <f>Inversiones!$I$25/12/1000</f>
        <v>50.484999999999999</v>
      </c>
      <c r="CJ24" s="17">
        <f>Inversiones!$I$25/12/1000</f>
        <v>50.484999999999999</v>
      </c>
      <c r="CK24" s="17">
        <f>Inversiones!$I$25/12/1000</f>
        <v>50.484999999999999</v>
      </c>
      <c r="CL24" s="17">
        <f>Inversiones!$I$25/12/1000</f>
        <v>50.484999999999999</v>
      </c>
      <c r="CM24" s="17">
        <f>Inversiones!$I$25/12/1000</f>
        <v>50.484999999999999</v>
      </c>
      <c r="CN24" s="17">
        <f>Inversiones!$I$25/12/1000</f>
        <v>50.484999999999999</v>
      </c>
      <c r="CO24" s="17">
        <f>Inversiones!$I$25/12/1000</f>
        <v>50.484999999999999</v>
      </c>
      <c r="CP24" s="17">
        <f>Inversiones!$I$25/12/1000</f>
        <v>50.484999999999999</v>
      </c>
      <c r="CQ24" s="17">
        <f>Inversiones!$I$25/12/1000</f>
        <v>50.484999999999999</v>
      </c>
      <c r="CR24" s="17">
        <f>Inversiones!$I$25/12/1000</f>
        <v>50.484999999999999</v>
      </c>
      <c r="CS24" s="17">
        <f>Inversiones!$I$25/12/1000</f>
        <v>50.484999999999999</v>
      </c>
      <c r="CT24" s="17">
        <f>Inversiones!$I$25/12/1000</f>
        <v>50.484999999999999</v>
      </c>
      <c r="CU24" s="17">
        <f>Inversiones!$J$25/12/1000</f>
        <v>50.484999999999999</v>
      </c>
      <c r="CV24" s="17">
        <f>Inversiones!$J$25/12/1000</f>
        <v>50.484999999999999</v>
      </c>
      <c r="CW24" s="17">
        <f>Inversiones!$J$25/12/1000</f>
        <v>50.484999999999999</v>
      </c>
      <c r="CX24" s="17">
        <f>Inversiones!$J$25/12/1000</f>
        <v>50.484999999999999</v>
      </c>
      <c r="CY24" s="17">
        <f>Inversiones!$J$25/12/1000</f>
        <v>50.484999999999999</v>
      </c>
      <c r="CZ24" s="17">
        <f>Inversiones!$J$25/12/1000</f>
        <v>50.484999999999999</v>
      </c>
      <c r="DA24" s="17">
        <f>Inversiones!$J$25/12/1000</f>
        <v>50.484999999999999</v>
      </c>
      <c r="DB24" s="17">
        <f>Inversiones!$J$25/12/1000</f>
        <v>50.484999999999999</v>
      </c>
      <c r="DC24" s="17">
        <f>Inversiones!$J$25/12/1000</f>
        <v>50.484999999999999</v>
      </c>
      <c r="DD24" s="17">
        <f>Inversiones!$J$25/12/1000</f>
        <v>50.484999999999999</v>
      </c>
      <c r="DE24" s="17">
        <f>Inversiones!$J$25/12/1000</f>
        <v>50.484999999999999</v>
      </c>
      <c r="DF24" s="17">
        <f>Inversiones!$J$25/12/1000</f>
        <v>50.484999999999999</v>
      </c>
    </row>
    <row r="25" spans="1:112" ht="13.8" x14ac:dyDescent="0.3">
      <c r="A25" s="33" t="s">
        <v>111</v>
      </c>
      <c r="B25" s="47" t="s">
        <v>154</v>
      </c>
      <c r="C25" s="36">
        <f t="shared" ref="C25:AH25" si="24">SUM(C18:C24)</f>
        <v>11059.063183279868</v>
      </c>
      <c r="D25" s="36">
        <f t="shared" si="24"/>
        <v>10600.464450858055</v>
      </c>
      <c r="E25" s="36">
        <f t="shared" si="24"/>
        <v>11815.370666107796</v>
      </c>
      <c r="F25" s="36">
        <f t="shared" si="24"/>
        <v>9486.1103065287061</v>
      </c>
      <c r="G25" s="36">
        <f t="shared" si="24"/>
        <v>12083.714821701451</v>
      </c>
      <c r="H25" s="36">
        <f t="shared" si="24"/>
        <v>13657.702376468735</v>
      </c>
      <c r="I25" s="36">
        <f t="shared" si="24"/>
        <v>12841.753303307863</v>
      </c>
      <c r="J25" s="36">
        <f t="shared" si="24"/>
        <v>13366.025845677654</v>
      </c>
      <c r="K25" s="36">
        <f t="shared" si="24"/>
        <v>12665.966547994254</v>
      </c>
      <c r="L25" s="36">
        <f t="shared" si="24"/>
        <v>7357.962215953019</v>
      </c>
      <c r="M25" s="36">
        <f t="shared" si="24"/>
        <v>14672.333590075157</v>
      </c>
      <c r="N25" s="36">
        <f t="shared" si="24"/>
        <v>12594.387193370439</v>
      </c>
      <c r="O25" s="36">
        <f t="shared" si="24"/>
        <v>13593.427654014702</v>
      </c>
      <c r="P25" s="36">
        <f t="shared" si="24"/>
        <v>13042.894365014896</v>
      </c>
      <c r="Q25" s="36">
        <f t="shared" si="24"/>
        <v>14625.307688365177</v>
      </c>
      <c r="R25" s="36">
        <f t="shared" si="24"/>
        <v>11705.722144967209</v>
      </c>
      <c r="S25" s="36">
        <f t="shared" si="24"/>
        <v>14950.384296997037</v>
      </c>
      <c r="T25" s="36">
        <f t="shared" si="24"/>
        <v>16065.143404840006</v>
      </c>
      <c r="U25" s="36">
        <f t="shared" si="24"/>
        <v>15660.267081163183</v>
      </c>
      <c r="V25" s="36">
        <f t="shared" si="24"/>
        <v>16124.926269884954</v>
      </c>
      <c r="W25" s="36">
        <f t="shared" si="24"/>
        <v>15224.856907139105</v>
      </c>
      <c r="X25" s="36">
        <f t="shared" si="24"/>
        <v>8802.3888126207494</v>
      </c>
      <c r="Y25" s="36">
        <f t="shared" si="24"/>
        <v>16905.889133286757</v>
      </c>
      <c r="Z25" s="36">
        <f t="shared" si="24"/>
        <v>14007.386443461362</v>
      </c>
      <c r="AA25" s="36">
        <f t="shared" si="24"/>
        <v>15714.081168183389</v>
      </c>
      <c r="AB25" s="36">
        <f t="shared" si="24"/>
        <v>15082.258690729264</v>
      </c>
      <c r="AC25" s="36">
        <f t="shared" si="24"/>
        <v>16914.789217159327</v>
      </c>
      <c r="AD25" s="36">
        <f t="shared" si="24"/>
        <v>13529.857754828627</v>
      </c>
      <c r="AE25" s="36">
        <f t="shared" si="24"/>
        <v>17177.91039681765</v>
      </c>
      <c r="AF25" s="36">
        <f t="shared" si="24"/>
        <v>18590.47951845792</v>
      </c>
      <c r="AG25" s="36">
        <f t="shared" si="24"/>
        <v>18102.184913310066</v>
      </c>
      <c r="AH25" s="36">
        <f t="shared" si="24"/>
        <v>18645.240028844612</v>
      </c>
      <c r="AI25" s="36">
        <f t="shared" ref="AI25:BN25" si="25">SUM(AI18:AI24)</f>
        <v>17603.459545473757</v>
      </c>
      <c r="AJ25" s="36">
        <f t="shared" si="25"/>
        <v>10153.396868643644</v>
      </c>
      <c r="AK25" s="36">
        <f t="shared" si="25"/>
        <v>19466.938698586127</v>
      </c>
      <c r="AL25" s="36">
        <f t="shared" si="25"/>
        <v>16140.072574688669</v>
      </c>
      <c r="AM25" s="36">
        <f t="shared" si="25"/>
        <v>18066.469420612964</v>
      </c>
      <c r="AN25" s="36">
        <f t="shared" si="25"/>
        <v>17338.566828731429</v>
      </c>
      <c r="AO25" s="36">
        <f t="shared" si="25"/>
        <v>19452.815911797268</v>
      </c>
      <c r="AP25" s="36">
        <f t="shared" si="25"/>
        <v>15546.801220984291</v>
      </c>
      <c r="AQ25" s="36">
        <f t="shared" si="25"/>
        <v>19755.786324509874</v>
      </c>
      <c r="AR25" s="36">
        <f t="shared" si="25"/>
        <v>21387.631618552798</v>
      </c>
      <c r="AS25" s="36">
        <f t="shared" si="25"/>
        <v>20822.325084244472</v>
      </c>
      <c r="AT25" s="36">
        <f t="shared" si="25"/>
        <v>21448.154913749386</v>
      </c>
      <c r="AU25" s="36">
        <f t="shared" si="25"/>
        <v>20246.321181733816</v>
      </c>
      <c r="AV25" s="36">
        <f t="shared" si="25"/>
        <v>11648.659918125933</v>
      </c>
      <c r="AW25" s="36">
        <f t="shared" si="25"/>
        <v>22308.957864937238</v>
      </c>
      <c r="AX25" s="36">
        <f t="shared" si="25"/>
        <v>18487.458112622851</v>
      </c>
      <c r="AY25" s="36">
        <f t="shared" si="25"/>
        <v>20684.476315347856</v>
      </c>
      <c r="AZ25" s="36">
        <f t="shared" si="25"/>
        <v>19853.355657451644</v>
      </c>
      <c r="BA25" s="36">
        <f t="shared" si="25"/>
        <v>22280.376016087735</v>
      </c>
      <c r="BB25" s="36">
        <f t="shared" si="25"/>
        <v>17793.505982758565</v>
      </c>
      <c r="BC25" s="36">
        <f t="shared" si="25"/>
        <v>22625.614469644526</v>
      </c>
      <c r="BD25" s="36">
        <f t="shared" si="25"/>
        <v>24507.865875270134</v>
      </c>
      <c r="BE25" s="36">
        <f t="shared" si="25"/>
        <v>23850.669149371843</v>
      </c>
      <c r="BF25" s="36">
        <f t="shared" si="25"/>
        <v>24566.064960627493</v>
      </c>
      <c r="BG25" s="36">
        <f t="shared" si="25"/>
        <v>23186.870078042677</v>
      </c>
      <c r="BH25" s="36">
        <f t="shared" si="25"/>
        <v>13307.608004289899</v>
      </c>
      <c r="BI25" s="36">
        <f t="shared" si="25"/>
        <v>25525.657880583862</v>
      </c>
      <c r="BJ25" s="36">
        <f t="shared" si="25"/>
        <v>21156.374155914262</v>
      </c>
      <c r="BK25" s="36">
        <f t="shared" si="25"/>
        <v>23605.899807928414</v>
      </c>
      <c r="BL25" s="36">
        <f t="shared" si="25"/>
        <v>22659.210506423045</v>
      </c>
      <c r="BM25" s="36">
        <f t="shared" si="25"/>
        <v>25440.976714518205</v>
      </c>
      <c r="BN25" s="36">
        <f t="shared" si="25"/>
        <v>20294.283754094453</v>
      </c>
      <c r="BO25" s="36">
        <f t="shared" ref="BO25:CT25" si="26">SUM(BO18:BO24)</f>
        <v>25833.297355884777</v>
      </c>
      <c r="BP25" s="36">
        <f t="shared" si="26"/>
        <v>28002.586773343497</v>
      </c>
      <c r="BQ25" s="36">
        <f t="shared" si="26"/>
        <v>27238.389218137225</v>
      </c>
      <c r="BR25" s="36">
        <f t="shared" si="26"/>
        <v>28054.356495969376</v>
      </c>
      <c r="BS25" s="36">
        <f t="shared" si="26"/>
        <v>26474.14352972811</v>
      </c>
      <c r="BT25" s="36">
        <f t="shared" si="26"/>
        <v>15138.022330629306</v>
      </c>
      <c r="BU25" s="36">
        <f t="shared" si="26"/>
        <v>28815.305880845921</v>
      </c>
      <c r="BV25" s="36">
        <f t="shared" si="26"/>
        <v>23878.055488733782</v>
      </c>
      <c r="BW25" s="36">
        <f t="shared" si="26"/>
        <v>26621.938835505287</v>
      </c>
      <c r="BX25" s="36">
        <f t="shared" si="26"/>
        <v>25557.824731725374</v>
      </c>
      <c r="BY25" s="36">
        <f t="shared" si="26"/>
        <v>28704.590318406219</v>
      </c>
      <c r="BZ25" s="36">
        <f t="shared" si="26"/>
        <v>22877.999127467487</v>
      </c>
      <c r="CA25" s="36">
        <f t="shared" si="26"/>
        <v>29144.505571273479</v>
      </c>
      <c r="CB25" s="36">
        <f t="shared" si="26"/>
        <v>31612.121531551322</v>
      </c>
      <c r="CC25" s="36">
        <f t="shared" si="26"/>
        <v>30735.083619263565</v>
      </c>
      <c r="CD25" s="36">
        <f t="shared" si="26"/>
        <v>31653.52648527495</v>
      </c>
      <c r="CE25" s="36">
        <f t="shared" si="26"/>
        <v>29866.628873871417</v>
      </c>
      <c r="CF25" s="36">
        <f t="shared" si="26"/>
        <v>17028.312513758603</v>
      </c>
      <c r="CG25" s="36">
        <f t="shared" si="26"/>
        <v>32518.340054679054</v>
      </c>
      <c r="CH25" s="36">
        <f t="shared" si="26"/>
        <v>26952.489346530489</v>
      </c>
      <c r="CI25" s="36">
        <f t="shared" si="26"/>
        <v>30039.185270681497</v>
      </c>
      <c r="CJ25" s="36">
        <f t="shared" si="26"/>
        <v>28837.660609400584</v>
      </c>
      <c r="CK25" s="36">
        <f t="shared" si="26"/>
        <v>32399.45890975255</v>
      </c>
      <c r="CL25" s="36">
        <f t="shared" si="26"/>
        <v>25802.401125356839</v>
      </c>
      <c r="CM25" s="36">
        <f t="shared" si="26"/>
        <v>32895.71626763339</v>
      </c>
      <c r="CN25" s="36">
        <f t="shared" si="26"/>
        <v>35694.712128962718</v>
      </c>
      <c r="CO25" s="36">
        <f t="shared" si="26"/>
        <v>34696.56392150421</v>
      </c>
      <c r="CP25" s="36">
        <f t="shared" si="26"/>
        <v>35734.157309806047</v>
      </c>
      <c r="CQ25" s="36">
        <f t="shared" si="26"/>
        <v>33711.866754867384</v>
      </c>
      <c r="CR25" s="36">
        <f t="shared" si="26"/>
        <v>19173.894331442712</v>
      </c>
      <c r="CS25" s="36">
        <f t="shared" si="26"/>
        <v>36713.803582602632</v>
      </c>
      <c r="CT25" s="36">
        <f t="shared" si="26"/>
        <v>30422.329070333148</v>
      </c>
      <c r="CU25" s="36">
        <f t="shared" ref="CU25:DZ25" si="27">SUM(CU18:CU24)</f>
        <v>33913.21080406502</v>
      </c>
      <c r="CV25" s="36">
        <f t="shared" si="27"/>
        <v>32556.657265616901</v>
      </c>
      <c r="CW25" s="36">
        <f t="shared" si="27"/>
        <v>36588.020833968963</v>
      </c>
      <c r="CX25" s="36">
        <f t="shared" si="27"/>
        <v>29118.966997290725</v>
      </c>
      <c r="CY25" s="36">
        <f t="shared" si="27"/>
        <v>37147.773747310974</v>
      </c>
      <c r="CZ25" s="36">
        <f t="shared" si="27"/>
        <v>40322.570609164766</v>
      </c>
      <c r="DA25" s="36">
        <f t="shared" si="27"/>
        <v>39186.591166968567</v>
      </c>
      <c r="DB25" s="36">
        <f t="shared" si="27"/>
        <v>40358.695743628334</v>
      </c>
      <c r="DC25" s="36">
        <f t="shared" si="27"/>
        <v>38070.125414148206</v>
      </c>
      <c r="DD25" s="36">
        <f t="shared" si="27"/>
        <v>21608.224230342585</v>
      </c>
      <c r="DE25" s="36">
        <f t="shared" si="27"/>
        <v>41727.53332961553</v>
      </c>
      <c r="DF25" s="36">
        <f t="shared" si="27"/>
        <v>34575.527863927171</v>
      </c>
    </row>
    <row r="27" spans="1:112" ht="13.8" x14ac:dyDescent="0.3">
      <c r="A27" s="33" t="s">
        <v>112</v>
      </c>
      <c r="B27" s="47" t="s">
        <v>155</v>
      </c>
      <c r="C27" s="36">
        <f t="shared" ref="C27:AH27" si="28">C15-C25</f>
        <v>-1935.2702354423982</v>
      </c>
      <c r="D27" s="36">
        <f t="shared" si="28"/>
        <v>-2536.6532973698859</v>
      </c>
      <c r="E27" s="36">
        <f t="shared" si="28"/>
        <v>321.35425641868096</v>
      </c>
      <c r="F27" s="36">
        <f t="shared" si="28"/>
        <v>1822.3758862044288</v>
      </c>
      <c r="G27" s="36">
        <f t="shared" si="28"/>
        <v>-368.47221969103157</v>
      </c>
      <c r="H27" s="36">
        <f t="shared" si="28"/>
        <v>-3378.1735601552064</v>
      </c>
      <c r="I27" s="36">
        <f t="shared" si="28"/>
        <v>-1470.1213794233172</v>
      </c>
      <c r="J27" s="36">
        <f t="shared" si="28"/>
        <v>1439.9240304465602</v>
      </c>
      <c r="K27" s="36">
        <f t="shared" si="28"/>
        <v>242.49311081749875</v>
      </c>
      <c r="L27" s="36">
        <f t="shared" si="28"/>
        <v>5734.5084219900764</v>
      </c>
      <c r="M27" s="36">
        <f t="shared" si="28"/>
        <v>-1782.1431994739814</v>
      </c>
      <c r="N27" s="36">
        <f t="shared" si="28"/>
        <v>-4458.583835974192</v>
      </c>
      <c r="O27" s="36">
        <f t="shared" si="28"/>
        <v>-401.23041421677226</v>
      </c>
      <c r="P27" s="36">
        <f t="shared" si="28"/>
        <v>-2111.9036507262754</v>
      </c>
      <c r="Q27" s="36">
        <f t="shared" si="28"/>
        <v>191.40902624199407</v>
      </c>
      <c r="R27" s="36">
        <f t="shared" si="28"/>
        <v>1930.1111214610846</v>
      </c>
      <c r="S27" s="36">
        <f t="shared" si="28"/>
        <v>-485.57460018507481</v>
      </c>
      <c r="T27" s="36">
        <f t="shared" si="28"/>
        <v>-3767.2296629513967</v>
      </c>
      <c r="U27" s="36">
        <f t="shared" si="28"/>
        <v>-1310.4177868171118</v>
      </c>
      <c r="V27" s="36">
        <f t="shared" si="28"/>
        <v>14.477732964305687</v>
      </c>
      <c r="W27" s="36">
        <f t="shared" si="28"/>
        <v>857.59427193130614</v>
      </c>
      <c r="X27" s="36">
        <f t="shared" si="28"/>
        <v>7486.5465660694008</v>
      </c>
      <c r="Y27" s="36">
        <f t="shared" si="28"/>
        <v>-1307.7937033893122</v>
      </c>
      <c r="Z27" s="36">
        <f t="shared" si="28"/>
        <v>-4114.3160278865653</v>
      </c>
      <c r="AA27" s="36">
        <f t="shared" si="28"/>
        <v>-171.46601634953186</v>
      </c>
      <c r="AB27" s="36">
        <f t="shared" si="28"/>
        <v>-170.5967747393297</v>
      </c>
      <c r="AC27" s="36">
        <f t="shared" si="28"/>
        <v>-1138.3521512039133</v>
      </c>
      <c r="AD27" s="36">
        <f t="shared" si="28"/>
        <v>1924.2049115943555</v>
      </c>
      <c r="AE27" s="36">
        <f t="shared" si="28"/>
        <v>-236.46525056346218</v>
      </c>
      <c r="AF27" s="36">
        <f t="shared" si="28"/>
        <v>-4188.2286755055284</v>
      </c>
      <c r="AG27" s="36">
        <f t="shared" si="28"/>
        <v>-1293.5036185797289</v>
      </c>
      <c r="AH27" s="36">
        <f t="shared" si="28"/>
        <v>184.2595182506775</v>
      </c>
      <c r="AI27" s="36">
        <f t="shared" ref="AI27:BN27" si="29">AI15-AI25</f>
        <v>1176.0820519588233</v>
      </c>
      <c r="AJ27" s="36">
        <f t="shared" si="29"/>
        <v>8924.0183762615434</v>
      </c>
      <c r="AK27" s="36">
        <f t="shared" si="29"/>
        <v>-1198.9581216760525</v>
      </c>
      <c r="AL27" s="36">
        <f t="shared" si="29"/>
        <v>-4555.7390649502831</v>
      </c>
      <c r="AM27" s="36">
        <f t="shared" si="29"/>
        <v>73.47000234326697</v>
      </c>
      <c r="AN27" s="36">
        <f t="shared" si="29"/>
        <v>-2382.400317537169</v>
      </c>
      <c r="AO27" s="36">
        <f t="shared" si="29"/>
        <v>780.58692459422309</v>
      </c>
      <c r="AP27" s="36">
        <f t="shared" si="29"/>
        <v>3075.7762007744586</v>
      </c>
      <c r="AQ27" s="36">
        <f t="shared" si="29"/>
        <v>1.5220090228467598</v>
      </c>
      <c r="AR27" s="36">
        <f t="shared" si="29"/>
        <v>-4593.0584803550009</v>
      </c>
      <c r="AS27" s="36">
        <f t="shared" si="29"/>
        <v>-1219.4655715611589</v>
      </c>
      <c r="AT27" s="36">
        <f t="shared" si="29"/>
        <v>511.24004488397986</v>
      </c>
      <c r="AU27" s="36">
        <f t="shared" si="29"/>
        <v>1653.8353023309282</v>
      </c>
      <c r="AV27" s="36">
        <f t="shared" si="29"/>
        <v>10599.084234579546</v>
      </c>
      <c r="AW27" s="36">
        <f t="shared" si="29"/>
        <v>-1005.5470964584783</v>
      </c>
      <c r="AX27" s="36">
        <f t="shared" si="29"/>
        <v>-4980.7106648816334</v>
      </c>
      <c r="AY27" s="36">
        <f t="shared" si="29"/>
        <v>396.01456829970994</v>
      </c>
      <c r="AZ27" s="36">
        <f t="shared" si="29"/>
        <v>-2481.3713209152484</v>
      </c>
      <c r="BA27" s="36">
        <f t="shared" si="29"/>
        <v>1212.1080028831821</v>
      </c>
      <c r="BB27" s="36">
        <f t="shared" si="29"/>
        <v>3829.7116614947117</v>
      </c>
      <c r="BC27" s="36">
        <f t="shared" si="29"/>
        <v>316.67189350346962</v>
      </c>
      <c r="BD27" s="36">
        <f t="shared" si="29"/>
        <v>-5007.6579838171019</v>
      </c>
      <c r="BE27" s="36">
        <f t="shared" si="29"/>
        <v>-1087.2869816451348</v>
      </c>
      <c r="BF27" s="36">
        <f t="shared" si="29"/>
        <v>933.54565545733931</v>
      </c>
      <c r="BG27" s="36">
        <f t="shared" si="29"/>
        <v>2242.8204502171357</v>
      </c>
      <c r="BH27" s="36">
        <f t="shared" si="29"/>
        <v>12525.939468021939</v>
      </c>
      <c r="BI27" s="36">
        <f t="shared" si="29"/>
        <v>-789.09384934941409</v>
      </c>
      <c r="BJ27" s="36">
        <f t="shared" si="29"/>
        <v>-5475.7883822150961</v>
      </c>
      <c r="BK27" s="36">
        <f t="shared" si="29"/>
        <v>786.28549455623943</v>
      </c>
      <c r="BL27" s="36">
        <f t="shared" si="29"/>
        <v>-2568.1719673330554</v>
      </c>
      <c r="BM27" s="36">
        <f t="shared" si="29"/>
        <v>1717.9482491072995</v>
      </c>
      <c r="BN27" s="36">
        <f t="shared" si="29"/>
        <v>4704.8197744582394</v>
      </c>
      <c r="BO27" s="36">
        <f t="shared" ref="BO27:CT27" si="30">BO15-BO25</f>
        <v>692.54243771995607</v>
      </c>
      <c r="BP27" s="36">
        <f t="shared" si="30"/>
        <v>-5458.4756346444046</v>
      </c>
      <c r="BQ27" s="36">
        <f t="shared" si="30"/>
        <v>-918.88758578162742</v>
      </c>
      <c r="BR27" s="36">
        <f t="shared" si="30"/>
        <v>1428.5466616096091</v>
      </c>
      <c r="BS27" s="36">
        <f t="shared" si="30"/>
        <v>2926.6119332021117</v>
      </c>
      <c r="BT27" s="36">
        <f t="shared" si="30"/>
        <v>14729.944714616237</v>
      </c>
      <c r="BU27" s="36">
        <f t="shared" si="30"/>
        <v>-216.15271630218922</v>
      </c>
      <c r="BV27" s="36">
        <f t="shared" si="30"/>
        <v>-5752.2425819723867</v>
      </c>
      <c r="BW27" s="36">
        <f t="shared" si="30"/>
        <v>1274.3264866082027</v>
      </c>
      <c r="BX27" s="36">
        <f t="shared" si="30"/>
        <v>1103.3462898013422</v>
      </c>
      <c r="BY27" s="36">
        <f t="shared" si="30"/>
        <v>-517.69852242759225</v>
      </c>
      <c r="BZ27" s="36">
        <f t="shared" si="30"/>
        <v>4731.5298064045273</v>
      </c>
      <c r="CA27" s="36">
        <f t="shared" si="30"/>
        <v>1126.3007037883654</v>
      </c>
      <c r="CB27" s="36">
        <f t="shared" si="30"/>
        <v>-5887.471865993597</v>
      </c>
      <c r="CC27" s="36">
        <f t="shared" si="30"/>
        <v>-699.16519773856271</v>
      </c>
      <c r="CD27" s="36">
        <f t="shared" si="30"/>
        <v>1992.155415806239</v>
      </c>
      <c r="CE27" s="36">
        <f t="shared" si="30"/>
        <v>3683.8200630498068</v>
      </c>
      <c r="CF27" s="36">
        <f t="shared" si="30"/>
        <v>17055.620392608253</v>
      </c>
      <c r="CG27" s="36">
        <f t="shared" si="30"/>
        <v>117.09530055426512</v>
      </c>
      <c r="CH27" s="36">
        <f t="shared" si="30"/>
        <v>-6272.2632073441964</v>
      </c>
      <c r="CI27" s="36">
        <f t="shared" si="30"/>
        <v>1798.4937566284352</v>
      </c>
      <c r="CJ27" s="36">
        <f t="shared" si="30"/>
        <v>-2654.4953732593785</v>
      </c>
      <c r="CK27" s="36">
        <f t="shared" si="30"/>
        <v>2961.5352846944406</v>
      </c>
      <c r="CL27" s="36">
        <f t="shared" si="30"/>
        <v>6749.5609791751194</v>
      </c>
      <c r="CM27" s="36">
        <f t="shared" si="30"/>
        <v>1648.7406437388854</v>
      </c>
      <c r="CN27" s="36">
        <f t="shared" si="30"/>
        <v>-6340.8377273444421</v>
      </c>
      <c r="CO27" s="36">
        <f t="shared" si="30"/>
        <v>-419.494241836539</v>
      </c>
      <c r="CP27" s="36">
        <f t="shared" si="30"/>
        <v>2662.0164810694114</v>
      </c>
      <c r="CQ27" s="36">
        <f t="shared" si="30"/>
        <v>4573.9350216888779</v>
      </c>
      <c r="CR27" s="36">
        <f t="shared" si="30"/>
        <v>19721.062723072606</v>
      </c>
      <c r="CS27" s="36">
        <f t="shared" si="30"/>
        <v>527.52957468829845</v>
      </c>
      <c r="CT27" s="36">
        <f t="shared" si="30"/>
        <v>-6827.7199266155112</v>
      </c>
      <c r="CU27" s="36">
        <f t="shared" ref="CU27:DF27" si="31">CU15-CU25</f>
        <v>2422.7109655829263</v>
      </c>
      <c r="CV27" s="36">
        <f t="shared" si="31"/>
        <v>-2673.3345946791305</v>
      </c>
      <c r="CW27" s="36">
        <f t="shared" si="31"/>
        <v>3760.7080753805785</v>
      </c>
      <c r="CX27" s="36">
        <f t="shared" si="31"/>
        <v>8026.2522824058869</v>
      </c>
      <c r="CY27" s="36">
        <f t="shared" si="31"/>
        <v>2273.6481755474379</v>
      </c>
      <c r="CZ27" s="36">
        <f t="shared" si="31"/>
        <v>-6827.4916788339251</v>
      </c>
      <c r="DA27" s="36">
        <f t="shared" si="31"/>
        <v>-69.551877940168197</v>
      </c>
      <c r="DB27" s="36">
        <f t="shared" si="31"/>
        <v>3458.6523009226003</v>
      </c>
      <c r="DC27" s="36">
        <f t="shared" si="31"/>
        <v>5619.3391979772568</v>
      </c>
      <c r="DD27" s="36">
        <f t="shared" si="31"/>
        <v>22776.798648837972</v>
      </c>
      <c r="DE27" s="36">
        <f t="shared" si="31"/>
        <v>769.69448134655977</v>
      </c>
      <c r="DF27" s="36">
        <f t="shared" si="31"/>
        <v>-7655.8409067374705</v>
      </c>
    </row>
    <row r="28" spans="1:112" ht="13.8" x14ac:dyDescent="0.3">
      <c r="A28" s="28" t="s">
        <v>113</v>
      </c>
      <c r="C28" s="31">
        <f t="shared" ref="C28:AH28" si="32">IF(C15=0,0,C27/C15)</f>
        <v>-0.21211246753479843</v>
      </c>
      <c r="D28" s="31">
        <f t="shared" si="32"/>
        <v>-0.31457250784855045</v>
      </c>
      <c r="E28" s="31">
        <f t="shared" si="32"/>
        <v>2.6477839653614339E-2</v>
      </c>
      <c r="F28" s="31">
        <f t="shared" si="32"/>
        <v>0.1611511793130625</v>
      </c>
      <c r="G28" s="31">
        <f t="shared" si="32"/>
        <v>-3.1452376379111358E-2</v>
      </c>
      <c r="H28" s="31">
        <f t="shared" si="32"/>
        <v>-0.32863116787941415</v>
      </c>
      <c r="I28" s="31">
        <f t="shared" si="32"/>
        <v>-0.12927971897644081</v>
      </c>
      <c r="J28" s="31">
        <f t="shared" si="32"/>
        <v>9.7253066672105495E-2</v>
      </c>
      <c r="K28" s="31">
        <f t="shared" si="32"/>
        <v>1.8785596207984794E-2</v>
      </c>
      <c r="L28" s="31">
        <f t="shared" si="32"/>
        <v>0.43800047986137791</v>
      </c>
      <c r="M28" s="31">
        <f t="shared" si="32"/>
        <v>-0.13825577012217161</v>
      </c>
      <c r="N28" s="31">
        <f t="shared" si="32"/>
        <v>-0.54802010817049795</v>
      </c>
      <c r="O28" s="31">
        <f t="shared" si="32"/>
        <v>-3.0414221901287921E-2</v>
      </c>
      <c r="P28" s="31">
        <f t="shared" si="32"/>
        <v>-0.19320331577682767</v>
      </c>
      <c r="Q28" s="31">
        <f t="shared" si="32"/>
        <v>1.2918450823406244E-2</v>
      </c>
      <c r="R28" s="31">
        <f t="shared" si="32"/>
        <v>0.14154698754003237</v>
      </c>
      <c r="S28" s="31">
        <f t="shared" si="32"/>
        <v>-3.3569373559895171E-2</v>
      </c>
      <c r="T28" s="31">
        <f t="shared" si="32"/>
        <v>-0.30633079252455853</v>
      </c>
      <c r="U28" s="31">
        <f t="shared" si="32"/>
        <v>-9.1319271717607828E-2</v>
      </c>
      <c r="V28" s="31">
        <f t="shared" si="32"/>
        <v>8.9704260217724147E-4</v>
      </c>
      <c r="W28" s="31">
        <f t="shared" si="32"/>
        <v>5.3324848456395332E-2</v>
      </c>
      <c r="X28" s="31">
        <f t="shared" si="32"/>
        <v>0.45960932326268583</v>
      </c>
      <c r="Y28" s="31">
        <f t="shared" si="32"/>
        <v>-8.3843165934388106E-2</v>
      </c>
      <c r="Z28" s="31">
        <f t="shared" si="32"/>
        <v>-0.41587857510943627</v>
      </c>
      <c r="AA28" s="31">
        <f t="shared" si="32"/>
        <v>-1.1031992664973162E-2</v>
      </c>
      <c r="AB28" s="31">
        <f t="shared" si="32"/>
        <v>-1.1440493735738265E-2</v>
      </c>
      <c r="AC28" s="31">
        <f t="shared" si="32"/>
        <v>-7.2155211372814179E-2</v>
      </c>
      <c r="AD28" s="31">
        <f t="shared" si="32"/>
        <v>0.12451126626884156</v>
      </c>
      <c r="AE28" s="31">
        <f t="shared" si="32"/>
        <v>-1.3957796901154295E-2</v>
      </c>
      <c r="AF28" s="31">
        <f t="shared" si="32"/>
        <v>-0.29080375846633721</v>
      </c>
      <c r="AG28" s="31">
        <f t="shared" si="32"/>
        <v>-7.6954497256441712E-2</v>
      </c>
      <c r="AH28" s="31">
        <f t="shared" si="32"/>
        <v>9.7856832461116622E-3</v>
      </c>
      <c r="AI28" s="31">
        <f t="shared" ref="AI28:BN28" si="33">IF(AI15=0,0,AI27/AI15)</f>
        <v>6.2625706056616937E-2</v>
      </c>
      <c r="AJ28" s="31">
        <f t="shared" si="33"/>
        <v>0.46777921755646595</v>
      </c>
      <c r="AK28" s="31">
        <f t="shared" si="33"/>
        <v>-6.5631672676041863E-2</v>
      </c>
      <c r="AL28" s="31">
        <f t="shared" si="33"/>
        <v>-0.39326725712105015</v>
      </c>
      <c r="AM28" s="31">
        <f t="shared" si="33"/>
        <v>4.0501790347927027E-3</v>
      </c>
      <c r="AN28" s="31">
        <f t="shared" si="33"/>
        <v>-0.15929217662520748</v>
      </c>
      <c r="AO28" s="31">
        <f t="shared" si="33"/>
        <v>3.8579122400028101E-2</v>
      </c>
      <c r="AP28" s="31">
        <f t="shared" si="33"/>
        <v>0.16516382942678495</v>
      </c>
      <c r="AQ28" s="31">
        <f t="shared" si="33"/>
        <v>7.7035241701601547E-5</v>
      </c>
      <c r="AR28" s="31">
        <f t="shared" si="33"/>
        <v>-0.273484681186001</v>
      </c>
      <c r="AS28" s="31">
        <f t="shared" si="33"/>
        <v>-6.220855537796148E-2</v>
      </c>
      <c r="AT28" s="31">
        <f t="shared" si="33"/>
        <v>2.3281153503866697E-2</v>
      </c>
      <c r="AU28" s="31">
        <f t="shared" si="33"/>
        <v>7.5517054114855833E-2</v>
      </c>
      <c r="AV28" s="31">
        <f t="shared" si="33"/>
        <v>0.47641163804423847</v>
      </c>
      <c r="AW28" s="31">
        <f t="shared" si="33"/>
        <v>-4.7201225540199392E-2</v>
      </c>
      <c r="AX28" s="31">
        <f t="shared" si="33"/>
        <v>-0.36875722183689574</v>
      </c>
      <c r="AY28" s="31">
        <f t="shared" si="33"/>
        <v>1.8785832383386481E-2</v>
      </c>
      <c r="AZ28" s="31">
        <f t="shared" si="33"/>
        <v>-0.14283752925660195</v>
      </c>
      <c r="BA28" s="31">
        <f t="shared" si="33"/>
        <v>5.1595565709627249E-2</v>
      </c>
      <c r="BB28" s="31">
        <f t="shared" si="33"/>
        <v>0.17711109070358547</v>
      </c>
      <c r="BC28" s="31">
        <f t="shared" si="33"/>
        <v>1.3802978852715267E-2</v>
      </c>
      <c r="BD28" s="31">
        <f t="shared" si="33"/>
        <v>-0.25680023575604882</v>
      </c>
      <c r="BE28" s="31">
        <f t="shared" si="33"/>
        <v>-4.7764737842281635E-2</v>
      </c>
      <c r="BF28" s="31">
        <f t="shared" si="33"/>
        <v>3.6610192583429901E-2</v>
      </c>
      <c r="BG28" s="31">
        <f t="shared" si="33"/>
        <v>8.8196922716173326E-2</v>
      </c>
      <c r="BH28" s="31">
        <f t="shared" si="33"/>
        <v>0.48487105696370686</v>
      </c>
      <c r="BI28" s="31">
        <f t="shared" si="33"/>
        <v>-3.1899897186732903E-2</v>
      </c>
      <c r="BJ28" s="31">
        <f t="shared" si="33"/>
        <v>-0.34920815212143169</v>
      </c>
      <c r="BK28" s="31">
        <f t="shared" si="33"/>
        <v>3.2235139443457177E-2</v>
      </c>
      <c r="BL28" s="31">
        <f t="shared" si="33"/>
        <v>-0.12782674038160394</v>
      </c>
      <c r="BM28" s="31">
        <f t="shared" si="33"/>
        <v>6.3255384791856897E-2</v>
      </c>
      <c r="BN28" s="31">
        <f t="shared" si="33"/>
        <v>0.18819953959887545</v>
      </c>
      <c r="BO28" s="31">
        <f t="shared" ref="BO28:CT28" si="34">IF(BO15=0,0,BO27/BO15)</f>
        <v>2.6108219121753314E-2</v>
      </c>
      <c r="BP28" s="31">
        <f t="shared" si="34"/>
        <v>-0.24212423373279138</v>
      </c>
      <c r="BQ28" s="31">
        <f t="shared" si="34"/>
        <v>-3.4912803388799839E-2</v>
      </c>
      <c r="BR28" s="31">
        <f t="shared" si="34"/>
        <v>4.8453391919186954E-2</v>
      </c>
      <c r="BS28" s="31">
        <f t="shared" si="34"/>
        <v>9.9542065743586552E-2</v>
      </c>
      <c r="BT28" s="31">
        <f t="shared" si="34"/>
        <v>0.49316864091561885</v>
      </c>
      <c r="BU28" s="31">
        <f t="shared" si="34"/>
        <v>-7.5580110732148559E-3</v>
      </c>
      <c r="BV28" s="31">
        <f t="shared" si="34"/>
        <v>-0.31735087477520263</v>
      </c>
      <c r="BW28" s="31">
        <f t="shared" si="34"/>
        <v>4.5680899285039371E-2</v>
      </c>
      <c r="BX28" s="31">
        <f t="shared" si="34"/>
        <v>4.1384014562244109E-2</v>
      </c>
      <c r="BY28" s="31">
        <f t="shared" si="34"/>
        <v>-1.8366640996629907E-2</v>
      </c>
      <c r="BZ28" s="31">
        <f t="shared" si="34"/>
        <v>0.17137307259885104</v>
      </c>
      <c r="CA28" s="31">
        <f t="shared" si="34"/>
        <v>3.7207489405931403E-2</v>
      </c>
      <c r="CB28" s="31">
        <f t="shared" si="34"/>
        <v>-0.22886499690124948</v>
      </c>
      <c r="CC28" s="31">
        <f t="shared" si="34"/>
        <v>-2.3277636725684791E-2</v>
      </c>
      <c r="CD28" s="31">
        <f t="shared" si="34"/>
        <v>5.9209839219879865E-2</v>
      </c>
      <c r="CE28" s="31">
        <f t="shared" si="34"/>
        <v>0.10979942682662221</v>
      </c>
      <c r="CF28" s="31">
        <f t="shared" si="34"/>
        <v>0.5004005975326361</v>
      </c>
      <c r="CG28" s="31">
        <f t="shared" si="34"/>
        <v>3.5879803434424869E-3</v>
      </c>
      <c r="CH28" s="31">
        <f t="shared" si="34"/>
        <v>-0.30329761217935075</v>
      </c>
      <c r="CI28" s="31">
        <f t="shared" si="34"/>
        <v>5.6489474470978601E-2</v>
      </c>
      <c r="CJ28" s="31">
        <f t="shared" si="34"/>
        <v>-0.10138175997130093</v>
      </c>
      <c r="CK28" s="31">
        <f t="shared" si="34"/>
        <v>8.37514711382044E-2</v>
      </c>
      <c r="CL28" s="31">
        <f t="shared" si="34"/>
        <v>0.20734728547239953</v>
      </c>
      <c r="CM28" s="31">
        <f t="shared" si="34"/>
        <v>4.7728081178665414E-2</v>
      </c>
      <c r="CN28" s="31">
        <f t="shared" si="34"/>
        <v>-0.21601365600293201</v>
      </c>
      <c r="CO28" s="31">
        <f t="shared" si="34"/>
        <v>-1.223833442464228E-2</v>
      </c>
      <c r="CP28" s="31">
        <f t="shared" si="34"/>
        <v>6.9330253987495441E-2</v>
      </c>
      <c r="CQ28" s="31">
        <f t="shared" si="34"/>
        <v>0.11946817904933256</v>
      </c>
      <c r="CR28" s="31">
        <f t="shared" si="34"/>
        <v>0.5070339246147384</v>
      </c>
      <c r="CS28" s="31">
        <f t="shared" si="34"/>
        <v>1.4165163541816473E-2</v>
      </c>
      <c r="CT28" s="31">
        <f t="shared" si="34"/>
        <v>-0.28937626747817852</v>
      </c>
      <c r="CU28" s="31">
        <f t="shared" ref="CU28:DZ28" si="35">IF(CU15=0,0,CU27/CU15)</f>
        <v>6.6675368274451224E-2</v>
      </c>
      <c r="CV28" s="31">
        <f t="shared" si="35"/>
        <v>-8.9459081378491123E-2</v>
      </c>
      <c r="CW28" s="31">
        <f t="shared" si="35"/>
        <v>9.3205118898036801E-2</v>
      </c>
      <c r="CX28" s="31">
        <f t="shared" si="35"/>
        <v>0.21607766592975791</v>
      </c>
      <c r="CY28" s="31">
        <f t="shared" si="35"/>
        <v>5.7675448135701787E-2</v>
      </c>
      <c r="CZ28" s="31">
        <f t="shared" si="35"/>
        <v>-0.20383566472660011</v>
      </c>
      <c r="DA28" s="31">
        <f t="shared" si="35"/>
        <v>-1.778045557749464E-3</v>
      </c>
      <c r="DB28" s="31">
        <f t="shared" si="35"/>
        <v>7.8933400930746508E-2</v>
      </c>
      <c r="DC28" s="31">
        <f t="shared" si="35"/>
        <v>0.12862000594115039</v>
      </c>
      <c r="DD28" s="31">
        <f t="shared" si="35"/>
        <v>0.51316406236486956</v>
      </c>
      <c r="DE28" s="31">
        <f t="shared" si="35"/>
        <v>1.811163977025387E-2</v>
      </c>
      <c r="DF28" s="31">
        <f t="shared" si="35"/>
        <v>-0.2843956142176739</v>
      </c>
    </row>
    <row r="30" spans="1:112" ht="13.8" x14ac:dyDescent="0.3">
      <c r="A30" s="26" t="s">
        <v>114</v>
      </c>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row>
    <row r="31" spans="1:112" ht="13.8" x14ac:dyDescent="0.3">
      <c r="A31" s="16" t="s">
        <v>115</v>
      </c>
      <c r="B31" s="41" t="s">
        <v>156</v>
      </c>
      <c r="C31" s="17">
        <f>C61*Inversiones!$B$16/1000</f>
        <v>0</v>
      </c>
      <c r="D31" s="17">
        <f>D61*Inversiones!$B$16/1000</f>
        <v>0</v>
      </c>
      <c r="E31" s="17">
        <f>E61*Inversiones!$B$16/1000</f>
        <v>0</v>
      </c>
      <c r="F31" s="17">
        <f>F61*Inversiones!$B$16/1000</f>
        <v>0</v>
      </c>
      <c r="G31" s="17">
        <f>G61*Inversiones!$B$16/1000</f>
        <v>0</v>
      </c>
      <c r="H31" s="17">
        <f>H61*Inversiones!$B$16/1000</f>
        <v>0</v>
      </c>
      <c r="I31" s="17">
        <f>I61*Inversiones!$B$16/1000</f>
        <v>0</v>
      </c>
      <c r="J31" s="17">
        <f>J61*Inversiones!$B$16/1000</f>
        <v>0</v>
      </c>
      <c r="K31" s="17">
        <f>K61*Inversiones!$B$16/1000</f>
        <v>0</v>
      </c>
      <c r="L31" s="17">
        <f>L61*Inversiones!$B$16/1000</f>
        <v>0</v>
      </c>
      <c r="M31" s="17">
        <f>M61*Inversiones!$B$16/1000</f>
        <v>2070</v>
      </c>
      <c r="N31" s="17">
        <f>N61*Inversiones!$B$16/1000</f>
        <v>0</v>
      </c>
      <c r="O31" s="17">
        <f>O61*Inversiones!$C$16/1000</f>
        <v>1440</v>
      </c>
      <c r="P31" s="17">
        <f>P61*Inversiones!$C$16/1000</f>
        <v>0</v>
      </c>
      <c r="Q31" s="17">
        <f>Q61*Inversiones!$C$16/1000</f>
        <v>0</v>
      </c>
      <c r="R31" s="17">
        <f>R61*Inversiones!$C$16/1000</f>
        <v>0</v>
      </c>
      <c r="S31" s="17">
        <f>S61*Inversiones!$C$16/1000</f>
        <v>0</v>
      </c>
      <c r="T31" s="17">
        <f>T61*Inversiones!$C$16/1000</f>
        <v>0</v>
      </c>
      <c r="U31" s="17">
        <f>U61*Inversiones!$C$16/1000</f>
        <v>0</v>
      </c>
      <c r="V31" s="17">
        <f>V61*Inversiones!$C$16/1000</f>
        <v>0</v>
      </c>
      <c r="W31" s="17">
        <f>W61*Inversiones!$C$16/1000</f>
        <v>0</v>
      </c>
      <c r="X31" s="17">
        <f>X61*Inversiones!$C$16/1000</f>
        <v>0</v>
      </c>
      <c r="Y31" s="17">
        <f>Y61*Inversiones!$C$16/1000</f>
        <v>0</v>
      </c>
      <c r="Z31" s="17">
        <f>Z61*Inversiones!$C$16/1000</f>
        <v>0</v>
      </c>
      <c r="AA31" s="17">
        <f>AA61*Inversiones!$D$16/1000</f>
        <v>570</v>
      </c>
      <c r="AB31" s="17">
        <f>AB61*Inversiones!$D$16/1000</f>
        <v>0</v>
      </c>
      <c r="AC31" s="17">
        <f>AC61*Inversiones!$D$16/1000</f>
        <v>0</v>
      </c>
      <c r="AD31" s="17">
        <f>AD61*Inversiones!$D$16/1000</f>
        <v>0</v>
      </c>
      <c r="AE31" s="17">
        <f>AE61*Inversiones!$D$16/1000</f>
        <v>0</v>
      </c>
      <c r="AF31" s="17">
        <f>AF61*Inversiones!$D$16/1000</f>
        <v>0</v>
      </c>
      <c r="AG31" s="17">
        <f>AG61*Inversiones!$D$16/1000</f>
        <v>0</v>
      </c>
      <c r="AH31" s="17">
        <f>AH61*Inversiones!$D$16/1000</f>
        <v>0</v>
      </c>
      <c r="AI31" s="17">
        <f>AI61*Inversiones!$D$16/1000</f>
        <v>0</v>
      </c>
      <c r="AJ31" s="17">
        <f>AJ61*Inversiones!$D$16/1000</f>
        <v>0</v>
      </c>
      <c r="AK31" s="17">
        <f>AK61*Inversiones!$D$16/1000</f>
        <v>0</v>
      </c>
      <c r="AL31" s="17">
        <f>AL61*Inversiones!$D$16/1000</f>
        <v>0</v>
      </c>
      <c r="AM31" s="17">
        <f>AM61*Inversiones!$E$16/1000</f>
        <v>0</v>
      </c>
      <c r="AN31" s="17">
        <f>AN61*Inversiones!$E$16/1000</f>
        <v>0</v>
      </c>
      <c r="AO31" s="17">
        <f>AO61*Inversiones!$E$16/1000</f>
        <v>0</v>
      </c>
      <c r="AP31" s="17">
        <f>AP61*Inversiones!$E$16/1000</f>
        <v>0</v>
      </c>
      <c r="AQ31" s="17">
        <f>AQ61*Inversiones!$E$16/1000</f>
        <v>0</v>
      </c>
      <c r="AR31" s="17">
        <f>AR61*Inversiones!$E$16/1000</f>
        <v>0</v>
      </c>
      <c r="AS31" s="17">
        <f>AS61*Inversiones!$E$16/1000</f>
        <v>0</v>
      </c>
      <c r="AT31" s="17">
        <f>AT61*Inversiones!$E$16/1000</f>
        <v>0</v>
      </c>
      <c r="AU31" s="17">
        <f>AU61*Inversiones!$E$16/1000</f>
        <v>0</v>
      </c>
      <c r="AV31" s="17">
        <f>AV61*Inversiones!$E$16/1000</f>
        <v>0</v>
      </c>
      <c r="AW31" s="17">
        <f>AW61*Inversiones!$E$16/1000</f>
        <v>0</v>
      </c>
      <c r="AX31" s="17">
        <f>AX61*Inversiones!$E$16/1000</f>
        <v>0</v>
      </c>
      <c r="AY31" s="17">
        <f>AY61*Inversiones!$F$16/1000</f>
        <v>200</v>
      </c>
      <c r="AZ31" s="17">
        <f>AZ61*Inversiones!$F$16/1000</f>
        <v>0</v>
      </c>
      <c r="BA31" s="17">
        <f>BA61*Inversiones!$F$16/1000</f>
        <v>0</v>
      </c>
      <c r="BB31" s="17">
        <f>BB61*Inversiones!$F$16/1000</f>
        <v>0</v>
      </c>
      <c r="BC31" s="17">
        <f>BC61*Inversiones!$F$16/1000</f>
        <v>0</v>
      </c>
      <c r="BD31" s="17">
        <f>BD61*Inversiones!$F$16/1000</f>
        <v>0</v>
      </c>
      <c r="BE31" s="17">
        <f>BE61*Inversiones!$F$16/1000</f>
        <v>0</v>
      </c>
      <c r="BF31" s="17">
        <f>BF61*Inversiones!$F$16/1000</f>
        <v>0</v>
      </c>
      <c r="BG31" s="17">
        <f>BG61*Inversiones!$F$16/1000</f>
        <v>0</v>
      </c>
      <c r="BH31" s="17">
        <f>BH61*Inversiones!$F$16/1000</f>
        <v>0</v>
      </c>
      <c r="BI31" s="17">
        <f>BI61*Inversiones!$F$16/1000</f>
        <v>0</v>
      </c>
      <c r="BJ31" s="17">
        <f>BJ61*Inversiones!$F$16/1000</f>
        <v>0</v>
      </c>
      <c r="BK31" s="17">
        <f>BK61*Inversiones!$G$16/1000</f>
        <v>1050</v>
      </c>
      <c r="BL31" s="17">
        <f>BL61*Inversiones!$G$16/1000</f>
        <v>0</v>
      </c>
      <c r="BM31" s="17">
        <f>BM61*Inversiones!$G$16/1000</f>
        <v>0</v>
      </c>
      <c r="BN31" s="17">
        <f>BN61*Inversiones!$G$16/1000</f>
        <v>0</v>
      </c>
      <c r="BO31" s="17">
        <f>BO61*Inversiones!$G$16/1000</f>
        <v>0</v>
      </c>
      <c r="BP31" s="17">
        <f>BP61*Inversiones!$G$16/1000</f>
        <v>0</v>
      </c>
      <c r="BQ31" s="17">
        <f>BQ61*Inversiones!$G$16/1000</f>
        <v>0</v>
      </c>
      <c r="BR31" s="17">
        <f>BR61*Inversiones!$G$16/1000</f>
        <v>0</v>
      </c>
      <c r="BS31" s="17">
        <f>BS61*Inversiones!$G$16/1000</f>
        <v>0</v>
      </c>
      <c r="BT31" s="17">
        <f>BT61*Inversiones!$G$16/1000</f>
        <v>0</v>
      </c>
      <c r="BU31" s="17">
        <f>BU61*Inversiones!$G$16/1000</f>
        <v>0</v>
      </c>
      <c r="BV31" s="17">
        <f>BV61*Inversiones!$G$16/1000</f>
        <v>0</v>
      </c>
      <c r="BW31" s="17">
        <f>BW61*Inversiones!$H$16/1000</f>
        <v>0</v>
      </c>
      <c r="BX31" s="17">
        <f>BX61*Inversiones!$H$16/1000</f>
        <v>0</v>
      </c>
      <c r="BY31" s="17">
        <f>BY61*Inversiones!$H$16/1000</f>
        <v>0</v>
      </c>
      <c r="BZ31" s="17">
        <f>BZ61*Inversiones!$H$16/1000</f>
        <v>0</v>
      </c>
      <c r="CA31" s="17">
        <f>CA61*Inversiones!$H$16/1000</f>
        <v>0</v>
      </c>
      <c r="CB31" s="17">
        <f>CB61*Inversiones!$H$16/1000</f>
        <v>0</v>
      </c>
      <c r="CC31" s="17">
        <f>CC61*Inversiones!$H$16/1000</f>
        <v>0</v>
      </c>
      <c r="CD31" s="17">
        <f>CD61*Inversiones!$H$16/1000</f>
        <v>0</v>
      </c>
      <c r="CE31" s="17">
        <f>CE61*Inversiones!$H$16/1000</f>
        <v>0</v>
      </c>
      <c r="CF31" s="17">
        <f>CF61*Inversiones!$H$16/1000</f>
        <v>0</v>
      </c>
      <c r="CG31" s="17">
        <f>CG61*Inversiones!$H$16/1000</f>
        <v>0</v>
      </c>
      <c r="CH31" s="17">
        <f>CH61*Inversiones!$H$16/1000</f>
        <v>0</v>
      </c>
      <c r="CI31" s="17">
        <f>CI61*Inversiones!$I$16/1000</f>
        <v>0</v>
      </c>
      <c r="CJ31" s="17">
        <f>CJ61*Inversiones!$I$16/1000</f>
        <v>0</v>
      </c>
      <c r="CK31" s="17">
        <f>CK61*Inversiones!$I$16/1000</f>
        <v>0</v>
      </c>
      <c r="CL31" s="17">
        <f>CL61*Inversiones!$I$16/1000</f>
        <v>0</v>
      </c>
      <c r="CM31" s="17">
        <f>CM61*Inversiones!$I$16/1000</f>
        <v>0</v>
      </c>
      <c r="CN31" s="17">
        <f>CN61*Inversiones!$I$16/1000</f>
        <v>0</v>
      </c>
      <c r="CO31" s="17">
        <f>CO61*Inversiones!$I$16/1000</f>
        <v>0</v>
      </c>
      <c r="CP31" s="17">
        <f>CP61*Inversiones!$I$16/1000</f>
        <v>0</v>
      </c>
      <c r="CQ31" s="17">
        <f>CQ61*Inversiones!$I$16/1000</f>
        <v>0</v>
      </c>
      <c r="CR31" s="17">
        <f>CR61*Inversiones!$I$16/1000</f>
        <v>0</v>
      </c>
      <c r="CS31" s="17">
        <f>CS61*Inversiones!$I$16/1000</f>
        <v>0</v>
      </c>
      <c r="CT31" s="17">
        <f>CT61*Inversiones!$I$16/1000</f>
        <v>0</v>
      </c>
      <c r="CU31" s="17">
        <f>CU61*Inversiones!$J$16/1000</f>
        <v>0</v>
      </c>
      <c r="CV31" s="17">
        <f>CV61*Inversiones!$J$16/1000</f>
        <v>0</v>
      </c>
      <c r="CW31" s="17">
        <f>CW61*Inversiones!$J$16/1000</f>
        <v>0</v>
      </c>
      <c r="CX31" s="17">
        <f>CX61*Inversiones!$J$16/1000</f>
        <v>0</v>
      </c>
      <c r="CY31" s="17">
        <f>CY61*Inversiones!$J$16/1000</f>
        <v>0</v>
      </c>
      <c r="CZ31" s="17">
        <f>CZ61*Inversiones!$J$16/1000</f>
        <v>0</v>
      </c>
      <c r="DA31" s="17">
        <f>DA61*Inversiones!$J$16/1000</f>
        <v>0</v>
      </c>
      <c r="DB31" s="17">
        <f>DB61*Inversiones!$J$16/1000</f>
        <v>0</v>
      </c>
      <c r="DC31" s="17">
        <f>DC61*Inversiones!$J$16/1000</f>
        <v>0</v>
      </c>
      <c r="DD31" s="17">
        <f>DD61*Inversiones!$J$16/1000</f>
        <v>0</v>
      </c>
      <c r="DE31" s="17">
        <f>DE61*Inversiones!$J$16/1000</f>
        <v>0</v>
      </c>
      <c r="DF31" s="17">
        <f>DF61*Inversiones!$J$16/1000</f>
        <v>0</v>
      </c>
    </row>
    <row r="33" spans="1:112" ht="13.8" x14ac:dyDescent="0.3">
      <c r="A33" s="26" t="s">
        <v>116</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row>
    <row r="34" spans="1:112" ht="13.8" x14ac:dyDescent="0.3">
      <c r="A34" s="16" t="s">
        <v>117</v>
      </c>
      <c r="B34" s="41" t="s">
        <v>157</v>
      </c>
      <c r="C34" s="17">
        <f>'Deuda Mensual'!C71</f>
        <v>0</v>
      </c>
      <c r="D34" s="17">
        <f>'Deuda Mensual'!D71</f>
        <v>0</v>
      </c>
      <c r="E34" s="17">
        <f>'Deuda Mensual'!E71</f>
        <v>0</v>
      </c>
      <c r="F34" s="17">
        <f>'Deuda Mensual'!F71</f>
        <v>0</v>
      </c>
      <c r="G34" s="17">
        <f>'Deuda Mensual'!G71</f>
        <v>0</v>
      </c>
      <c r="H34" s="17">
        <f>'Deuda Mensual'!H71</f>
        <v>0</v>
      </c>
      <c r="I34" s="17">
        <f>'Deuda Mensual'!I71</f>
        <v>0</v>
      </c>
      <c r="J34" s="17">
        <f>'Deuda Mensual'!J71</f>
        <v>0</v>
      </c>
      <c r="K34" s="17">
        <f>'Deuda Mensual'!K71</f>
        <v>0</v>
      </c>
      <c r="L34" s="17">
        <f>'Deuda Mensual'!L71</f>
        <v>0</v>
      </c>
      <c r="M34" s="17">
        <f>'Deuda Mensual'!M71</f>
        <v>2070</v>
      </c>
      <c r="N34" s="17">
        <f>'Deuda Mensual'!N71</f>
        <v>0</v>
      </c>
      <c r="O34" s="17">
        <f>'Deuda Mensual'!O71</f>
        <v>1440</v>
      </c>
      <c r="P34" s="17">
        <f>'Deuda Mensual'!P71</f>
        <v>0</v>
      </c>
      <c r="Q34" s="17">
        <f>'Deuda Mensual'!Q71</f>
        <v>0</v>
      </c>
      <c r="R34" s="17">
        <f>'Deuda Mensual'!R71</f>
        <v>0</v>
      </c>
      <c r="S34" s="17">
        <f>'Deuda Mensual'!S71</f>
        <v>0</v>
      </c>
      <c r="T34" s="17">
        <f>'Deuda Mensual'!T71</f>
        <v>0</v>
      </c>
      <c r="U34" s="17">
        <f>'Deuda Mensual'!U71</f>
        <v>0</v>
      </c>
      <c r="V34" s="17">
        <f>'Deuda Mensual'!V71</f>
        <v>0</v>
      </c>
      <c r="W34" s="17">
        <f>'Deuda Mensual'!W71</f>
        <v>0</v>
      </c>
      <c r="X34" s="17">
        <f>'Deuda Mensual'!X71</f>
        <v>0</v>
      </c>
      <c r="Y34" s="17">
        <f>'Deuda Mensual'!Y71</f>
        <v>0</v>
      </c>
      <c r="Z34" s="17">
        <f>'Deuda Mensual'!Z71</f>
        <v>0</v>
      </c>
      <c r="AA34" s="17">
        <f>'Deuda Mensual'!AA71</f>
        <v>570</v>
      </c>
      <c r="AB34" s="17">
        <f>'Deuda Mensual'!AB71</f>
        <v>0</v>
      </c>
      <c r="AC34" s="17">
        <f>'Deuda Mensual'!AC71</f>
        <v>0</v>
      </c>
      <c r="AD34" s="17">
        <f>'Deuda Mensual'!AD71</f>
        <v>0</v>
      </c>
      <c r="AE34" s="17">
        <f>'Deuda Mensual'!AE71</f>
        <v>0</v>
      </c>
      <c r="AF34" s="17">
        <f>'Deuda Mensual'!AF71</f>
        <v>0</v>
      </c>
      <c r="AG34" s="17">
        <f>'Deuda Mensual'!AG71</f>
        <v>0</v>
      </c>
      <c r="AH34" s="17">
        <f>'Deuda Mensual'!AH71</f>
        <v>0</v>
      </c>
      <c r="AI34" s="17">
        <f>'Deuda Mensual'!AI71</f>
        <v>0</v>
      </c>
      <c r="AJ34" s="17">
        <f>'Deuda Mensual'!AJ71</f>
        <v>0</v>
      </c>
      <c r="AK34" s="17">
        <f>'Deuda Mensual'!AK71</f>
        <v>0</v>
      </c>
      <c r="AL34" s="17">
        <f>'Deuda Mensual'!AL71</f>
        <v>0</v>
      </c>
      <c r="AM34" s="17">
        <f>'Deuda Mensual'!AM71</f>
        <v>0</v>
      </c>
      <c r="AN34" s="17">
        <f>'Deuda Mensual'!AN71</f>
        <v>0</v>
      </c>
      <c r="AO34" s="17">
        <f>'Deuda Mensual'!AO71</f>
        <v>0</v>
      </c>
      <c r="AP34" s="17">
        <f>'Deuda Mensual'!AP71</f>
        <v>0</v>
      </c>
      <c r="AQ34" s="17">
        <f>'Deuda Mensual'!AQ71</f>
        <v>0</v>
      </c>
      <c r="AR34" s="17">
        <f>'Deuda Mensual'!AR71</f>
        <v>0</v>
      </c>
      <c r="AS34" s="17">
        <f>'Deuda Mensual'!AS71</f>
        <v>0</v>
      </c>
      <c r="AT34" s="17">
        <f>'Deuda Mensual'!AT71</f>
        <v>0</v>
      </c>
      <c r="AU34" s="17">
        <f>'Deuda Mensual'!AU71</f>
        <v>0</v>
      </c>
      <c r="AV34" s="17">
        <f>'Deuda Mensual'!AV71</f>
        <v>0</v>
      </c>
      <c r="AW34" s="17">
        <f>'Deuda Mensual'!AW71</f>
        <v>0</v>
      </c>
      <c r="AX34" s="17">
        <f>'Deuda Mensual'!AX71</f>
        <v>0</v>
      </c>
      <c r="AY34" s="17">
        <f>'Deuda Mensual'!AY71</f>
        <v>200</v>
      </c>
      <c r="AZ34" s="17">
        <f>'Deuda Mensual'!AZ71</f>
        <v>0</v>
      </c>
      <c r="BA34" s="17">
        <f>'Deuda Mensual'!BA71</f>
        <v>0</v>
      </c>
      <c r="BB34" s="17">
        <f>'Deuda Mensual'!BB71</f>
        <v>0</v>
      </c>
      <c r="BC34" s="17">
        <f>'Deuda Mensual'!BC71</f>
        <v>0</v>
      </c>
      <c r="BD34" s="17">
        <f>'Deuda Mensual'!BD71</f>
        <v>0</v>
      </c>
      <c r="BE34" s="17">
        <f>'Deuda Mensual'!BE71</f>
        <v>0</v>
      </c>
      <c r="BF34" s="17">
        <f>'Deuda Mensual'!BF71</f>
        <v>0</v>
      </c>
      <c r="BG34" s="17">
        <f>'Deuda Mensual'!BG71</f>
        <v>0</v>
      </c>
      <c r="BH34" s="17">
        <f>'Deuda Mensual'!BH71</f>
        <v>0</v>
      </c>
      <c r="BI34" s="17">
        <f>'Deuda Mensual'!BI71</f>
        <v>0</v>
      </c>
      <c r="BJ34" s="17">
        <f>'Deuda Mensual'!BJ71</f>
        <v>0</v>
      </c>
      <c r="BK34" s="17">
        <f>'Deuda Mensual'!BK71</f>
        <v>1050</v>
      </c>
      <c r="BL34" s="17">
        <f>'Deuda Mensual'!BL71</f>
        <v>0</v>
      </c>
      <c r="BM34" s="17">
        <f>'Deuda Mensual'!BM71</f>
        <v>0</v>
      </c>
      <c r="BN34" s="17">
        <f>'Deuda Mensual'!BN71</f>
        <v>0</v>
      </c>
      <c r="BO34" s="17">
        <f>'Deuda Mensual'!BO71</f>
        <v>0</v>
      </c>
      <c r="BP34" s="17">
        <f>'Deuda Mensual'!BP71</f>
        <v>0</v>
      </c>
      <c r="BQ34" s="17">
        <f>'Deuda Mensual'!BQ71</f>
        <v>0</v>
      </c>
      <c r="BR34" s="17">
        <f>'Deuda Mensual'!BR71</f>
        <v>0</v>
      </c>
      <c r="BS34" s="17">
        <f>'Deuda Mensual'!BS71</f>
        <v>0</v>
      </c>
      <c r="BT34" s="17">
        <f>'Deuda Mensual'!BT71</f>
        <v>0</v>
      </c>
      <c r="BU34" s="17">
        <f>'Deuda Mensual'!BU71</f>
        <v>0</v>
      </c>
      <c r="BV34" s="17">
        <f>'Deuda Mensual'!BV71</f>
        <v>0</v>
      </c>
      <c r="BW34" s="17">
        <f>'Deuda Mensual'!BW71</f>
        <v>0</v>
      </c>
      <c r="BX34" s="17">
        <f>'Deuda Mensual'!BX71</f>
        <v>0</v>
      </c>
      <c r="BY34" s="17">
        <f>'Deuda Mensual'!BY71</f>
        <v>0</v>
      </c>
      <c r="BZ34" s="17">
        <f>'Deuda Mensual'!BZ71</f>
        <v>0</v>
      </c>
      <c r="CA34" s="17">
        <f>'Deuda Mensual'!CA71</f>
        <v>0</v>
      </c>
      <c r="CB34" s="17">
        <f>'Deuda Mensual'!CB71</f>
        <v>0</v>
      </c>
      <c r="CC34" s="17">
        <f>'Deuda Mensual'!CC71</f>
        <v>0</v>
      </c>
      <c r="CD34" s="17">
        <f>'Deuda Mensual'!CD71</f>
        <v>0</v>
      </c>
      <c r="CE34" s="17">
        <f>'Deuda Mensual'!CE71</f>
        <v>0</v>
      </c>
      <c r="CF34" s="17">
        <f>'Deuda Mensual'!CF71</f>
        <v>0</v>
      </c>
      <c r="CG34" s="17">
        <f>'Deuda Mensual'!CG71</f>
        <v>0</v>
      </c>
      <c r="CH34" s="17">
        <f>'Deuda Mensual'!CH71</f>
        <v>0</v>
      </c>
      <c r="CI34" s="17">
        <f>'Deuda Mensual'!CI71</f>
        <v>0</v>
      </c>
      <c r="CJ34" s="17">
        <f>'Deuda Mensual'!CJ71</f>
        <v>0</v>
      </c>
      <c r="CK34" s="17">
        <f>'Deuda Mensual'!CK71</f>
        <v>0</v>
      </c>
      <c r="CL34" s="17">
        <f>'Deuda Mensual'!CL71</f>
        <v>0</v>
      </c>
      <c r="CM34" s="17">
        <f>'Deuda Mensual'!CM71</f>
        <v>0</v>
      </c>
      <c r="CN34" s="17">
        <f>'Deuda Mensual'!CN71</f>
        <v>0</v>
      </c>
      <c r="CO34" s="17">
        <f>'Deuda Mensual'!CO71</f>
        <v>0</v>
      </c>
      <c r="CP34" s="17">
        <f>'Deuda Mensual'!CP71</f>
        <v>0</v>
      </c>
      <c r="CQ34" s="17">
        <f>'Deuda Mensual'!CQ71</f>
        <v>0</v>
      </c>
      <c r="CR34" s="17">
        <f>'Deuda Mensual'!CR71</f>
        <v>0</v>
      </c>
      <c r="CS34" s="17">
        <f>'Deuda Mensual'!CS71</f>
        <v>0</v>
      </c>
      <c r="CT34" s="17">
        <f>'Deuda Mensual'!CT71</f>
        <v>0</v>
      </c>
      <c r="CU34" s="17">
        <f>'Deuda Mensual'!CU71</f>
        <v>0</v>
      </c>
      <c r="CV34" s="17">
        <f>'Deuda Mensual'!CV71</f>
        <v>0</v>
      </c>
      <c r="CW34" s="17">
        <f>'Deuda Mensual'!CW71</f>
        <v>0</v>
      </c>
      <c r="CX34" s="17">
        <f>'Deuda Mensual'!CX71</f>
        <v>0</v>
      </c>
      <c r="CY34" s="17">
        <f>'Deuda Mensual'!CY71</f>
        <v>0</v>
      </c>
      <c r="CZ34" s="17">
        <f>'Deuda Mensual'!CZ71</f>
        <v>0</v>
      </c>
      <c r="DA34" s="17">
        <f>'Deuda Mensual'!DA71</f>
        <v>0</v>
      </c>
      <c r="DB34" s="17">
        <f>'Deuda Mensual'!DB71</f>
        <v>0</v>
      </c>
      <c r="DC34" s="17">
        <f>'Deuda Mensual'!DC71</f>
        <v>0</v>
      </c>
      <c r="DD34" s="17">
        <f>'Deuda Mensual'!DD71</f>
        <v>0</v>
      </c>
      <c r="DE34" s="17">
        <f>'Deuda Mensual'!DE71</f>
        <v>0</v>
      </c>
      <c r="DF34" s="17">
        <f>'Deuda Mensual'!DF71</f>
        <v>0</v>
      </c>
    </row>
    <row r="35" spans="1:112" ht="13.8" x14ac:dyDescent="0.3">
      <c r="A35" s="16" t="s">
        <v>118</v>
      </c>
      <c r="B35" s="41" t="s">
        <v>157</v>
      </c>
      <c r="C35" s="17">
        <f>'Deuda Mensual'!C72</f>
        <v>0</v>
      </c>
      <c r="D35" s="17">
        <f>'Deuda Mensual'!D72</f>
        <v>0</v>
      </c>
      <c r="E35" s="17">
        <f>'Deuda Mensual'!E72</f>
        <v>0</v>
      </c>
      <c r="F35" s="17">
        <f>'Deuda Mensual'!F72</f>
        <v>0</v>
      </c>
      <c r="G35" s="17">
        <f>'Deuda Mensual'!G72</f>
        <v>0</v>
      </c>
      <c r="H35" s="17">
        <f>'Deuda Mensual'!H72</f>
        <v>0</v>
      </c>
      <c r="I35" s="17">
        <f>'Deuda Mensual'!I72</f>
        <v>0</v>
      </c>
      <c r="J35" s="17">
        <f>'Deuda Mensual'!J72</f>
        <v>0</v>
      </c>
      <c r="K35" s="17">
        <f>'Deuda Mensual'!K72</f>
        <v>0</v>
      </c>
      <c r="L35" s="17">
        <f>'Deuda Mensual'!L72</f>
        <v>140.295622365062</v>
      </c>
      <c r="M35" s="17">
        <f>'Deuda Mensual'!M72</f>
        <v>166.97499336115177</v>
      </c>
      <c r="N35" s="17">
        <f>'Deuda Mensual'!N72</f>
        <v>168.17992683724174</v>
      </c>
      <c r="O35" s="17">
        <f>'Deuda Mensual'!O72</f>
        <v>205.57324544144771</v>
      </c>
      <c r="P35" s="17">
        <f>'Deuda Mensual'!P72</f>
        <v>207.00034592887806</v>
      </c>
      <c r="Q35" s="17">
        <f>'Deuda Mensual'!Q72</f>
        <v>208.4375010057941</v>
      </c>
      <c r="R35" s="17">
        <f>'Deuda Mensual'!R72</f>
        <v>209.88478241292387</v>
      </c>
      <c r="S35" s="17">
        <f>'Deuda Mensual'!S72</f>
        <v>211.34226240830026</v>
      </c>
      <c r="T35" s="17">
        <f>'Deuda Mensual'!T72</f>
        <v>212.81001377102214</v>
      </c>
      <c r="U35" s="17">
        <f>'Deuda Mensual'!U72</f>
        <v>214.28810980504534</v>
      </c>
      <c r="V35" s="17">
        <f>'Deuda Mensual'!V72</f>
        <v>215.77662434300024</v>
      </c>
      <c r="W35" s="17">
        <f>'Deuda Mensual'!W72</f>
        <v>217.27563175003598</v>
      </c>
      <c r="X35" s="17">
        <f>'Deuda Mensual'!X72</f>
        <v>218.78520692769845</v>
      </c>
      <c r="Y35" s="17">
        <f>'Deuda Mensual'!Y72</f>
        <v>220.30542531782646</v>
      </c>
      <c r="Z35" s="17">
        <f>'Deuda Mensual'!Z72</f>
        <v>221.83636290648761</v>
      </c>
      <c r="AA35" s="17">
        <f>'Deuda Mensual'!AA72</f>
        <v>237.69919428839702</v>
      </c>
      <c r="AB35" s="17">
        <f>'Deuda Mensual'!AB72</f>
        <v>239.33277399959667</v>
      </c>
      <c r="AC35" s="17">
        <f>'Deuda Mensual'!AC72</f>
        <v>240.97776200897172</v>
      </c>
      <c r="AD35" s="17">
        <f>'Deuda Mensual'!AD72</f>
        <v>242.6342391080554</v>
      </c>
      <c r="AE35" s="17">
        <f>'Deuda Mensual'!AE72</f>
        <v>244.30228666733433</v>
      </c>
      <c r="AF35" s="17">
        <f>'Deuda Mensual'!AF72</f>
        <v>245.98198664044133</v>
      </c>
      <c r="AG35" s="17">
        <f>'Deuda Mensual'!AG72</f>
        <v>247.67342156836878</v>
      </c>
      <c r="AH35" s="17">
        <f>'Deuda Mensual'!AH72</f>
        <v>249.3766745837265</v>
      </c>
      <c r="AI35" s="17">
        <f>'Deuda Mensual'!AI72</f>
        <v>251.09182941501672</v>
      </c>
      <c r="AJ35" s="17">
        <f>'Deuda Mensual'!AJ72</f>
        <v>252.81897039095409</v>
      </c>
      <c r="AK35" s="17">
        <f>'Deuda Mensual'!AK72</f>
        <v>254.55818244480409</v>
      </c>
      <c r="AL35" s="17">
        <f>'Deuda Mensual'!AL72</f>
        <v>256.30955111876563</v>
      </c>
      <c r="AM35" s="17">
        <f>'Deuda Mensual'!AM72</f>
        <v>258.07316256837152</v>
      </c>
      <c r="AN35" s="17">
        <f>'Deuda Mensual'!AN72</f>
        <v>259.84910356693695</v>
      </c>
      <c r="AO35" s="17">
        <f>'Deuda Mensual'!AO72</f>
        <v>261.63746151002522</v>
      </c>
      <c r="AP35" s="17">
        <f>'Deuda Mensual'!AP72</f>
        <v>263.43832441995772</v>
      </c>
      <c r="AQ35" s="17">
        <f>'Deuda Mensual'!AQ72</f>
        <v>265.25178095035159</v>
      </c>
      <c r="AR35" s="17">
        <f>'Deuda Mensual'!AR72</f>
        <v>267.07792039068863</v>
      </c>
      <c r="AS35" s="17">
        <f>'Deuda Mensual'!AS72</f>
        <v>268.91683267092145</v>
      </c>
      <c r="AT35" s="17">
        <f>'Deuda Mensual'!AT72</f>
        <v>270.76860836611547</v>
      </c>
      <c r="AU35" s="17">
        <f>'Deuda Mensual'!AU72</f>
        <v>272.63333870111262</v>
      </c>
      <c r="AV35" s="17">
        <f>'Deuda Mensual'!AV72</f>
        <v>274.51111555524665</v>
      </c>
      <c r="AW35" s="17">
        <f>'Deuda Mensual'!AW72</f>
        <v>245.00757506372594</v>
      </c>
      <c r="AX35" s="17">
        <f>'Deuda Mensual'!AX72</f>
        <v>60.376433546793507</v>
      </c>
      <c r="AY35" s="17">
        <f>'Deuda Mensual'!AY72</f>
        <v>21.421171857307382</v>
      </c>
      <c r="AZ35" s="17">
        <f>'Deuda Mensual'!AZ72</f>
        <v>21.542290277357196</v>
      </c>
      <c r="BA35" s="17">
        <f>'Deuda Mensual'!BA72</f>
        <v>21.66409351856306</v>
      </c>
      <c r="BB35" s="17">
        <f>'Deuda Mensual'!BB72</f>
        <v>21.786585453003362</v>
      </c>
      <c r="BC35" s="17">
        <f>'Deuda Mensual'!BC72</f>
        <v>21.90976997464977</v>
      </c>
      <c r="BD35" s="17">
        <f>'Deuda Mensual'!BD72</f>
        <v>22.033650999491044</v>
      </c>
      <c r="BE35" s="17">
        <f>'Deuda Mensual'!BE72</f>
        <v>22.158232465657516</v>
      </c>
      <c r="BF35" s="17">
        <f>'Deuda Mensual'!BF72</f>
        <v>22.283518333546265</v>
      </c>
      <c r="BG35" s="17">
        <f>'Deuda Mensual'!BG72</f>
        <v>22.409512585947045</v>
      </c>
      <c r="BH35" s="17">
        <f>'Deuda Mensual'!BH72</f>
        <v>22.536219228168882</v>
      </c>
      <c r="BI35" s="17">
        <f>'Deuda Mensual'!BI72</f>
        <v>22.663642288167384</v>
      </c>
      <c r="BJ35" s="17">
        <f>'Deuda Mensual'!BJ72</f>
        <v>22.791785816672832</v>
      </c>
      <c r="BK35" s="17">
        <f>'Deuda Mensual'!BK72</f>
        <v>5.3766929560338648</v>
      </c>
      <c r="BL35" s="17">
        <f>'Deuda Mensual'!BL72</f>
        <v>5.4070935597107184</v>
      </c>
      <c r="BM35" s="17">
        <f>'Deuda Mensual'!BM72</f>
        <v>5.4376660528206244</v>
      </c>
      <c r="BN35" s="17">
        <f>'Deuda Mensual'!BN72</f>
        <v>5.4684114072514314</v>
      </c>
      <c r="BO35" s="17">
        <f>'Deuda Mensual'!BO72</f>
        <v>5.4993306003861759</v>
      </c>
      <c r="BP35" s="17">
        <f>'Deuda Mensual'!BP72</f>
        <v>5.5304246151341667</v>
      </c>
      <c r="BQ35" s="17">
        <f>'Deuda Mensual'!BQ72</f>
        <v>5.5616944399622197</v>
      </c>
      <c r="BR35" s="17">
        <f>'Deuda Mensual'!BR72</f>
        <v>5.5931410689260899</v>
      </c>
      <c r="BS35" s="17">
        <f>'Deuda Mensual'!BS72</f>
        <v>5.6247655017020648</v>
      </c>
      <c r="BT35" s="17">
        <f>'Deuda Mensual'!BT72</f>
        <v>5.6565687436187497</v>
      </c>
      <c r="BU35" s="17">
        <f>'Deuda Mensual'!BU72</f>
        <v>5.6885518056890234</v>
      </c>
      <c r="BV35" s="17">
        <f>'Deuda Mensual'!BV72</f>
        <v>5.720715704642175</v>
      </c>
      <c r="BW35" s="17">
        <f>'Deuda Mensual'!BW72</f>
        <v>5.7530614629562349</v>
      </c>
      <c r="BX35" s="17">
        <f>'Deuda Mensual'!BX72</f>
        <v>5.7855901088904682</v>
      </c>
      <c r="BY35" s="17">
        <f>'Deuda Mensual'!BY72</f>
        <v>5.8183026765180683</v>
      </c>
      <c r="BZ35" s="17">
        <f>'Deuda Mensual'!BZ72</f>
        <v>5.8512002057590307</v>
      </c>
      <c r="CA35" s="17">
        <f>'Deuda Mensual'!CA72</f>
        <v>5.8842837424132082</v>
      </c>
      <c r="CB35" s="17">
        <f>'Deuda Mensual'!CB72</f>
        <v>5.9175543381935576</v>
      </c>
      <c r="CC35" s="17">
        <f>'Deuda Mensual'!CC72</f>
        <v>5.9510130507595749</v>
      </c>
      <c r="CD35" s="17">
        <f>'Deuda Mensual'!CD72</f>
        <v>5.9846609437509164</v>
      </c>
      <c r="CE35" s="17">
        <f>'Deuda Mensual'!CE72</f>
        <v>6.01849908682121</v>
      </c>
      <c r="CF35" s="17">
        <f>'Deuda Mensual'!CF72</f>
        <v>6.0525285556720627</v>
      </c>
      <c r="CG35" s="17">
        <f>'Deuda Mensual'!CG72</f>
        <v>6.0867504320872543</v>
      </c>
      <c r="CH35" s="17">
        <f>'Deuda Mensual'!CH72</f>
        <v>6.1211658039671271</v>
      </c>
      <c r="CI35" s="17">
        <f>'Deuda Mensual'!CI72</f>
        <v>0</v>
      </c>
      <c r="CJ35" s="17">
        <f>'Deuda Mensual'!CJ72</f>
        <v>0</v>
      </c>
      <c r="CK35" s="17">
        <f>'Deuda Mensual'!CK72</f>
        <v>0</v>
      </c>
      <c r="CL35" s="17">
        <f>'Deuda Mensual'!CL72</f>
        <v>0</v>
      </c>
      <c r="CM35" s="17">
        <f>'Deuda Mensual'!CM72</f>
        <v>0</v>
      </c>
      <c r="CN35" s="17">
        <f>'Deuda Mensual'!CN72</f>
        <v>0</v>
      </c>
      <c r="CO35" s="17">
        <f>'Deuda Mensual'!CO72</f>
        <v>0</v>
      </c>
      <c r="CP35" s="17">
        <f>'Deuda Mensual'!CP72</f>
        <v>0</v>
      </c>
      <c r="CQ35" s="17">
        <f>'Deuda Mensual'!CQ72</f>
        <v>0</v>
      </c>
      <c r="CR35" s="17">
        <f>'Deuda Mensual'!CR72</f>
        <v>0</v>
      </c>
      <c r="CS35" s="17">
        <f>'Deuda Mensual'!CS72</f>
        <v>0</v>
      </c>
      <c r="CT35" s="17">
        <f>'Deuda Mensual'!CT72</f>
        <v>0</v>
      </c>
      <c r="CU35" s="17">
        <f>'Deuda Mensual'!CU72</f>
        <v>0</v>
      </c>
      <c r="CV35" s="17">
        <f>'Deuda Mensual'!CV72</f>
        <v>0</v>
      </c>
      <c r="CW35" s="17">
        <f>'Deuda Mensual'!CW72</f>
        <v>0</v>
      </c>
      <c r="CX35" s="17">
        <f>'Deuda Mensual'!CX72</f>
        <v>0</v>
      </c>
      <c r="CY35" s="17">
        <f>'Deuda Mensual'!CY72</f>
        <v>0</v>
      </c>
      <c r="CZ35" s="17">
        <f>'Deuda Mensual'!CZ72</f>
        <v>0</v>
      </c>
      <c r="DA35" s="17">
        <f>'Deuda Mensual'!DA72</f>
        <v>0</v>
      </c>
      <c r="DB35" s="17">
        <f>'Deuda Mensual'!DB72</f>
        <v>0</v>
      </c>
      <c r="DC35" s="17">
        <f>'Deuda Mensual'!DC72</f>
        <v>0</v>
      </c>
      <c r="DD35" s="17">
        <f>'Deuda Mensual'!DD72</f>
        <v>0</v>
      </c>
      <c r="DE35" s="17">
        <f>'Deuda Mensual'!DE72</f>
        <v>0</v>
      </c>
      <c r="DF35" s="17">
        <f>'Deuda Mensual'!DF72</f>
        <v>0</v>
      </c>
    </row>
    <row r="36" spans="1:112" ht="13.8" x14ac:dyDescent="0.3">
      <c r="A36" s="16" t="s">
        <v>119</v>
      </c>
      <c r="B36" s="41" t="s">
        <v>157</v>
      </c>
      <c r="C36" s="17">
        <f>'Deuda Mensual'!C73</f>
        <v>0</v>
      </c>
      <c r="D36" s="17">
        <f>'Deuda Mensual'!D73</f>
        <v>0</v>
      </c>
      <c r="E36" s="17">
        <f>'Deuda Mensual'!E73</f>
        <v>0</v>
      </c>
      <c r="F36" s="17">
        <f>'Deuda Mensual'!F73</f>
        <v>0</v>
      </c>
      <c r="G36" s="17">
        <f>'Deuda Mensual'!G73</f>
        <v>0</v>
      </c>
      <c r="H36" s="17">
        <f>'Deuda Mensual'!H73</f>
        <v>0</v>
      </c>
      <c r="I36" s="17">
        <f>'Deuda Mensual'!I73</f>
        <v>0</v>
      </c>
      <c r="J36" s="17">
        <f>'Deuda Mensual'!J73</f>
        <v>0</v>
      </c>
      <c r="K36" s="17">
        <f>'Deuda Mensual'!K73</f>
        <v>0</v>
      </c>
      <c r="L36" s="17">
        <f>'Deuda Mensual'!L73</f>
        <v>4.52759</v>
      </c>
      <c r="M36" s="17">
        <f>'Deuda Mensual'!M73</f>
        <v>30.88980011138111</v>
      </c>
      <c r="N36" s="17">
        <f>'Deuda Mensual'!N73</f>
        <v>31.131011951851651</v>
      </c>
      <c r="O36" s="17">
        <f>'Deuda Mensual'!O73</f>
        <v>31.265287175054464</v>
      </c>
      <c r="P36" s="17">
        <f>'Deuda Mensual'!P73</f>
        <v>31.443310549598142</v>
      </c>
      <c r="Q36" s="17">
        <f>'Deuda Mensual'!Q73</f>
        <v>31.678866871053664</v>
      </c>
      <c r="R36" s="17">
        <f>'Deuda Mensual'!R73</f>
        <v>31.802720962106886</v>
      </c>
      <c r="S36" s="17">
        <f>'Deuda Mensual'!S73</f>
        <v>31.966747672711822</v>
      </c>
      <c r="T36" s="17">
        <f>'Deuda Mensual'!T73</f>
        <v>32.198121880244827</v>
      </c>
      <c r="U36" s="17">
        <f>'Deuda Mensual'!U73</f>
        <v>32.364388489659667</v>
      </c>
      <c r="V36" s="17">
        <f>'Deuda Mensual'!V73</f>
        <v>32.519092433643394</v>
      </c>
      <c r="W36" s="17">
        <f>'Deuda Mensual'!W73</f>
        <v>32.731998672773244</v>
      </c>
      <c r="X36" s="17">
        <f>'Deuda Mensual'!X73</f>
        <v>32.917442195674219</v>
      </c>
      <c r="Y36" s="17">
        <f>'Deuda Mensual'!Y73</f>
        <v>33.092378019177787</v>
      </c>
      <c r="Z36" s="17">
        <f>'Deuda Mensual'!Z73</f>
        <v>33.291431188481262</v>
      </c>
      <c r="AA36" s="17">
        <f>'Deuda Mensual'!AA73</f>
        <v>33.450966777308274</v>
      </c>
      <c r="AB36" s="17">
        <f>'Deuda Mensual'!AB73</f>
        <v>33.67832988807001</v>
      </c>
      <c r="AC36" s="17">
        <f>'Deuda Mensual'!AC73</f>
        <v>33.868185652027414</v>
      </c>
      <c r="AD36" s="17">
        <f>'Deuda Mensual'!AD73</f>
        <v>34.031739229454367</v>
      </c>
      <c r="AE36" s="17">
        <f>'Deuda Mensual'!AE73</f>
        <v>34.25685580980165</v>
      </c>
      <c r="AF36" s="17">
        <f>'Deuda Mensual'!AF73</f>
        <v>34.434250611861962</v>
      </c>
      <c r="AG36" s="17">
        <f>'Deuda Mensual'!AG73</f>
        <v>34.626378883935836</v>
      </c>
      <c r="AH36" s="17">
        <f>'Deuda Mensual'!AH73</f>
        <v>34.833415903998436</v>
      </c>
      <c r="AI36" s="17">
        <f>'Deuda Mensual'!AI73</f>
        <v>35.025816979867365</v>
      </c>
      <c r="AJ36" s="17">
        <f>'Deuda Mensual'!AJ73</f>
        <v>35.225307449371414</v>
      </c>
      <c r="AK36" s="17">
        <f>'Deuda Mensual'!AK73</f>
        <v>30.203572680520228</v>
      </c>
      <c r="AL36" s="17">
        <f>'Deuda Mensual'!AL73</f>
        <v>30.374348071674952</v>
      </c>
      <c r="AM36" s="17">
        <f>'Deuda Mensual'!AM73</f>
        <v>30.546089051719854</v>
      </c>
      <c r="AN36" s="17">
        <f>'Deuda Mensual'!AN73</f>
        <v>30.718801080234908</v>
      </c>
      <c r="AO36" s="17">
        <f>'Deuda Mensual'!AO73</f>
        <v>30.89248964766934</v>
      </c>
      <c r="AP36" s="17">
        <f>'Deuda Mensual'!AP73</f>
        <v>31.067160275516173</v>
      </c>
      <c r="AQ36" s="17">
        <f>'Deuda Mensual'!AQ73</f>
        <v>31.242818516487763</v>
      </c>
      <c r="AR36" s="17">
        <f>'Deuda Mensual'!AR73</f>
        <v>31.4194699546923</v>
      </c>
      <c r="AS36" s="17">
        <f>'Deuda Mensual'!AS73</f>
        <v>31.597120205811343</v>
      </c>
      <c r="AT36" s="17">
        <f>'Deuda Mensual'!AT73</f>
        <v>31.775774917278323</v>
      </c>
      <c r="AU36" s="17">
        <f>'Deuda Mensual'!AU73</f>
        <v>31.955439768458081</v>
      </c>
      <c r="AV36" s="17">
        <f>'Deuda Mensual'!AV73</f>
        <v>32.136120470827414</v>
      </c>
      <c r="AW36" s="17">
        <f>'Deuda Mensual'!AW73</f>
        <v>0</v>
      </c>
      <c r="AX36" s="17">
        <f>'Deuda Mensual'!AX73</f>
        <v>0</v>
      </c>
      <c r="AY36" s="17">
        <f>'Deuda Mensual'!AY73</f>
        <v>0</v>
      </c>
      <c r="AZ36" s="17">
        <f>'Deuda Mensual'!AZ73</f>
        <v>0</v>
      </c>
      <c r="BA36" s="17">
        <f>'Deuda Mensual'!BA73</f>
        <v>0</v>
      </c>
      <c r="BB36" s="17">
        <f>'Deuda Mensual'!BB73</f>
        <v>0</v>
      </c>
      <c r="BC36" s="17">
        <f>'Deuda Mensual'!BC73</f>
        <v>0</v>
      </c>
      <c r="BD36" s="17">
        <f>'Deuda Mensual'!BD73</f>
        <v>0</v>
      </c>
      <c r="BE36" s="17">
        <f>'Deuda Mensual'!BE73</f>
        <v>0</v>
      </c>
      <c r="BF36" s="17">
        <f>'Deuda Mensual'!BF73</f>
        <v>0</v>
      </c>
      <c r="BG36" s="17">
        <f>'Deuda Mensual'!BG73</f>
        <v>0</v>
      </c>
      <c r="BH36" s="17">
        <f>'Deuda Mensual'!BH73</f>
        <v>0</v>
      </c>
      <c r="BI36" s="17">
        <f>'Deuda Mensual'!BI73</f>
        <v>0</v>
      </c>
      <c r="BJ36" s="17">
        <f>'Deuda Mensual'!BJ73</f>
        <v>0</v>
      </c>
      <c r="BK36" s="17">
        <f>'Deuda Mensual'!BK73</f>
        <v>26.38097011138111</v>
      </c>
      <c r="BL36" s="17">
        <f>'Deuda Mensual'!BL73</f>
        <v>26.530131951851651</v>
      </c>
      <c r="BM36" s="17">
        <f>'Deuda Mensual'!BM73</f>
        <v>26.680137175054465</v>
      </c>
      <c r="BN36" s="17">
        <f>'Deuda Mensual'!BN73</f>
        <v>26.830990549598141</v>
      </c>
      <c r="BO36" s="17">
        <f>'Deuda Mensual'!BO73</f>
        <v>26.982696871053665</v>
      </c>
      <c r="BP36" s="17">
        <f>'Deuda Mensual'!BP73</f>
        <v>27.135260962106887</v>
      </c>
      <c r="BQ36" s="17">
        <f>'Deuda Mensual'!BQ73</f>
        <v>27.28868767271182</v>
      </c>
      <c r="BR36" s="17">
        <f>'Deuda Mensual'!BR73</f>
        <v>27.44298188024483</v>
      </c>
      <c r="BS36" s="17">
        <f>'Deuda Mensual'!BS73</f>
        <v>27.598148489659664</v>
      </c>
      <c r="BT36" s="17">
        <f>'Deuda Mensual'!BT73</f>
        <v>27.754192433643396</v>
      </c>
      <c r="BU36" s="17">
        <f>'Deuda Mensual'!BU73</f>
        <v>27.911118672773242</v>
      </c>
      <c r="BV36" s="17">
        <f>'Deuda Mensual'!BV73</f>
        <v>28.068932195674222</v>
      </c>
      <c r="BW36" s="17">
        <f>'Deuda Mensual'!BW73</f>
        <v>28.227638019177785</v>
      </c>
      <c r="BX36" s="17">
        <f>'Deuda Mensual'!BX73</f>
        <v>28.387241188481266</v>
      </c>
      <c r="BY36" s="17">
        <f>'Deuda Mensual'!BY73</f>
        <v>28.547746777308276</v>
      </c>
      <c r="BZ36" s="17">
        <f>'Deuda Mensual'!BZ73</f>
        <v>28.709159888070008</v>
      </c>
      <c r="CA36" s="17">
        <f>'Deuda Mensual'!CA73</f>
        <v>28.87148565202742</v>
      </c>
      <c r="CB36" s="17">
        <f>'Deuda Mensual'!CB73</f>
        <v>29.034729229454367</v>
      </c>
      <c r="CC36" s="17">
        <f>'Deuda Mensual'!CC73</f>
        <v>29.198895809801648</v>
      </c>
      <c r="CD36" s="17">
        <f>'Deuda Mensual'!CD73</f>
        <v>29.363990611861965</v>
      </c>
      <c r="CE36" s="17">
        <f>'Deuda Mensual'!CE73</f>
        <v>29.530018883935838</v>
      </c>
      <c r="CF36" s="17">
        <f>'Deuda Mensual'!CF73</f>
        <v>29.696985903998431</v>
      </c>
      <c r="CG36" s="17">
        <f>'Deuda Mensual'!CG73</f>
        <v>29.864896979867364</v>
      </c>
      <c r="CH36" s="17">
        <f>'Deuda Mensual'!CH73</f>
        <v>30.033757449371418</v>
      </c>
      <c r="CI36" s="17">
        <f>'Deuda Mensual'!CI73</f>
        <v>30.203572680520228</v>
      </c>
      <c r="CJ36" s="17">
        <f>'Deuda Mensual'!CJ73</f>
        <v>30.374348071674952</v>
      </c>
      <c r="CK36" s="17">
        <f>'Deuda Mensual'!CK73</f>
        <v>30.546089051719854</v>
      </c>
      <c r="CL36" s="17">
        <f>'Deuda Mensual'!CL73</f>
        <v>30.718801080234908</v>
      </c>
      <c r="CM36" s="17">
        <f>'Deuda Mensual'!CM73</f>
        <v>30.89248964766934</v>
      </c>
      <c r="CN36" s="17">
        <f>'Deuda Mensual'!CN73</f>
        <v>31.067160275516173</v>
      </c>
      <c r="CO36" s="17">
        <f>'Deuda Mensual'!CO73</f>
        <v>31.242818516487763</v>
      </c>
      <c r="CP36" s="17">
        <f>'Deuda Mensual'!CP73</f>
        <v>31.4194699546923</v>
      </c>
      <c r="CQ36" s="17">
        <f>'Deuda Mensual'!CQ73</f>
        <v>31.597120205811343</v>
      </c>
      <c r="CR36" s="17">
        <f>'Deuda Mensual'!CR73</f>
        <v>31.775774917278323</v>
      </c>
      <c r="CS36" s="17">
        <f>'Deuda Mensual'!CS73</f>
        <v>31.955439768458081</v>
      </c>
      <c r="CT36" s="17">
        <f>'Deuda Mensual'!CT73</f>
        <v>32.136120470827414</v>
      </c>
      <c r="CU36" s="17">
        <f>'Deuda Mensual'!CU73</f>
        <v>0</v>
      </c>
      <c r="CV36" s="17">
        <f>'Deuda Mensual'!CV73</f>
        <v>0</v>
      </c>
      <c r="CW36" s="17">
        <f>'Deuda Mensual'!CW73</f>
        <v>0</v>
      </c>
      <c r="CX36" s="17">
        <f>'Deuda Mensual'!CX73</f>
        <v>0</v>
      </c>
      <c r="CY36" s="17">
        <f>'Deuda Mensual'!CY73</f>
        <v>0</v>
      </c>
      <c r="CZ36" s="17">
        <f>'Deuda Mensual'!CZ73</f>
        <v>0</v>
      </c>
      <c r="DA36" s="17">
        <f>'Deuda Mensual'!DA73</f>
        <v>0</v>
      </c>
      <c r="DB36" s="17">
        <f>'Deuda Mensual'!DB73</f>
        <v>0</v>
      </c>
      <c r="DC36" s="17">
        <f>'Deuda Mensual'!DC73</f>
        <v>0</v>
      </c>
      <c r="DD36" s="17">
        <f>'Deuda Mensual'!DD73</f>
        <v>0</v>
      </c>
      <c r="DE36" s="17">
        <f>'Deuda Mensual'!DE73</f>
        <v>0</v>
      </c>
      <c r="DF36" s="17">
        <f>'Deuda Mensual'!DF73</f>
        <v>0</v>
      </c>
    </row>
    <row r="37" spans="1:112" ht="13.8" x14ac:dyDescent="0.3">
      <c r="A37" s="16" t="s">
        <v>120</v>
      </c>
      <c r="B37" s="41" t="s">
        <v>157</v>
      </c>
      <c r="C37" s="17">
        <f>'Deuda Mensual'!C74</f>
        <v>0</v>
      </c>
      <c r="D37" s="17">
        <f>'Deuda Mensual'!D74</f>
        <v>0</v>
      </c>
      <c r="E37" s="17">
        <f>'Deuda Mensual'!E74</f>
        <v>0</v>
      </c>
      <c r="F37" s="17">
        <f>'Deuda Mensual'!F74</f>
        <v>0</v>
      </c>
      <c r="G37" s="17">
        <f>'Deuda Mensual'!G74</f>
        <v>0</v>
      </c>
      <c r="H37" s="17">
        <f>'Deuda Mensual'!H74</f>
        <v>0</v>
      </c>
      <c r="I37" s="17">
        <f>'Deuda Mensual'!I74</f>
        <v>0</v>
      </c>
      <c r="J37" s="17">
        <f>'Deuda Mensual'!J74</f>
        <v>0</v>
      </c>
      <c r="K37" s="17">
        <f>'Deuda Mensual'!K74</f>
        <v>0</v>
      </c>
      <c r="L37" s="17">
        <f>'Deuda Mensual'!L74</f>
        <v>46.062158503102403</v>
      </c>
      <c r="M37" s="17">
        <f>'Deuda Mensual'!M74</f>
        <v>50.777243910364881</v>
      </c>
      <c r="N37" s="17">
        <f>'Deuda Mensual'!N74</f>
        <v>49.572310434274421</v>
      </c>
      <c r="O37" s="17">
        <f>'Deuda Mensual'!O74</f>
        <v>56.500577340683286</v>
      </c>
      <c r="P37" s="17">
        <f>'Deuda Mensual'!P74</f>
        <v>55.073476853252771</v>
      </c>
      <c r="Q37" s="17">
        <f>'Deuda Mensual'!Q74</f>
        <v>53.636321776336885</v>
      </c>
      <c r="R37" s="17">
        <f>'Deuda Mensual'!R74</f>
        <v>52.189040369207241</v>
      </c>
      <c r="S37" s="17">
        <f>'Deuda Mensual'!S74</f>
        <v>50.731560373831179</v>
      </c>
      <c r="T37" s="17">
        <f>'Deuda Mensual'!T74</f>
        <v>49.263809011109466</v>
      </c>
      <c r="U37" s="17">
        <f>'Deuda Mensual'!U74</f>
        <v>47.785712977086284</v>
      </c>
      <c r="V37" s="17">
        <f>'Deuda Mensual'!V74</f>
        <v>46.297198439131286</v>
      </c>
      <c r="W37" s="17">
        <f>'Deuda Mensual'!W74</f>
        <v>44.798191032094621</v>
      </c>
      <c r="X37" s="17">
        <f>'Deuda Mensual'!X74</f>
        <v>43.28861585443223</v>
      </c>
      <c r="Y37" s="17">
        <f>'Deuda Mensual'!Y74</f>
        <v>41.768397464304257</v>
      </c>
      <c r="Z37" s="17">
        <f>'Deuda Mensual'!Z74</f>
        <v>40.237459875644007</v>
      </c>
      <c r="AA37" s="17">
        <f>'Deuda Mensual'!AA74</f>
        <v>41.918589425019299</v>
      </c>
      <c r="AB37" s="17">
        <f>'Deuda Mensual'!AB74</f>
        <v>40.2850097138192</v>
      </c>
      <c r="AC37" s="17">
        <f>'Deuda Mensual'!AC74</f>
        <v>38.640021704444436</v>
      </c>
      <c r="AD37" s="17">
        <f>'Deuda Mensual'!AD74</f>
        <v>36.983544605361146</v>
      </c>
      <c r="AE37" s="17">
        <f>'Deuda Mensual'!AE74</f>
        <v>35.315497046081589</v>
      </c>
      <c r="AF37" s="17">
        <f>'Deuda Mensual'!AF74</f>
        <v>33.635797072974874</v>
      </c>
      <c r="AG37" s="17">
        <f>'Deuda Mensual'!AG74</f>
        <v>31.944362145047155</v>
      </c>
      <c r="AH37" s="17">
        <f>'Deuda Mensual'!AH74</f>
        <v>30.241109129690123</v>
      </c>
      <c r="AI37" s="17">
        <f>'Deuda Mensual'!AI74</f>
        <v>28.52595429839964</v>
      </c>
      <c r="AJ37" s="17">
        <f>'Deuda Mensual'!AJ74</f>
        <v>26.798813322462355</v>
      </c>
      <c r="AK37" s="17">
        <f>'Deuda Mensual'!AK74</f>
        <v>25.059601268611647</v>
      </c>
      <c r="AL37" s="17">
        <f>'Deuda Mensual'!AL74</f>
        <v>23.308232594650619</v>
      </c>
      <c r="AM37" s="17">
        <f>'Deuda Mensual'!AM74</f>
        <v>21.544621145044189</v>
      </c>
      <c r="AN37" s="17">
        <f>'Deuda Mensual'!AN74</f>
        <v>19.768680146479273</v>
      </c>
      <c r="AO37" s="17">
        <f>'Deuda Mensual'!AO74</f>
        <v>17.980322203390909</v>
      </c>
      <c r="AP37" s="17">
        <f>'Deuda Mensual'!AP74</f>
        <v>16.179459293458102</v>
      </c>
      <c r="AQ37" s="17">
        <f>'Deuda Mensual'!AQ74</f>
        <v>14.366002763064504</v>
      </c>
      <c r="AR37" s="17">
        <f>'Deuda Mensual'!AR74</f>
        <v>12.539863322727737</v>
      </c>
      <c r="AS37" s="17">
        <f>'Deuda Mensual'!AS74</f>
        <v>10.700951042494253</v>
      </c>
      <c r="AT37" s="17">
        <f>'Deuda Mensual'!AT74</f>
        <v>8.8491753473011308</v>
      </c>
      <c r="AU37" s="17">
        <f>'Deuda Mensual'!AU74</f>
        <v>6.9844450123037856</v>
      </c>
      <c r="AV37" s="17">
        <f>'Deuda Mensual'!AV74</f>
        <v>5.1066681581697386</v>
      </c>
      <c r="AW37" s="17">
        <f>'Deuda Mensual'!AW74</f>
        <v>3.2157522463378845</v>
      </c>
      <c r="AX37" s="17">
        <f>'Deuda Mensual'!AX74</f>
        <v>1.4891128951063528</v>
      </c>
      <c r="AY37" s="17">
        <f>'Deuda Mensual'!AY74</f>
        <v>2.2785648393408242</v>
      </c>
      <c r="AZ37" s="17">
        <f>'Deuda Mensual'!AZ74</f>
        <v>2.1574464192910137</v>
      </c>
      <c r="BA37" s="17">
        <f>'Deuda Mensual'!BA74</f>
        <v>2.0356431780851496</v>
      </c>
      <c r="BB37" s="17">
        <f>'Deuda Mensual'!BB74</f>
        <v>1.9131512436448492</v>
      </c>
      <c r="BC37" s="17">
        <f>'Deuda Mensual'!BC74</f>
        <v>1.7899667219984394</v>
      </c>
      <c r="BD37" s="17">
        <f>'Deuda Mensual'!BD74</f>
        <v>1.6660856971571629</v>
      </c>
      <c r="BE37" s="17">
        <f>'Deuda Mensual'!BE74</f>
        <v>1.5415042309906932</v>
      </c>
      <c r="BF37" s="17">
        <f>'Deuda Mensual'!BF74</f>
        <v>1.416218363101942</v>
      </c>
      <c r="BG37" s="17">
        <f>'Deuda Mensual'!BG74</f>
        <v>1.2902241107011607</v>
      </c>
      <c r="BH37" s="17">
        <f>'Deuda Mensual'!BH74</f>
        <v>1.1635174684793279</v>
      </c>
      <c r="BI37" s="17">
        <f>'Deuda Mensual'!BI74</f>
        <v>1.0360944084808228</v>
      </c>
      <c r="BJ37" s="17">
        <f>'Deuda Mensual'!BJ74</f>
        <v>0.90795087997537782</v>
      </c>
      <c r="BK37" s="17">
        <f>'Deuda Mensual'!BK74</f>
        <v>0.77908280932930674</v>
      </c>
      <c r="BL37" s="17">
        <f>'Deuda Mensual'!BL74</f>
        <v>0.74868220565245347</v>
      </c>
      <c r="BM37" s="17">
        <f>'Deuda Mensual'!BM74</f>
        <v>0.71810971254254641</v>
      </c>
      <c r="BN37" s="17">
        <f>'Deuda Mensual'!BN74</f>
        <v>0.68736435811174035</v>
      </c>
      <c r="BO37" s="17">
        <f>'Deuda Mensual'!BO74</f>
        <v>0.65644516497699534</v>
      </c>
      <c r="BP37" s="17">
        <f>'Deuda Mensual'!BP74</f>
        <v>0.62535115022900511</v>
      </c>
      <c r="BQ37" s="17">
        <f>'Deuda Mensual'!BQ74</f>
        <v>0.5940813254009516</v>
      </c>
      <c r="BR37" s="17">
        <f>'Deuda Mensual'!BR74</f>
        <v>0.56263469643708175</v>
      </c>
      <c r="BS37" s="17">
        <f>'Deuda Mensual'!BS74</f>
        <v>0.53101026366110626</v>
      </c>
      <c r="BT37" s="17">
        <f>'Deuda Mensual'!BT74</f>
        <v>0.49920702174442128</v>
      </c>
      <c r="BU37" s="17">
        <f>'Deuda Mensual'!BU74</f>
        <v>0.46722395967414848</v>
      </c>
      <c r="BV37" s="17">
        <f>'Deuda Mensual'!BV74</f>
        <v>0.4350600607209959</v>
      </c>
      <c r="BW37" s="17">
        <f>'Deuda Mensual'!BW74</f>
        <v>0.40271430240693645</v>
      </c>
      <c r="BX37" s="17">
        <f>'Deuda Mensual'!BX74</f>
        <v>0.37018565647270346</v>
      </c>
      <c r="BY37" s="17">
        <f>'Deuda Mensual'!BY74</f>
        <v>0.33747308884510285</v>
      </c>
      <c r="BZ37" s="17">
        <f>'Deuda Mensual'!BZ74</f>
        <v>0.30457555960414046</v>
      </c>
      <c r="CA37" s="17">
        <f>'Deuda Mensual'!CA74</f>
        <v>0.27149202294996327</v>
      </c>
      <c r="CB37" s="17">
        <f>'Deuda Mensual'!CB74</f>
        <v>0.23822142716961375</v>
      </c>
      <c r="CC37" s="17">
        <f>'Deuda Mensual'!CC74</f>
        <v>0.20476271460359657</v>
      </c>
      <c r="CD37" s="17">
        <f>'Deuda Mensual'!CD74</f>
        <v>0.17111482161225575</v>
      </c>
      <c r="CE37" s="17">
        <f>'Deuda Mensual'!CE74</f>
        <v>0.13727667854196202</v>
      </c>
      <c r="CF37" s="17">
        <f>'Deuda Mensual'!CF74</f>
        <v>0.103247209691109</v>
      </c>
      <c r="CG37" s="17">
        <f>'Deuda Mensual'!CG74</f>
        <v>6.9025333275917103E-2</v>
      </c>
      <c r="CH37" s="17">
        <f>'Deuda Mensual'!CH74</f>
        <v>3.4609961396043894E-2</v>
      </c>
      <c r="CI37" s="17">
        <f>'Deuda Mensual'!CI74</f>
        <v>0</v>
      </c>
      <c r="CJ37" s="17">
        <f>'Deuda Mensual'!CJ74</f>
        <v>0</v>
      </c>
      <c r="CK37" s="17">
        <f>'Deuda Mensual'!CK74</f>
        <v>0</v>
      </c>
      <c r="CL37" s="17">
        <f>'Deuda Mensual'!CL74</f>
        <v>0</v>
      </c>
      <c r="CM37" s="17">
        <f>'Deuda Mensual'!CM74</f>
        <v>0</v>
      </c>
      <c r="CN37" s="17">
        <f>'Deuda Mensual'!CN74</f>
        <v>0</v>
      </c>
      <c r="CO37" s="17">
        <f>'Deuda Mensual'!CO74</f>
        <v>0</v>
      </c>
      <c r="CP37" s="17">
        <f>'Deuda Mensual'!CP74</f>
        <v>0</v>
      </c>
      <c r="CQ37" s="17">
        <f>'Deuda Mensual'!CQ74</f>
        <v>0</v>
      </c>
      <c r="CR37" s="17">
        <f>'Deuda Mensual'!CR74</f>
        <v>0</v>
      </c>
      <c r="CS37" s="17">
        <f>'Deuda Mensual'!CS74</f>
        <v>0</v>
      </c>
      <c r="CT37" s="17">
        <f>'Deuda Mensual'!CT74</f>
        <v>0</v>
      </c>
      <c r="CU37" s="17">
        <f>'Deuda Mensual'!CU74</f>
        <v>0</v>
      </c>
      <c r="CV37" s="17">
        <f>'Deuda Mensual'!CV74</f>
        <v>0</v>
      </c>
      <c r="CW37" s="17">
        <f>'Deuda Mensual'!CW74</f>
        <v>0</v>
      </c>
      <c r="CX37" s="17">
        <f>'Deuda Mensual'!CX74</f>
        <v>0</v>
      </c>
      <c r="CY37" s="17">
        <f>'Deuda Mensual'!CY74</f>
        <v>0</v>
      </c>
      <c r="CZ37" s="17">
        <f>'Deuda Mensual'!CZ74</f>
        <v>0</v>
      </c>
      <c r="DA37" s="17">
        <f>'Deuda Mensual'!DA74</f>
        <v>0</v>
      </c>
      <c r="DB37" s="17">
        <f>'Deuda Mensual'!DB74</f>
        <v>0</v>
      </c>
      <c r="DC37" s="17">
        <f>'Deuda Mensual'!DC74</f>
        <v>0</v>
      </c>
      <c r="DD37" s="17">
        <f>'Deuda Mensual'!DD74</f>
        <v>0</v>
      </c>
      <c r="DE37" s="17">
        <f>'Deuda Mensual'!DE74</f>
        <v>0</v>
      </c>
      <c r="DF37" s="17">
        <f>'Deuda Mensual'!DF74</f>
        <v>0</v>
      </c>
    </row>
    <row r="38" spans="1:112" ht="13.8" x14ac:dyDescent="0.3">
      <c r="A38" s="16" t="s">
        <v>121</v>
      </c>
      <c r="B38" s="41" t="s">
        <v>157</v>
      </c>
      <c r="C38" s="17">
        <f>'Deuda Mensual'!C75</f>
        <v>0</v>
      </c>
      <c r="D38" s="17">
        <f>'Deuda Mensual'!D75</f>
        <v>0</v>
      </c>
      <c r="E38" s="17">
        <f>'Deuda Mensual'!E75</f>
        <v>0</v>
      </c>
      <c r="F38" s="17">
        <f>'Deuda Mensual'!F75</f>
        <v>0</v>
      </c>
      <c r="G38" s="17">
        <f>'Deuda Mensual'!G75</f>
        <v>0</v>
      </c>
      <c r="H38" s="17">
        <f>'Deuda Mensual'!H75</f>
        <v>0</v>
      </c>
      <c r="I38" s="17">
        <f>'Deuda Mensual'!I75</f>
        <v>0</v>
      </c>
      <c r="J38" s="17">
        <f>'Deuda Mensual'!J75</f>
        <v>0</v>
      </c>
      <c r="K38" s="17">
        <f>'Deuda Mensual'!K75</f>
        <v>0</v>
      </c>
      <c r="L38" s="17">
        <f>'Deuda Mensual'!L75</f>
        <v>0.69465999999999994</v>
      </c>
      <c r="M38" s="17">
        <f>'Deuda Mensual'!M75</f>
        <v>6.6502726567755381</v>
      </c>
      <c r="N38" s="17">
        <f>'Deuda Mensual'!N75</f>
        <v>6.4090608163049954</v>
      </c>
      <c r="O38" s="17">
        <f>'Deuda Mensual'!O75</f>
        <v>6.2747855931021803</v>
      </c>
      <c r="P38" s="17">
        <f>'Deuda Mensual'!P75</f>
        <v>6.0967622185585064</v>
      </c>
      <c r="Q38" s="17">
        <f>'Deuda Mensual'!Q75</f>
        <v>5.8612058971029812</v>
      </c>
      <c r="R38" s="17">
        <f>'Deuda Mensual'!R75</f>
        <v>5.7373518060497579</v>
      </c>
      <c r="S38" s="17">
        <f>'Deuda Mensual'!S75</f>
        <v>5.5733250954448232</v>
      </c>
      <c r="T38" s="17">
        <f>'Deuda Mensual'!T75</f>
        <v>5.3419508879118167</v>
      </c>
      <c r="U38" s="17">
        <f>'Deuda Mensual'!U75</f>
        <v>5.1756842784969841</v>
      </c>
      <c r="V38" s="17">
        <f>'Deuda Mensual'!V75</f>
        <v>5.0209803345132498</v>
      </c>
      <c r="W38" s="17">
        <f>'Deuda Mensual'!W75</f>
        <v>4.8080740953834056</v>
      </c>
      <c r="X38" s="17">
        <f>'Deuda Mensual'!X75</f>
        <v>4.6226305724824233</v>
      </c>
      <c r="Y38" s="17">
        <f>'Deuda Mensual'!Y75</f>
        <v>4.4476947489788614</v>
      </c>
      <c r="Z38" s="17">
        <f>'Deuda Mensual'!Z75</f>
        <v>4.2486415796753816</v>
      </c>
      <c r="AA38" s="17">
        <f>'Deuda Mensual'!AA75</f>
        <v>4.0891059908483696</v>
      </c>
      <c r="AB38" s="17">
        <f>'Deuda Mensual'!AB75</f>
        <v>3.8617428800866378</v>
      </c>
      <c r="AC38" s="17">
        <f>'Deuda Mensual'!AC75</f>
        <v>3.6718871161292266</v>
      </c>
      <c r="AD38" s="17">
        <f>'Deuda Mensual'!AD75</f>
        <v>3.5083335387022778</v>
      </c>
      <c r="AE38" s="17">
        <f>'Deuda Mensual'!AE75</f>
        <v>3.2832169583549975</v>
      </c>
      <c r="AF38" s="17">
        <f>'Deuda Mensual'!AF75</f>
        <v>3.1058221562946802</v>
      </c>
      <c r="AG38" s="17">
        <f>'Deuda Mensual'!AG75</f>
        <v>2.9136938842208093</v>
      </c>
      <c r="AH38" s="17">
        <f>'Deuda Mensual'!AH75</f>
        <v>2.7066568641582132</v>
      </c>
      <c r="AI38" s="17">
        <f>'Deuda Mensual'!AI75</f>
        <v>2.5142557882892804</v>
      </c>
      <c r="AJ38" s="17">
        <f>'Deuda Mensual'!AJ75</f>
        <v>2.3148253187852301</v>
      </c>
      <c r="AK38" s="17">
        <f>'Deuda Mensual'!AK75</f>
        <v>2.1142500876364179</v>
      </c>
      <c r="AL38" s="17">
        <f>'Deuda Mensual'!AL75</f>
        <v>1.9434746964816942</v>
      </c>
      <c r="AM38" s="17">
        <f>'Deuda Mensual'!AM75</f>
        <v>1.7717337164367915</v>
      </c>
      <c r="AN38" s="17">
        <f>'Deuda Mensual'!AN75</f>
        <v>1.5990216879217387</v>
      </c>
      <c r="AO38" s="17">
        <f>'Deuda Mensual'!AO75</f>
        <v>1.4253331204873083</v>
      </c>
      <c r="AP38" s="17">
        <f>'Deuda Mensual'!AP75</f>
        <v>1.2506624926404737</v>
      </c>
      <c r="AQ38" s="17">
        <f>'Deuda Mensual'!AQ75</f>
        <v>1.0750042516688836</v>
      </c>
      <c r="AR38" s="17">
        <f>'Deuda Mensual'!AR75</f>
        <v>0.89835281346434415</v>
      </c>
      <c r="AS38" s="17">
        <f>'Deuda Mensual'!AS75</f>
        <v>0.72070256234530228</v>
      </c>
      <c r="AT38" s="17">
        <f>'Deuda Mensual'!AT75</f>
        <v>0.54204785087832408</v>
      </c>
      <c r="AU38" s="17">
        <f>'Deuda Mensual'!AU75</f>
        <v>0.36238299969856663</v>
      </c>
      <c r="AV38" s="17">
        <f>'Deuda Mensual'!AV75</f>
        <v>0.18170229732923229</v>
      </c>
      <c r="AW38" s="17">
        <f>'Deuda Mensual'!AW75</f>
        <v>0</v>
      </c>
      <c r="AX38" s="17">
        <f>'Deuda Mensual'!AX75</f>
        <v>0</v>
      </c>
      <c r="AY38" s="17">
        <f>'Deuda Mensual'!AY75</f>
        <v>0</v>
      </c>
      <c r="AZ38" s="17">
        <f>'Deuda Mensual'!AZ75</f>
        <v>0</v>
      </c>
      <c r="BA38" s="17">
        <f>'Deuda Mensual'!BA75</f>
        <v>0</v>
      </c>
      <c r="BB38" s="17">
        <f>'Deuda Mensual'!BB75</f>
        <v>0</v>
      </c>
      <c r="BC38" s="17">
        <f>'Deuda Mensual'!BC75</f>
        <v>0</v>
      </c>
      <c r="BD38" s="17">
        <f>'Deuda Mensual'!BD75</f>
        <v>0</v>
      </c>
      <c r="BE38" s="17">
        <f>'Deuda Mensual'!BE75</f>
        <v>0</v>
      </c>
      <c r="BF38" s="17">
        <f>'Deuda Mensual'!BF75</f>
        <v>0</v>
      </c>
      <c r="BG38" s="17">
        <f>'Deuda Mensual'!BG75</f>
        <v>0</v>
      </c>
      <c r="BH38" s="17">
        <f>'Deuda Mensual'!BH75</f>
        <v>0</v>
      </c>
      <c r="BI38" s="17">
        <f>'Deuda Mensual'!BI75</f>
        <v>0</v>
      </c>
      <c r="BJ38" s="17">
        <f>'Deuda Mensual'!BJ75</f>
        <v>0</v>
      </c>
      <c r="BK38" s="17">
        <f>'Deuda Mensual'!BK75</f>
        <v>5.936852656775538</v>
      </c>
      <c r="BL38" s="17">
        <f>'Deuda Mensual'!BL75</f>
        <v>5.7876908163049956</v>
      </c>
      <c r="BM38" s="17">
        <f>'Deuda Mensual'!BM75</f>
        <v>5.6376855931021801</v>
      </c>
      <c r="BN38" s="17">
        <f>'Deuda Mensual'!BN75</f>
        <v>5.4868322185585061</v>
      </c>
      <c r="BO38" s="17">
        <f>'Deuda Mensual'!BO75</f>
        <v>5.3351258971029809</v>
      </c>
      <c r="BP38" s="17">
        <f>'Deuda Mensual'!BP75</f>
        <v>5.1825618060497582</v>
      </c>
      <c r="BQ38" s="17">
        <f>'Deuda Mensual'!BQ75</f>
        <v>5.0291350954448237</v>
      </c>
      <c r="BR38" s="17">
        <f>'Deuda Mensual'!BR75</f>
        <v>4.8748408879118168</v>
      </c>
      <c r="BS38" s="17">
        <f>'Deuda Mensual'!BS75</f>
        <v>4.7196742784969841</v>
      </c>
      <c r="BT38" s="17">
        <f>'Deuda Mensual'!BT75</f>
        <v>4.563630334513249</v>
      </c>
      <c r="BU38" s="17">
        <f>'Deuda Mensual'!BU75</f>
        <v>4.4067040953834056</v>
      </c>
      <c r="BV38" s="17">
        <f>'Deuda Mensual'!BV75</f>
        <v>4.2488905724824235</v>
      </c>
      <c r="BW38" s="17">
        <f>'Deuda Mensual'!BW75</f>
        <v>4.0901847489788619</v>
      </c>
      <c r="BX38" s="17">
        <f>'Deuda Mensual'!BX75</f>
        <v>3.9305815796753816</v>
      </c>
      <c r="BY38" s="17">
        <f>'Deuda Mensual'!BY75</f>
        <v>3.7700759908483694</v>
      </c>
      <c r="BZ38" s="17">
        <f>'Deuda Mensual'!BZ75</f>
        <v>3.608662880086638</v>
      </c>
      <c r="CA38" s="17">
        <f>'Deuda Mensual'!CA75</f>
        <v>3.4463371161292264</v>
      </c>
      <c r="CB38" s="17">
        <f>'Deuda Mensual'!CB75</f>
        <v>3.2830935387022784</v>
      </c>
      <c r="CC38" s="17">
        <f>'Deuda Mensual'!CC75</f>
        <v>3.1189269583549977</v>
      </c>
      <c r="CD38" s="17">
        <f>'Deuda Mensual'!CD75</f>
        <v>2.9538321562946801</v>
      </c>
      <c r="CE38" s="17">
        <f>'Deuda Mensual'!CE75</f>
        <v>2.7878038842208093</v>
      </c>
      <c r="CF38" s="17">
        <f>'Deuda Mensual'!CF75</f>
        <v>2.6208368641582127</v>
      </c>
      <c r="CG38" s="17">
        <f>'Deuda Mensual'!CG75</f>
        <v>2.4529257882892805</v>
      </c>
      <c r="CH38" s="17">
        <f>'Deuda Mensual'!CH75</f>
        <v>2.2840653187852298</v>
      </c>
      <c r="CI38" s="17">
        <f>'Deuda Mensual'!CI75</f>
        <v>2.1142500876364179</v>
      </c>
      <c r="CJ38" s="17">
        <f>'Deuda Mensual'!CJ75</f>
        <v>1.9434746964816942</v>
      </c>
      <c r="CK38" s="17">
        <f>'Deuda Mensual'!CK75</f>
        <v>1.7717337164367915</v>
      </c>
      <c r="CL38" s="17">
        <f>'Deuda Mensual'!CL75</f>
        <v>1.5990216879217387</v>
      </c>
      <c r="CM38" s="17">
        <f>'Deuda Mensual'!CM75</f>
        <v>1.4253331204873083</v>
      </c>
      <c r="CN38" s="17">
        <f>'Deuda Mensual'!CN75</f>
        <v>1.2506624926404737</v>
      </c>
      <c r="CO38" s="17">
        <f>'Deuda Mensual'!CO75</f>
        <v>1.0750042516688836</v>
      </c>
      <c r="CP38" s="17">
        <f>'Deuda Mensual'!CP75</f>
        <v>0.89835281346434415</v>
      </c>
      <c r="CQ38" s="17">
        <f>'Deuda Mensual'!CQ75</f>
        <v>0.72070256234530228</v>
      </c>
      <c r="CR38" s="17">
        <f>'Deuda Mensual'!CR75</f>
        <v>0.54204785087832408</v>
      </c>
      <c r="CS38" s="17">
        <f>'Deuda Mensual'!CS75</f>
        <v>0.36238299969856663</v>
      </c>
      <c r="CT38" s="17">
        <f>'Deuda Mensual'!CT75</f>
        <v>0.18170229732923229</v>
      </c>
      <c r="CU38" s="17">
        <f>'Deuda Mensual'!CU75</f>
        <v>0</v>
      </c>
      <c r="CV38" s="17">
        <f>'Deuda Mensual'!CV75</f>
        <v>0</v>
      </c>
      <c r="CW38" s="17">
        <f>'Deuda Mensual'!CW75</f>
        <v>0</v>
      </c>
      <c r="CX38" s="17">
        <f>'Deuda Mensual'!CX75</f>
        <v>0</v>
      </c>
      <c r="CY38" s="17">
        <f>'Deuda Mensual'!CY75</f>
        <v>0</v>
      </c>
      <c r="CZ38" s="17">
        <f>'Deuda Mensual'!CZ75</f>
        <v>0</v>
      </c>
      <c r="DA38" s="17">
        <f>'Deuda Mensual'!DA75</f>
        <v>0</v>
      </c>
      <c r="DB38" s="17">
        <f>'Deuda Mensual'!DB75</f>
        <v>0</v>
      </c>
      <c r="DC38" s="17">
        <f>'Deuda Mensual'!DC75</f>
        <v>0</v>
      </c>
      <c r="DD38" s="17">
        <f>'Deuda Mensual'!DD75</f>
        <v>0</v>
      </c>
      <c r="DE38" s="17">
        <f>'Deuda Mensual'!DE75</f>
        <v>0</v>
      </c>
      <c r="DF38" s="17">
        <f>'Deuda Mensual'!DF75</f>
        <v>0</v>
      </c>
    </row>
    <row r="39" spans="1:112" ht="13.8" x14ac:dyDescent="0.3">
      <c r="A39" s="16" t="s">
        <v>122</v>
      </c>
      <c r="B39" s="41" t="s">
        <v>157</v>
      </c>
      <c r="C39" s="17">
        <f>'Deuda Mensual'!C76</f>
        <v>0</v>
      </c>
      <c r="D39" s="17">
        <f>'Deuda Mensual'!D76</f>
        <v>0</v>
      </c>
      <c r="E39" s="17">
        <f>'Deuda Mensual'!E76</f>
        <v>0</v>
      </c>
      <c r="F39" s="17">
        <f>'Deuda Mensual'!F76</f>
        <v>0</v>
      </c>
      <c r="G39" s="17">
        <f>'Deuda Mensual'!G76</f>
        <v>0</v>
      </c>
      <c r="H39" s="17">
        <f>'Deuda Mensual'!H76</f>
        <v>0</v>
      </c>
      <c r="I39" s="17">
        <f>'Deuda Mensual'!I76</f>
        <v>0</v>
      </c>
      <c r="J39" s="17">
        <f>'Deuda Mensual'!J76</f>
        <v>0</v>
      </c>
      <c r="K39" s="17">
        <f>'Deuda Mensual'!K76</f>
        <v>0</v>
      </c>
      <c r="L39" s="17">
        <f>'Deuda Mensual'!L76</f>
        <v>0.94001000000000001</v>
      </c>
      <c r="M39" s="17">
        <f>'Deuda Mensual'!M76</f>
        <v>0.94001000000000001</v>
      </c>
      <c r="N39" s="17">
        <f>'Deuda Mensual'!N76</f>
        <v>0.94001000000000001</v>
      </c>
      <c r="O39" s="17">
        <f>'Deuda Mensual'!O76</f>
        <v>0.94001000000000001</v>
      </c>
      <c r="P39" s="17">
        <f>'Deuda Mensual'!P76</f>
        <v>0.94001000000000001</v>
      </c>
      <c r="Q39" s="17">
        <f>'Deuda Mensual'!Q76</f>
        <v>0.94001000000000001</v>
      </c>
      <c r="R39" s="17">
        <f>'Deuda Mensual'!R76</f>
        <v>0.94001000000000001</v>
      </c>
      <c r="S39" s="17">
        <f>'Deuda Mensual'!S76</f>
        <v>0.94001000000000001</v>
      </c>
      <c r="T39" s="17">
        <f>'Deuda Mensual'!T76</f>
        <v>0.94001000000000001</v>
      </c>
      <c r="U39" s="17">
        <f>'Deuda Mensual'!U76</f>
        <v>0.94001000000000001</v>
      </c>
      <c r="V39" s="17">
        <f>'Deuda Mensual'!V76</f>
        <v>0.94001000000000001</v>
      </c>
      <c r="W39" s="17">
        <f>'Deuda Mensual'!W76</f>
        <v>0.94001000000000001</v>
      </c>
      <c r="X39" s="17">
        <f>'Deuda Mensual'!X76</f>
        <v>0.94001000000000001</v>
      </c>
      <c r="Y39" s="17">
        <f>'Deuda Mensual'!Y76</f>
        <v>0.94001000000000001</v>
      </c>
      <c r="Z39" s="17">
        <f>'Deuda Mensual'!Z76</f>
        <v>0.94001000000000001</v>
      </c>
      <c r="AA39" s="17">
        <f>'Deuda Mensual'!AA76</f>
        <v>0.94001000000000001</v>
      </c>
      <c r="AB39" s="17">
        <f>'Deuda Mensual'!AB76</f>
        <v>0.94001000000000001</v>
      </c>
      <c r="AC39" s="17">
        <f>'Deuda Mensual'!AC76</f>
        <v>0.94001000000000001</v>
      </c>
      <c r="AD39" s="17">
        <f>'Deuda Mensual'!AD76</f>
        <v>0.94001000000000001</v>
      </c>
      <c r="AE39" s="17">
        <f>'Deuda Mensual'!AE76</f>
        <v>0.94001000000000001</v>
      </c>
      <c r="AF39" s="17">
        <f>'Deuda Mensual'!AF76</f>
        <v>0.94001000000000001</v>
      </c>
      <c r="AG39" s="17">
        <f>'Deuda Mensual'!AG76</f>
        <v>0.94001000000000001</v>
      </c>
      <c r="AH39" s="17">
        <f>'Deuda Mensual'!AH76</f>
        <v>0.94001000000000001</v>
      </c>
      <c r="AI39" s="17">
        <f>'Deuda Mensual'!AI76</f>
        <v>0.94001000000000001</v>
      </c>
      <c r="AJ39" s="17">
        <f>'Deuda Mensual'!AJ76</f>
        <v>0.94001999999999997</v>
      </c>
      <c r="AK39" s="17">
        <f>'Deuda Mensual'!AK76</f>
        <v>0</v>
      </c>
      <c r="AL39" s="17">
        <f>'Deuda Mensual'!AL76</f>
        <v>0</v>
      </c>
      <c r="AM39" s="17">
        <f>'Deuda Mensual'!AM76</f>
        <v>0</v>
      </c>
      <c r="AN39" s="17">
        <f>'Deuda Mensual'!AN76</f>
        <v>0</v>
      </c>
      <c r="AO39" s="17">
        <f>'Deuda Mensual'!AO76</f>
        <v>0</v>
      </c>
      <c r="AP39" s="17">
        <f>'Deuda Mensual'!AP76</f>
        <v>0</v>
      </c>
      <c r="AQ39" s="17">
        <f>'Deuda Mensual'!AQ76</f>
        <v>0</v>
      </c>
      <c r="AR39" s="17">
        <f>'Deuda Mensual'!AR76</f>
        <v>0</v>
      </c>
      <c r="AS39" s="17">
        <f>'Deuda Mensual'!AS76</f>
        <v>0</v>
      </c>
      <c r="AT39" s="17">
        <f>'Deuda Mensual'!AT76</f>
        <v>0</v>
      </c>
      <c r="AU39" s="17">
        <f>'Deuda Mensual'!AU76</f>
        <v>0</v>
      </c>
      <c r="AV39" s="17">
        <f>'Deuda Mensual'!AV76</f>
        <v>0</v>
      </c>
      <c r="AW39" s="17">
        <f>'Deuda Mensual'!AW76</f>
        <v>0</v>
      </c>
      <c r="AX39" s="17">
        <f>'Deuda Mensual'!AX76</f>
        <v>0</v>
      </c>
      <c r="AY39" s="17">
        <f>'Deuda Mensual'!AY76</f>
        <v>0</v>
      </c>
      <c r="AZ39" s="17">
        <f>'Deuda Mensual'!AZ76</f>
        <v>0</v>
      </c>
      <c r="BA39" s="17">
        <f>'Deuda Mensual'!BA76</f>
        <v>0</v>
      </c>
      <c r="BB39" s="17">
        <f>'Deuda Mensual'!BB76</f>
        <v>0</v>
      </c>
      <c r="BC39" s="17">
        <f>'Deuda Mensual'!BC76</f>
        <v>0</v>
      </c>
      <c r="BD39" s="17">
        <f>'Deuda Mensual'!BD76</f>
        <v>0</v>
      </c>
      <c r="BE39" s="17">
        <f>'Deuda Mensual'!BE76</f>
        <v>0</v>
      </c>
      <c r="BF39" s="17">
        <f>'Deuda Mensual'!BF76</f>
        <v>0</v>
      </c>
      <c r="BG39" s="17">
        <f>'Deuda Mensual'!BG76</f>
        <v>0</v>
      </c>
      <c r="BH39" s="17">
        <f>'Deuda Mensual'!BH76</f>
        <v>0</v>
      </c>
      <c r="BI39" s="17">
        <f>'Deuda Mensual'!BI76</f>
        <v>0</v>
      </c>
      <c r="BJ39" s="17">
        <f>'Deuda Mensual'!BJ76</f>
        <v>0</v>
      </c>
      <c r="BK39" s="17">
        <f>'Deuda Mensual'!BK76</f>
        <v>0</v>
      </c>
      <c r="BL39" s="17">
        <f>'Deuda Mensual'!BL76</f>
        <v>0</v>
      </c>
      <c r="BM39" s="17">
        <f>'Deuda Mensual'!BM76</f>
        <v>0</v>
      </c>
      <c r="BN39" s="17">
        <f>'Deuda Mensual'!BN76</f>
        <v>0</v>
      </c>
      <c r="BO39" s="17">
        <f>'Deuda Mensual'!BO76</f>
        <v>0</v>
      </c>
      <c r="BP39" s="17">
        <f>'Deuda Mensual'!BP76</f>
        <v>0</v>
      </c>
      <c r="BQ39" s="17">
        <f>'Deuda Mensual'!BQ76</f>
        <v>0</v>
      </c>
      <c r="BR39" s="17">
        <f>'Deuda Mensual'!BR76</f>
        <v>0</v>
      </c>
      <c r="BS39" s="17">
        <f>'Deuda Mensual'!BS76</f>
        <v>0</v>
      </c>
      <c r="BT39" s="17">
        <f>'Deuda Mensual'!BT76</f>
        <v>0</v>
      </c>
      <c r="BU39" s="17">
        <f>'Deuda Mensual'!BU76</f>
        <v>0</v>
      </c>
      <c r="BV39" s="17">
        <f>'Deuda Mensual'!BV76</f>
        <v>0</v>
      </c>
      <c r="BW39" s="17">
        <f>'Deuda Mensual'!BW76</f>
        <v>0</v>
      </c>
      <c r="BX39" s="17">
        <f>'Deuda Mensual'!BX76</f>
        <v>0</v>
      </c>
      <c r="BY39" s="17">
        <f>'Deuda Mensual'!BY76</f>
        <v>0</v>
      </c>
      <c r="BZ39" s="17">
        <f>'Deuda Mensual'!BZ76</f>
        <v>0</v>
      </c>
      <c r="CA39" s="17">
        <f>'Deuda Mensual'!CA76</f>
        <v>0</v>
      </c>
      <c r="CB39" s="17">
        <f>'Deuda Mensual'!CB76</f>
        <v>0</v>
      </c>
      <c r="CC39" s="17">
        <f>'Deuda Mensual'!CC76</f>
        <v>0</v>
      </c>
      <c r="CD39" s="17">
        <f>'Deuda Mensual'!CD76</f>
        <v>0</v>
      </c>
      <c r="CE39" s="17">
        <f>'Deuda Mensual'!CE76</f>
        <v>0</v>
      </c>
      <c r="CF39" s="17">
        <f>'Deuda Mensual'!CF76</f>
        <v>0</v>
      </c>
      <c r="CG39" s="17">
        <f>'Deuda Mensual'!CG76</f>
        <v>0</v>
      </c>
      <c r="CH39" s="17">
        <f>'Deuda Mensual'!CH76</f>
        <v>0</v>
      </c>
      <c r="CI39" s="17">
        <f>'Deuda Mensual'!CI76</f>
        <v>0</v>
      </c>
      <c r="CJ39" s="17">
        <f>'Deuda Mensual'!CJ76</f>
        <v>0</v>
      </c>
      <c r="CK39" s="17">
        <f>'Deuda Mensual'!CK76</f>
        <v>0</v>
      </c>
      <c r="CL39" s="17">
        <f>'Deuda Mensual'!CL76</f>
        <v>0</v>
      </c>
      <c r="CM39" s="17">
        <f>'Deuda Mensual'!CM76</f>
        <v>0</v>
      </c>
      <c r="CN39" s="17">
        <f>'Deuda Mensual'!CN76</f>
        <v>0</v>
      </c>
      <c r="CO39" s="17">
        <f>'Deuda Mensual'!CO76</f>
        <v>0</v>
      </c>
      <c r="CP39" s="17">
        <f>'Deuda Mensual'!CP76</f>
        <v>0</v>
      </c>
      <c r="CQ39" s="17">
        <f>'Deuda Mensual'!CQ76</f>
        <v>0</v>
      </c>
      <c r="CR39" s="17">
        <f>'Deuda Mensual'!CR76</f>
        <v>0</v>
      </c>
      <c r="CS39" s="17">
        <f>'Deuda Mensual'!CS76</f>
        <v>0</v>
      </c>
      <c r="CT39" s="17">
        <f>'Deuda Mensual'!CT76</f>
        <v>0</v>
      </c>
      <c r="CU39" s="17">
        <f>'Deuda Mensual'!CU76</f>
        <v>0</v>
      </c>
      <c r="CV39" s="17">
        <f>'Deuda Mensual'!CV76</f>
        <v>0</v>
      </c>
      <c r="CW39" s="17">
        <f>'Deuda Mensual'!CW76</f>
        <v>0</v>
      </c>
      <c r="CX39" s="17">
        <f>'Deuda Mensual'!CX76</f>
        <v>0</v>
      </c>
      <c r="CY39" s="17">
        <f>'Deuda Mensual'!CY76</f>
        <v>0</v>
      </c>
      <c r="CZ39" s="17">
        <f>'Deuda Mensual'!CZ76</f>
        <v>0</v>
      </c>
      <c r="DA39" s="17">
        <f>'Deuda Mensual'!DA76</f>
        <v>0</v>
      </c>
      <c r="DB39" s="17">
        <f>'Deuda Mensual'!DB76</f>
        <v>0</v>
      </c>
      <c r="DC39" s="17">
        <f>'Deuda Mensual'!DC76</f>
        <v>0</v>
      </c>
      <c r="DD39" s="17">
        <f>'Deuda Mensual'!DD76</f>
        <v>0</v>
      </c>
      <c r="DE39" s="17">
        <f>'Deuda Mensual'!DE76</f>
        <v>0</v>
      </c>
      <c r="DF39" s="17">
        <f>'Deuda Mensual'!DF76</f>
        <v>0</v>
      </c>
    </row>
    <row r="40" spans="1:112" ht="13.8" x14ac:dyDescent="0.3">
      <c r="A40" s="16" t="s">
        <v>123</v>
      </c>
      <c r="B40" s="41" t="s">
        <v>158</v>
      </c>
      <c r="C40" s="37">
        <f t="shared" ref="C40:AH40" si="36">C59*(C12+C13)</f>
        <v>30.992802331035861</v>
      </c>
      <c r="D40" s="37">
        <f t="shared" si="36"/>
        <v>44.20799057469786</v>
      </c>
      <c r="E40" s="37">
        <f t="shared" si="36"/>
        <v>100.09724508073825</v>
      </c>
      <c r="F40" s="37">
        <f t="shared" si="36"/>
        <v>87.625615137425001</v>
      </c>
      <c r="G40" s="37">
        <f t="shared" si="36"/>
        <v>91.656107438073249</v>
      </c>
      <c r="H40" s="37">
        <f t="shared" si="36"/>
        <v>84.161046653144282</v>
      </c>
      <c r="I40" s="37">
        <f t="shared" si="36"/>
        <v>91.704227574512913</v>
      </c>
      <c r="J40" s="37">
        <f t="shared" si="36"/>
        <v>95.624700514857096</v>
      </c>
      <c r="K40" s="37">
        <f t="shared" si="36"/>
        <v>85.239398575454558</v>
      </c>
      <c r="L40" s="37">
        <f t="shared" si="36"/>
        <v>82.389597361969365</v>
      </c>
      <c r="M40" s="37">
        <f t="shared" si="36"/>
        <v>85.80404713072511</v>
      </c>
      <c r="N40" s="37">
        <f t="shared" si="36"/>
        <v>69.881341437329979</v>
      </c>
      <c r="O40" s="37">
        <f t="shared" si="36"/>
        <v>71.914942958433087</v>
      </c>
      <c r="P40" s="37">
        <f t="shared" si="36"/>
        <v>56.905816585799094</v>
      </c>
      <c r="Q40" s="37">
        <f t="shared" si="36"/>
        <v>102.22543399136214</v>
      </c>
      <c r="R40" s="37">
        <f t="shared" si="36"/>
        <v>93.860399613548239</v>
      </c>
      <c r="S40" s="37">
        <f t="shared" si="36"/>
        <v>92.635502904999669</v>
      </c>
      <c r="T40" s="37">
        <f t="shared" si="36"/>
        <v>86.074502703759109</v>
      </c>
      <c r="U40" s="37">
        <f t="shared" si="36"/>
        <v>89.702352440845871</v>
      </c>
      <c r="V40" s="37">
        <f t="shared" si="36"/>
        <v>101.9730993060742</v>
      </c>
      <c r="W40" s="37">
        <f t="shared" si="36"/>
        <v>105.08595810006445</v>
      </c>
      <c r="X40" s="37">
        <f t="shared" si="36"/>
        <v>108.29439833986383</v>
      </c>
      <c r="Y40" s="37">
        <f t="shared" si="36"/>
        <v>102.76822417007511</v>
      </c>
      <c r="Z40" s="37">
        <f t="shared" si="36"/>
        <v>84.905829846355942</v>
      </c>
      <c r="AA40" s="37">
        <f t="shared" si="36"/>
        <v>85.664469975022456</v>
      </c>
      <c r="AB40" s="37">
        <f t="shared" si="36"/>
        <v>92.831652367103615</v>
      </c>
      <c r="AC40" s="37">
        <f t="shared" si="36"/>
        <v>104.41690347417222</v>
      </c>
      <c r="AD40" s="37">
        <f t="shared" si="36"/>
        <v>100.14256988012752</v>
      </c>
      <c r="AE40" s="37">
        <f t="shared" si="36"/>
        <v>108.38353839884958</v>
      </c>
      <c r="AF40" s="37">
        <f t="shared" si="36"/>
        <v>100.70716816339815</v>
      </c>
      <c r="AG40" s="37">
        <f t="shared" si="36"/>
        <v>104.95175235578964</v>
      </c>
      <c r="AH40" s="37">
        <f t="shared" si="36"/>
        <v>117.88508618997399</v>
      </c>
      <c r="AI40" s="37">
        <f t="shared" ref="AI40:BN40" si="37">AI59*(AI12+AI13)</f>
        <v>121.90320342332213</v>
      </c>
      <c r="AJ40" s="37">
        <f t="shared" si="37"/>
        <v>126.70444605764065</v>
      </c>
      <c r="AK40" s="37">
        <f t="shared" si="37"/>
        <v>120.23882227898788</v>
      </c>
      <c r="AL40" s="37">
        <f t="shared" si="37"/>
        <v>99.339820920236434</v>
      </c>
      <c r="AM40" s="37">
        <f t="shared" si="37"/>
        <v>100.00484572724466</v>
      </c>
      <c r="AN40" s="37">
        <f t="shared" si="37"/>
        <v>77.948949085067483</v>
      </c>
      <c r="AO40" s="37">
        <f t="shared" si="37"/>
        <v>139.33837780192616</v>
      </c>
      <c r="AP40" s="37">
        <f t="shared" si="37"/>
        <v>127.93641769324691</v>
      </c>
      <c r="AQ40" s="37">
        <f t="shared" si="37"/>
        <v>126.26682223465978</v>
      </c>
      <c r="AR40" s="37">
        <f t="shared" si="37"/>
        <v>117.32385091035884</v>
      </c>
      <c r="AS40" s="37">
        <f t="shared" si="37"/>
        <v>122.26879149449496</v>
      </c>
      <c r="AT40" s="37">
        <f t="shared" si="37"/>
        <v>137.3361254113197</v>
      </c>
      <c r="AU40" s="37">
        <f t="shared" si="37"/>
        <v>142.01723198817027</v>
      </c>
      <c r="AV40" s="37">
        <f t="shared" si="37"/>
        <v>147.61067965715137</v>
      </c>
      <c r="AW40" s="37">
        <f t="shared" si="37"/>
        <v>140.07822795502088</v>
      </c>
      <c r="AX40" s="37">
        <f t="shared" si="37"/>
        <v>115.73089137207545</v>
      </c>
      <c r="AY40" s="37">
        <f t="shared" si="37"/>
        <v>116.24633474502572</v>
      </c>
      <c r="AZ40" s="37">
        <f t="shared" si="37"/>
        <v>90.467373246895249</v>
      </c>
      <c r="BA40" s="37">
        <f t="shared" si="37"/>
        <v>161.63251825023434</v>
      </c>
      <c r="BB40" s="37">
        <f t="shared" si="37"/>
        <v>148.4062445241664</v>
      </c>
      <c r="BC40" s="37">
        <f t="shared" si="37"/>
        <v>146.46951379220533</v>
      </c>
      <c r="BD40" s="37">
        <f t="shared" si="37"/>
        <v>136.09566705601625</v>
      </c>
      <c r="BE40" s="37">
        <f t="shared" si="37"/>
        <v>141.83179813361411</v>
      </c>
      <c r="BF40" s="37">
        <f t="shared" si="37"/>
        <v>159.30990547713085</v>
      </c>
      <c r="BG40" s="37">
        <f t="shared" si="37"/>
        <v>164.73998910627751</v>
      </c>
      <c r="BH40" s="37">
        <f t="shared" si="37"/>
        <v>171.22838840229554</v>
      </c>
      <c r="BI40" s="37">
        <f t="shared" si="37"/>
        <v>162.49074442782421</v>
      </c>
      <c r="BJ40" s="37">
        <f t="shared" si="37"/>
        <v>134.24783399160751</v>
      </c>
      <c r="BK40" s="37">
        <f t="shared" si="37"/>
        <v>134.54494809266126</v>
      </c>
      <c r="BL40" s="37">
        <f t="shared" si="37"/>
        <v>104.5440961392368</v>
      </c>
      <c r="BM40" s="37">
        <f t="shared" si="37"/>
        <v>186.68555857902066</v>
      </c>
      <c r="BN40" s="37">
        <f t="shared" si="37"/>
        <v>171.40921242541219</v>
      </c>
      <c r="BO40" s="37">
        <f t="shared" ref="BO40:CT40" si="38">BO59*(BO12+BO13)</f>
        <v>169.1722884299972</v>
      </c>
      <c r="BP40" s="37">
        <f t="shared" si="38"/>
        <v>157.1904954496988</v>
      </c>
      <c r="BQ40" s="37">
        <f t="shared" si="38"/>
        <v>163.8157268443243</v>
      </c>
      <c r="BR40" s="37">
        <f t="shared" si="38"/>
        <v>184.0029408260861</v>
      </c>
      <c r="BS40" s="37">
        <f t="shared" si="38"/>
        <v>190.27468741775053</v>
      </c>
      <c r="BT40" s="37">
        <f t="shared" si="38"/>
        <v>197.76878860465141</v>
      </c>
      <c r="BU40" s="37">
        <f t="shared" si="38"/>
        <v>187.67680981413696</v>
      </c>
      <c r="BV40" s="37">
        <f t="shared" si="38"/>
        <v>155.05624826030669</v>
      </c>
      <c r="BW40" s="37">
        <f t="shared" si="38"/>
        <v>154.35714231393862</v>
      </c>
      <c r="BX40" s="37">
        <f t="shared" si="38"/>
        <v>165.5699487100635</v>
      </c>
      <c r="BY40" s="37">
        <f t="shared" si="38"/>
        <v>185.79822471752368</v>
      </c>
      <c r="BZ40" s="37">
        <f t="shared" si="38"/>
        <v>178.19252518803694</v>
      </c>
      <c r="CA40" s="37">
        <f t="shared" si="38"/>
        <v>192.8564088101968</v>
      </c>
      <c r="CB40" s="37">
        <f t="shared" si="38"/>
        <v>179.19716481265664</v>
      </c>
      <c r="CC40" s="37">
        <f t="shared" si="38"/>
        <v>186.74992860252979</v>
      </c>
      <c r="CD40" s="37">
        <f t="shared" si="38"/>
        <v>209.76335254173827</v>
      </c>
      <c r="CE40" s="37">
        <f t="shared" si="38"/>
        <v>216.91314365623563</v>
      </c>
      <c r="CF40" s="37">
        <f t="shared" si="38"/>
        <v>225.45641900930264</v>
      </c>
      <c r="CG40" s="37">
        <f t="shared" si="38"/>
        <v>213.95156318811621</v>
      </c>
      <c r="CH40" s="37">
        <f t="shared" si="38"/>
        <v>176.76412301674964</v>
      </c>
      <c r="CI40" s="37">
        <f t="shared" si="38"/>
        <v>175.96714223789004</v>
      </c>
      <c r="CJ40" s="37">
        <f t="shared" si="38"/>
        <v>136.08084711356167</v>
      </c>
      <c r="CK40" s="37">
        <f t="shared" si="38"/>
        <v>242.61655192929535</v>
      </c>
      <c r="CL40" s="37">
        <f t="shared" si="38"/>
        <v>222.76341246806575</v>
      </c>
      <c r="CM40" s="37">
        <f t="shared" si="38"/>
        <v>219.85630604362439</v>
      </c>
      <c r="CN40" s="37">
        <f t="shared" si="38"/>
        <v>204.2847678864286</v>
      </c>
      <c r="CO40" s="37">
        <f t="shared" si="38"/>
        <v>212.89491860688395</v>
      </c>
      <c r="CP40" s="37">
        <f t="shared" si="38"/>
        <v>239.13022189758163</v>
      </c>
      <c r="CQ40" s="37">
        <f t="shared" si="38"/>
        <v>247.28098376810863</v>
      </c>
      <c r="CR40" s="37">
        <f t="shared" si="38"/>
        <v>257.02031767060504</v>
      </c>
      <c r="CS40" s="37">
        <f t="shared" si="38"/>
        <v>243.9047820344525</v>
      </c>
      <c r="CT40" s="37">
        <f t="shared" si="38"/>
        <v>201.51110023909465</v>
      </c>
      <c r="CU40" s="37">
        <f t="shared" ref="CU40:DF40" si="39">CU59*(CU12+CU13)</f>
        <v>200.60254215119465</v>
      </c>
      <c r="CV40" s="37">
        <f t="shared" si="39"/>
        <v>155.13216570946031</v>
      </c>
      <c r="CW40" s="37">
        <f t="shared" si="39"/>
        <v>276.58286919939667</v>
      </c>
      <c r="CX40" s="37">
        <f t="shared" si="39"/>
        <v>253.95029021359497</v>
      </c>
      <c r="CY40" s="37">
        <f t="shared" si="39"/>
        <v>250.63618888973178</v>
      </c>
      <c r="CZ40" s="37">
        <f t="shared" si="39"/>
        <v>232.88463539052853</v>
      </c>
      <c r="DA40" s="37">
        <f t="shared" si="39"/>
        <v>242.7002072118477</v>
      </c>
      <c r="DB40" s="37">
        <f t="shared" si="39"/>
        <v>272.60845296324305</v>
      </c>
      <c r="DC40" s="37">
        <f t="shared" si="39"/>
        <v>281.90032149564382</v>
      </c>
      <c r="DD40" s="37">
        <f t="shared" si="39"/>
        <v>293.00316214448969</v>
      </c>
      <c r="DE40" s="37">
        <f t="shared" si="39"/>
        <v>278.05145151927587</v>
      </c>
      <c r="DF40" s="37">
        <f t="shared" si="39"/>
        <v>229.72265427256787</v>
      </c>
    </row>
    <row r="41" spans="1:112" ht="13.8" x14ac:dyDescent="0.3">
      <c r="A41" s="16" t="s">
        <v>124</v>
      </c>
      <c r="B41" s="41" t="s">
        <v>159</v>
      </c>
      <c r="C41" s="17">
        <f>SUMIF(Supuestos!$B$45:$B$54,C$4,Supuestos!$C$45:$C$54)</f>
        <v>0</v>
      </c>
      <c r="D41" s="17">
        <f>SUMIF(Supuestos!$B$45:$B$54,D$4,Supuestos!$C$45:$C$54)</f>
        <v>0</v>
      </c>
      <c r="E41" s="17">
        <f>SUMIF(Supuestos!$B$45:$B$54,E$4,Supuestos!$C$45:$C$54)</f>
        <v>500</v>
      </c>
      <c r="F41" s="17">
        <f>SUMIF(Supuestos!$B$45:$B$54,F$4,Supuestos!$C$45:$C$54)</f>
        <v>500</v>
      </c>
      <c r="G41" s="17">
        <f>SUMIF(Supuestos!$B$45:$B$54,G$4,Supuestos!$C$45:$C$54)</f>
        <v>200</v>
      </c>
      <c r="H41" s="17">
        <f>SUMIF(Supuestos!$B$45:$B$54,H$4,Supuestos!$C$45:$C$54)</f>
        <v>0</v>
      </c>
      <c r="I41" s="17">
        <f>SUMIF(Supuestos!$B$45:$B$54,I$4,Supuestos!$C$45:$C$54)</f>
        <v>0</v>
      </c>
      <c r="J41" s="17">
        <f>SUMIF(Supuestos!$B$45:$B$54,J$4,Supuestos!$C$45:$C$54)</f>
        <v>0</v>
      </c>
      <c r="K41" s="17">
        <f>SUMIF(Supuestos!$B$45:$B$54,K$4,Supuestos!$C$45:$C$54)</f>
        <v>0</v>
      </c>
      <c r="L41" s="17">
        <f>SUMIF(Supuestos!$B$45:$B$54,L$4,Supuestos!$C$45:$C$54)</f>
        <v>0</v>
      </c>
      <c r="M41" s="17">
        <f>SUMIF(Supuestos!$B$45:$B$54,M$4,Supuestos!$C$45:$C$54)</f>
        <v>0</v>
      </c>
      <c r="N41" s="17">
        <f>SUMIF(Supuestos!$B$45:$B$54,N$4,Supuestos!$C$45:$C$54)</f>
        <v>0</v>
      </c>
      <c r="O41" s="17">
        <f>SUMIF(Supuestos!$B$45:$B$54,O$4,Supuestos!$C$45:$C$54)</f>
        <v>0</v>
      </c>
      <c r="P41" s="17">
        <f>SUMIF(Supuestos!$B$45:$B$54,P$4,Supuestos!$C$45:$C$54)</f>
        <v>0</v>
      </c>
      <c r="Q41" s="17">
        <f>SUMIF(Supuestos!$B$45:$B$54,Q$4,Supuestos!$C$45:$C$54)</f>
        <v>0</v>
      </c>
      <c r="R41" s="17">
        <f>SUMIF(Supuestos!$B$45:$B$54,R$4,Supuestos!$C$45:$C$54)</f>
        <v>0</v>
      </c>
      <c r="S41" s="17">
        <f>SUMIF(Supuestos!$B$45:$B$54,S$4,Supuestos!$C$45:$C$54)</f>
        <v>0</v>
      </c>
      <c r="T41" s="17">
        <f>SUMIF(Supuestos!$B$45:$B$54,T$4,Supuestos!$C$45:$C$54)</f>
        <v>0</v>
      </c>
      <c r="U41" s="17">
        <f>SUMIF(Supuestos!$B$45:$B$54,U$4,Supuestos!$C$45:$C$54)</f>
        <v>0</v>
      </c>
      <c r="V41" s="17">
        <f>SUMIF(Supuestos!$B$45:$B$54,V$4,Supuestos!$C$45:$C$54)</f>
        <v>0</v>
      </c>
      <c r="W41" s="17">
        <f>SUMIF(Supuestos!$B$45:$B$54,W$4,Supuestos!$C$45:$C$54)</f>
        <v>0</v>
      </c>
      <c r="X41" s="17">
        <f>SUMIF(Supuestos!$B$45:$B$54,X$4,Supuestos!$C$45:$C$54)</f>
        <v>0</v>
      </c>
      <c r="Y41" s="17">
        <f>SUMIF(Supuestos!$B$45:$B$54,Y$4,Supuestos!$C$45:$C$54)</f>
        <v>0</v>
      </c>
      <c r="Z41" s="17">
        <f>SUMIF(Supuestos!$B$45:$B$54,Z$4,Supuestos!$C$45:$C$54)</f>
        <v>0</v>
      </c>
      <c r="AA41" s="17">
        <f>SUMIF(Supuestos!$B$45:$B$54,AA$4,Supuestos!$C$45:$C$54)</f>
        <v>0</v>
      </c>
      <c r="AB41" s="17">
        <f>SUMIF(Supuestos!$B$45:$B$54,AB$4,Supuestos!$C$45:$C$54)</f>
        <v>0</v>
      </c>
      <c r="AC41" s="17">
        <f>SUMIF(Supuestos!$B$45:$B$54,AC$4,Supuestos!$C$45:$C$54)</f>
        <v>0</v>
      </c>
      <c r="AD41" s="17">
        <f>SUMIF(Supuestos!$B$45:$B$54,AD$4,Supuestos!$C$45:$C$54)</f>
        <v>0</v>
      </c>
      <c r="AE41" s="17">
        <f>SUMIF(Supuestos!$B$45:$B$54,AE$4,Supuestos!$C$45:$C$54)</f>
        <v>0</v>
      </c>
      <c r="AF41" s="17">
        <f>SUMIF(Supuestos!$B$45:$B$54,AF$4,Supuestos!$C$45:$C$54)</f>
        <v>0</v>
      </c>
      <c r="AG41" s="17">
        <f>SUMIF(Supuestos!$B$45:$B$54,AG$4,Supuestos!$C$45:$C$54)</f>
        <v>0</v>
      </c>
      <c r="AH41" s="17">
        <f>SUMIF(Supuestos!$B$45:$B$54,AH$4,Supuestos!$C$45:$C$54)</f>
        <v>0</v>
      </c>
      <c r="AI41" s="17">
        <f>SUMIF(Supuestos!$B$45:$B$54,AI$4,Supuestos!$C$45:$C$54)</f>
        <v>0</v>
      </c>
      <c r="AJ41" s="17">
        <f>SUMIF(Supuestos!$B$45:$B$54,AJ$4,Supuestos!$C$45:$C$54)</f>
        <v>0</v>
      </c>
      <c r="AK41" s="17">
        <f>SUMIF(Supuestos!$B$45:$B$54,AK$4,Supuestos!$C$45:$C$54)</f>
        <v>0</v>
      </c>
      <c r="AL41" s="17">
        <f>SUMIF(Supuestos!$B$45:$B$54,AL$4,Supuestos!$C$45:$C$54)</f>
        <v>0</v>
      </c>
      <c r="AM41" s="17">
        <f>SUMIF(Supuestos!$B$45:$B$54,AM$4,Supuestos!$C$45:$C$54)</f>
        <v>0</v>
      </c>
      <c r="AN41" s="17">
        <f>SUMIF(Supuestos!$B$45:$B$54,AN$4,Supuestos!$C$45:$C$54)</f>
        <v>0</v>
      </c>
      <c r="AO41" s="17">
        <f>SUMIF(Supuestos!$B$45:$B$54,AO$4,Supuestos!$C$45:$C$54)</f>
        <v>0</v>
      </c>
      <c r="AP41" s="17">
        <f>SUMIF(Supuestos!$B$45:$B$54,AP$4,Supuestos!$C$45:$C$54)</f>
        <v>0</v>
      </c>
      <c r="AQ41" s="17">
        <f>SUMIF(Supuestos!$B$45:$B$54,AQ$4,Supuestos!$C$45:$C$54)</f>
        <v>0</v>
      </c>
      <c r="AR41" s="17">
        <f>SUMIF(Supuestos!$B$45:$B$54,AR$4,Supuestos!$C$45:$C$54)</f>
        <v>0</v>
      </c>
      <c r="AS41" s="17">
        <f>SUMIF(Supuestos!$B$45:$B$54,AS$4,Supuestos!$C$45:$C$54)</f>
        <v>0</v>
      </c>
      <c r="AT41" s="17">
        <f>SUMIF(Supuestos!$B$45:$B$54,AT$4,Supuestos!$C$45:$C$54)</f>
        <v>0</v>
      </c>
      <c r="AU41" s="17">
        <f>SUMIF(Supuestos!$B$45:$B$54,AU$4,Supuestos!$C$45:$C$54)</f>
        <v>0</v>
      </c>
      <c r="AV41" s="17">
        <f>SUMIF(Supuestos!$B$45:$B$54,AV$4,Supuestos!$C$45:$C$54)</f>
        <v>0</v>
      </c>
      <c r="AW41" s="17">
        <f>SUMIF(Supuestos!$B$45:$B$54,AW$4,Supuestos!$C$45:$C$54)</f>
        <v>0</v>
      </c>
      <c r="AX41" s="17">
        <f>SUMIF(Supuestos!$B$45:$B$54,AX$4,Supuestos!$C$45:$C$54)</f>
        <v>0</v>
      </c>
      <c r="AY41" s="17">
        <f>SUMIF(Supuestos!$B$45:$B$54,AY$4,Supuestos!$C$45:$C$54)</f>
        <v>0</v>
      </c>
      <c r="AZ41" s="17">
        <f>SUMIF(Supuestos!$B$45:$B$54,AZ$4,Supuestos!$C$45:$C$54)</f>
        <v>0</v>
      </c>
      <c r="BA41" s="17">
        <f>SUMIF(Supuestos!$B$45:$B$54,BA$4,Supuestos!$C$45:$C$54)</f>
        <v>0</v>
      </c>
      <c r="BB41" s="17">
        <f>SUMIF(Supuestos!$B$45:$B$54,BB$4,Supuestos!$C$45:$C$54)</f>
        <v>0</v>
      </c>
      <c r="BC41" s="17">
        <f>SUMIF(Supuestos!$B$45:$B$54,BC$4,Supuestos!$C$45:$C$54)</f>
        <v>0</v>
      </c>
      <c r="BD41" s="17">
        <f>SUMIF(Supuestos!$B$45:$B$54,BD$4,Supuestos!$C$45:$C$54)</f>
        <v>0</v>
      </c>
      <c r="BE41" s="17">
        <f>SUMIF(Supuestos!$B$45:$B$54,BE$4,Supuestos!$C$45:$C$54)</f>
        <v>0</v>
      </c>
      <c r="BF41" s="17">
        <f>SUMIF(Supuestos!$B$45:$B$54,BF$4,Supuestos!$C$45:$C$54)</f>
        <v>0</v>
      </c>
      <c r="BG41" s="17">
        <f>SUMIF(Supuestos!$B$45:$B$54,BG$4,Supuestos!$C$45:$C$54)</f>
        <v>0</v>
      </c>
      <c r="BH41" s="17">
        <f>SUMIF(Supuestos!$B$45:$B$54,BH$4,Supuestos!$C$45:$C$54)</f>
        <v>0</v>
      </c>
      <c r="BI41" s="17">
        <f>SUMIF(Supuestos!$B$45:$B$54,BI$4,Supuestos!$C$45:$C$54)</f>
        <v>0</v>
      </c>
      <c r="BJ41" s="17">
        <f>SUMIF(Supuestos!$B$45:$B$54,BJ$4,Supuestos!$C$45:$C$54)</f>
        <v>0</v>
      </c>
      <c r="BK41" s="17">
        <f>SUMIF(Supuestos!$B$45:$B$54,BK$4,Supuestos!$C$45:$C$54)</f>
        <v>0</v>
      </c>
      <c r="BL41" s="17">
        <f>SUMIF(Supuestos!$B$45:$B$54,BL$4,Supuestos!$C$45:$C$54)</f>
        <v>0</v>
      </c>
      <c r="BM41" s="17">
        <f>SUMIF(Supuestos!$B$45:$B$54,BM$4,Supuestos!$C$45:$C$54)</f>
        <v>0</v>
      </c>
      <c r="BN41" s="17">
        <f>SUMIF(Supuestos!$B$45:$B$54,BN$4,Supuestos!$C$45:$C$54)</f>
        <v>0</v>
      </c>
      <c r="BO41" s="17">
        <f>SUMIF(Supuestos!$B$45:$B$54,BO$4,Supuestos!$C$45:$C$54)</f>
        <v>0</v>
      </c>
      <c r="BP41" s="17">
        <f>SUMIF(Supuestos!$B$45:$B$54,BP$4,Supuestos!$C$45:$C$54)</f>
        <v>0</v>
      </c>
      <c r="BQ41" s="17">
        <f>SUMIF(Supuestos!$B$45:$B$54,BQ$4,Supuestos!$C$45:$C$54)</f>
        <v>0</v>
      </c>
      <c r="BR41" s="17">
        <f>SUMIF(Supuestos!$B$45:$B$54,BR$4,Supuestos!$C$45:$C$54)</f>
        <v>0</v>
      </c>
      <c r="BS41" s="17">
        <f>SUMIF(Supuestos!$B$45:$B$54,BS$4,Supuestos!$C$45:$C$54)</f>
        <v>0</v>
      </c>
      <c r="BT41" s="17">
        <f>SUMIF(Supuestos!$B$45:$B$54,BT$4,Supuestos!$C$45:$C$54)</f>
        <v>0</v>
      </c>
      <c r="BU41" s="17">
        <f>SUMIF(Supuestos!$B$45:$B$54,BU$4,Supuestos!$C$45:$C$54)</f>
        <v>0</v>
      </c>
      <c r="BV41" s="17">
        <f>SUMIF(Supuestos!$B$45:$B$54,BV$4,Supuestos!$C$45:$C$54)</f>
        <v>0</v>
      </c>
      <c r="BW41" s="17">
        <f>SUMIF(Supuestos!$B$45:$B$54,BW$4,Supuestos!$C$45:$C$54)</f>
        <v>0</v>
      </c>
      <c r="BX41" s="17">
        <f>SUMIF(Supuestos!$B$45:$B$54,BX$4,Supuestos!$C$45:$C$54)</f>
        <v>0</v>
      </c>
      <c r="BY41" s="17">
        <f>SUMIF(Supuestos!$B$45:$B$54,BY$4,Supuestos!$C$45:$C$54)</f>
        <v>0</v>
      </c>
      <c r="BZ41" s="17">
        <f>SUMIF(Supuestos!$B$45:$B$54,BZ$4,Supuestos!$C$45:$C$54)</f>
        <v>0</v>
      </c>
      <c r="CA41" s="17">
        <f>SUMIF(Supuestos!$B$45:$B$54,CA$4,Supuestos!$C$45:$C$54)</f>
        <v>0</v>
      </c>
      <c r="CB41" s="17">
        <f>SUMIF(Supuestos!$B$45:$B$54,CB$4,Supuestos!$C$45:$C$54)</f>
        <v>0</v>
      </c>
      <c r="CC41" s="17">
        <f>SUMIF(Supuestos!$B$45:$B$54,CC$4,Supuestos!$C$45:$C$54)</f>
        <v>0</v>
      </c>
      <c r="CD41" s="17">
        <f>SUMIF(Supuestos!$B$45:$B$54,CD$4,Supuestos!$C$45:$C$54)</f>
        <v>0</v>
      </c>
      <c r="CE41" s="17">
        <f>SUMIF(Supuestos!$B$45:$B$54,CE$4,Supuestos!$C$45:$C$54)</f>
        <v>0</v>
      </c>
      <c r="CF41" s="17">
        <f>SUMIF(Supuestos!$B$45:$B$54,CF$4,Supuestos!$C$45:$C$54)</f>
        <v>0</v>
      </c>
      <c r="CG41" s="17">
        <f>SUMIF(Supuestos!$B$45:$B$54,CG$4,Supuestos!$C$45:$C$54)</f>
        <v>0</v>
      </c>
      <c r="CH41" s="17">
        <f>SUMIF(Supuestos!$B$45:$B$54,CH$4,Supuestos!$C$45:$C$54)</f>
        <v>0</v>
      </c>
      <c r="CI41" s="17">
        <f>SUMIF(Supuestos!$B$45:$B$54,CI$4,Supuestos!$C$45:$C$54)</f>
        <v>0</v>
      </c>
      <c r="CJ41" s="17">
        <f>SUMIF(Supuestos!$B$45:$B$54,CJ$4,Supuestos!$C$45:$C$54)</f>
        <v>0</v>
      </c>
      <c r="CK41" s="17">
        <f>SUMIF(Supuestos!$B$45:$B$54,CK$4,Supuestos!$C$45:$C$54)</f>
        <v>0</v>
      </c>
      <c r="CL41" s="17">
        <f>SUMIF(Supuestos!$B$45:$B$54,CL$4,Supuestos!$C$45:$C$54)</f>
        <v>0</v>
      </c>
      <c r="CM41" s="17">
        <f>SUMIF(Supuestos!$B$45:$B$54,CM$4,Supuestos!$C$45:$C$54)</f>
        <v>0</v>
      </c>
      <c r="CN41" s="17">
        <f>SUMIF(Supuestos!$B$45:$B$54,CN$4,Supuestos!$C$45:$C$54)</f>
        <v>0</v>
      </c>
      <c r="CO41" s="17">
        <f>SUMIF(Supuestos!$B$45:$B$54,CO$4,Supuestos!$C$45:$C$54)</f>
        <v>0</v>
      </c>
      <c r="CP41" s="17">
        <f>SUMIF(Supuestos!$B$45:$B$54,CP$4,Supuestos!$C$45:$C$54)</f>
        <v>0</v>
      </c>
      <c r="CQ41" s="17">
        <f>SUMIF(Supuestos!$B$45:$B$54,CQ$4,Supuestos!$C$45:$C$54)</f>
        <v>0</v>
      </c>
      <c r="CR41" s="17">
        <f>SUMIF(Supuestos!$B$45:$B$54,CR$4,Supuestos!$C$45:$C$54)</f>
        <v>0</v>
      </c>
      <c r="CS41" s="17">
        <f>SUMIF(Supuestos!$B$45:$B$54,CS$4,Supuestos!$C$45:$C$54)</f>
        <v>0</v>
      </c>
      <c r="CT41" s="17">
        <f>SUMIF(Supuestos!$B$45:$B$54,CT$4,Supuestos!$C$45:$C$54)</f>
        <v>0</v>
      </c>
      <c r="CU41" s="17">
        <f>SUMIF(Supuestos!$B$45:$B$54,CU$4,Supuestos!$C$45:$C$54)</f>
        <v>0</v>
      </c>
      <c r="CV41" s="17">
        <f>SUMIF(Supuestos!$B$45:$B$54,CV$4,Supuestos!$C$45:$C$54)</f>
        <v>0</v>
      </c>
      <c r="CW41" s="17">
        <f>SUMIF(Supuestos!$B$45:$B$54,CW$4,Supuestos!$C$45:$C$54)</f>
        <v>0</v>
      </c>
      <c r="CX41" s="17">
        <f>SUMIF(Supuestos!$B$45:$B$54,CX$4,Supuestos!$C$45:$C$54)</f>
        <v>0</v>
      </c>
      <c r="CY41" s="17">
        <f>SUMIF(Supuestos!$B$45:$B$54,CY$4,Supuestos!$C$45:$C$54)</f>
        <v>0</v>
      </c>
      <c r="CZ41" s="17">
        <f>SUMIF(Supuestos!$B$45:$B$54,CZ$4,Supuestos!$C$45:$C$54)</f>
        <v>0</v>
      </c>
      <c r="DA41" s="17">
        <f>SUMIF(Supuestos!$B$45:$B$54,DA$4,Supuestos!$C$45:$C$54)</f>
        <v>0</v>
      </c>
      <c r="DB41" s="17">
        <f>SUMIF(Supuestos!$B$45:$B$54,DB$4,Supuestos!$C$45:$C$54)</f>
        <v>0</v>
      </c>
      <c r="DC41" s="17">
        <f>SUMIF(Supuestos!$B$45:$B$54,DC$4,Supuestos!$C$45:$C$54)</f>
        <v>0</v>
      </c>
      <c r="DD41" s="17">
        <f>SUMIF(Supuestos!$B$45:$B$54,DD$4,Supuestos!$C$45:$C$54)</f>
        <v>0</v>
      </c>
      <c r="DE41" s="17">
        <f>SUMIF(Supuestos!$B$45:$B$54,DE$4,Supuestos!$C$45:$C$54)</f>
        <v>0</v>
      </c>
      <c r="DF41" s="17">
        <f>SUMIF(Supuestos!$B$45:$B$54,DF$4,Supuestos!$C$45:$C$54)</f>
        <v>0</v>
      </c>
    </row>
    <row r="42" spans="1:112" ht="13.8" x14ac:dyDescent="0.3">
      <c r="A42" s="33" t="s">
        <v>125</v>
      </c>
      <c r="B42" s="47" t="s">
        <v>160</v>
      </c>
      <c r="C42" s="36">
        <f t="shared" ref="C42:AH42" si="40">SUM(C35:C41)</f>
        <v>30.992802331035861</v>
      </c>
      <c r="D42" s="36">
        <f t="shared" si="40"/>
        <v>44.20799057469786</v>
      </c>
      <c r="E42" s="36">
        <f t="shared" si="40"/>
        <v>600.09724508073828</v>
      </c>
      <c r="F42" s="36">
        <f t="shared" si="40"/>
        <v>587.62561513742503</v>
      </c>
      <c r="G42" s="36">
        <f t="shared" si="40"/>
        <v>291.65610743807326</v>
      </c>
      <c r="H42" s="36">
        <f t="shared" si="40"/>
        <v>84.161046653144282</v>
      </c>
      <c r="I42" s="36">
        <f t="shared" si="40"/>
        <v>91.704227574512913</v>
      </c>
      <c r="J42" s="36">
        <f t="shared" si="40"/>
        <v>95.624700514857096</v>
      </c>
      <c r="K42" s="36">
        <f t="shared" si="40"/>
        <v>85.239398575454558</v>
      </c>
      <c r="L42" s="36">
        <f t="shared" si="40"/>
        <v>274.90963823013379</v>
      </c>
      <c r="M42" s="36">
        <f t="shared" si="40"/>
        <v>342.03636717039842</v>
      </c>
      <c r="N42" s="36">
        <f t="shared" si="40"/>
        <v>326.11366147700278</v>
      </c>
      <c r="O42" s="36">
        <f t="shared" si="40"/>
        <v>372.46884850872067</v>
      </c>
      <c r="P42" s="36">
        <f t="shared" si="40"/>
        <v>357.45972213608655</v>
      </c>
      <c r="Q42" s="36">
        <f t="shared" si="40"/>
        <v>402.77933954164973</v>
      </c>
      <c r="R42" s="36">
        <f t="shared" si="40"/>
        <v>394.41430516383593</v>
      </c>
      <c r="S42" s="36">
        <f t="shared" si="40"/>
        <v>393.18940845528772</v>
      </c>
      <c r="T42" s="36">
        <f t="shared" si="40"/>
        <v>386.62840825404732</v>
      </c>
      <c r="U42" s="36">
        <f t="shared" si="40"/>
        <v>390.25625799113408</v>
      </c>
      <c r="V42" s="36">
        <f t="shared" si="40"/>
        <v>402.5270048563624</v>
      </c>
      <c r="W42" s="36">
        <f t="shared" si="40"/>
        <v>405.63986365035163</v>
      </c>
      <c r="X42" s="36">
        <f t="shared" si="40"/>
        <v>408.84830389015116</v>
      </c>
      <c r="Y42" s="36">
        <f t="shared" si="40"/>
        <v>403.32212972036245</v>
      </c>
      <c r="Z42" s="36">
        <f t="shared" si="40"/>
        <v>385.45973539664419</v>
      </c>
      <c r="AA42" s="36">
        <f t="shared" si="40"/>
        <v>403.76233645659545</v>
      </c>
      <c r="AB42" s="36">
        <f t="shared" si="40"/>
        <v>410.92951884867608</v>
      </c>
      <c r="AC42" s="36">
        <f t="shared" si="40"/>
        <v>422.51476995574495</v>
      </c>
      <c r="AD42" s="36">
        <f t="shared" si="40"/>
        <v>418.24043636170074</v>
      </c>
      <c r="AE42" s="36">
        <f t="shared" si="40"/>
        <v>426.48140488042213</v>
      </c>
      <c r="AF42" s="36">
        <f t="shared" si="40"/>
        <v>418.80503464497093</v>
      </c>
      <c r="AG42" s="36">
        <f t="shared" si="40"/>
        <v>423.04961883736223</v>
      </c>
      <c r="AH42" s="36">
        <f t="shared" si="40"/>
        <v>435.98295267154725</v>
      </c>
      <c r="AI42" s="36">
        <f t="shared" ref="AI42:BN42" si="41">SUM(AI35:AI41)</f>
        <v>440.00106990489513</v>
      </c>
      <c r="AJ42" s="36">
        <f t="shared" si="41"/>
        <v>444.80238253921374</v>
      </c>
      <c r="AK42" s="36">
        <f t="shared" si="41"/>
        <v>432.17442876056026</v>
      </c>
      <c r="AL42" s="36">
        <f t="shared" si="41"/>
        <v>411.27542740180934</v>
      </c>
      <c r="AM42" s="36">
        <f t="shared" si="41"/>
        <v>411.94045220881696</v>
      </c>
      <c r="AN42" s="36">
        <f t="shared" si="41"/>
        <v>389.8845555666403</v>
      </c>
      <c r="AO42" s="36">
        <f t="shared" si="41"/>
        <v>451.27398428349898</v>
      </c>
      <c r="AP42" s="36">
        <f t="shared" si="41"/>
        <v>439.87202417481933</v>
      </c>
      <c r="AQ42" s="36">
        <f t="shared" si="41"/>
        <v>438.20242871623253</v>
      </c>
      <c r="AR42" s="36">
        <f t="shared" si="41"/>
        <v>429.25945739193185</v>
      </c>
      <c r="AS42" s="36">
        <f t="shared" si="41"/>
        <v>434.2043979760673</v>
      </c>
      <c r="AT42" s="36">
        <f t="shared" si="41"/>
        <v>449.27173189289294</v>
      </c>
      <c r="AU42" s="36">
        <f t="shared" si="41"/>
        <v>453.95283846974337</v>
      </c>
      <c r="AV42" s="36">
        <f t="shared" si="41"/>
        <v>459.54628613872438</v>
      </c>
      <c r="AW42" s="36">
        <f t="shared" si="41"/>
        <v>388.30155526508469</v>
      </c>
      <c r="AX42" s="36">
        <f t="shared" si="41"/>
        <v>177.59643781397531</v>
      </c>
      <c r="AY42" s="36">
        <f t="shared" si="41"/>
        <v>139.94607144167392</v>
      </c>
      <c r="AZ42" s="36">
        <f t="shared" si="41"/>
        <v>114.16710994354347</v>
      </c>
      <c r="BA42" s="36">
        <f t="shared" si="41"/>
        <v>185.33225494688256</v>
      </c>
      <c r="BB42" s="36">
        <f t="shared" si="41"/>
        <v>172.10598122081461</v>
      </c>
      <c r="BC42" s="36">
        <f t="shared" si="41"/>
        <v>170.16925048885355</v>
      </c>
      <c r="BD42" s="36">
        <f t="shared" si="41"/>
        <v>159.79540375266447</v>
      </c>
      <c r="BE42" s="36">
        <f t="shared" si="41"/>
        <v>165.53153483026233</v>
      </c>
      <c r="BF42" s="36">
        <f t="shared" si="41"/>
        <v>183.00964217377907</v>
      </c>
      <c r="BG42" s="36">
        <f t="shared" si="41"/>
        <v>188.43972580292572</v>
      </c>
      <c r="BH42" s="36">
        <f t="shared" si="41"/>
        <v>194.92812509894375</v>
      </c>
      <c r="BI42" s="36">
        <f t="shared" si="41"/>
        <v>186.19048112447243</v>
      </c>
      <c r="BJ42" s="36">
        <f t="shared" si="41"/>
        <v>157.94757068825572</v>
      </c>
      <c r="BK42" s="36">
        <f t="shared" si="41"/>
        <v>173.01854662618109</v>
      </c>
      <c r="BL42" s="36">
        <f t="shared" si="41"/>
        <v>143.01769467275662</v>
      </c>
      <c r="BM42" s="36">
        <f t="shared" si="41"/>
        <v>225.15915711254047</v>
      </c>
      <c r="BN42" s="36">
        <f t="shared" si="41"/>
        <v>209.882810958932</v>
      </c>
      <c r="BO42" s="36">
        <f t="shared" ref="BO42:CT42" si="42">SUM(BO35:BO41)</f>
        <v>207.645886963517</v>
      </c>
      <c r="BP42" s="36">
        <f t="shared" si="42"/>
        <v>195.66409398321861</v>
      </c>
      <c r="BQ42" s="36">
        <f t="shared" si="42"/>
        <v>202.28932537784411</v>
      </c>
      <c r="BR42" s="36">
        <f t="shared" si="42"/>
        <v>222.47653935960591</v>
      </c>
      <c r="BS42" s="36">
        <f t="shared" si="42"/>
        <v>228.74828595127036</v>
      </c>
      <c r="BT42" s="36">
        <f t="shared" si="42"/>
        <v>236.24238713817121</v>
      </c>
      <c r="BU42" s="36">
        <f t="shared" si="42"/>
        <v>226.15040834765676</v>
      </c>
      <c r="BV42" s="36">
        <f t="shared" si="42"/>
        <v>193.52984679382649</v>
      </c>
      <c r="BW42" s="36">
        <f t="shared" si="42"/>
        <v>192.83074084745846</v>
      </c>
      <c r="BX42" s="36">
        <f t="shared" si="42"/>
        <v>204.04354724358333</v>
      </c>
      <c r="BY42" s="36">
        <f t="shared" si="42"/>
        <v>224.27182325104349</v>
      </c>
      <c r="BZ42" s="36">
        <f t="shared" si="42"/>
        <v>216.66612372155674</v>
      </c>
      <c r="CA42" s="36">
        <f t="shared" si="42"/>
        <v>231.3300073437166</v>
      </c>
      <c r="CB42" s="36">
        <f t="shared" si="42"/>
        <v>217.67076334617644</v>
      </c>
      <c r="CC42" s="36">
        <f t="shared" si="42"/>
        <v>225.2235271360496</v>
      </c>
      <c r="CD42" s="36">
        <f t="shared" si="42"/>
        <v>248.2369510752581</v>
      </c>
      <c r="CE42" s="36">
        <f t="shared" si="42"/>
        <v>255.38674218975544</v>
      </c>
      <c r="CF42" s="36">
        <f t="shared" si="42"/>
        <v>263.93001754282244</v>
      </c>
      <c r="CG42" s="36">
        <f t="shared" si="42"/>
        <v>252.42516172163602</v>
      </c>
      <c r="CH42" s="36">
        <f t="shared" si="42"/>
        <v>215.23772155026944</v>
      </c>
      <c r="CI42" s="36">
        <f t="shared" si="42"/>
        <v>208.28496500604669</v>
      </c>
      <c r="CJ42" s="36">
        <f t="shared" si="42"/>
        <v>168.39866988171832</v>
      </c>
      <c r="CK42" s="36">
        <f t="shared" si="42"/>
        <v>274.93437469745197</v>
      </c>
      <c r="CL42" s="36">
        <f t="shared" si="42"/>
        <v>255.0812352362224</v>
      </c>
      <c r="CM42" s="36">
        <f t="shared" si="42"/>
        <v>252.17412881178103</v>
      </c>
      <c r="CN42" s="36">
        <f t="shared" si="42"/>
        <v>236.60259065458524</v>
      </c>
      <c r="CO42" s="36">
        <f t="shared" si="42"/>
        <v>245.21274137504059</v>
      </c>
      <c r="CP42" s="36">
        <f t="shared" si="42"/>
        <v>271.44804466573828</v>
      </c>
      <c r="CQ42" s="36">
        <f t="shared" si="42"/>
        <v>279.59880653626527</v>
      </c>
      <c r="CR42" s="36">
        <f t="shared" si="42"/>
        <v>289.33814043876168</v>
      </c>
      <c r="CS42" s="36">
        <f t="shared" si="42"/>
        <v>276.22260480260911</v>
      </c>
      <c r="CT42" s="36">
        <f t="shared" si="42"/>
        <v>233.82892300725129</v>
      </c>
      <c r="CU42" s="36">
        <f t="shared" ref="CU42:DZ42" si="43">SUM(CU35:CU41)</f>
        <v>200.60254215119465</v>
      </c>
      <c r="CV42" s="36">
        <f t="shared" si="43"/>
        <v>155.13216570946031</v>
      </c>
      <c r="CW42" s="36">
        <f t="shared" si="43"/>
        <v>276.58286919939667</v>
      </c>
      <c r="CX42" s="36">
        <f t="shared" si="43"/>
        <v>253.95029021359497</v>
      </c>
      <c r="CY42" s="36">
        <f t="shared" si="43"/>
        <v>250.63618888973178</v>
      </c>
      <c r="CZ42" s="36">
        <f t="shared" si="43"/>
        <v>232.88463539052853</v>
      </c>
      <c r="DA42" s="36">
        <f t="shared" si="43"/>
        <v>242.7002072118477</v>
      </c>
      <c r="DB42" s="36">
        <f t="shared" si="43"/>
        <v>272.60845296324305</v>
      </c>
      <c r="DC42" s="36">
        <f t="shared" si="43"/>
        <v>281.90032149564382</v>
      </c>
      <c r="DD42" s="36">
        <f t="shared" si="43"/>
        <v>293.00316214448969</v>
      </c>
      <c r="DE42" s="36">
        <f t="shared" si="43"/>
        <v>278.05145151927587</v>
      </c>
      <c r="DF42" s="36">
        <f t="shared" si="43"/>
        <v>229.72265427256787</v>
      </c>
    </row>
    <row r="43" spans="1:112" ht="13.8" x14ac:dyDescent="0.3">
      <c r="A43" s="33" t="s">
        <v>126</v>
      </c>
      <c r="B43" s="34"/>
      <c r="C43" s="36">
        <f t="shared" ref="C43:AH43" si="44">C34-C42</f>
        <v>-30.992802331035861</v>
      </c>
      <c r="D43" s="36">
        <f t="shared" si="44"/>
        <v>-44.20799057469786</v>
      </c>
      <c r="E43" s="36">
        <f t="shared" si="44"/>
        <v>-600.09724508073828</v>
      </c>
      <c r="F43" s="36">
        <f t="shared" si="44"/>
        <v>-587.62561513742503</v>
      </c>
      <c r="G43" s="36">
        <f t="shared" si="44"/>
        <v>-291.65610743807326</v>
      </c>
      <c r="H43" s="36">
        <f t="shared" si="44"/>
        <v>-84.161046653144282</v>
      </c>
      <c r="I43" s="36">
        <f t="shared" si="44"/>
        <v>-91.704227574512913</v>
      </c>
      <c r="J43" s="36">
        <f t="shared" si="44"/>
        <v>-95.624700514857096</v>
      </c>
      <c r="K43" s="36">
        <f t="shared" si="44"/>
        <v>-85.239398575454558</v>
      </c>
      <c r="L43" s="36">
        <f t="shared" si="44"/>
        <v>-274.90963823013379</v>
      </c>
      <c r="M43" s="36">
        <f t="shared" si="44"/>
        <v>1727.9636328296015</v>
      </c>
      <c r="N43" s="36">
        <f t="shared" si="44"/>
        <v>-326.11366147700278</v>
      </c>
      <c r="O43" s="36">
        <f t="shared" si="44"/>
        <v>1067.5311514912794</v>
      </c>
      <c r="P43" s="36">
        <f t="shared" si="44"/>
        <v>-357.45972213608655</v>
      </c>
      <c r="Q43" s="36">
        <f t="shared" si="44"/>
        <v>-402.77933954164973</v>
      </c>
      <c r="R43" s="36">
        <f t="shared" si="44"/>
        <v>-394.41430516383593</v>
      </c>
      <c r="S43" s="36">
        <f t="shared" si="44"/>
        <v>-393.18940845528772</v>
      </c>
      <c r="T43" s="36">
        <f t="shared" si="44"/>
        <v>-386.62840825404732</v>
      </c>
      <c r="U43" s="36">
        <f t="shared" si="44"/>
        <v>-390.25625799113408</v>
      </c>
      <c r="V43" s="36">
        <f t="shared" si="44"/>
        <v>-402.5270048563624</v>
      </c>
      <c r="W43" s="36">
        <f t="shared" si="44"/>
        <v>-405.63986365035163</v>
      </c>
      <c r="X43" s="36">
        <f t="shared" si="44"/>
        <v>-408.84830389015116</v>
      </c>
      <c r="Y43" s="36">
        <f t="shared" si="44"/>
        <v>-403.32212972036245</v>
      </c>
      <c r="Z43" s="36">
        <f t="shared" si="44"/>
        <v>-385.45973539664419</v>
      </c>
      <c r="AA43" s="36">
        <f t="shared" si="44"/>
        <v>166.23766354340455</v>
      </c>
      <c r="AB43" s="36">
        <f t="shared" si="44"/>
        <v>-410.92951884867608</v>
      </c>
      <c r="AC43" s="36">
        <f t="shared" si="44"/>
        <v>-422.51476995574495</v>
      </c>
      <c r="AD43" s="36">
        <f t="shared" si="44"/>
        <v>-418.24043636170074</v>
      </c>
      <c r="AE43" s="36">
        <f t="shared" si="44"/>
        <v>-426.48140488042213</v>
      </c>
      <c r="AF43" s="36">
        <f t="shared" si="44"/>
        <v>-418.80503464497093</v>
      </c>
      <c r="AG43" s="36">
        <f t="shared" si="44"/>
        <v>-423.04961883736223</v>
      </c>
      <c r="AH43" s="36">
        <f t="shared" si="44"/>
        <v>-435.98295267154725</v>
      </c>
      <c r="AI43" s="36">
        <f t="shared" ref="AI43:BN43" si="45">AI34-AI42</f>
        <v>-440.00106990489513</v>
      </c>
      <c r="AJ43" s="36">
        <f t="shared" si="45"/>
        <v>-444.80238253921374</v>
      </c>
      <c r="AK43" s="36">
        <f t="shared" si="45"/>
        <v>-432.17442876056026</v>
      </c>
      <c r="AL43" s="36">
        <f t="shared" si="45"/>
        <v>-411.27542740180934</v>
      </c>
      <c r="AM43" s="36">
        <f t="shared" si="45"/>
        <v>-411.94045220881696</v>
      </c>
      <c r="AN43" s="36">
        <f t="shared" si="45"/>
        <v>-389.8845555666403</v>
      </c>
      <c r="AO43" s="36">
        <f t="shared" si="45"/>
        <v>-451.27398428349898</v>
      </c>
      <c r="AP43" s="36">
        <f t="shared" si="45"/>
        <v>-439.87202417481933</v>
      </c>
      <c r="AQ43" s="36">
        <f t="shared" si="45"/>
        <v>-438.20242871623253</v>
      </c>
      <c r="AR43" s="36">
        <f t="shared" si="45"/>
        <v>-429.25945739193185</v>
      </c>
      <c r="AS43" s="36">
        <f t="shared" si="45"/>
        <v>-434.2043979760673</v>
      </c>
      <c r="AT43" s="36">
        <f t="shared" si="45"/>
        <v>-449.27173189289294</v>
      </c>
      <c r="AU43" s="36">
        <f t="shared" si="45"/>
        <v>-453.95283846974337</v>
      </c>
      <c r="AV43" s="36">
        <f t="shared" si="45"/>
        <v>-459.54628613872438</v>
      </c>
      <c r="AW43" s="36">
        <f t="shared" si="45"/>
        <v>-388.30155526508469</v>
      </c>
      <c r="AX43" s="36">
        <f t="shared" si="45"/>
        <v>-177.59643781397531</v>
      </c>
      <c r="AY43" s="36">
        <f t="shared" si="45"/>
        <v>60.053928558326078</v>
      </c>
      <c r="AZ43" s="36">
        <f t="shared" si="45"/>
        <v>-114.16710994354347</v>
      </c>
      <c r="BA43" s="36">
        <f t="shared" si="45"/>
        <v>-185.33225494688256</v>
      </c>
      <c r="BB43" s="36">
        <f t="shared" si="45"/>
        <v>-172.10598122081461</v>
      </c>
      <c r="BC43" s="36">
        <f t="shared" si="45"/>
        <v>-170.16925048885355</v>
      </c>
      <c r="BD43" s="36">
        <f t="shared" si="45"/>
        <v>-159.79540375266447</v>
      </c>
      <c r="BE43" s="36">
        <f t="shared" si="45"/>
        <v>-165.53153483026233</v>
      </c>
      <c r="BF43" s="36">
        <f t="shared" si="45"/>
        <v>-183.00964217377907</v>
      </c>
      <c r="BG43" s="36">
        <f t="shared" si="45"/>
        <v>-188.43972580292572</v>
      </c>
      <c r="BH43" s="36">
        <f t="shared" si="45"/>
        <v>-194.92812509894375</v>
      </c>
      <c r="BI43" s="36">
        <f t="shared" si="45"/>
        <v>-186.19048112447243</v>
      </c>
      <c r="BJ43" s="36">
        <f t="shared" si="45"/>
        <v>-157.94757068825572</v>
      </c>
      <c r="BK43" s="36">
        <f t="shared" si="45"/>
        <v>876.98145337381891</v>
      </c>
      <c r="BL43" s="36">
        <f t="shared" si="45"/>
        <v>-143.01769467275662</v>
      </c>
      <c r="BM43" s="36">
        <f t="shared" si="45"/>
        <v>-225.15915711254047</v>
      </c>
      <c r="BN43" s="36">
        <f t="shared" si="45"/>
        <v>-209.882810958932</v>
      </c>
      <c r="BO43" s="36">
        <f t="shared" ref="BO43:CT43" si="46">BO34-BO42</f>
        <v>-207.645886963517</v>
      </c>
      <c r="BP43" s="36">
        <f t="shared" si="46"/>
        <v>-195.66409398321861</v>
      </c>
      <c r="BQ43" s="36">
        <f t="shared" si="46"/>
        <v>-202.28932537784411</v>
      </c>
      <c r="BR43" s="36">
        <f t="shared" si="46"/>
        <v>-222.47653935960591</v>
      </c>
      <c r="BS43" s="36">
        <f t="shared" si="46"/>
        <v>-228.74828595127036</v>
      </c>
      <c r="BT43" s="36">
        <f t="shared" si="46"/>
        <v>-236.24238713817121</v>
      </c>
      <c r="BU43" s="36">
        <f t="shared" si="46"/>
        <v>-226.15040834765676</v>
      </c>
      <c r="BV43" s="36">
        <f t="shared" si="46"/>
        <v>-193.52984679382649</v>
      </c>
      <c r="BW43" s="36">
        <f t="shared" si="46"/>
        <v>-192.83074084745846</v>
      </c>
      <c r="BX43" s="36">
        <f t="shared" si="46"/>
        <v>-204.04354724358333</v>
      </c>
      <c r="BY43" s="36">
        <f t="shared" si="46"/>
        <v>-224.27182325104349</v>
      </c>
      <c r="BZ43" s="36">
        <f t="shared" si="46"/>
        <v>-216.66612372155674</v>
      </c>
      <c r="CA43" s="36">
        <f t="shared" si="46"/>
        <v>-231.3300073437166</v>
      </c>
      <c r="CB43" s="36">
        <f t="shared" si="46"/>
        <v>-217.67076334617644</v>
      </c>
      <c r="CC43" s="36">
        <f t="shared" si="46"/>
        <v>-225.2235271360496</v>
      </c>
      <c r="CD43" s="36">
        <f t="shared" si="46"/>
        <v>-248.2369510752581</v>
      </c>
      <c r="CE43" s="36">
        <f t="shared" si="46"/>
        <v>-255.38674218975544</v>
      </c>
      <c r="CF43" s="36">
        <f t="shared" si="46"/>
        <v>-263.93001754282244</v>
      </c>
      <c r="CG43" s="36">
        <f t="shared" si="46"/>
        <v>-252.42516172163602</v>
      </c>
      <c r="CH43" s="36">
        <f t="shared" si="46"/>
        <v>-215.23772155026944</v>
      </c>
      <c r="CI43" s="36">
        <f t="shared" si="46"/>
        <v>-208.28496500604669</v>
      </c>
      <c r="CJ43" s="36">
        <f t="shared" si="46"/>
        <v>-168.39866988171832</v>
      </c>
      <c r="CK43" s="36">
        <f t="shared" si="46"/>
        <v>-274.93437469745197</v>
      </c>
      <c r="CL43" s="36">
        <f t="shared" si="46"/>
        <v>-255.0812352362224</v>
      </c>
      <c r="CM43" s="36">
        <f t="shared" si="46"/>
        <v>-252.17412881178103</v>
      </c>
      <c r="CN43" s="36">
        <f t="shared" si="46"/>
        <v>-236.60259065458524</v>
      </c>
      <c r="CO43" s="36">
        <f t="shared" si="46"/>
        <v>-245.21274137504059</v>
      </c>
      <c r="CP43" s="36">
        <f t="shared" si="46"/>
        <v>-271.44804466573828</v>
      </c>
      <c r="CQ43" s="36">
        <f t="shared" si="46"/>
        <v>-279.59880653626527</v>
      </c>
      <c r="CR43" s="36">
        <f t="shared" si="46"/>
        <v>-289.33814043876168</v>
      </c>
      <c r="CS43" s="36">
        <f t="shared" si="46"/>
        <v>-276.22260480260911</v>
      </c>
      <c r="CT43" s="36">
        <f t="shared" si="46"/>
        <v>-233.82892300725129</v>
      </c>
      <c r="CU43" s="36">
        <f t="shared" ref="CU43:DZ43" si="47">CU34-CU42</f>
        <v>-200.60254215119465</v>
      </c>
      <c r="CV43" s="36">
        <f t="shared" si="47"/>
        <v>-155.13216570946031</v>
      </c>
      <c r="CW43" s="36">
        <f t="shared" si="47"/>
        <v>-276.58286919939667</v>
      </c>
      <c r="CX43" s="36">
        <f t="shared" si="47"/>
        <v>-253.95029021359497</v>
      </c>
      <c r="CY43" s="36">
        <f t="shared" si="47"/>
        <v>-250.63618888973178</v>
      </c>
      <c r="CZ43" s="36">
        <f t="shared" si="47"/>
        <v>-232.88463539052853</v>
      </c>
      <c r="DA43" s="36">
        <f t="shared" si="47"/>
        <v>-242.7002072118477</v>
      </c>
      <c r="DB43" s="36">
        <f t="shared" si="47"/>
        <v>-272.60845296324305</v>
      </c>
      <c r="DC43" s="36">
        <f t="shared" si="47"/>
        <v>-281.90032149564382</v>
      </c>
      <c r="DD43" s="36">
        <f t="shared" si="47"/>
        <v>-293.00316214448969</v>
      </c>
      <c r="DE43" s="36">
        <f t="shared" si="47"/>
        <v>-278.05145151927587</v>
      </c>
      <c r="DF43" s="36">
        <f t="shared" si="47"/>
        <v>-229.72265427256787</v>
      </c>
    </row>
    <row r="45" spans="1:112" ht="13.8" x14ac:dyDescent="0.3">
      <c r="A45" s="33" t="s">
        <v>161</v>
      </c>
      <c r="B45" s="34"/>
      <c r="C45" s="36">
        <f t="shared" ref="C45:AH45" si="48">C27-C31+C43</f>
        <v>-1966.263037773434</v>
      </c>
      <c r="D45" s="36">
        <f t="shared" si="48"/>
        <v>-2580.8612879445836</v>
      </c>
      <c r="E45" s="36">
        <f t="shared" si="48"/>
        <v>-278.74298866205731</v>
      </c>
      <c r="F45" s="36">
        <f t="shared" si="48"/>
        <v>1234.7502710670037</v>
      </c>
      <c r="G45" s="36">
        <f t="shared" si="48"/>
        <v>-660.12832712910483</v>
      </c>
      <c r="H45" s="36">
        <f t="shared" si="48"/>
        <v>-3462.3346068083506</v>
      </c>
      <c r="I45" s="36">
        <f t="shared" si="48"/>
        <v>-1561.8256069978302</v>
      </c>
      <c r="J45" s="36">
        <f t="shared" si="48"/>
        <v>1344.2993299317031</v>
      </c>
      <c r="K45" s="36">
        <f t="shared" si="48"/>
        <v>157.25371224204417</v>
      </c>
      <c r="L45" s="36">
        <f t="shared" si="48"/>
        <v>5459.5987837599423</v>
      </c>
      <c r="M45" s="36">
        <f t="shared" si="48"/>
        <v>-2124.17956664438</v>
      </c>
      <c r="N45" s="36">
        <f t="shared" si="48"/>
        <v>-4784.697497451195</v>
      </c>
      <c r="O45" s="36">
        <f t="shared" si="48"/>
        <v>-773.69926272549287</v>
      </c>
      <c r="P45" s="36">
        <f t="shared" si="48"/>
        <v>-2469.3633728623618</v>
      </c>
      <c r="Q45" s="36">
        <f t="shared" si="48"/>
        <v>-211.37031329965566</v>
      </c>
      <c r="R45" s="36">
        <f t="shared" si="48"/>
        <v>1535.6968162972487</v>
      </c>
      <c r="S45" s="36">
        <f t="shared" si="48"/>
        <v>-878.76400864036259</v>
      </c>
      <c r="T45" s="36">
        <f t="shared" si="48"/>
        <v>-4153.8580712054436</v>
      </c>
      <c r="U45" s="36">
        <f t="shared" si="48"/>
        <v>-1700.674044808246</v>
      </c>
      <c r="V45" s="36">
        <f t="shared" si="48"/>
        <v>-388.04927189205671</v>
      </c>
      <c r="W45" s="36">
        <f t="shared" si="48"/>
        <v>451.95440828095451</v>
      </c>
      <c r="X45" s="36">
        <f t="shared" si="48"/>
        <v>7077.6982621792495</v>
      </c>
      <c r="Y45" s="36">
        <f t="shared" si="48"/>
        <v>-1711.1158331096747</v>
      </c>
      <c r="Z45" s="36">
        <f t="shared" si="48"/>
        <v>-4499.775763283209</v>
      </c>
      <c r="AA45" s="36">
        <f t="shared" si="48"/>
        <v>-575.2283528061273</v>
      </c>
      <c r="AB45" s="36">
        <f t="shared" si="48"/>
        <v>-581.52629358800573</v>
      </c>
      <c r="AC45" s="36">
        <f t="shared" si="48"/>
        <v>-1560.8669211596582</v>
      </c>
      <c r="AD45" s="36">
        <f t="shared" si="48"/>
        <v>1505.9644752326549</v>
      </c>
      <c r="AE45" s="36">
        <f t="shared" si="48"/>
        <v>-662.94665544388431</v>
      </c>
      <c r="AF45" s="36">
        <f t="shared" si="48"/>
        <v>-4607.0337101504992</v>
      </c>
      <c r="AG45" s="36">
        <f t="shared" si="48"/>
        <v>-1716.5532374170912</v>
      </c>
      <c r="AH45" s="36">
        <f t="shared" si="48"/>
        <v>-251.72343442086975</v>
      </c>
      <c r="AI45" s="36">
        <f t="shared" ref="AI45:BN45" si="49">AI27-AI31+AI43</f>
        <v>736.08098205392821</v>
      </c>
      <c r="AJ45" s="36">
        <f t="shared" si="49"/>
        <v>8479.2159937223296</v>
      </c>
      <c r="AK45" s="36">
        <f t="shared" si="49"/>
        <v>-1631.1325504366127</v>
      </c>
      <c r="AL45" s="36">
        <f t="shared" si="49"/>
        <v>-4967.0144923520929</v>
      </c>
      <c r="AM45" s="36">
        <f t="shared" si="49"/>
        <v>-338.47044986554999</v>
      </c>
      <c r="AN45" s="36">
        <f t="shared" si="49"/>
        <v>-2772.2848731038093</v>
      </c>
      <c r="AO45" s="36">
        <f t="shared" si="49"/>
        <v>329.31294031072412</v>
      </c>
      <c r="AP45" s="36">
        <f t="shared" si="49"/>
        <v>2635.9041765996394</v>
      </c>
      <c r="AQ45" s="36">
        <f t="shared" si="49"/>
        <v>-436.68041969338577</v>
      </c>
      <c r="AR45" s="36">
        <f t="shared" si="49"/>
        <v>-5022.3179377469332</v>
      </c>
      <c r="AS45" s="36">
        <f t="shared" si="49"/>
        <v>-1653.6699695372263</v>
      </c>
      <c r="AT45" s="36">
        <f t="shared" si="49"/>
        <v>61.968312991086918</v>
      </c>
      <c r="AU45" s="36">
        <f t="shared" si="49"/>
        <v>1199.882463861185</v>
      </c>
      <c r="AV45" s="36">
        <f t="shared" si="49"/>
        <v>10139.537948440822</v>
      </c>
      <c r="AW45" s="36">
        <f t="shared" si="49"/>
        <v>-1393.8486517235631</v>
      </c>
      <c r="AX45" s="36">
        <f t="shared" si="49"/>
        <v>-5158.3071026956086</v>
      </c>
      <c r="AY45" s="36">
        <f t="shared" si="49"/>
        <v>256.06849685803604</v>
      </c>
      <c r="AZ45" s="36">
        <f t="shared" si="49"/>
        <v>-2595.5384308587918</v>
      </c>
      <c r="BA45" s="36">
        <f t="shared" si="49"/>
        <v>1026.7757479362995</v>
      </c>
      <c r="BB45" s="36">
        <f t="shared" si="49"/>
        <v>3657.6056802738972</v>
      </c>
      <c r="BC45" s="36">
        <f t="shared" si="49"/>
        <v>146.50264301461607</v>
      </c>
      <c r="BD45" s="36">
        <f t="shared" si="49"/>
        <v>-5167.4533875697662</v>
      </c>
      <c r="BE45" s="36">
        <f t="shared" si="49"/>
        <v>-1252.8185164753972</v>
      </c>
      <c r="BF45" s="36">
        <f t="shared" si="49"/>
        <v>750.53601328356024</v>
      </c>
      <c r="BG45" s="36">
        <f t="shared" si="49"/>
        <v>2054.3807244142099</v>
      </c>
      <c r="BH45" s="36">
        <f t="shared" si="49"/>
        <v>12331.011342922995</v>
      </c>
      <c r="BI45" s="36">
        <f t="shared" si="49"/>
        <v>-975.28433047388648</v>
      </c>
      <c r="BJ45" s="36">
        <f t="shared" si="49"/>
        <v>-5633.735952903352</v>
      </c>
      <c r="BK45" s="36">
        <f t="shared" si="49"/>
        <v>613.26694793005834</v>
      </c>
      <c r="BL45" s="36">
        <f t="shared" si="49"/>
        <v>-2711.1896620058119</v>
      </c>
      <c r="BM45" s="36">
        <f t="shared" si="49"/>
        <v>1492.789091994759</v>
      </c>
      <c r="BN45" s="36">
        <f t="shared" si="49"/>
        <v>4494.9369634993072</v>
      </c>
      <c r="BO45" s="36">
        <f t="shared" ref="BO45:CT45" si="50">BO27-BO31+BO43</f>
        <v>484.89655075643907</v>
      </c>
      <c r="BP45" s="36">
        <f t="shared" si="50"/>
        <v>-5654.1397286276233</v>
      </c>
      <c r="BQ45" s="36">
        <f t="shared" si="50"/>
        <v>-1121.1769111594715</v>
      </c>
      <c r="BR45" s="36">
        <f t="shared" si="50"/>
        <v>1206.0701222500034</v>
      </c>
      <c r="BS45" s="36">
        <f t="shared" si="50"/>
        <v>2697.8636472508415</v>
      </c>
      <c r="BT45" s="36">
        <f t="shared" si="50"/>
        <v>14493.702327478066</v>
      </c>
      <c r="BU45" s="36">
        <f t="shared" si="50"/>
        <v>-442.30312464984598</v>
      </c>
      <c r="BV45" s="36">
        <f t="shared" si="50"/>
        <v>-5945.7724287662131</v>
      </c>
      <c r="BW45" s="36">
        <f t="shared" si="50"/>
        <v>1081.4957457607443</v>
      </c>
      <c r="BX45" s="36">
        <f t="shared" si="50"/>
        <v>899.30274255775885</v>
      </c>
      <c r="BY45" s="36">
        <f t="shared" si="50"/>
        <v>-741.97034567863579</v>
      </c>
      <c r="BZ45" s="36">
        <f t="shared" si="50"/>
        <v>4514.8636826829706</v>
      </c>
      <c r="CA45" s="36">
        <f t="shared" si="50"/>
        <v>894.97069644464875</v>
      </c>
      <c r="CB45" s="36">
        <f t="shared" si="50"/>
        <v>-6105.1426293397735</v>
      </c>
      <c r="CC45" s="36">
        <f t="shared" si="50"/>
        <v>-924.38872487461231</v>
      </c>
      <c r="CD45" s="36">
        <f t="shared" si="50"/>
        <v>1743.918464730981</v>
      </c>
      <c r="CE45" s="36">
        <f t="shared" si="50"/>
        <v>3428.4333208600515</v>
      </c>
      <c r="CF45" s="36">
        <f t="shared" si="50"/>
        <v>16791.690375065431</v>
      </c>
      <c r="CG45" s="36">
        <f t="shared" si="50"/>
        <v>-135.32986116737089</v>
      </c>
      <c r="CH45" s="36">
        <f t="shared" si="50"/>
        <v>-6487.5009288944657</v>
      </c>
      <c r="CI45" s="36">
        <f t="shared" si="50"/>
        <v>1590.2087916223886</v>
      </c>
      <c r="CJ45" s="36">
        <f t="shared" si="50"/>
        <v>-2822.894043141097</v>
      </c>
      <c r="CK45" s="36">
        <f t="shared" si="50"/>
        <v>2686.6009099969888</v>
      </c>
      <c r="CL45" s="36">
        <f t="shared" si="50"/>
        <v>6494.4797439388967</v>
      </c>
      <c r="CM45" s="36">
        <f t="shared" si="50"/>
        <v>1396.5665149271044</v>
      </c>
      <c r="CN45" s="36">
        <f t="shared" si="50"/>
        <v>-6577.4403179990277</v>
      </c>
      <c r="CO45" s="36">
        <f t="shared" si="50"/>
        <v>-664.70698321157965</v>
      </c>
      <c r="CP45" s="36">
        <f t="shared" si="50"/>
        <v>2390.5684364036733</v>
      </c>
      <c r="CQ45" s="36">
        <f t="shared" si="50"/>
        <v>4294.3362151526126</v>
      </c>
      <c r="CR45" s="36">
        <f t="shared" si="50"/>
        <v>19431.724582633844</v>
      </c>
      <c r="CS45" s="36">
        <f t="shared" si="50"/>
        <v>251.30696988568934</v>
      </c>
      <c r="CT45" s="36">
        <f t="shared" si="50"/>
        <v>-7061.5488496227626</v>
      </c>
      <c r="CU45" s="36">
        <f t="shared" ref="CU45:DF45" si="51">CU27-CU31+CU43</f>
        <v>2222.1084234317318</v>
      </c>
      <c r="CV45" s="36">
        <f t="shared" si="51"/>
        <v>-2828.466760388591</v>
      </c>
      <c r="CW45" s="36">
        <f t="shared" si="51"/>
        <v>3484.125206181182</v>
      </c>
      <c r="CX45" s="36">
        <f t="shared" si="51"/>
        <v>7772.3019921922923</v>
      </c>
      <c r="CY45" s="36">
        <f t="shared" si="51"/>
        <v>2023.0119866577061</v>
      </c>
      <c r="CZ45" s="36">
        <f t="shared" si="51"/>
        <v>-7060.3763142244534</v>
      </c>
      <c r="DA45" s="36">
        <f t="shared" si="51"/>
        <v>-312.25208515201587</v>
      </c>
      <c r="DB45" s="36">
        <f t="shared" si="51"/>
        <v>3186.0438479593572</v>
      </c>
      <c r="DC45" s="36">
        <f t="shared" si="51"/>
        <v>5337.4388764816131</v>
      </c>
      <c r="DD45" s="36">
        <f t="shared" si="51"/>
        <v>22483.795486693482</v>
      </c>
      <c r="DE45" s="36">
        <f t="shared" si="51"/>
        <v>491.6430298272839</v>
      </c>
      <c r="DF45" s="36">
        <f t="shared" si="51"/>
        <v>-7885.563561010038</v>
      </c>
    </row>
    <row r="47" spans="1:112" ht="13.8" x14ac:dyDescent="0.3">
      <c r="A47" s="26" t="s">
        <v>128</v>
      </c>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row>
    <row r="48" spans="1:112" ht="13.8" x14ac:dyDescent="0.3">
      <c r="A48" s="16" t="s">
        <v>129</v>
      </c>
      <c r="B48" s="41" t="s">
        <v>162</v>
      </c>
      <c r="C48" s="17">
        <f>Supuestos!$B$24</f>
        <v>0</v>
      </c>
      <c r="D48" s="37">
        <f t="shared" ref="D48:AI48" si="52">C49</f>
        <v>-1966.263037773434</v>
      </c>
      <c r="E48" s="37">
        <f t="shared" si="52"/>
        <v>-4547.1243257180176</v>
      </c>
      <c r="F48" s="37">
        <f t="shared" si="52"/>
        <v>-4825.8673143800752</v>
      </c>
      <c r="G48" s="37">
        <f t="shared" si="52"/>
        <v>-3591.1170433130715</v>
      </c>
      <c r="H48" s="37">
        <f t="shared" si="52"/>
        <v>-4251.245370442176</v>
      </c>
      <c r="I48" s="37">
        <f t="shared" si="52"/>
        <v>-7713.579977250527</v>
      </c>
      <c r="J48" s="37">
        <f t="shared" si="52"/>
        <v>-9275.4055842483576</v>
      </c>
      <c r="K48" s="37">
        <f t="shared" si="52"/>
        <v>-7931.1062543166545</v>
      </c>
      <c r="L48" s="37">
        <f t="shared" si="52"/>
        <v>-7773.85254207461</v>
      </c>
      <c r="M48" s="37">
        <f t="shared" si="52"/>
        <v>-2314.2537583146677</v>
      </c>
      <c r="N48" s="37">
        <f t="shared" si="52"/>
        <v>-4438.4333249590472</v>
      </c>
      <c r="O48" s="37">
        <f t="shared" si="52"/>
        <v>-9223.1308224102431</v>
      </c>
      <c r="P48" s="37">
        <f t="shared" si="52"/>
        <v>-9996.8300851357362</v>
      </c>
      <c r="Q48" s="37">
        <f t="shared" si="52"/>
        <v>-12466.193457998099</v>
      </c>
      <c r="R48" s="37">
        <f t="shared" si="52"/>
        <v>-12677.563771297755</v>
      </c>
      <c r="S48" s="37">
        <f t="shared" si="52"/>
        <v>-11141.866955000507</v>
      </c>
      <c r="T48" s="37">
        <f t="shared" si="52"/>
        <v>-12020.63096364087</v>
      </c>
      <c r="U48" s="37">
        <f t="shared" si="52"/>
        <v>-16174.489034846312</v>
      </c>
      <c r="V48" s="37">
        <f t="shared" si="52"/>
        <v>-17875.163079654558</v>
      </c>
      <c r="W48" s="37">
        <f t="shared" si="52"/>
        <v>-18263.212351546616</v>
      </c>
      <c r="X48" s="37">
        <f t="shared" si="52"/>
        <v>-17811.25794326566</v>
      </c>
      <c r="Y48" s="37">
        <f t="shared" si="52"/>
        <v>-10733.559681086412</v>
      </c>
      <c r="Z48" s="37">
        <f t="shared" si="52"/>
        <v>-12444.675514196086</v>
      </c>
      <c r="AA48" s="37">
        <f t="shared" si="52"/>
        <v>-16944.451277479297</v>
      </c>
      <c r="AB48" s="37">
        <f t="shared" si="52"/>
        <v>-17519.679630285424</v>
      </c>
      <c r="AC48" s="37">
        <f t="shared" si="52"/>
        <v>-18101.205923873429</v>
      </c>
      <c r="AD48" s="37">
        <f t="shared" si="52"/>
        <v>-19662.072845033086</v>
      </c>
      <c r="AE48" s="37">
        <f t="shared" si="52"/>
        <v>-18156.10836980043</v>
      </c>
      <c r="AF48" s="37">
        <f t="shared" si="52"/>
        <v>-18819.055025244314</v>
      </c>
      <c r="AG48" s="37">
        <f t="shared" si="52"/>
        <v>-23426.088735394813</v>
      </c>
      <c r="AH48" s="37">
        <f t="shared" si="52"/>
        <v>-25142.641972811904</v>
      </c>
      <c r="AI48" s="37">
        <f t="shared" si="52"/>
        <v>-25394.365407232774</v>
      </c>
      <c r="AJ48" s="37">
        <f t="shared" ref="AJ48:BO48" si="53">AI49</f>
        <v>-24658.284425178845</v>
      </c>
      <c r="AK48" s="37">
        <f t="shared" si="53"/>
        <v>-16179.068431456515</v>
      </c>
      <c r="AL48" s="37">
        <f t="shared" si="53"/>
        <v>-17810.200981893129</v>
      </c>
      <c r="AM48" s="37">
        <f t="shared" si="53"/>
        <v>-22777.215474245222</v>
      </c>
      <c r="AN48" s="37">
        <f t="shared" si="53"/>
        <v>-23115.68592411077</v>
      </c>
      <c r="AO48" s="37">
        <f t="shared" si="53"/>
        <v>-25887.970797214581</v>
      </c>
      <c r="AP48" s="37">
        <f t="shared" si="53"/>
        <v>-25558.657856903857</v>
      </c>
      <c r="AQ48" s="37">
        <f t="shared" si="53"/>
        <v>-22922.753680304217</v>
      </c>
      <c r="AR48" s="37">
        <f t="shared" si="53"/>
        <v>-23359.434099997601</v>
      </c>
      <c r="AS48" s="37">
        <f t="shared" si="53"/>
        <v>-28381.752037744533</v>
      </c>
      <c r="AT48" s="37">
        <f t="shared" si="53"/>
        <v>-30035.422007281759</v>
      </c>
      <c r="AU48" s="37">
        <f t="shared" si="53"/>
        <v>-29973.453694290671</v>
      </c>
      <c r="AV48" s="37">
        <f t="shared" si="53"/>
        <v>-28773.571230429487</v>
      </c>
      <c r="AW48" s="37">
        <f t="shared" si="53"/>
        <v>-18634.033281988664</v>
      </c>
      <c r="AX48" s="37">
        <f t="shared" si="53"/>
        <v>-20027.881933712226</v>
      </c>
      <c r="AY48" s="37">
        <f t="shared" si="53"/>
        <v>-25186.189036407835</v>
      </c>
      <c r="AZ48" s="37">
        <f t="shared" si="53"/>
        <v>-24930.1205395498</v>
      </c>
      <c r="BA48" s="37">
        <f t="shared" si="53"/>
        <v>-27525.658970408593</v>
      </c>
      <c r="BB48" s="37">
        <f t="shared" si="53"/>
        <v>-26498.883222472294</v>
      </c>
      <c r="BC48" s="37">
        <f t="shared" si="53"/>
        <v>-22841.277542198397</v>
      </c>
      <c r="BD48" s="37">
        <f t="shared" si="53"/>
        <v>-22694.77489918378</v>
      </c>
      <c r="BE48" s="37">
        <f t="shared" si="53"/>
        <v>-27862.228286753547</v>
      </c>
      <c r="BF48" s="37">
        <f t="shared" si="53"/>
        <v>-29115.046803228943</v>
      </c>
      <c r="BG48" s="37">
        <f t="shared" si="53"/>
        <v>-28364.510789945383</v>
      </c>
      <c r="BH48" s="37">
        <f t="shared" si="53"/>
        <v>-26310.130065531172</v>
      </c>
      <c r="BI48" s="37">
        <f t="shared" si="53"/>
        <v>-13979.118722608177</v>
      </c>
      <c r="BJ48" s="37">
        <f t="shared" si="53"/>
        <v>-14954.403053082064</v>
      </c>
      <c r="BK48" s="37">
        <f t="shared" si="53"/>
        <v>-20588.139005985417</v>
      </c>
      <c r="BL48" s="37">
        <f t="shared" si="53"/>
        <v>-19974.87205805536</v>
      </c>
      <c r="BM48" s="37">
        <f t="shared" si="53"/>
        <v>-22686.06172006117</v>
      </c>
      <c r="BN48" s="37">
        <f t="shared" si="53"/>
        <v>-21193.27262806641</v>
      </c>
      <c r="BO48" s="37">
        <f t="shared" si="53"/>
        <v>-16698.335664567101</v>
      </c>
      <c r="BP48" s="37">
        <f t="shared" ref="BP48:CU48" si="54">BO49</f>
        <v>-16213.439113810662</v>
      </c>
      <c r="BQ48" s="37">
        <f t="shared" si="54"/>
        <v>-21867.578842438284</v>
      </c>
      <c r="BR48" s="37">
        <f t="shared" si="54"/>
        <v>-22988.755753597758</v>
      </c>
      <c r="BS48" s="37">
        <f t="shared" si="54"/>
        <v>-21782.685631347755</v>
      </c>
      <c r="BT48" s="37">
        <f t="shared" si="54"/>
        <v>-19084.821984096914</v>
      </c>
      <c r="BU48" s="37">
        <f t="shared" si="54"/>
        <v>-4591.1196566188482</v>
      </c>
      <c r="BV48" s="37">
        <f t="shared" si="54"/>
        <v>-5033.4227812686941</v>
      </c>
      <c r="BW48" s="37">
        <f t="shared" si="54"/>
        <v>-10979.195210034908</v>
      </c>
      <c r="BX48" s="37">
        <f t="shared" si="54"/>
        <v>-9897.6994642741629</v>
      </c>
      <c r="BY48" s="37">
        <f t="shared" si="54"/>
        <v>-8998.3967217164045</v>
      </c>
      <c r="BZ48" s="37">
        <f t="shared" si="54"/>
        <v>-9740.3670673950401</v>
      </c>
      <c r="CA48" s="37">
        <f t="shared" si="54"/>
        <v>-5225.5033847120694</v>
      </c>
      <c r="CB48" s="37">
        <f t="shared" si="54"/>
        <v>-4330.5326882674208</v>
      </c>
      <c r="CC48" s="37">
        <f t="shared" si="54"/>
        <v>-10435.675317607194</v>
      </c>
      <c r="CD48" s="37">
        <f t="shared" si="54"/>
        <v>-11360.064042481807</v>
      </c>
      <c r="CE48" s="37">
        <f t="shared" si="54"/>
        <v>-9616.1455777508254</v>
      </c>
      <c r="CF48" s="37">
        <f t="shared" si="54"/>
        <v>-6187.7122568907744</v>
      </c>
      <c r="CG48" s="37">
        <f t="shared" si="54"/>
        <v>10603.978118174657</v>
      </c>
      <c r="CH48" s="37">
        <f t="shared" si="54"/>
        <v>10468.648257007286</v>
      </c>
      <c r="CI48" s="37">
        <f t="shared" si="54"/>
        <v>3981.1473281128201</v>
      </c>
      <c r="CJ48" s="37">
        <f t="shared" si="54"/>
        <v>5571.3561197352083</v>
      </c>
      <c r="CK48" s="37">
        <f t="shared" si="54"/>
        <v>2748.4620765941113</v>
      </c>
      <c r="CL48" s="37">
        <f t="shared" si="54"/>
        <v>5435.0629865910996</v>
      </c>
      <c r="CM48" s="37">
        <f t="shared" si="54"/>
        <v>11929.542730529996</v>
      </c>
      <c r="CN48" s="37">
        <f t="shared" si="54"/>
        <v>13326.109245457101</v>
      </c>
      <c r="CO48" s="37">
        <f t="shared" si="54"/>
        <v>6748.6689274580731</v>
      </c>
      <c r="CP48" s="37">
        <f t="shared" si="54"/>
        <v>6083.9619442464937</v>
      </c>
      <c r="CQ48" s="37">
        <f t="shared" si="54"/>
        <v>8474.530380650167</v>
      </c>
      <c r="CR48" s="37">
        <f t="shared" si="54"/>
        <v>12768.86659580278</v>
      </c>
      <c r="CS48" s="37">
        <f t="shared" si="54"/>
        <v>32200.591178436625</v>
      </c>
      <c r="CT48" s="37">
        <f t="shared" si="54"/>
        <v>32451.898148322314</v>
      </c>
      <c r="CU48" s="37">
        <f t="shared" si="54"/>
        <v>25390.349298699552</v>
      </c>
      <c r="CV48" s="37">
        <f t="shared" ref="CV48:DF48" si="55">CU49</f>
        <v>27612.457722131283</v>
      </c>
      <c r="CW48" s="37">
        <f t="shared" si="55"/>
        <v>24783.990961742693</v>
      </c>
      <c r="CX48" s="37">
        <f t="shared" si="55"/>
        <v>28268.116167923876</v>
      </c>
      <c r="CY48" s="37">
        <f t="shared" si="55"/>
        <v>36040.418160116169</v>
      </c>
      <c r="CZ48" s="37">
        <f t="shared" si="55"/>
        <v>38063.430146773877</v>
      </c>
      <c r="DA48" s="37">
        <f t="shared" si="55"/>
        <v>31003.053832549424</v>
      </c>
      <c r="DB48" s="37">
        <f t="shared" si="55"/>
        <v>30690.801747397407</v>
      </c>
      <c r="DC48" s="37">
        <f t="shared" si="55"/>
        <v>33876.845595356761</v>
      </c>
      <c r="DD48" s="37">
        <f t="shared" si="55"/>
        <v>39214.284471838371</v>
      </c>
      <c r="DE48" s="37">
        <f t="shared" si="55"/>
        <v>61698.079958531853</v>
      </c>
      <c r="DF48" s="37">
        <f t="shared" si="55"/>
        <v>62189.722988359135</v>
      </c>
    </row>
    <row r="49" spans="1:112" ht="13.8" x14ac:dyDescent="0.3">
      <c r="A49" s="33" t="s">
        <v>130</v>
      </c>
      <c r="B49" s="47" t="s">
        <v>163</v>
      </c>
      <c r="C49" s="36">
        <f t="shared" ref="C49:AH49" si="56">C48+C45</f>
        <v>-1966.263037773434</v>
      </c>
      <c r="D49" s="36">
        <f t="shared" si="56"/>
        <v>-4547.1243257180176</v>
      </c>
      <c r="E49" s="36">
        <f t="shared" si="56"/>
        <v>-4825.8673143800752</v>
      </c>
      <c r="F49" s="36">
        <f t="shared" si="56"/>
        <v>-3591.1170433130715</v>
      </c>
      <c r="G49" s="36">
        <f t="shared" si="56"/>
        <v>-4251.245370442176</v>
      </c>
      <c r="H49" s="36">
        <f t="shared" si="56"/>
        <v>-7713.579977250527</v>
      </c>
      <c r="I49" s="36">
        <f t="shared" si="56"/>
        <v>-9275.4055842483576</v>
      </c>
      <c r="J49" s="36">
        <f t="shared" si="56"/>
        <v>-7931.1062543166545</v>
      </c>
      <c r="K49" s="36">
        <f t="shared" si="56"/>
        <v>-7773.85254207461</v>
      </c>
      <c r="L49" s="36">
        <f t="shared" si="56"/>
        <v>-2314.2537583146677</v>
      </c>
      <c r="M49" s="36">
        <f t="shared" si="56"/>
        <v>-4438.4333249590472</v>
      </c>
      <c r="N49" s="36">
        <f t="shared" si="56"/>
        <v>-9223.1308224102431</v>
      </c>
      <c r="O49" s="36">
        <f t="shared" si="56"/>
        <v>-9996.8300851357362</v>
      </c>
      <c r="P49" s="36">
        <f t="shared" si="56"/>
        <v>-12466.193457998099</v>
      </c>
      <c r="Q49" s="36">
        <f t="shared" si="56"/>
        <v>-12677.563771297755</v>
      </c>
      <c r="R49" s="36">
        <f t="shared" si="56"/>
        <v>-11141.866955000507</v>
      </c>
      <c r="S49" s="36">
        <f t="shared" si="56"/>
        <v>-12020.63096364087</v>
      </c>
      <c r="T49" s="36">
        <f t="shared" si="56"/>
        <v>-16174.489034846312</v>
      </c>
      <c r="U49" s="36">
        <f t="shared" si="56"/>
        <v>-17875.163079654558</v>
      </c>
      <c r="V49" s="36">
        <f t="shared" si="56"/>
        <v>-18263.212351546616</v>
      </c>
      <c r="W49" s="36">
        <f t="shared" si="56"/>
        <v>-17811.25794326566</v>
      </c>
      <c r="X49" s="36">
        <f t="shared" si="56"/>
        <v>-10733.559681086412</v>
      </c>
      <c r="Y49" s="36">
        <f t="shared" si="56"/>
        <v>-12444.675514196086</v>
      </c>
      <c r="Z49" s="36">
        <f t="shared" si="56"/>
        <v>-16944.451277479297</v>
      </c>
      <c r="AA49" s="36">
        <f t="shared" si="56"/>
        <v>-17519.679630285424</v>
      </c>
      <c r="AB49" s="36">
        <f t="shared" si="56"/>
        <v>-18101.205923873429</v>
      </c>
      <c r="AC49" s="36">
        <f t="shared" si="56"/>
        <v>-19662.072845033086</v>
      </c>
      <c r="AD49" s="36">
        <f t="shared" si="56"/>
        <v>-18156.10836980043</v>
      </c>
      <c r="AE49" s="36">
        <f t="shared" si="56"/>
        <v>-18819.055025244314</v>
      </c>
      <c r="AF49" s="36">
        <f t="shared" si="56"/>
        <v>-23426.088735394813</v>
      </c>
      <c r="AG49" s="36">
        <f t="shared" si="56"/>
        <v>-25142.641972811904</v>
      </c>
      <c r="AH49" s="36">
        <f t="shared" si="56"/>
        <v>-25394.365407232774</v>
      </c>
      <c r="AI49" s="36">
        <f t="shared" ref="AI49:BN49" si="57">AI48+AI45</f>
        <v>-24658.284425178845</v>
      </c>
      <c r="AJ49" s="36">
        <f t="shared" si="57"/>
        <v>-16179.068431456515</v>
      </c>
      <c r="AK49" s="36">
        <f t="shared" si="57"/>
        <v>-17810.200981893129</v>
      </c>
      <c r="AL49" s="36">
        <f t="shared" si="57"/>
        <v>-22777.215474245222</v>
      </c>
      <c r="AM49" s="36">
        <f t="shared" si="57"/>
        <v>-23115.68592411077</v>
      </c>
      <c r="AN49" s="36">
        <f t="shared" si="57"/>
        <v>-25887.970797214581</v>
      </c>
      <c r="AO49" s="36">
        <f t="shared" si="57"/>
        <v>-25558.657856903857</v>
      </c>
      <c r="AP49" s="36">
        <f t="shared" si="57"/>
        <v>-22922.753680304217</v>
      </c>
      <c r="AQ49" s="36">
        <f t="shared" si="57"/>
        <v>-23359.434099997601</v>
      </c>
      <c r="AR49" s="36">
        <f t="shared" si="57"/>
        <v>-28381.752037744533</v>
      </c>
      <c r="AS49" s="36">
        <f t="shared" si="57"/>
        <v>-30035.422007281759</v>
      </c>
      <c r="AT49" s="36">
        <f t="shared" si="57"/>
        <v>-29973.453694290671</v>
      </c>
      <c r="AU49" s="36">
        <f t="shared" si="57"/>
        <v>-28773.571230429487</v>
      </c>
      <c r="AV49" s="36">
        <f t="shared" si="57"/>
        <v>-18634.033281988664</v>
      </c>
      <c r="AW49" s="36">
        <f t="shared" si="57"/>
        <v>-20027.881933712226</v>
      </c>
      <c r="AX49" s="36">
        <f t="shared" si="57"/>
        <v>-25186.189036407835</v>
      </c>
      <c r="AY49" s="36">
        <f t="shared" si="57"/>
        <v>-24930.1205395498</v>
      </c>
      <c r="AZ49" s="36">
        <f t="shared" si="57"/>
        <v>-27525.658970408593</v>
      </c>
      <c r="BA49" s="36">
        <f t="shared" si="57"/>
        <v>-26498.883222472294</v>
      </c>
      <c r="BB49" s="36">
        <f t="shared" si="57"/>
        <v>-22841.277542198397</v>
      </c>
      <c r="BC49" s="36">
        <f t="shared" si="57"/>
        <v>-22694.77489918378</v>
      </c>
      <c r="BD49" s="36">
        <f t="shared" si="57"/>
        <v>-27862.228286753547</v>
      </c>
      <c r="BE49" s="36">
        <f t="shared" si="57"/>
        <v>-29115.046803228943</v>
      </c>
      <c r="BF49" s="36">
        <f t="shared" si="57"/>
        <v>-28364.510789945383</v>
      </c>
      <c r="BG49" s="36">
        <f t="shared" si="57"/>
        <v>-26310.130065531172</v>
      </c>
      <c r="BH49" s="36">
        <f t="shared" si="57"/>
        <v>-13979.118722608177</v>
      </c>
      <c r="BI49" s="36">
        <f t="shared" si="57"/>
        <v>-14954.403053082064</v>
      </c>
      <c r="BJ49" s="36">
        <f t="shared" si="57"/>
        <v>-20588.139005985417</v>
      </c>
      <c r="BK49" s="36">
        <f t="shared" si="57"/>
        <v>-19974.87205805536</v>
      </c>
      <c r="BL49" s="36">
        <f t="shared" si="57"/>
        <v>-22686.06172006117</v>
      </c>
      <c r="BM49" s="36">
        <f t="shared" si="57"/>
        <v>-21193.27262806641</v>
      </c>
      <c r="BN49" s="36">
        <f t="shared" si="57"/>
        <v>-16698.335664567101</v>
      </c>
      <c r="BO49" s="36">
        <f t="shared" ref="BO49:CT49" si="58">BO48+BO45</f>
        <v>-16213.439113810662</v>
      </c>
      <c r="BP49" s="36">
        <f t="shared" si="58"/>
        <v>-21867.578842438284</v>
      </c>
      <c r="BQ49" s="36">
        <f t="shared" si="58"/>
        <v>-22988.755753597758</v>
      </c>
      <c r="BR49" s="36">
        <f t="shared" si="58"/>
        <v>-21782.685631347755</v>
      </c>
      <c r="BS49" s="36">
        <f t="shared" si="58"/>
        <v>-19084.821984096914</v>
      </c>
      <c r="BT49" s="36">
        <f t="shared" si="58"/>
        <v>-4591.1196566188482</v>
      </c>
      <c r="BU49" s="36">
        <f t="shared" si="58"/>
        <v>-5033.4227812686941</v>
      </c>
      <c r="BV49" s="36">
        <f t="shared" si="58"/>
        <v>-10979.195210034908</v>
      </c>
      <c r="BW49" s="36">
        <f t="shared" si="58"/>
        <v>-9897.6994642741629</v>
      </c>
      <c r="BX49" s="36">
        <f t="shared" si="58"/>
        <v>-8998.3967217164045</v>
      </c>
      <c r="BY49" s="36">
        <f t="shared" si="58"/>
        <v>-9740.3670673950401</v>
      </c>
      <c r="BZ49" s="36">
        <f t="shared" si="58"/>
        <v>-5225.5033847120694</v>
      </c>
      <c r="CA49" s="36">
        <f t="shared" si="58"/>
        <v>-4330.5326882674208</v>
      </c>
      <c r="CB49" s="36">
        <f t="shared" si="58"/>
        <v>-10435.675317607194</v>
      </c>
      <c r="CC49" s="36">
        <f t="shared" si="58"/>
        <v>-11360.064042481807</v>
      </c>
      <c r="CD49" s="36">
        <f t="shared" si="58"/>
        <v>-9616.1455777508254</v>
      </c>
      <c r="CE49" s="36">
        <f t="shared" si="58"/>
        <v>-6187.7122568907744</v>
      </c>
      <c r="CF49" s="36">
        <f t="shared" si="58"/>
        <v>10603.978118174657</v>
      </c>
      <c r="CG49" s="36">
        <f t="shared" si="58"/>
        <v>10468.648257007286</v>
      </c>
      <c r="CH49" s="36">
        <f t="shared" si="58"/>
        <v>3981.1473281128201</v>
      </c>
      <c r="CI49" s="36">
        <f t="shared" si="58"/>
        <v>5571.3561197352083</v>
      </c>
      <c r="CJ49" s="36">
        <f t="shared" si="58"/>
        <v>2748.4620765941113</v>
      </c>
      <c r="CK49" s="36">
        <f t="shared" si="58"/>
        <v>5435.0629865910996</v>
      </c>
      <c r="CL49" s="36">
        <f t="shared" si="58"/>
        <v>11929.542730529996</v>
      </c>
      <c r="CM49" s="36">
        <f t="shared" si="58"/>
        <v>13326.109245457101</v>
      </c>
      <c r="CN49" s="36">
        <f t="shared" si="58"/>
        <v>6748.6689274580731</v>
      </c>
      <c r="CO49" s="36">
        <f t="shared" si="58"/>
        <v>6083.9619442464937</v>
      </c>
      <c r="CP49" s="36">
        <f t="shared" si="58"/>
        <v>8474.530380650167</v>
      </c>
      <c r="CQ49" s="36">
        <f t="shared" si="58"/>
        <v>12768.86659580278</v>
      </c>
      <c r="CR49" s="36">
        <f t="shared" si="58"/>
        <v>32200.591178436625</v>
      </c>
      <c r="CS49" s="36">
        <f t="shared" si="58"/>
        <v>32451.898148322314</v>
      </c>
      <c r="CT49" s="36">
        <f t="shared" si="58"/>
        <v>25390.349298699552</v>
      </c>
      <c r="CU49" s="36">
        <f t="shared" ref="CU49:DZ49" si="59">CU48+CU45</f>
        <v>27612.457722131283</v>
      </c>
      <c r="CV49" s="36">
        <f t="shared" si="59"/>
        <v>24783.990961742693</v>
      </c>
      <c r="CW49" s="36">
        <f t="shared" si="59"/>
        <v>28268.116167923876</v>
      </c>
      <c r="CX49" s="36">
        <f t="shared" si="59"/>
        <v>36040.418160116169</v>
      </c>
      <c r="CY49" s="36">
        <f t="shared" si="59"/>
        <v>38063.430146773877</v>
      </c>
      <c r="CZ49" s="36">
        <f t="shared" si="59"/>
        <v>31003.053832549424</v>
      </c>
      <c r="DA49" s="36">
        <f t="shared" si="59"/>
        <v>30690.801747397407</v>
      </c>
      <c r="DB49" s="36">
        <f t="shared" si="59"/>
        <v>33876.845595356761</v>
      </c>
      <c r="DC49" s="36">
        <f t="shared" si="59"/>
        <v>39214.284471838371</v>
      </c>
      <c r="DD49" s="36">
        <f t="shared" si="59"/>
        <v>61698.079958531853</v>
      </c>
      <c r="DE49" s="36">
        <f t="shared" si="59"/>
        <v>62189.722988359135</v>
      </c>
      <c r="DF49" s="36">
        <f t="shared" si="59"/>
        <v>54304.159427349099</v>
      </c>
    </row>
    <row r="51" spans="1:112" ht="13.8" x14ac:dyDescent="0.3">
      <c r="A51" s="26" t="s">
        <v>132</v>
      </c>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row>
    <row r="52" spans="1:112" ht="13.8" x14ac:dyDescent="0.3">
      <c r="A52" s="16" t="s">
        <v>133</v>
      </c>
      <c r="C52" s="39">
        <f t="shared" ref="C52:AH52" si="60">IF(C42=0,0,C27/C42)</f>
        <v>-62.442570206193949</v>
      </c>
      <c r="D52" s="39">
        <f t="shared" si="60"/>
        <v>-57.379972814727346</v>
      </c>
      <c r="E52" s="39">
        <f t="shared" si="60"/>
        <v>0.53550363554067859</v>
      </c>
      <c r="F52" s="39">
        <f t="shared" si="60"/>
        <v>3.1012533137757088</v>
      </c>
      <c r="G52" s="39">
        <f t="shared" si="60"/>
        <v>-1.2633790628549362</v>
      </c>
      <c r="H52" s="39">
        <f t="shared" si="60"/>
        <v>-40.139395771511559</v>
      </c>
      <c r="I52" s="39">
        <f t="shared" si="60"/>
        <v>-16.031118938642081</v>
      </c>
      <c r="J52" s="39">
        <f t="shared" si="60"/>
        <v>15.058076236514236</v>
      </c>
      <c r="K52" s="39">
        <f t="shared" si="60"/>
        <v>2.8448477449408798</v>
      </c>
      <c r="L52" s="39">
        <f t="shared" si="60"/>
        <v>20.859612121673141</v>
      </c>
      <c r="M52" s="39">
        <f t="shared" si="60"/>
        <v>-5.2103909716306251</v>
      </c>
      <c r="N52" s="39">
        <f t="shared" si="60"/>
        <v>-13.671870769782538</v>
      </c>
      <c r="O52" s="39">
        <f t="shared" si="60"/>
        <v>-1.0772187145937338</v>
      </c>
      <c r="P52" s="39">
        <f t="shared" si="60"/>
        <v>-5.9080884361071151</v>
      </c>
      <c r="Q52" s="39">
        <f t="shared" si="60"/>
        <v>0.47522056732058687</v>
      </c>
      <c r="R52" s="39">
        <f t="shared" si="60"/>
        <v>4.8936133811356939</v>
      </c>
      <c r="S52" s="39">
        <f t="shared" si="60"/>
        <v>-1.234963581782984</v>
      </c>
      <c r="T52" s="39">
        <f t="shared" si="60"/>
        <v>-9.7437994273716448</v>
      </c>
      <c r="U52" s="39">
        <f t="shared" si="60"/>
        <v>-3.3578392658264105</v>
      </c>
      <c r="V52" s="39">
        <f t="shared" si="60"/>
        <v>3.5967109758193533E-2</v>
      </c>
      <c r="W52" s="39">
        <f t="shared" si="60"/>
        <v>2.1141765116816145</v>
      </c>
      <c r="X52" s="39">
        <f t="shared" si="60"/>
        <v>18.311306405910582</v>
      </c>
      <c r="Y52" s="39">
        <f t="shared" si="60"/>
        <v>-3.242553797620904</v>
      </c>
      <c r="Z52" s="39">
        <f t="shared" si="60"/>
        <v>-10.673789374272435</v>
      </c>
      <c r="AA52" s="39">
        <f t="shared" si="60"/>
        <v>-0.42467065614468102</v>
      </c>
      <c r="AB52" s="39">
        <f t="shared" si="60"/>
        <v>-0.4151485033669523</v>
      </c>
      <c r="AC52" s="39">
        <f t="shared" si="60"/>
        <v>-2.6942304320465449</v>
      </c>
      <c r="AD52" s="39">
        <f t="shared" si="60"/>
        <v>4.6007146710469513</v>
      </c>
      <c r="AE52" s="39">
        <f t="shared" si="60"/>
        <v>-0.55445617993535468</v>
      </c>
      <c r="AF52" s="39">
        <f t="shared" si="60"/>
        <v>-10.000425804470021</v>
      </c>
      <c r="AG52" s="39">
        <f t="shared" si="60"/>
        <v>-3.0575695166315828</v>
      </c>
      <c r="AH52" s="39">
        <f t="shared" si="60"/>
        <v>0.42263009854307659</v>
      </c>
      <c r="AI52" s="39">
        <f t="shared" ref="AI52:BN52" si="61">IF(AI42=0,0,AI27/AI42)</f>
        <v>2.672907255005152</v>
      </c>
      <c r="AJ52" s="39">
        <f t="shared" si="61"/>
        <v>20.06288348843276</v>
      </c>
      <c r="AK52" s="39">
        <f t="shared" si="61"/>
        <v>-2.774245864371391</v>
      </c>
      <c r="AL52" s="39">
        <f t="shared" si="61"/>
        <v>-11.077100068269823</v>
      </c>
      <c r="AM52" s="39">
        <f t="shared" si="61"/>
        <v>0.17835102609933595</v>
      </c>
      <c r="AN52" s="39">
        <f t="shared" si="61"/>
        <v>-6.1105275485321489</v>
      </c>
      <c r="AO52" s="39">
        <f t="shared" si="61"/>
        <v>1.7297405828381265</v>
      </c>
      <c r="AP52" s="39">
        <f t="shared" si="61"/>
        <v>6.9924342348083632</v>
      </c>
      <c r="AQ52" s="39">
        <f t="shared" si="61"/>
        <v>3.4733012030665161E-3</v>
      </c>
      <c r="AR52" s="39">
        <f t="shared" si="61"/>
        <v>-10.699958734191258</v>
      </c>
      <c r="AS52" s="39">
        <f t="shared" si="61"/>
        <v>-2.8085058033621624</v>
      </c>
      <c r="AT52" s="39">
        <f t="shared" si="61"/>
        <v>1.1379305854165342</v>
      </c>
      <c r="AU52" s="39">
        <f t="shared" si="61"/>
        <v>3.6431874903700132</v>
      </c>
      <c r="AV52" s="39">
        <f t="shared" si="61"/>
        <v>23.06423651823393</v>
      </c>
      <c r="AW52" s="39">
        <f t="shared" si="61"/>
        <v>-2.5896035769725776</v>
      </c>
      <c r="AX52" s="39">
        <f t="shared" si="61"/>
        <v>-28.045104542573739</v>
      </c>
      <c r="AY52" s="39">
        <f t="shared" si="61"/>
        <v>2.8297655248204596</v>
      </c>
      <c r="AZ52" s="39">
        <f t="shared" si="61"/>
        <v>-21.734554918157304</v>
      </c>
      <c r="BA52" s="39">
        <f t="shared" si="61"/>
        <v>6.5401891496468343</v>
      </c>
      <c r="BB52" s="39">
        <f t="shared" si="61"/>
        <v>22.252054427911677</v>
      </c>
      <c r="BC52" s="39">
        <f t="shared" si="61"/>
        <v>1.8609231256161189</v>
      </c>
      <c r="BD52" s="39">
        <f t="shared" si="61"/>
        <v>-31.337935048295172</v>
      </c>
      <c r="BE52" s="39">
        <f t="shared" si="61"/>
        <v>-6.5684582865739127</v>
      </c>
      <c r="BF52" s="39">
        <f t="shared" si="61"/>
        <v>5.1010736066620987</v>
      </c>
      <c r="BG52" s="39">
        <f t="shared" si="61"/>
        <v>11.902057491649744</v>
      </c>
      <c r="BH52" s="39">
        <f t="shared" si="61"/>
        <v>64.259272291588942</v>
      </c>
      <c r="BI52" s="39">
        <f t="shared" si="61"/>
        <v>-4.2380998458341566</v>
      </c>
      <c r="BJ52" s="39">
        <f t="shared" si="61"/>
        <v>-34.668392545414761</v>
      </c>
      <c r="BK52" s="39">
        <f t="shared" si="61"/>
        <v>4.5445156596712453</v>
      </c>
      <c r="BL52" s="39">
        <f t="shared" si="61"/>
        <v>-17.95702254332495</v>
      </c>
      <c r="BM52" s="39">
        <f t="shared" si="61"/>
        <v>7.6299284077023959</v>
      </c>
      <c r="BN52" s="39">
        <f t="shared" si="61"/>
        <v>22.416413011443975</v>
      </c>
      <c r="BO52" s="39">
        <f t="shared" ref="BO52:CT52" si="62">IF(BO42=0,0,BO27/BO42)</f>
        <v>3.3352090322965777</v>
      </c>
      <c r="BP52" s="39">
        <f t="shared" si="62"/>
        <v>-27.897175836014952</v>
      </c>
      <c r="BQ52" s="39">
        <f t="shared" si="62"/>
        <v>-4.5424422868843539</v>
      </c>
      <c r="BR52" s="39">
        <f t="shared" si="62"/>
        <v>6.4211114831327878</v>
      </c>
      <c r="BS52" s="39">
        <f t="shared" si="62"/>
        <v>12.794027815472068</v>
      </c>
      <c r="BT52" s="39">
        <f t="shared" si="62"/>
        <v>62.350981519675919</v>
      </c>
      <c r="BU52" s="39">
        <f t="shared" si="62"/>
        <v>-0.95579184615002644</v>
      </c>
      <c r="BV52" s="39">
        <f t="shared" si="62"/>
        <v>-29.722767197250118</v>
      </c>
      <c r="BW52" s="39">
        <f t="shared" si="62"/>
        <v>6.6085235217567151</v>
      </c>
      <c r="BX52" s="39">
        <f t="shared" si="62"/>
        <v>5.4074059420472054</v>
      </c>
      <c r="BY52" s="39">
        <f t="shared" si="62"/>
        <v>-2.3083529394064599</v>
      </c>
      <c r="BZ52" s="39">
        <f t="shared" si="62"/>
        <v>21.837884599279299</v>
      </c>
      <c r="CA52" s="39">
        <f t="shared" si="62"/>
        <v>4.8688050319164873</v>
      </c>
      <c r="CB52" s="39">
        <f t="shared" si="62"/>
        <v>-27.04760058488128</v>
      </c>
      <c r="CC52" s="39">
        <f t="shared" si="62"/>
        <v>-3.1043168830058399</v>
      </c>
      <c r="CD52" s="39">
        <f t="shared" si="62"/>
        <v>8.0252170644904375</v>
      </c>
      <c r="CE52" s="39">
        <f t="shared" si="62"/>
        <v>14.424476507526315</v>
      </c>
      <c r="CF52" s="39">
        <f t="shared" si="62"/>
        <v>64.621752960862025</v>
      </c>
      <c r="CG52" s="39">
        <f t="shared" si="62"/>
        <v>0.4638812539749621</v>
      </c>
      <c r="CH52" s="39">
        <f t="shared" si="62"/>
        <v>-29.141096468442637</v>
      </c>
      <c r="CI52" s="39">
        <f t="shared" si="62"/>
        <v>8.6347747499500187</v>
      </c>
      <c r="CJ52" s="39">
        <f t="shared" si="62"/>
        <v>-15.763161164656893</v>
      </c>
      <c r="CK52" s="39">
        <f t="shared" si="62"/>
        <v>10.77178976966203</v>
      </c>
      <c r="CL52" s="39">
        <f t="shared" si="62"/>
        <v>26.460437095361293</v>
      </c>
      <c r="CM52" s="39">
        <f t="shared" si="62"/>
        <v>6.5381038550924488</v>
      </c>
      <c r="CN52" s="39">
        <f t="shared" si="62"/>
        <v>-26.799527891059292</v>
      </c>
      <c r="CO52" s="39">
        <f t="shared" si="62"/>
        <v>-1.7107359082738021</v>
      </c>
      <c r="CP52" s="39">
        <f t="shared" si="62"/>
        <v>9.8067255719134927</v>
      </c>
      <c r="CQ52" s="39">
        <f t="shared" si="62"/>
        <v>16.358921836440732</v>
      </c>
      <c r="CR52" s="39">
        <f t="shared" si="62"/>
        <v>68.159222607731394</v>
      </c>
      <c r="CS52" s="39">
        <f t="shared" si="62"/>
        <v>1.9097987113157351</v>
      </c>
      <c r="CT52" s="39">
        <f t="shared" si="62"/>
        <v>-29.199638089269975</v>
      </c>
      <c r="CU52" s="39">
        <f t="shared" ref="CU52:DF52" si="63">IF(CU42=0,0,CU27/CU42)</f>
        <v>12.077169808530755</v>
      </c>
      <c r="CV52" s="39">
        <f t="shared" si="63"/>
        <v>-17.232626015715478</v>
      </c>
      <c r="CW52" s="39">
        <f t="shared" si="63"/>
        <v>13.597039058371234</v>
      </c>
      <c r="CX52" s="39">
        <f t="shared" si="63"/>
        <v>31.605603898523167</v>
      </c>
      <c r="CY52" s="39">
        <f t="shared" si="63"/>
        <v>9.0715079319520644</v>
      </c>
      <c r="CZ52" s="39">
        <f t="shared" si="63"/>
        <v>-29.317055061982852</v>
      </c>
      <c r="DA52" s="39">
        <f t="shared" si="63"/>
        <v>-0.2865752721811971</v>
      </c>
      <c r="DB52" s="39">
        <f t="shared" si="63"/>
        <v>12.687252590032287</v>
      </c>
      <c r="DC52" s="39">
        <f t="shared" si="63"/>
        <v>19.933780735557239</v>
      </c>
      <c r="DD52" s="39">
        <f t="shared" si="63"/>
        <v>77.735675212972509</v>
      </c>
      <c r="DE52" s="39">
        <f t="shared" si="63"/>
        <v>2.7681728584437937</v>
      </c>
      <c r="DF52" s="39">
        <f t="shared" si="63"/>
        <v>-33.326451546453711</v>
      </c>
    </row>
    <row r="53" spans="1:112" ht="13.8" x14ac:dyDescent="0.3">
      <c r="A53" s="16" t="s">
        <v>134</v>
      </c>
      <c r="C53" s="39">
        <f t="shared" ref="C53:AH53" si="64">IF(C42=0,0,C49/C42)</f>
        <v>-63.442570206193949</v>
      </c>
      <c r="D53" s="39">
        <f t="shared" si="64"/>
        <v>-102.85752115411762</v>
      </c>
      <c r="E53" s="39">
        <f t="shared" si="64"/>
        <v>-8.0418088133878918</v>
      </c>
      <c r="F53" s="39">
        <f t="shared" si="64"/>
        <v>-6.1112329871345636</v>
      </c>
      <c r="G53" s="39">
        <f t="shared" si="64"/>
        <v>-14.576226117071229</v>
      </c>
      <c r="H53" s="39">
        <f t="shared" si="64"/>
        <v>-91.652614647733174</v>
      </c>
      <c r="I53" s="39">
        <f t="shared" si="64"/>
        <v>-101.14479811426102</v>
      </c>
      <c r="J53" s="39">
        <f t="shared" si="64"/>
        <v>-82.939933004908156</v>
      </c>
      <c r="K53" s="39">
        <f t="shared" si="64"/>
        <v>-91.200227500351701</v>
      </c>
      <c r="L53" s="39">
        <f t="shared" si="64"/>
        <v>-8.4182343449790125</v>
      </c>
      <c r="M53" s="39">
        <f t="shared" si="64"/>
        <v>-12.976495340765542</v>
      </c>
      <c r="N53" s="39">
        <f t="shared" si="64"/>
        <v>-28.281951699409714</v>
      </c>
      <c r="O53" s="39">
        <f t="shared" si="64"/>
        <v>-26.839372272770561</v>
      </c>
      <c r="P53" s="39">
        <f t="shared" si="64"/>
        <v>-34.874400347830409</v>
      </c>
      <c r="Q53" s="39">
        <f t="shared" si="64"/>
        <v>-31.475208697954631</v>
      </c>
      <c r="R53" s="39">
        <f t="shared" si="64"/>
        <v>-28.249145147948632</v>
      </c>
      <c r="S53" s="39">
        <f t="shared" si="64"/>
        <v>-30.572112842169346</v>
      </c>
      <c r="T53" s="39">
        <f t="shared" si="64"/>
        <v>-41.834714391236133</v>
      </c>
      <c r="U53" s="39">
        <f t="shared" si="64"/>
        <v>-45.803655197402755</v>
      </c>
      <c r="V53" s="39">
        <f t="shared" si="64"/>
        <v>-45.371396530435653</v>
      </c>
      <c r="W53" s="39">
        <f t="shared" si="64"/>
        <v>-43.909042328784494</v>
      </c>
      <c r="X53" s="39">
        <f t="shared" si="64"/>
        <v>-26.253159372211289</v>
      </c>
      <c r="Y53" s="39">
        <f t="shared" si="64"/>
        <v>-30.85542447875206</v>
      </c>
      <c r="Z53" s="39">
        <f t="shared" si="64"/>
        <v>-43.959069447404637</v>
      </c>
      <c r="AA53" s="39">
        <f t="shared" si="64"/>
        <v>-43.391069568393966</v>
      </c>
      <c r="AB53" s="39">
        <f t="shared" si="64"/>
        <v>-44.04941746358007</v>
      </c>
      <c r="AC53" s="39">
        <f t="shared" si="64"/>
        <v>-46.53582369935264</v>
      </c>
      <c r="AD53" s="39">
        <f t="shared" si="64"/>
        <v>-43.410695837402841</v>
      </c>
      <c r="AE53" s="39">
        <f t="shared" si="64"/>
        <v>-44.1263201862713</v>
      </c>
      <c r="AF53" s="39">
        <f t="shared" si="64"/>
        <v>-55.935547086375308</v>
      </c>
      <c r="AG53" s="39">
        <f t="shared" si="64"/>
        <v>-59.431898418700086</v>
      </c>
      <c r="AH53" s="39">
        <f t="shared" si="64"/>
        <v>-58.246234747540484</v>
      </c>
      <c r="AI53" s="39">
        <f t="shared" ref="AI53:BN53" si="65">IF(AI42=0,0,AI49/AI42)</f>
        <v>-56.041419241341067</v>
      </c>
      <c r="AJ53" s="39">
        <f t="shared" si="65"/>
        <v>-36.373610094208907</v>
      </c>
      <c r="AK53" s="39">
        <f t="shared" si="65"/>
        <v>-41.210677440984377</v>
      </c>
      <c r="AL53" s="39">
        <f t="shared" si="65"/>
        <v>-55.381902143140337</v>
      </c>
      <c r="AM53" s="39">
        <f t="shared" si="65"/>
        <v>-56.114144168568288</v>
      </c>
      <c r="AN53" s="39">
        <f t="shared" si="65"/>
        <v>-66.39906717923256</v>
      </c>
      <c r="AO53" s="39">
        <f t="shared" si="65"/>
        <v>-56.636674718761135</v>
      </c>
      <c r="AP53" s="39">
        <f t="shared" si="65"/>
        <v>-52.112324540998713</v>
      </c>
      <c r="AQ53" s="39">
        <f t="shared" si="65"/>
        <v>-53.307404453306916</v>
      </c>
      <c r="AR53" s="39">
        <f t="shared" si="65"/>
        <v>-66.11794230506797</v>
      </c>
      <c r="AS53" s="39">
        <f t="shared" si="65"/>
        <v>-69.173463344185805</v>
      </c>
      <c r="AT53" s="39">
        <f t="shared" si="65"/>
        <v>-66.715645714020539</v>
      </c>
      <c r="AU53" s="39">
        <f t="shared" si="65"/>
        <v>-63.384494581913025</v>
      </c>
      <c r="AV53" s="39">
        <f t="shared" si="65"/>
        <v>-40.548762647085262</v>
      </c>
      <c r="AW53" s="39">
        <f t="shared" si="65"/>
        <v>-51.578165634798047</v>
      </c>
      <c r="AX53" s="39">
        <f t="shared" si="65"/>
        <v>-141.81697193042405</v>
      </c>
      <c r="AY53" s="39">
        <f t="shared" si="65"/>
        <v>-178.14091015723912</v>
      </c>
      <c r="AZ53" s="39">
        <f t="shared" si="65"/>
        <v>-241.0997263924807</v>
      </c>
      <c r="BA53" s="39">
        <f t="shared" si="65"/>
        <v>-142.98041768318768</v>
      </c>
      <c r="BB53" s="39">
        <f t="shared" si="65"/>
        <v>-132.7163494271166</v>
      </c>
      <c r="BC53" s="39">
        <f t="shared" si="65"/>
        <v>-133.36589797503007</v>
      </c>
      <c r="BD53" s="39">
        <f t="shared" si="65"/>
        <v>-174.36188796693699</v>
      </c>
      <c r="BE53" s="39">
        <f t="shared" si="65"/>
        <v>-175.88821871967659</v>
      </c>
      <c r="BF53" s="39">
        <f t="shared" si="65"/>
        <v>-154.9891604236432</v>
      </c>
      <c r="BG53" s="39">
        <f t="shared" si="65"/>
        <v>-139.62093159192381</v>
      </c>
      <c r="BH53" s="39">
        <f t="shared" si="65"/>
        <v>-71.714221411161176</v>
      </c>
      <c r="BI53" s="39">
        <f t="shared" si="65"/>
        <v>-80.317763629842688</v>
      </c>
      <c r="BJ53" s="39">
        <f t="shared" si="65"/>
        <v>-130.34793074861935</v>
      </c>
      <c r="BK53" s="39">
        <f t="shared" si="65"/>
        <v>-115.44931134586685</v>
      </c>
      <c r="BL53" s="39">
        <f t="shared" si="65"/>
        <v>-158.62416026191639</v>
      </c>
      <c r="BM53" s="39">
        <f t="shared" si="65"/>
        <v>-94.125741541453081</v>
      </c>
      <c r="BN53" s="39">
        <f t="shared" si="65"/>
        <v>-79.560282179727821</v>
      </c>
      <c r="BO53" s="39">
        <f t="shared" ref="BO53:CT53" si="66">IF(BO42=0,0,BO49/BO42)</f>
        <v>-78.082158769941515</v>
      </c>
      <c r="BP53" s="39">
        <f t="shared" si="66"/>
        <v>-111.76081618896202</v>
      </c>
      <c r="BQ53" s="39">
        <f t="shared" si="66"/>
        <v>-113.6429503171185</v>
      </c>
      <c r="BR53" s="39">
        <f t="shared" si="66"/>
        <v>-97.910034442502393</v>
      </c>
      <c r="BS53" s="39">
        <f t="shared" si="66"/>
        <v>-83.431540939119884</v>
      </c>
      <c r="BT53" s="39">
        <f t="shared" si="66"/>
        <v>-19.433936950246096</v>
      </c>
      <c r="BU53" s="39">
        <f t="shared" si="66"/>
        <v>-22.256969678033514</v>
      </c>
      <c r="BV53" s="39">
        <f t="shared" si="66"/>
        <v>-56.731276296267595</v>
      </c>
      <c r="BW53" s="39">
        <f t="shared" si="66"/>
        <v>-51.328431456392529</v>
      </c>
      <c r="BX53" s="39">
        <f t="shared" si="66"/>
        <v>-44.100373882317818</v>
      </c>
      <c r="BY53" s="39">
        <f t="shared" si="66"/>
        <v>-43.431078082831434</v>
      </c>
      <c r="BZ53" s="39">
        <f t="shared" si="66"/>
        <v>-24.117768366168306</v>
      </c>
      <c r="CA53" s="39">
        <f t="shared" si="66"/>
        <v>-18.720151086292034</v>
      </c>
      <c r="CB53" s="39">
        <f t="shared" si="66"/>
        <v>-47.942475862091953</v>
      </c>
      <c r="CC53" s="39">
        <f t="shared" si="66"/>
        <v>-50.43906463475102</v>
      </c>
      <c r="CD53" s="39">
        <f t="shared" si="66"/>
        <v>-38.737768636368301</v>
      </c>
      <c r="CE53" s="39">
        <f t="shared" si="66"/>
        <v>-24.228792003201285</v>
      </c>
      <c r="CF53" s="39">
        <f t="shared" si="66"/>
        <v>40.177234165697612</v>
      </c>
      <c r="CG53" s="39">
        <f t="shared" si="66"/>
        <v>41.472285035323367</v>
      </c>
      <c r="CH53" s="39">
        <f t="shared" si="66"/>
        <v>18.496513062107521</v>
      </c>
      <c r="CI53" s="39">
        <f t="shared" si="66"/>
        <v>26.748719570677927</v>
      </c>
      <c r="CJ53" s="39">
        <f t="shared" si="66"/>
        <v>16.321162622748776</v>
      </c>
      <c r="CK53" s="39">
        <f t="shared" si="66"/>
        <v>19.768582930279436</v>
      </c>
      <c r="CL53" s="39">
        <f t="shared" si="66"/>
        <v>46.767621771481686</v>
      </c>
      <c r="CM53" s="39">
        <f t="shared" si="66"/>
        <v>52.844870757553039</v>
      </c>
      <c r="CN53" s="39">
        <f t="shared" si="66"/>
        <v>28.523224994228471</v>
      </c>
      <c r="CO53" s="39">
        <f t="shared" si="66"/>
        <v>24.810953583123069</v>
      </c>
      <c r="CP53" s="39">
        <f t="shared" si="66"/>
        <v>31.219714222239922</v>
      </c>
      <c r="CQ53" s="39">
        <f t="shared" si="66"/>
        <v>45.668530398918556</v>
      </c>
      <c r="CR53" s="39">
        <f t="shared" si="66"/>
        <v>111.2905167967369</v>
      </c>
      <c r="CS53" s="39">
        <f t="shared" si="66"/>
        <v>117.48458520081186</v>
      </c>
      <c r="CT53" s="39">
        <f t="shared" si="66"/>
        <v>108.58515264988057</v>
      </c>
      <c r="CU53" s="39">
        <f t="shared" ref="CU53:DF53" si="67">IF(CU42=0,0,CU49/CU42)</f>
        <v>137.6475962169996</v>
      </c>
      <c r="CV53" s="39">
        <f t="shared" si="67"/>
        <v>159.76049098779075</v>
      </c>
      <c r="CW53" s="39">
        <f t="shared" si="67"/>
        <v>102.2048699174661</v>
      </c>
      <c r="CX53" s="39">
        <f t="shared" si="67"/>
        <v>141.91918477353559</v>
      </c>
      <c r="CY53" s="39">
        <f t="shared" si="67"/>
        <v>151.86725554433008</v>
      </c>
      <c r="CZ53" s="39">
        <f t="shared" si="67"/>
        <v>133.12623127996329</v>
      </c>
      <c r="DA53" s="39">
        <f t="shared" si="67"/>
        <v>126.45560586855238</v>
      </c>
      <c r="DB53" s="39">
        <f t="shared" si="67"/>
        <v>124.26924120333319</v>
      </c>
      <c r="DC53" s="39">
        <f t="shared" si="67"/>
        <v>139.10691645821464</v>
      </c>
      <c r="DD53" s="39">
        <f t="shared" si="67"/>
        <v>210.57137918568421</v>
      </c>
      <c r="DE53" s="39">
        <f t="shared" si="67"/>
        <v>223.66264462405744</v>
      </c>
      <c r="DF53" s="39">
        <f t="shared" si="67"/>
        <v>236.39009221492259</v>
      </c>
    </row>
    <row r="55" spans="1:112" ht="13.8" x14ac:dyDescent="0.3">
      <c r="A55" s="26" t="s">
        <v>135</v>
      </c>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row>
    <row r="56" spans="1:112" ht="13.8" x14ac:dyDescent="0.3">
      <c r="A56" s="28" t="s">
        <v>164</v>
      </c>
      <c r="C56" s="40">
        <f>ROUND(C15-SUM('Motor Semanal'!B17:F17),4)</f>
        <v>0</v>
      </c>
      <c r="D56" s="40">
        <f>ROUND(D15-SUM('Motor Semanal'!G17:J17),4)</f>
        <v>0</v>
      </c>
      <c r="E56" s="40">
        <f>ROUND(E15-SUM('Motor Semanal'!K17:O17),4)</f>
        <v>0</v>
      </c>
      <c r="F56" s="40">
        <f>ROUND(F15-SUM('Motor Semanal'!P17:T17),4)</f>
        <v>0</v>
      </c>
      <c r="G56" s="40">
        <f>ROUND(G15-SUM('Motor Semanal'!U17:Y17),4)</f>
        <v>0</v>
      </c>
      <c r="H56" s="40">
        <f>ROUND(H15-SUM('Motor Semanal'!Z17:AD17),4)</f>
        <v>0</v>
      </c>
      <c r="I56" s="40">
        <f>ROUND(I15-SUM('Motor Semanal'!AE17:AI17),4)</f>
        <v>0</v>
      </c>
      <c r="J56" s="40">
        <f>ROUND(J15-SUM('Motor Semanal'!AJ17:AN17),4)</f>
        <v>0</v>
      </c>
      <c r="K56" s="40">
        <f>ROUND(K15-SUM('Motor Semanal'!AO17:AS17),4)</f>
        <v>0</v>
      </c>
      <c r="L56" s="40">
        <f>ROUND(L15-SUM('Motor Semanal'!AT17:AX17),4)</f>
        <v>0</v>
      </c>
      <c r="M56" s="40">
        <f>ROUND(M15-SUM('Motor Semanal'!AY17:BC17),4)</f>
        <v>0</v>
      </c>
      <c r="N56" s="40">
        <f>ROUND(N15-SUM('Motor Semanal'!BD17:BH17),4)</f>
        <v>0</v>
      </c>
      <c r="O56" s="40">
        <f>ROUND(O15-SUM('Motor Semanal'!BI17:BM17),4)</f>
        <v>0</v>
      </c>
      <c r="P56" s="40">
        <f>ROUND(P15-SUM('Motor Semanal'!BN17:BQ17),4)</f>
        <v>0</v>
      </c>
      <c r="Q56" s="40">
        <f>ROUND(Q15-SUM('Motor Semanal'!BR17:BV17),4)</f>
        <v>0</v>
      </c>
      <c r="R56" s="40">
        <f>ROUND(R15-SUM('Motor Semanal'!BW17:CA17),4)</f>
        <v>0</v>
      </c>
      <c r="S56" s="40">
        <f>ROUND(S15-SUM('Motor Semanal'!CB17:CF17),4)</f>
        <v>0</v>
      </c>
      <c r="T56" s="40">
        <f>ROUND(T15-SUM('Motor Semanal'!CG17:CK17),4)</f>
        <v>0</v>
      </c>
      <c r="U56" s="40">
        <f>ROUND(U15-SUM('Motor Semanal'!CL17:CP17),4)</f>
        <v>0</v>
      </c>
      <c r="V56" s="40">
        <f>ROUND(V15-SUM('Motor Semanal'!CQ17:CU17),4)</f>
        <v>0</v>
      </c>
      <c r="W56" s="40">
        <f>ROUND(W15-SUM('Motor Semanal'!CV17:CZ17),4)</f>
        <v>0</v>
      </c>
      <c r="X56" s="40">
        <f>ROUND(X15-SUM('Motor Semanal'!DA17:DE17),4)</f>
        <v>0</v>
      </c>
      <c r="Y56" s="40">
        <f>ROUND(Y15-SUM('Motor Semanal'!DF17:DJ17),4)</f>
        <v>0</v>
      </c>
      <c r="Z56" s="40">
        <f>ROUND(Z15-SUM('Motor Semanal'!DK17:DO17),4)</f>
        <v>0</v>
      </c>
      <c r="AA56" s="40">
        <f>ROUND(AA15-SUM('Motor Semanal'!DP17:DT17),4)</f>
        <v>0</v>
      </c>
      <c r="AB56" s="40">
        <f>ROUND(AB15-SUM('Motor Semanal'!DU17:DY17),4)</f>
        <v>0</v>
      </c>
      <c r="AC56" s="40">
        <f>ROUND(AC15-SUM('Motor Semanal'!DZ17:ED17),4)</f>
        <v>0</v>
      </c>
      <c r="AD56" s="40">
        <f>ROUND(AD15-SUM('Motor Semanal'!EE17:EI17),4)</f>
        <v>0</v>
      </c>
      <c r="AE56" s="40">
        <f>ROUND(AE15-SUM('Motor Semanal'!EJ17:EN17),4)</f>
        <v>0</v>
      </c>
      <c r="AF56" s="40">
        <f>ROUND(AF15-SUM('Motor Semanal'!EO17:ES17),4)</f>
        <v>0</v>
      </c>
      <c r="AG56" s="40">
        <f>ROUND(AG15-SUM('Motor Semanal'!ET17:EX17),4)</f>
        <v>0</v>
      </c>
      <c r="AH56" s="40">
        <f>ROUND(AH15-SUM('Motor Semanal'!EY17:FC17),4)</f>
        <v>0</v>
      </c>
      <c r="AI56" s="40">
        <f>ROUND(AI15-SUM('Motor Semanal'!FD17:FH17),4)</f>
        <v>0</v>
      </c>
      <c r="AJ56" s="40">
        <f>ROUND(AJ15-SUM('Motor Semanal'!FI17:FM17),4)</f>
        <v>0</v>
      </c>
      <c r="AK56" s="40">
        <f>ROUND(AK15-SUM('Motor Semanal'!FN17:FR17),4)</f>
        <v>0</v>
      </c>
      <c r="AL56" s="40">
        <f>ROUND(AL15-SUM('Motor Semanal'!FS17:FW17),4)</f>
        <v>0</v>
      </c>
      <c r="AM56" s="40">
        <f>ROUND(AM15-SUM('Motor Semanal'!FX17:GB17),4)</f>
        <v>0</v>
      </c>
      <c r="AN56" s="40">
        <f>ROUND(AN15-SUM('Motor Semanal'!GC17:GF17),4)</f>
        <v>0</v>
      </c>
      <c r="AO56" s="40">
        <f>ROUND(AO15-SUM('Motor Semanal'!GG17:GK17),4)</f>
        <v>0</v>
      </c>
      <c r="AP56" s="40">
        <f>ROUND(AP15-SUM('Motor Semanal'!GL17:GP17),4)</f>
        <v>0</v>
      </c>
      <c r="AQ56" s="40">
        <f>ROUND(AQ15-SUM('Motor Semanal'!GQ17:GU17),4)</f>
        <v>0</v>
      </c>
      <c r="AR56" s="40">
        <f>ROUND(AR15-SUM('Motor Semanal'!GV17:GZ17),4)</f>
        <v>0</v>
      </c>
      <c r="AS56" s="40">
        <f>ROUND(AS15-SUM('Motor Semanal'!HA17:HE17),4)</f>
        <v>0</v>
      </c>
      <c r="AT56" s="40">
        <f>ROUND(AT15-SUM('Motor Semanal'!HF17:HJ17),4)</f>
        <v>0</v>
      </c>
      <c r="AU56" s="40">
        <f>ROUND(AU15-SUM('Motor Semanal'!HK17:HO17),4)</f>
        <v>0</v>
      </c>
      <c r="AV56" s="40">
        <f>ROUND(AV15-SUM('Motor Semanal'!HP17:HT17),4)</f>
        <v>0</v>
      </c>
      <c r="AW56" s="40">
        <f>ROUND(AW15-SUM('Motor Semanal'!HU17:HY17),4)</f>
        <v>0</v>
      </c>
      <c r="AX56" s="40">
        <f>ROUND(AX15-SUM('Motor Semanal'!HZ17:ID17),4)</f>
        <v>0</v>
      </c>
      <c r="AY56" s="40">
        <f>ROUND(AY15-SUM('Motor Semanal'!IE17:II17),4)</f>
        <v>0</v>
      </c>
      <c r="AZ56" s="40">
        <f>ROUND(AZ15-SUM('Motor Semanal'!IJ17:IM17),4)</f>
        <v>0</v>
      </c>
      <c r="BA56" s="40">
        <f>ROUND(BA15-SUM('Motor Semanal'!IN17:IR17),4)</f>
        <v>0</v>
      </c>
      <c r="BB56" s="40">
        <f>ROUND(BB15-SUM('Motor Semanal'!IS17:IW17),4)</f>
        <v>0</v>
      </c>
      <c r="BC56" s="40">
        <f>ROUND(BC15-SUM('Motor Semanal'!IX17:JB17),4)</f>
        <v>0</v>
      </c>
      <c r="BD56" s="40">
        <f>ROUND(BD15-SUM('Motor Semanal'!JC17:JG17),4)</f>
        <v>0</v>
      </c>
      <c r="BE56" s="40">
        <f>ROUND(BE15-SUM('Motor Semanal'!JH17:JL17),4)</f>
        <v>0</v>
      </c>
      <c r="BF56" s="40">
        <f>ROUND(BF15-SUM('Motor Semanal'!JM17:JQ17),4)</f>
        <v>0</v>
      </c>
      <c r="BG56" s="40">
        <f>ROUND(BG15-SUM('Motor Semanal'!JR17:JV17),4)</f>
        <v>0</v>
      </c>
      <c r="BH56" s="40">
        <f>ROUND(BH15-SUM('Motor Semanal'!JW17:KA17),4)</f>
        <v>0</v>
      </c>
      <c r="BI56" s="40">
        <f>ROUND(BI15-SUM('Motor Semanal'!KB17:KF17),4)</f>
        <v>0</v>
      </c>
      <c r="BJ56" s="40">
        <f>ROUND(BJ15-SUM('Motor Semanal'!KG17:KK17),4)</f>
        <v>0</v>
      </c>
      <c r="BK56" s="40">
        <f>ROUND(BK15-SUM('Motor Semanal'!KL17:KP17),4)</f>
        <v>0</v>
      </c>
      <c r="BL56" s="40">
        <f>ROUND(BL15-SUM('Motor Semanal'!KQ17:KT17),4)</f>
        <v>0</v>
      </c>
      <c r="BM56" s="40">
        <f>ROUND(BM15-SUM('Motor Semanal'!KU17:KY17),4)</f>
        <v>0</v>
      </c>
      <c r="BN56" s="40">
        <f>ROUND(BN15-SUM('Motor Semanal'!KZ17:LD17),4)</f>
        <v>0</v>
      </c>
      <c r="BO56" s="40">
        <f>ROUND(BO15-SUM('Motor Semanal'!LE17:LI17),4)</f>
        <v>0</v>
      </c>
      <c r="BP56" s="40">
        <f>ROUND(BP15-SUM('Motor Semanal'!LJ17:LN17),4)</f>
        <v>0</v>
      </c>
      <c r="BQ56" s="40">
        <f>ROUND(BQ15-SUM('Motor Semanal'!LO17:LS17),4)</f>
        <v>0</v>
      </c>
      <c r="BR56" s="40">
        <f>ROUND(BR15-SUM('Motor Semanal'!LT17:LX17),4)</f>
        <v>0</v>
      </c>
      <c r="BS56" s="40">
        <f>ROUND(BS15-SUM('Motor Semanal'!LY17:MC17),4)</f>
        <v>0</v>
      </c>
      <c r="BT56" s="40">
        <f>ROUND(BT15-SUM('Motor Semanal'!MD17:MH17),4)</f>
        <v>0</v>
      </c>
      <c r="BU56" s="40">
        <f>ROUND(BU15-SUM('Motor Semanal'!MI17:MM17),4)</f>
        <v>0</v>
      </c>
      <c r="BV56" s="40">
        <f>ROUND(BV15-SUM('Motor Semanal'!MN17:MR17),4)</f>
        <v>0</v>
      </c>
      <c r="BW56" s="40">
        <f>ROUND(BW15-SUM('Motor Semanal'!MS17:MW17),4)</f>
        <v>0</v>
      </c>
      <c r="BX56" s="40">
        <f>ROUND(BX15-SUM('Motor Semanal'!MX17:NB17),4)</f>
        <v>0</v>
      </c>
      <c r="BY56" s="40">
        <f>ROUND(BY15-SUM('Motor Semanal'!NC17:NG17),4)</f>
        <v>0</v>
      </c>
      <c r="BZ56" s="40">
        <f>ROUND(BZ15-SUM('Motor Semanal'!NH17:NL17),4)</f>
        <v>0</v>
      </c>
      <c r="CA56" s="40">
        <f>ROUND(CA15-SUM('Motor Semanal'!NM17:NQ17),4)</f>
        <v>0</v>
      </c>
      <c r="CB56" s="40">
        <f>ROUND(CB15-SUM('Motor Semanal'!NR17:NV17),4)</f>
        <v>0</v>
      </c>
      <c r="CC56" s="40">
        <f>ROUND(CC15-SUM('Motor Semanal'!NW17:OA17),4)</f>
        <v>0</v>
      </c>
      <c r="CD56" s="40">
        <f>ROUND(CD15-SUM('Motor Semanal'!OB17:OF17),4)</f>
        <v>0</v>
      </c>
      <c r="CE56" s="40">
        <f>ROUND(CE15-SUM('Motor Semanal'!OG17:OK17),4)</f>
        <v>0</v>
      </c>
      <c r="CF56" s="40">
        <f>ROUND(CF15-SUM('Motor Semanal'!OL17:OP17),4)</f>
        <v>0</v>
      </c>
      <c r="CG56" s="40">
        <f>ROUND(CG15-SUM('Motor Semanal'!OQ17:OU17),4)</f>
        <v>0</v>
      </c>
      <c r="CH56" s="40">
        <f>ROUND(CH15-SUM('Motor Semanal'!OV17:OZ17),4)</f>
        <v>0</v>
      </c>
      <c r="CI56" s="40">
        <f>ROUND(CI15-SUM('Motor Semanal'!PA17:PE17),4)</f>
        <v>0</v>
      </c>
      <c r="CJ56" s="40">
        <f>ROUND(CJ15-SUM('Motor Semanal'!PF17:PI17),4)</f>
        <v>0</v>
      </c>
      <c r="CK56" s="40">
        <f>ROUND(CK15-SUM('Motor Semanal'!PJ17:PN17),4)</f>
        <v>0</v>
      </c>
      <c r="CL56" s="40">
        <f>ROUND(CL15-SUM('Motor Semanal'!PO17:PS17),4)</f>
        <v>0</v>
      </c>
      <c r="CM56" s="40">
        <f>ROUND(CM15-SUM('Motor Semanal'!PT17:PX17),4)</f>
        <v>0</v>
      </c>
      <c r="CN56" s="40">
        <f>ROUND(CN15-SUM('Motor Semanal'!PY17:QC17),4)</f>
        <v>0</v>
      </c>
      <c r="CO56" s="40">
        <f>ROUND(CO15-SUM('Motor Semanal'!QD17:QH17),4)</f>
        <v>0</v>
      </c>
      <c r="CP56" s="40">
        <f>ROUND(CP15-SUM('Motor Semanal'!QI17:QM17),4)</f>
        <v>0</v>
      </c>
      <c r="CQ56" s="40">
        <f>ROUND(CQ15-SUM('Motor Semanal'!QN17:QR17),4)</f>
        <v>0</v>
      </c>
      <c r="CR56" s="40">
        <f>ROUND(CR15-SUM('Motor Semanal'!QS17:QW17),4)</f>
        <v>0</v>
      </c>
      <c r="CS56" s="40">
        <f>ROUND(CS15-SUM('Motor Semanal'!QX17:RB17),4)</f>
        <v>0</v>
      </c>
      <c r="CT56" s="40">
        <f>ROUND(CT15-SUM('Motor Semanal'!RC17:RG17),4)</f>
        <v>0</v>
      </c>
      <c r="CU56" s="40">
        <f>ROUND(CU15-SUM('Motor Semanal'!RH17:RL17),4)</f>
        <v>0</v>
      </c>
      <c r="CV56" s="40">
        <f>ROUND(CV15-SUM('Motor Semanal'!RM17:RP17),4)</f>
        <v>0</v>
      </c>
      <c r="CW56" s="40">
        <f>ROUND(CW15-SUM('Motor Semanal'!RQ17:RU17),4)</f>
        <v>0</v>
      </c>
      <c r="CX56" s="40">
        <f>ROUND(CX15-SUM('Motor Semanal'!RV17:RZ17),4)</f>
        <v>0</v>
      </c>
      <c r="CY56" s="40">
        <f>ROUND(CY15-SUM('Motor Semanal'!SA17:SE17),4)</f>
        <v>0</v>
      </c>
      <c r="CZ56" s="40">
        <f>ROUND(CZ15-SUM('Motor Semanal'!SF17:SJ17),4)</f>
        <v>0</v>
      </c>
      <c r="DA56" s="40">
        <f>ROUND(DA15-SUM('Motor Semanal'!SK17:SO17),4)</f>
        <v>0</v>
      </c>
      <c r="DB56" s="40">
        <f>ROUND(DB15-SUM('Motor Semanal'!SP17:ST17),4)</f>
        <v>0</v>
      </c>
      <c r="DC56" s="40">
        <f>ROUND(DC15-SUM('Motor Semanal'!SU17:SY17),4)</f>
        <v>0</v>
      </c>
      <c r="DD56" s="40">
        <f>ROUND(DD15-SUM('Motor Semanal'!SZ17:TD17),4)</f>
        <v>0</v>
      </c>
      <c r="DE56" s="40">
        <f>ROUND(DE15-SUM('Motor Semanal'!TE17:TI17),4)</f>
        <v>0</v>
      </c>
      <c r="DF56" s="40">
        <f>ROUND(DF15-SUM('Motor Semanal'!TJ17:TN17),4)</f>
        <v>0</v>
      </c>
    </row>
    <row r="58" spans="1:112" ht="13.8" x14ac:dyDescent="0.3">
      <c r="A58" s="26" t="s">
        <v>165</v>
      </c>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row>
    <row r="59" spans="1:112" ht="13.8" x14ac:dyDescent="0.3">
      <c r="A59" s="28" t="s">
        <v>166</v>
      </c>
      <c r="B59" s="41" t="s">
        <v>167</v>
      </c>
      <c r="C59" s="48">
        <f>(1+Supuestos!$B$23)^(C7/360)-1</f>
        <v>1.9400938069785711E-2</v>
      </c>
      <c r="D59" s="48">
        <f>(1+Supuestos!$B$23)^(D7/360)-1</f>
        <v>1.7507093232982829E-2</v>
      </c>
      <c r="E59" s="48">
        <f>(1+Supuestos!$B$23)^(E7/360)-1</f>
        <v>1.9400938069785711E-2</v>
      </c>
      <c r="F59" s="48">
        <f>(1+Supuestos!$B$23)^(F7/360)-1</f>
        <v>1.8769265121506118E-2</v>
      </c>
      <c r="G59" s="48">
        <f>(1+Supuestos!$B$23)^(G7/360)-1</f>
        <v>1.9400938069785711E-2</v>
      </c>
      <c r="H59" s="48">
        <f>(1+Supuestos!$B$23)^(H7/360)-1</f>
        <v>1.8769265121506118E-2</v>
      </c>
      <c r="I59" s="48">
        <f>(1+Supuestos!$B$23)^(I7/360)-1</f>
        <v>1.9400938069785711E-2</v>
      </c>
      <c r="J59" s="48">
        <f>(1+Supuestos!$B$23)^(J7/360)-1</f>
        <v>1.9400938069785711E-2</v>
      </c>
      <c r="K59" s="48">
        <f>(1+Supuestos!$B$23)^(K7/360)-1</f>
        <v>1.8769265121506118E-2</v>
      </c>
      <c r="L59" s="48">
        <f>(1+Supuestos!$B$23)^(L7/360)-1</f>
        <v>1.9400938069785711E-2</v>
      </c>
      <c r="M59" s="48">
        <f>(1+Supuestos!$B$23)^(M7/360)-1</f>
        <v>1.8769265121506118E-2</v>
      </c>
      <c r="N59" s="48">
        <f>(1+Supuestos!$B$23)^(N7/360)-1</f>
        <v>1.9400938069785711E-2</v>
      </c>
      <c r="O59" s="48">
        <f>(1+Supuestos!$B$23)^(O7/360)-1</f>
        <v>1.9400938069785711E-2</v>
      </c>
      <c r="P59" s="48">
        <f>(1+Supuestos!$B$23)^(P7/360)-1</f>
        <v>1.7507093232982829E-2</v>
      </c>
      <c r="Q59" s="48">
        <f>(1+Supuestos!$B$23)^(Q7/360)-1</f>
        <v>1.9400938069785711E-2</v>
      </c>
      <c r="R59" s="48">
        <f>(1+Supuestos!$B$23)^(R7/360)-1</f>
        <v>1.8769265121506118E-2</v>
      </c>
      <c r="S59" s="48">
        <f>(1+Supuestos!$B$23)^(S7/360)-1</f>
        <v>1.9400938069785711E-2</v>
      </c>
      <c r="T59" s="48">
        <f>(1+Supuestos!$B$23)^(T7/360)-1</f>
        <v>1.8769265121506118E-2</v>
      </c>
      <c r="U59" s="48">
        <f>(1+Supuestos!$B$23)^(U7/360)-1</f>
        <v>1.9400938069785711E-2</v>
      </c>
      <c r="V59" s="48">
        <f>(1+Supuestos!$B$23)^(V7/360)-1</f>
        <v>1.9400938069785711E-2</v>
      </c>
      <c r="W59" s="48">
        <f>(1+Supuestos!$B$23)^(W7/360)-1</f>
        <v>1.8769265121506118E-2</v>
      </c>
      <c r="X59" s="48">
        <f>(1+Supuestos!$B$23)^(X7/360)-1</f>
        <v>1.9400938069785711E-2</v>
      </c>
      <c r="Y59" s="48">
        <f>(1+Supuestos!$B$23)^(Y7/360)-1</f>
        <v>1.8769265121506118E-2</v>
      </c>
      <c r="Z59" s="48">
        <f>(1+Supuestos!$B$23)^(Z7/360)-1</f>
        <v>1.9400938069785711E-2</v>
      </c>
      <c r="AA59" s="48">
        <f>(1+Supuestos!$B$23)^(AA7/360)-1</f>
        <v>1.9400938069785711E-2</v>
      </c>
      <c r="AB59" s="48">
        <f>(1+Supuestos!$B$23)^(AB7/360)-1</f>
        <v>1.8137983590085671E-2</v>
      </c>
      <c r="AC59" s="48">
        <f>(1+Supuestos!$B$23)^(AC7/360)-1</f>
        <v>1.9400938069785711E-2</v>
      </c>
      <c r="AD59" s="48">
        <f>(1+Supuestos!$B$23)^(AD7/360)-1</f>
        <v>1.8769265121506118E-2</v>
      </c>
      <c r="AE59" s="48">
        <f>(1+Supuestos!$B$23)^(AE7/360)-1</f>
        <v>1.9400938069785711E-2</v>
      </c>
      <c r="AF59" s="48">
        <f>(1+Supuestos!$B$23)^(AF7/360)-1</f>
        <v>1.8769265121506118E-2</v>
      </c>
      <c r="AG59" s="48">
        <f>(1+Supuestos!$B$23)^(AG7/360)-1</f>
        <v>1.9400938069785711E-2</v>
      </c>
      <c r="AH59" s="48">
        <f>(1+Supuestos!$B$23)^(AH7/360)-1</f>
        <v>1.9400938069785711E-2</v>
      </c>
      <c r="AI59" s="48">
        <f>(1+Supuestos!$B$23)^(AI7/360)-1</f>
        <v>1.8769265121506118E-2</v>
      </c>
      <c r="AJ59" s="48">
        <f>(1+Supuestos!$B$23)^(AJ7/360)-1</f>
        <v>1.9400938069785711E-2</v>
      </c>
      <c r="AK59" s="48">
        <f>(1+Supuestos!$B$23)^(AK7/360)-1</f>
        <v>1.8769265121506118E-2</v>
      </c>
      <c r="AL59" s="48">
        <f>(1+Supuestos!$B$23)^(AL7/360)-1</f>
        <v>1.9400938069785711E-2</v>
      </c>
      <c r="AM59" s="48">
        <f>(1+Supuestos!$B$23)^(AM7/360)-1</f>
        <v>1.9400938069785711E-2</v>
      </c>
      <c r="AN59" s="48">
        <f>(1+Supuestos!$B$23)^(AN7/360)-1</f>
        <v>1.7507093232982829E-2</v>
      </c>
      <c r="AO59" s="48">
        <f>(1+Supuestos!$B$23)^(AO7/360)-1</f>
        <v>1.9400938069785711E-2</v>
      </c>
      <c r="AP59" s="48">
        <f>(1+Supuestos!$B$23)^(AP7/360)-1</f>
        <v>1.8769265121506118E-2</v>
      </c>
      <c r="AQ59" s="48">
        <f>(1+Supuestos!$B$23)^(AQ7/360)-1</f>
        <v>1.9400938069785711E-2</v>
      </c>
      <c r="AR59" s="48">
        <f>(1+Supuestos!$B$23)^(AR7/360)-1</f>
        <v>1.8769265121506118E-2</v>
      </c>
      <c r="AS59" s="48">
        <f>(1+Supuestos!$B$23)^(AS7/360)-1</f>
        <v>1.9400938069785711E-2</v>
      </c>
      <c r="AT59" s="48">
        <f>(1+Supuestos!$B$23)^(AT7/360)-1</f>
        <v>1.9400938069785711E-2</v>
      </c>
      <c r="AU59" s="48">
        <f>(1+Supuestos!$B$23)^(AU7/360)-1</f>
        <v>1.8769265121506118E-2</v>
      </c>
      <c r="AV59" s="48">
        <f>(1+Supuestos!$B$23)^(AV7/360)-1</f>
        <v>1.9400938069785711E-2</v>
      </c>
      <c r="AW59" s="48">
        <f>(1+Supuestos!$B$23)^(AW7/360)-1</f>
        <v>1.8769265121506118E-2</v>
      </c>
      <c r="AX59" s="48">
        <f>(1+Supuestos!$B$23)^(AX7/360)-1</f>
        <v>1.9400938069785711E-2</v>
      </c>
      <c r="AY59" s="48">
        <f>(1+Supuestos!$B$23)^(AY7/360)-1</f>
        <v>1.9400938069785711E-2</v>
      </c>
      <c r="AZ59" s="48">
        <f>(1+Supuestos!$B$23)^(AZ7/360)-1</f>
        <v>1.7507093232982829E-2</v>
      </c>
      <c r="BA59" s="48">
        <f>(1+Supuestos!$B$23)^(BA7/360)-1</f>
        <v>1.9400938069785711E-2</v>
      </c>
      <c r="BB59" s="48">
        <f>(1+Supuestos!$B$23)^(BB7/360)-1</f>
        <v>1.8769265121506118E-2</v>
      </c>
      <c r="BC59" s="48">
        <f>(1+Supuestos!$B$23)^(BC7/360)-1</f>
        <v>1.9400938069785711E-2</v>
      </c>
      <c r="BD59" s="48">
        <f>(1+Supuestos!$B$23)^(BD7/360)-1</f>
        <v>1.8769265121506118E-2</v>
      </c>
      <c r="BE59" s="48">
        <f>(1+Supuestos!$B$23)^(BE7/360)-1</f>
        <v>1.9400938069785711E-2</v>
      </c>
      <c r="BF59" s="48">
        <f>(1+Supuestos!$B$23)^(BF7/360)-1</f>
        <v>1.9400938069785711E-2</v>
      </c>
      <c r="BG59" s="48">
        <f>(1+Supuestos!$B$23)^(BG7/360)-1</f>
        <v>1.8769265121506118E-2</v>
      </c>
      <c r="BH59" s="48">
        <f>(1+Supuestos!$B$23)^(BH7/360)-1</f>
        <v>1.9400938069785711E-2</v>
      </c>
      <c r="BI59" s="48">
        <f>(1+Supuestos!$B$23)^(BI7/360)-1</f>
        <v>1.8769265121506118E-2</v>
      </c>
      <c r="BJ59" s="48">
        <f>(1+Supuestos!$B$23)^(BJ7/360)-1</f>
        <v>1.9400938069785711E-2</v>
      </c>
      <c r="BK59" s="48">
        <f>(1+Supuestos!$B$23)^(BK7/360)-1</f>
        <v>1.9400938069785711E-2</v>
      </c>
      <c r="BL59" s="48">
        <f>(1+Supuestos!$B$23)^(BL7/360)-1</f>
        <v>1.7507093232982829E-2</v>
      </c>
      <c r="BM59" s="48">
        <f>(1+Supuestos!$B$23)^(BM7/360)-1</f>
        <v>1.9400938069785711E-2</v>
      </c>
      <c r="BN59" s="48">
        <f>(1+Supuestos!$B$23)^(BN7/360)-1</f>
        <v>1.8769265121506118E-2</v>
      </c>
      <c r="BO59" s="48">
        <f>(1+Supuestos!$B$23)^(BO7/360)-1</f>
        <v>1.9400938069785711E-2</v>
      </c>
      <c r="BP59" s="48">
        <f>(1+Supuestos!$B$23)^(BP7/360)-1</f>
        <v>1.8769265121506118E-2</v>
      </c>
      <c r="BQ59" s="48">
        <f>(1+Supuestos!$B$23)^(BQ7/360)-1</f>
        <v>1.9400938069785711E-2</v>
      </c>
      <c r="BR59" s="48">
        <f>(1+Supuestos!$B$23)^(BR7/360)-1</f>
        <v>1.9400938069785711E-2</v>
      </c>
      <c r="BS59" s="48">
        <f>(1+Supuestos!$B$23)^(BS7/360)-1</f>
        <v>1.8769265121506118E-2</v>
      </c>
      <c r="BT59" s="48">
        <f>(1+Supuestos!$B$23)^(BT7/360)-1</f>
        <v>1.9400938069785711E-2</v>
      </c>
      <c r="BU59" s="48">
        <f>(1+Supuestos!$B$23)^(BU7/360)-1</f>
        <v>1.8769265121506118E-2</v>
      </c>
      <c r="BV59" s="48">
        <f>(1+Supuestos!$B$23)^(BV7/360)-1</f>
        <v>1.9400938069785711E-2</v>
      </c>
      <c r="BW59" s="48">
        <f>(1+Supuestos!$B$23)^(BW7/360)-1</f>
        <v>1.9400938069785711E-2</v>
      </c>
      <c r="BX59" s="48">
        <f>(1+Supuestos!$B$23)^(BX7/360)-1</f>
        <v>1.8137983590085671E-2</v>
      </c>
      <c r="BY59" s="48">
        <f>(1+Supuestos!$B$23)^(BY7/360)-1</f>
        <v>1.9400938069785711E-2</v>
      </c>
      <c r="BZ59" s="48">
        <f>(1+Supuestos!$B$23)^(BZ7/360)-1</f>
        <v>1.8769265121506118E-2</v>
      </c>
      <c r="CA59" s="48">
        <f>(1+Supuestos!$B$23)^(CA7/360)-1</f>
        <v>1.9400938069785711E-2</v>
      </c>
      <c r="CB59" s="48">
        <f>(1+Supuestos!$B$23)^(CB7/360)-1</f>
        <v>1.8769265121506118E-2</v>
      </c>
      <c r="CC59" s="48">
        <f>(1+Supuestos!$B$23)^(CC7/360)-1</f>
        <v>1.9400938069785711E-2</v>
      </c>
      <c r="CD59" s="48">
        <f>(1+Supuestos!$B$23)^(CD7/360)-1</f>
        <v>1.9400938069785711E-2</v>
      </c>
      <c r="CE59" s="48">
        <f>(1+Supuestos!$B$23)^(CE7/360)-1</f>
        <v>1.8769265121506118E-2</v>
      </c>
      <c r="CF59" s="48">
        <f>(1+Supuestos!$B$23)^(CF7/360)-1</f>
        <v>1.9400938069785711E-2</v>
      </c>
      <c r="CG59" s="48">
        <f>(1+Supuestos!$B$23)^(CG7/360)-1</f>
        <v>1.8769265121506118E-2</v>
      </c>
      <c r="CH59" s="48">
        <f>(1+Supuestos!$B$23)^(CH7/360)-1</f>
        <v>1.9400938069785711E-2</v>
      </c>
      <c r="CI59" s="48">
        <f>(1+Supuestos!$B$23)^(CI7/360)-1</f>
        <v>1.9400938069785711E-2</v>
      </c>
      <c r="CJ59" s="48">
        <f>(1+Supuestos!$B$23)^(CJ7/360)-1</f>
        <v>1.7507093232982829E-2</v>
      </c>
      <c r="CK59" s="48">
        <f>(1+Supuestos!$B$23)^(CK7/360)-1</f>
        <v>1.9400938069785711E-2</v>
      </c>
      <c r="CL59" s="48">
        <f>(1+Supuestos!$B$23)^(CL7/360)-1</f>
        <v>1.8769265121506118E-2</v>
      </c>
      <c r="CM59" s="48">
        <f>(1+Supuestos!$B$23)^(CM7/360)-1</f>
        <v>1.9400938069785711E-2</v>
      </c>
      <c r="CN59" s="48">
        <f>(1+Supuestos!$B$23)^(CN7/360)-1</f>
        <v>1.8769265121506118E-2</v>
      </c>
      <c r="CO59" s="48">
        <f>(1+Supuestos!$B$23)^(CO7/360)-1</f>
        <v>1.9400938069785711E-2</v>
      </c>
      <c r="CP59" s="48">
        <f>(1+Supuestos!$B$23)^(CP7/360)-1</f>
        <v>1.9400938069785711E-2</v>
      </c>
      <c r="CQ59" s="48">
        <f>(1+Supuestos!$B$23)^(CQ7/360)-1</f>
        <v>1.8769265121506118E-2</v>
      </c>
      <c r="CR59" s="48">
        <f>(1+Supuestos!$B$23)^(CR7/360)-1</f>
        <v>1.9400938069785711E-2</v>
      </c>
      <c r="CS59" s="48">
        <f>(1+Supuestos!$B$23)^(CS7/360)-1</f>
        <v>1.8769265121506118E-2</v>
      </c>
      <c r="CT59" s="48">
        <f>(1+Supuestos!$B$23)^(CT7/360)-1</f>
        <v>1.9400938069785711E-2</v>
      </c>
      <c r="CU59" s="48">
        <f>(1+Supuestos!$B$23)^(CU7/360)-1</f>
        <v>1.9400938069785711E-2</v>
      </c>
      <c r="CV59" s="48">
        <f>(1+Supuestos!$B$23)^(CV7/360)-1</f>
        <v>1.7507093232982829E-2</v>
      </c>
      <c r="CW59" s="48">
        <f>(1+Supuestos!$B$23)^(CW7/360)-1</f>
        <v>1.9400938069785711E-2</v>
      </c>
      <c r="CX59" s="48">
        <f>(1+Supuestos!$B$23)^(CX7/360)-1</f>
        <v>1.8769265121506118E-2</v>
      </c>
      <c r="CY59" s="48">
        <f>(1+Supuestos!$B$23)^(CY7/360)-1</f>
        <v>1.9400938069785711E-2</v>
      </c>
      <c r="CZ59" s="48">
        <f>(1+Supuestos!$B$23)^(CZ7/360)-1</f>
        <v>1.8769265121506118E-2</v>
      </c>
      <c r="DA59" s="48">
        <f>(1+Supuestos!$B$23)^(DA7/360)-1</f>
        <v>1.9400938069785711E-2</v>
      </c>
      <c r="DB59" s="48">
        <f>(1+Supuestos!$B$23)^(DB7/360)-1</f>
        <v>1.9400938069785711E-2</v>
      </c>
      <c r="DC59" s="48">
        <f>(1+Supuestos!$B$23)^(DC7/360)-1</f>
        <v>1.8769265121506118E-2</v>
      </c>
      <c r="DD59" s="48">
        <f>(1+Supuestos!$B$23)^(DD7/360)-1</f>
        <v>1.9400938069785711E-2</v>
      </c>
      <c r="DE59" s="48">
        <f>(1+Supuestos!$B$23)^(DE7/360)-1</f>
        <v>1.8769265121506118E-2</v>
      </c>
      <c r="DF59" s="48">
        <f>(1+Supuestos!$B$23)^(DF7/360)-1</f>
        <v>1.9400938069785711E-2</v>
      </c>
    </row>
    <row r="60" spans="1:112" ht="13.8" x14ac:dyDescent="0.3">
      <c r="A60" s="28" t="s">
        <v>168</v>
      </c>
      <c r="B60" s="41" t="s">
        <v>169</v>
      </c>
      <c r="C60" s="48">
        <f>Supuestos!$B$17</f>
        <v>0.86082400000000003</v>
      </c>
      <c r="D60" s="48">
        <f>Supuestos!$B$17</f>
        <v>0.86082400000000003</v>
      </c>
      <c r="E60" s="48">
        <f>Supuestos!$B$17</f>
        <v>0.86082400000000003</v>
      </c>
      <c r="F60" s="48">
        <f>Supuestos!$B$17</f>
        <v>0.86082400000000003</v>
      </c>
      <c r="G60" s="48">
        <f>Supuestos!$B$17</f>
        <v>0.86082400000000003</v>
      </c>
      <c r="H60" s="48">
        <f>Supuestos!$B$17</f>
        <v>0.86082400000000003</v>
      </c>
      <c r="I60" s="48">
        <f>Supuestos!$B$17</f>
        <v>0.86082400000000003</v>
      </c>
      <c r="J60" s="48">
        <f>Supuestos!$B$17</f>
        <v>0.86082400000000003</v>
      </c>
      <c r="K60" s="48">
        <f>Supuestos!$B$17</f>
        <v>0.86082400000000003</v>
      </c>
      <c r="L60" s="48">
        <f>Supuestos!$B$17</f>
        <v>0.86082400000000003</v>
      </c>
      <c r="M60" s="48">
        <f>Supuestos!$C$17</f>
        <v>0.86084799999999995</v>
      </c>
      <c r="N60" s="48">
        <f>Supuestos!$C$17</f>
        <v>0.86084799999999995</v>
      </c>
      <c r="O60" s="48">
        <f>Supuestos!$C$17</f>
        <v>0.86084799999999995</v>
      </c>
      <c r="P60" s="48">
        <f>Supuestos!$C$17</f>
        <v>0.86084799999999995</v>
      </c>
      <c r="Q60" s="48">
        <f>Supuestos!$C$17</f>
        <v>0.86084799999999995</v>
      </c>
      <c r="R60" s="48">
        <f>Supuestos!$C$17</f>
        <v>0.86084799999999995</v>
      </c>
      <c r="S60" s="48">
        <f>Supuestos!$C$17</f>
        <v>0.86084799999999995</v>
      </c>
      <c r="T60" s="48">
        <f>Supuestos!$C$17</f>
        <v>0.86084799999999995</v>
      </c>
      <c r="U60" s="48">
        <f>Supuestos!$C$17</f>
        <v>0.86084799999999995</v>
      </c>
      <c r="V60" s="48">
        <f>Supuestos!$C$17</f>
        <v>0.86084799999999995</v>
      </c>
      <c r="W60" s="48">
        <f>Supuestos!$C$17</f>
        <v>0.86084799999999995</v>
      </c>
      <c r="X60" s="48">
        <f>Supuestos!$C$17</f>
        <v>0.86084799999999995</v>
      </c>
      <c r="Y60" s="48">
        <f>Supuestos!$D$17</f>
        <v>0.85335700000000003</v>
      </c>
      <c r="Z60" s="48">
        <f>Supuestos!$D$17</f>
        <v>0.85335700000000003</v>
      </c>
      <c r="AA60" s="48">
        <f>Supuestos!$D$17</f>
        <v>0.85335700000000003</v>
      </c>
      <c r="AB60" s="48">
        <f>Supuestos!$D$17</f>
        <v>0.85335700000000003</v>
      </c>
      <c r="AC60" s="48">
        <f>Supuestos!$D$17</f>
        <v>0.85335700000000003</v>
      </c>
      <c r="AD60" s="48">
        <f>Supuestos!$D$17</f>
        <v>0.85335700000000003</v>
      </c>
      <c r="AE60" s="48">
        <f>Supuestos!$D$17</f>
        <v>0.85335700000000003</v>
      </c>
      <c r="AF60" s="48">
        <f>Supuestos!$D$17</f>
        <v>0.85335700000000003</v>
      </c>
      <c r="AG60" s="48">
        <f>Supuestos!$D$17</f>
        <v>0.85335700000000003</v>
      </c>
      <c r="AH60" s="48">
        <f>Supuestos!$D$17</f>
        <v>0.85335700000000003</v>
      </c>
      <c r="AI60" s="48">
        <f>Supuestos!$D$17</f>
        <v>0.85335700000000003</v>
      </c>
      <c r="AJ60" s="48">
        <f>Supuestos!$D$17</f>
        <v>0.85335700000000003</v>
      </c>
      <c r="AK60" s="48">
        <f>Supuestos!$E$17</f>
        <v>0.84530700000000003</v>
      </c>
      <c r="AL60" s="48">
        <f>Supuestos!$E$17</f>
        <v>0.84530700000000003</v>
      </c>
      <c r="AM60" s="48">
        <f>Supuestos!$E$17</f>
        <v>0.84530700000000003</v>
      </c>
      <c r="AN60" s="48">
        <f>Supuestos!$E$17</f>
        <v>0.84530700000000003</v>
      </c>
      <c r="AO60" s="48">
        <f>Supuestos!$E$17</f>
        <v>0.84530700000000003</v>
      </c>
      <c r="AP60" s="48">
        <f>Supuestos!$E$17</f>
        <v>0.84530700000000003</v>
      </c>
      <c r="AQ60" s="48">
        <f>Supuestos!$E$17</f>
        <v>0.84530700000000003</v>
      </c>
      <c r="AR60" s="48">
        <f>Supuestos!$E$17</f>
        <v>0.84530700000000003</v>
      </c>
      <c r="AS60" s="48">
        <f>Supuestos!$E$17</f>
        <v>0.84530700000000003</v>
      </c>
      <c r="AT60" s="48">
        <f>Supuestos!$E$17</f>
        <v>0.84530700000000003</v>
      </c>
      <c r="AU60" s="48">
        <f>Supuestos!$E$17</f>
        <v>0.84530700000000003</v>
      </c>
      <c r="AV60" s="48">
        <f>Supuestos!$E$17</f>
        <v>0.84530700000000003</v>
      </c>
      <c r="AW60" s="48">
        <f>Supuestos!$F$17</f>
        <v>0.83726100000000003</v>
      </c>
      <c r="AX60" s="48">
        <f>Supuestos!$F$17</f>
        <v>0.83726100000000003</v>
      </c>
      <c r="AY60" s="48">
        <f>Supuestos!$F$17</f>
        <v>0.83726100000000003</v>
      </c>
      <c r="AZ60" s="48">
        <f>Supuestos!$F$17</f>
        <v>0.83726100000000003</v>
      </c>
      <c r="BA60" s="48">
        <f>Supuestos!$F$17</f>
        <v>0.83726100000000003</v>
      </c>
      <c r="BB60" s="48">
        <f>Supuestos!$F$17</f>
        <v>0.83726100000000003</v>
      </c>
      <c r="BC60" s="48">
        <f>Supuestos!$F$17</f>
        <v>0.83726100000000003</v>
      </c>
      <c r="BD60" s="48">
        <f>Supuestos!$F$17</f>
        <v>0.83726100000000003</v>
      </c>
      <c r="BE60" s="48">
        <f>Supuestos!$F$17</f>
        <v>0.83726100000000003</v>
      </c>
      <c r="BF60" s="48">
        <f>Supuestos!$F$17</f>
        <v>0.83726100000000003</v>
      </c>
      <c r="BG60" s="48">
        <f>Supuestos!$F$17</f>
        <v>0.83726100000000003</v>
      </c>
      <c r="BH60" s="48">
        <f>Supuestos!$F$17</f>
        <v>0.83726100000000003</v>
      </c>
      <c r="BI60" s="48">
        <f>Supuestos!$G$17</f>
        <v>0.83171200000000001</v>
      </c>
      <c r="BJ60" s="48">
        <f>Supuestos!$G$17</f>
        <v>0.83171200000000001</v>
      </c>
      <c r="BK60" s="48">
        <f>Supuestos!$G$17</f>
        <v>0.83171200000000001</v>
      </c>
      <c r="BL60" s="48">
        <f>Supuestos!$G$17</f>
        <v>0.83171200000000001</v>
      </c>
      <c r="BM60" s="48">
        <f>Supuestos!$G$17</f>
        <v>0.83171200000000001</v>
      </c>
      <c r="BN60" s="48">
        <f>Supuestos!$G$17</f>
        <v>0.83171200000000001</v>
      </c>
      <c r="BO60" s="48">
        <f>Supuestos!$G$17</f>
        <v>0.83171200000000001</v>
      </c>
      <c r="BP60" s="48">
        <f>Supuestos!$G$17</f>
        <v>0.83171200000000001</v>
      </c>
      <c r="BQ60" s="48">
        <f>Supuestos!$G$17</f>
        <v>0.83171200000000001</v>
      </c>
      <c r="BR60" s="48">
        <f>Supuestos!$G$17</f>
        <v>0.83171200000000001</v>
      </c>
      <c r="BS60" s="48">
        <f>Supuestos!$G$17</f>
        <v>0.83171200000000001</v>
      </c>
      <c r="BT60" s="48">
        <f>Supuestos!$G$17</f>
        <v>0.83171200000000001</v>
      </c>
      <c r="BU60" s="48">
        <f>Supuestos!$H$17</f>
        <v>0.82616199999999995</v>
      </c>
      <c r="BV60" s="48">
        <f>Supuestos!$H$17</f>
        <v>0.82616199999999995</v>
      </c>
      <c r="BW60" s="48">
        <f>Supuestos!$H$17</f>
        <v>0.82616199999999995</v>
      </c>
      <c r="BX60" s="48">
        <f>Supuestos!$H$17</f>
        <v>0.82616199999999995</v>
      </c>
      <c r="BY60" s="48">
        <f>Supuestos!$H$17</f>
        <v>0.82616199999999995</v>
      </c>
      <c r="BZ60" s="48">
        <f>Supuestos!$H$17</f>
        <v>0.82616199999999995</v>
      </c>
      <c r="CA60" s="48">
        <f>Supuestos!$H$17</f>
        <v>0.82616199999999995</v>
      </c>
      <c r="CB60" s="48">
        <f>Supuestos!$H$17</f>
        <v>0.82616199999999995</v>
      </c>
      <c r="CC60" s="48">
        <f>Supuestos!$H$17</f>
        <v>0.82616199999999995</v>
      </c>
      <c r="CD60" s="48">
        <f>Supuestos!$H$17</f>
        <v>0.82616199999999995</v>
      </c>
      <c r="CE60" s="48">
        <f>Supuestos!$H$17</f>
        <v>0.82616199999999995</v>
      </c>
      <c r="CF60" s="48">
        <f>Supuestos!$H$17</f>
        <v>0.82616199999999995</v>
      </c>
      <c r="CG60" s="48">
        <f>Supuestos!$I$17</f>
        <v>0.82061300000000004</v>
      </c>
      <c r="CH60" s="48">
        <f>Supuestos!$I$17</f>
        <v>0.82061300000000004</v>
      </c>
      <c r="CI60" s="48">
        <f>Supuestos!$I$17</f>
        <v>0.82061300000000004</v>
      </c>
      <c r="CJ60" s="48">
        <f>Supuestos!$I$17</f>
        <v>0.82061300000000004</v>
      </c>
      <c r="CK60" s="48">
        <f>Supuestos!$I$17</f>
        <v>0.82061300000000004</v>
      </c>
      <c r="CL60" s="48">
        <f>Supuestos!$I$17</f>
        <v>0.82061300000000004</v>
      </c>
      <c r="CM60" s="48">
        <f>Supuestos!$I$17</f>
        <v>0.82061300000000004</v>
      </c>
      <c r="CN60" s="48">
        <f>Supuestos!$I$17</f>
        <v>0.82061300000000004</v>
      </c>
      <c r="CO60" s="48">
        <f>Supuestos!$I$17</f>
        <v>0.82061300000000004</v>
      </c>
      <c r="CP60" s="48">
        <f>Supuestos!$I$17</f>
        <v>0.82061300000000004</v>
      </c>
      <c r="CQ60" s="48">
        <f>Supuestos!$I$17</f>
        <v>0.82061300000000004</v>
      </c>
      <c r="CR60" s="48">
        <f>Supuestos!$I$17</f>
        <v>0.82061300000000004</v>
      </c>
      <c r="CS60" s="48">
        <f>Supuestos!$J$17</f>
        <v>0.81506400000000001</v>
      </c>
      <c r="CT60" s="48">
        <f>Supuestos!$J$17</f>
        <v>0.81506400000000001</v>
      </c>
      <c r="CU60" s="48">
        <f>Supuestos!$J$17</f>
        <v>0.81506400000000001</v>
      </c>
      <c r="CV60" s="48">
        <f>Supuestos!$J$17</f>
        <v>0.81506400000000001</v>
      </c>
      <c r="CW60" s="48">
        <f>Supuestos!$J$17</f>
        <v>0.81506400000000001</v>
      </c>
      <c r="CX60" s="48">
        <f>Supuestos!$J$17</f>
        <v>0.81506400000000001</v>
      </c>
      <c r="CY60" s="48">
        <f>Supuestos!$J$17</f>
        <v>0.81506400000000001</v>
      </c>
      <c r="CZ60" s="48">
        <f>Supuestos!$J$17</f>
        <v>0.81506400000000001</v>
      </c>
      <c r="DA60" s="48">
        <f>Supuestos!$J$17</f>
        <v>0.81506400000000001</v>
      </c>
      <c r="DB60" s="48">
        <f>Supuestos!$J$17</f>
        <v>0.81506400000000001</v>
      </c>
      <c r="DC60" s="48">
        <f>Supuestos!$J$17</f>
        <v>0.81506400000000001</v>
      </c>
      <c r="DD60" s="48">
        <f>Supuestos!$J$17</f>
        <v>0.81506400000000001</v>
      </c>
      <c r="DE60" s="48">
        <f>Supuestos!$J$17</f>
        <v>0.81506400000000001</v>
      </c>
      <c r="DF60" s="48">
        <f>Supuestos!$J$17</f>
        <v>0.81506400000000001</v>
      </c>
    </row>
    <row r="61" spans="1:112" ht="13.8" x14ac:dyDescent="0.3">
      <c r="A61" s="28" t="s">
        <v>170</v>
      </c>
      <c r="B61" s="41" t="s">
        <v>171</v>
      </c>
      <c r="C61" s="49">
        <f>IF(C$6=Supuestos!$B$20,1,0)</f>
        <v>0</v>
      </c>
      <c r="D61" s="49">
        <f>IF(D$6=Supuestos!$B$20,1,0)</f>
        <v>0</v>
      </c>
      <c r="E61" s="49">
        <f>IF(E$6=Supuestos!$B$20,1,0)</f>
        <v>0</v>
      </c>
      <c r="F61" s="49">
        <f>IF(F$6=Supuestos!$B$20,1,0)</f>
        <v>0</v>
      </c>
      <c r="G61" s="49">
        <f>IF(G$6=Supuestos!$B$20,1,0)</f>
        <v>0</v>
      </c>
      <c r="H61" s="49">
        <f>IF(H$6=Supuestos!$B$20,1,0)</f>
        <v>0</v>
      </c>
      <c r="I61" s="49">
        <f>IF(I$6=Supuestos!$B$20,1,0)</f>
        <v>0</v>
      </c>
      <c r="J61" s="49">
        <f>IF(J$6=Supuestos!$B$20,1,0)</f>
        <v>0</v>
      </c>
      <c r="K61" s="49">
        <f>IF(K$6=Supuestos!$B$20,1,0)</f>
        <v>0</v>
      </c>
      <c r="L61" s="49">
        <f>IF(L$6=Supuestos!$B$20,1,0)</f>
        <v>0</v>
      </c>
      <c r="M61" s="49">
        <f>IF(M$6=Supuestos!$B$20,1,0)</f>
        <v>1</v>
      </c>
      <c r="N61" s="49">
        <f>IF(N$6=Supuestos!$B$20,1,0)</f>
        <v>0</v>
      </c>
      <c r="O61" s="49">
        <f>IF(O$6=Supuestos!$C$20,1,0)</f>
        <v>1</v>
      </c>
      <c r="P61" s="49">
        <f>IF(P$6=Supuestos!$C$20,1,0)</f>
        <v>0</v>
      </c>
      <c r="Q61" s="49">
        <f>IF(Q$6=Supuestos!$C$20,1,0)</f>
        <v>0</v>
      </c>
      <c r="R61" s="49">
        <f>IF(R$6=Supuestos!$C$20,1,0)</f>
        <v>0</v>
      </c>
      <c r="S61" s="49">
        <f>IF(S$6=Supuestos!$C$20,1,0)</f>
        <v>0</v>
      </c>
      <c r="T61" s="49">
        <f>IF(T$6=Supuestos!$C$20,1,0)</f>
        <v>0</v>
      </c>
      <c r="U61" s="49">
        <f>IF(U$6=Supuestos!$C$20,1,0)</f>
        <v>0</v>
      </c>
      <c r="V61" s="49">
        <f>IF(V$6=Supuestos!$C$20,1,0)</f>
        <v>0</v>
      </c>
      <c r="W61" s="49">
        <f>IF(W$6=Supuestos!$C$20,1,0)</f>
        <v>0</v>
      </c>
      <c r="X61" s="49">
        <f>IF(X$6=Supuestos!$C$20,1,0)</f>
        <v>0</v>
      </c>
      <c r="Y61" s="49">
        <f>IF(Y$6=Supuestos!$C$20,1,0)</f>
        <v>0</v>
      </c>
      <c r="Z61" s="49">
        <f>IF(Z$6=Supuestos!$C$20,1,0)</f>
        <v>0</v>
      </c>
      <c r="AA61" s="49">
        <f>IF(AA$6=Supuestos!$D$20,1,0)</f>
        <v>1</v>
      </c>
      <c r="AB61" s="49">
        <f>IF(AB$6=Supuestos!$D$20,1,0)</f>
        <v>0</v>
      </c>
      <c r="AC61" s="49">
        <f>IF(AC$6=Supuestos!$D$20,1,0)</f>
        <v>0</v>
      </c>
      <c r="AD61" s="49">
        <f>IF(AD$6=Supuestos!$D$20,1,0)</f>
        <v>0</v>
      </c>
      <c r="AE61" s="49">
        <f>IF(AE$6=Supuestos!$D$20,1,0)</f>
        <v>0</v>
      </c>
      <c r="AF61" s="49">
        <f>IF(AF$6=Supuestos!$D$20,1,0)</f>
        <v>0</v>
      </c>
      <c r="AG61" s="49">
        <f>IF(AG$6=Supuestos!$D$20,1,0)</f>
        <v>0</v>
      </c>
      <c r="AH61" s="49">
        <f>IF(AH$6=Supuestos!$D$20,1,0)</f>
        <v>0</v>
      </c>
      <c r="AI61" s="49">
        <f>IF(AI$6=Supuestos!$D$20,1,0)</f>
        <v>0</v>
      </c>
      <c r="AJ61" s="49">
        <f>IF(AJ$6=Supuestos!$D$20,1,0)</f>
        <v>0</v>
      </c>
      <c r="AK61" s="49">
        <f>IF(AK$6=Supuestos!$D$20,1,0)</f>
        <v>0</v>
      </c>
      <c r="AL61" s="49">
        <f>IF(AL$6=Supuestos!$D$20,1,0)</f>
        <v>0</v>
      </c>
      <c r="AM61" s="49">
        <f>IF(AM$6=Supuestos!$E$20,1,0)</f>
        <v>1</v>
      </c>
      <c r="AN61" s="49">
        <f>IF(AN$6=Supuestos!$E$20,1,0)</f>
        <v>0</v>
      </c>
      <c r="AO61" s="49">
        <f>IF(AO$6=Supuestos!$E$20,1,0)</f>
        <v>0</v>
      </c>
      <c r="AP61" s="49">
        <f>IF(AP$6=Supuestos!$E$20,1,0)</f>
        <v>0</v>
      </c>
      <c r="AQ61" s="49">
        <f>IF(AQ$6=Supuestos!$E$20,1,0)</f>
        <v>0</v>
      </c>
      <c r="AR61" s="49">
        <f>IF(AR$6=Supuestos!$E$20,1,0)</f>
        <v>0</v>
      </c>
      <c r="AS61" s="49">
        <f>IF(AS$6=Supuestos!$E$20,1,0)</f>
        <v>0</v>
      </c>
      <c r="AT61" s="49">
        <f>IF(AT$6=Supuestos!$E$20,1,0)</f>
        <v>0</v>
      </c>
      <c r="AU61" s="49">
        <f>IF(AU$6=Supuestos!$E$20,1,0)</f>
        <v>0</v>
      </c>
      <c r="AV61" s="49">
        <f>IF(AV$6=Supuestos!$E$20,1,0)</f>
        <v>0</v>
      </c>
      <c r="AW61" s="49">
        <f>IF(AW$6=Supuestos!$E$20,1,0)</f>
        <v>0</v>
      </c>
      <c r="AX61" s="49">
        <f>IF(AX$6=Supuestos!$E$20,1,0)</f>
        <v>0</v>
      </c>
      <c r="AY61" s="49">
        <f>IF(AY$6=Supuestos!$F$20,1,0)</f>
        <v>1</v>
      </c>
      <c r="AZ61" s="49">
        <f>IF(AZ$6=Supuestos!$F$20,1,0)</f>
        <v>0</v>
      </c>
      <c r="BA61" s="49">
        <f>IF(BA$6=Supuestos!$F$20,1,0)</f>
        <v>0</v>
      </c>
      <c r="BB61" s="49">
        <f>IF(BB$6=Supuestos!$F$20,1,0)</f>
        <v>0</v>
      </c>
      <c r="BC61" s="49">
        <f>IF(BC$6=Supuestos!$F$20,1,0)</f>
        <v>0</v>
      </c>
      <c r="BD61" s="49">
        <f>IF(BD$6=Supuestos!$F$20,1,0)</f>
        <v>0</v>
      </c>
      <c r="BE61" s="49">
        <f>IF(BE$6=Supuestos!$F$20,1,0)</f>
        <v>0</v>
      </c>
      <c r="BF61" s="49">
        <f>IF(BF$6=Supuestos!$F$20,1,0)</f>
        <v>0</v>
      </c>
      <c r="BG61" s="49">
        <f>IF(BG$6=Supuestos!$F$20,1,0)</f>
        <v>0</v>
      </c>
      <c r="BH61" s="49">
        <f>IF(BH$6=Supuestos!$F$20,1,0)</f>
        <v>0</v>
      </c>
      <c r="BI61" s="49">
        <f>IF(BI$6=Supuestos!$F$20,1,0)</f>
        <v>0</v>
      </c>
      <c r="BJ61" s="49">
        <f>IF(BJ$6=Supuestos!$F$20,1,0)</f>
        <v>0</v>
      </c>
      <c r="BK61" s="49">
        <f>IF(BK$6=Supuestos!$G$20,1,0)</f>
        <v>1</v>
      </c>
      <c r="BL61" s="49">
        <f>IF(BL$6=Supuestos!$G$20,1,0)</f>
        <v>0</v>
      </c>
      <c r="BM61" s="49">
        <f>IF(BM$6=Supuestos!$G$20,1,0)</f>
        <v>0</v>
      </c>
      <c r="BN61" s="49">
        <f>IF(BN$6=Supuestos!$G$20,1,0)</f>
        <v>0</v>
      </c>
      <c r="BO61" s="49">
        <f>IF(BO$6=Supuestos!$G$20,1,0)</f>
        <v>0</v>
      </c>
      <c r="BP61" s="49">
        <f>IF(BP$6=Supuestos!$G$20,1,0)</f>
        <v>0</v>
      </c>
      <c r="BQ61" s="49">
        <f>IF(BQ$6=Supuestos!$G$20,1,0)</f>
        <v>0</v>
      </c>
      <c r="BR61" s="49">
        <f>IF(BR$6=Supuestos!$G$20,1,0)</f>
        <v>0</v>
      </c>
      <c r="BS61" s="49">
        <f>IF(BS$6=Supuestos!$G$20,1,0)</f>
        <v>0</v>
      </c>
      <c r="BT61" s="49">
        <f>IF(BT$6=Supuestos!$G$20,1,0)</f>
        <v>0</v>
      </c>
      <c r="BU61" s="49">
        <f>IF(BU$6=Supuestos!$G$20,1,0)</f>
        <v>0</v>
      </c>
      <c r="BV61" s="49">
        <f>IF(BV$6=Supuestos!$G$20,1,0)</f>
        <v>0</v>
      </c>
      <c r="BW61" s="49">
        <f>IF(BW$6=Supuestos!$H$20,1,0)</f>
        <v>1</v>
      </c>
      <c r="BX61" s="49">
        <f>IF(BX$6=Supuestos!$H$20,1,0)</f>
        <v>0</v>
      </c>
      <c r="BY61" s="49">
        <f>IF(BY$6=Supuestos!$H$20,1,0)</f>
        <v>0</v>
      </c>
      <c r="BZ61" s="49">
        <f>IF(BZ$6=Supuestos!$H$20,1,0)</f>
        <v>0</v>
      </c>
      <c r="CA61" s="49">
        <f>IF(CA$6=Supuestos!$H$20,1,0)</f>
        <v>0</v>
      </c>
      <c r="CB61" s="49">
        <f>IF(CB$6=Supuestos!$H$20,1,0)</f>
        <v>0</v>
      </c>
      <c r="CC61" s="49">
        <f>IF(CC$6=Supuestos!$H$20,1,0)</f>
        <v>0</v>
      </c>
      <c r="CD61" s="49">
        <f>IF(CD$6=Supuestos!$H$20,1,0)</f>
        <v>0</v>
      </c>
      <c r="CE61" s="49">
        <f>IF(CE$6=Supuestos!$H$20,1,0)</f>
        <v>0</v>
      </c>
      <c r="CF61" s="49">
        <f>IF(CF$6=Supuestos!$H$20,1,0)</f>
        <v>0</v>
      </c>
      <c r="CG61" s="49">
        <f>IF(CG$6=Supuestos!$H$20,1,0)</f>
        <v>0</v>
      </c>
      <c r="CH61" s="49">
        <f>IF(CH$6=Supuestos!$H$20,1,0)</f>
        <v>0</v>
      </c>
      <c r="CI61" s="49">
        <f>IF(CI$6=Supuestos!$I$20,1,0)</f>
        <v>1</v>
      </c>
      <c r="CJ61" s="49">
        <f>IF(CJ$6=Supuestos!$I$20,1,0)</f>
        <v>0</v>
      </c>
      <c r="CK61" s="49">
        <f>IF(CK$6=Supuestos!$I$20,1,0)</f>
        <v>0</v>
      </c>
      <c r="CL61" s="49">
        <f>IF(CL$6=Supuestos!$I$20,1,0)</f>
        <v>0</v>
      </c>
      <c r="CM61" s="49">
        <f>IF(CM$6=Supuestos!$I$20,1,0)</f>
        <v>0</v>
      </c>
      <c r="CN61" s="49">
        <f>IF(CN$6=Supuestos!$I$20,1,0)</f>
        <v>0</v>
      </c>
      <c r="CO61" s="49">
        <f>IF(CO$6=Supuestos!$I$20,1,0)</f>
        <v>0</v>
      </c>
      <c r="CP61" s="49">
        <f>IF(CP$6=Supuestos!$I$20,1,0)</f>
        <v>0</v>
      </c>
      <c r="CQ61" s="49">
        <f>IF(CQ$6=Supuestos!$I$20,1,0)</f>
        <v>0</v>
      </c>
      <c r="CR61" s="49">
        <f>IF(CR$6=Supuestos!$I$20,1,0)</f>
        <v>0</v>
      </c>
      <c r="CS61" s="49">
        <f>IF(CS$6=Supuestos!$I$20,1,0)</f>
        <v>0</v>
      </c>
      <c r="CT61" s="49">
        <f>IF(CT$6=Supuestos!$I$20,1,0)</f>
        <v>0</v>
      </c>
      <c r="CU61" s="49">
        <f>IF(CU$6=Supuestos!$J$20,1,0)</f>
        <v>1</v>
      </c>
      <c r="CV61" s="49">
        <f>IF(CV$6=Supuestos!$J$20,1,0)</f>
        <v>0</v>
      </c>
      <c r="CW61" s="49">
        <f>IF(CW$6=Supuestos!$J$20,1,0)</f>
        <v>0</v>
      </c>
      <c r="CX61" s="49">
        <f>IF(CX$6=Supuestos!$J$20,1,0)</f>
        <v>0</v>
      </c>
      <c r="CY61" s="49">
        <f>IF(CY$6=Supuestos!$J$20,1,0)</f>
        <v>0</v>
      </c>
      <c r="CZ61" s="49">
        <f>IF(CZ$6=Supuestos!$J$20,1,0)</f>
        <v>0</v>
      </c>
      <c r="DA61" s="49">
        <f>IF(DA$6=Supuestos!$J$20,1,0)</f>
        <v>0</v>
      </c>
      <c r="DB61" s="49">
        <f>IF(DB$6=Supuestos!$J$20,1,0)</f>
        <v>0</v>
      </c>
      <c r="DC61" s="49">
        <f>IF(DC$6=Supuestos!$J$20,1,0)</f>
        <v>0</v>
      </c>
      <c r="DD61" s="49">
        <f>IF(DD$6=Supuestos!$J$20,1,0)</f>
        <v>0</v>
      </c>
      <c r="DE61" s="49">
        <f>IF(DE$6=Supuestos!$J$20,1,0)</f>
        <v>0</v>
      </c>
      <c r="DF61" s="49">
        <f>IF(DF$6=Supuestos!$J$20,1,0)</f>
        <v>0</v>
      </c>
    </row>
  </sheetData>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TN17"/>
  <sheetViews>
    <sheetView showGridLines="0" zoomScaleNormal="100" workbookViewId="0">
      <pane xSplit="1" ySplit="8" topLeftCell="B9" activePane="bottomRight" state="frozen"/>
      <selection pane="topRight" activeCell="B1" sqref="B1"/>
      <selection pane="bottomLeft" activeCell="A9" sqref="A9"/>
      <selection pane="bottomRight" activeCell="C16" sqref="C16"/>
    </sheetView>
  </sheetViews>
  <sheetFormatPr baseColWidth="10" defaultColWidth="11.5546875" defaultRowHeight="13.8" x14ac:dyDescent="0.3"/>
  <cols>
    <col min="1" max="1" width="25.109375" style="50" customWidth="1"/>
    <col min="2" max="534" width="10" style="50" customWidth="1"/>
    <col min="535" max="16384" width="11.5546875" style="50"/>
  </cols>
  <sheetData>
    <row r="1" spans="1:534" s="163" customFormat="1" x14ac:dyDescent="0.3">
      <c r="B1" s="164" t="str">
        <f t="shared" ref="B1:BM1" si="0">TEXT(B7,"MMM-YY")</f>
        <v>Ene-26</v>
      </c>
      <c r="C1" s="164" t="str">
        <f t="shared" si="0"/>
        <v>Ene-26</v>
      </c>
      <c r="D1" s="164" t="str">
        <f t="shared" si="0"/>
        <v>Ene-26</v>
      </c>
      <c r="E1" s="164" t="str">
        <f t="shared" si="0"/>
        <v>Ene-26</v>
      </c>
      <c r="F1" s="164" t="str">
        <f t="shared" si="0"/>
        <v>Ene-26</v>
      </c>
      <c r="G1" s="164" t="str">
        <f t="shared" si="0"/>
        <v>Feb-26</v>
      </c>
      <c r="H1" s="164" t="str">
        <f t="shared" si="0"/>
        <v>Feb-26</v>
      </c>
      <c r="I1" s="164" t="str">
        <f t="shared" si="0"/>
        <v>Feb-26</v>
      </c>
      <c r="J1" s="164" t="str">
        <f t="shared" si="0"/>
        <v>Feb-26</v>
      </c>
      <c r="K1" s="164" t="str">
        <f t="shared" si="0"/>
        <v>Mar-26</v>
      </c>
      <c r="L1" s="164" t="str">
        <f t="shared" si="0"/>
        <v>Mar-26</v>
      </c>
      <c r="M1" s="164" t="str">
        <f t="shared" si="0"/>
        <v>Mar-26</v>
      </c>
      <c r="N1" s="164" t="str">
        <f t="shared" si="0"/>
        <v>Mar-26</v>
      </c>
      <c r="O1" s="164" t="str">
        <f t="shared" si="0"/>
        <v>Mar-26</v>
      </c>
      <c r="P1" s="164" t="str">
        <f t="shared" si="0"/>
        <v>Abr-26</v>
      </c>
      <c r="Q1" s="164" t="str">
        <f t="shared" si="0"/>
        <v>Abr-26</v>
      </c>
      <c r="R1" s="164" t="str">
        <f t="shared" si="0"/>
        <v>Abr-26</v>
      </c>
      <c r="S1" s="164" t="str">
        <f t="shared" si="0"/>
        <v>Abr-26</v>
      </c>
      <c r="T1" s="164" t="str">
        <f t="shared" si="0"/>
        <v>Abr-26</v>
      </c>
      <c r="U1" s="164" t="str">
        <f t="shared" si="0"/>
        <v>May-26</v>
      </c>
      <c r="V1" s="164" t="str">
        <f t="shared" si="0"/>
        <v>May-26</v>
      </c>
      <c r="W1" s="164" t="str">
        <f t="shared" si="0"/>
        <v>May-26</v>
      </c>
      <c r="X1" s="164" t="str">
        <f t="shared" si="0"/>
        <v>May-26</v>
      </c>
      <c r="Y1" s="164" t="str">
        <f t="shared" si="0"/>
        <v>May-26</v>
      </c>
      <c r="Z1" s="164" t="str">
        <f t="shared" si="0"/>
        <v>Jun-26</v>
      </c>
      <c r="AA1" s="164" t="str">
        <f t="shared" si="0"/>
        <v>Jun-26</v>
      </c>
      <c r="AB1" s="164" t="str">
        <f t="shared" si="0"/>
        <v>Jun-26</v>
      </c>
      <c r="AC1" s="164" t="str">
        <f t="shared" si="0"/>
        <v>Jun-26</v>
      </c>
      <c r="AD1" s="164" t="str">
        <f t="shared" si="0"/>
        <v>Jun-26</v>
      </c>
      <c r="AE1" s="164" t="str">
        <f t="shared" si="0"/>
        <v>Jul-26</v>
      </c>
      <c r="AF1" s="164" t="str">
        <f t="shared" si="0"/>
        <v>Jul-26</v>
      </c>
      <c r="AG1" s="164" t="str">
        <f t="shared" si="0"/>
        <v>Jul-26</v>
      </c>
      <c r="AH1" s="164" t="str">
        <f t="shared" si="0"/>
        <v>Jul-26</v>
      </c>
      <c r="AI1" s="164" t="str">
        <f t="shared" si="0"/>
        <v>Jul-26</v>
      </c>
      <c r="AJ1" s="164" t="str">
        <f t="shared" si="0"/>
        <v>Ago-26</v>
      </c>
      <c r="AK1" s="164" t="str">
        <f t="shared" si="0"/>
        <v>Ago-26</v>
      </c>
      <c r="AL1" s="164" t="str">
        <f t="shared" si="0"/>
        <v>Ago-26</v>
      </c>
      <c r="AM1" s="164" t="str">
        <f t="shared" si="0"/>
        <v>Ago-26</v>
      </c>
      <c r="AN1" s="164" t="str">
        <f t="shared" si="0"/>
        <v>Ago-26</v>
      </c>
      <c r="AO1" s="164" t="str">
        <f t="shared" si="0"/>
        <v>Set-26</v>
      </c>
      <c r="AP1" s="164" t="str">
        <f t="shared" si="0"/>
        <v>Set-26</v>
      </c>
      <c r="AQ1" s="164" t="str">
        <f t="shared" si="0"/>
        <v>Set-26</v>
      </c>
      <c r="AR1" s="164" t="str">
        <f t="shared" si="0"/>
        <v>Set-26</v>
      </c>
      <c r="AS1" s="164" t="str">
        <f t="shared" si="0"/>
        <v>Set-26</v>
      </c>
      <c r="AT1" s="164" t="str">
        <f t="shared" si="0"/>
        <v>Oct-26</v>
      </c>
      <c r="AU1" s="164" t="str">
        <f t="shared" si="0"/>
        <v>Oct-26</v>
      </c>
      <c r="AV1" s="164" t="str">
        <f t="shared" si="0"/>
        <v>Oct-26</v>
      </c>
      <c r="AW1" s="164" t="str">
        <f t="shared" si="0"/>
        <v>Oct-26</v>
      </c>
      <c r="AX1" s="164" t="str">
        <f t="shared" si="0"/>
        <v>Oct-26</v>
      </c>
      <c r="AY1" s="164" t="str">
        <f t="shared" si="0"/>
        <v>Nov-26</v>
      </c>
      <c r="AZ1" s="164" t="str">
        <f t="shared" si="0"/>
        <v>Nov-26</v>
      </c>
      <c r="BA1" s="164" t="str">
        <f t="shared" si="0"/>
        <v>Nov-26</v>
      </c>
      <c r="BB1" s="164" t="str">
        <f t="shared" si="0"/>
        <v>Nov-26</v>
      </c>
      <c r="BC1" s="164" t="str">
        <f t="shared" si="0"/>
        <v>Nov-26</v>
      </c>
      <c r="BD1" s="164" t="str">
        <f t="shared" si="0"/>
        <v>Dic-26</v>
      </c>
      <c r="BE1" s="164" t="str">
        <f t="shared" si="0"/>
        <v>Dic-26</v>
      </c>
      <c r="BF1" s="164" t="str">
        <f t="shared" si="0"/>
        <v>Dic-26</v>
      </c>
      <c r="BG1" s="164" t="str">
        <f t="shared" si="0"/>
        <v>Dic-26</v>
      </c>
      <c r="BH1" s="164" t="str">
        <f t="shared" si="0"/>
        <v>Dic-26</v>
      </c>
      <c r="BI1" s="164" t="str">
        <f t="shared" si="0"/>
        <v>Ene-27</v>
      </c>
      <c r="BJ1" s="164" t="str">
        <f t="shared" si="0"/>
        <v>Ene-27</v>
      </c>
      <c r="BK1" s="164" t="str">
        <f t="shared" si="0"/>
        <v>Ene-27</v>
      </c>
      <c r="BL1" s="164" t="str">
        <f t="shared" si="0"/>
        <v>Ene-27</v>
      </c>
      <c r="BM1" s="164" t="str">
        <f t="shared" si="0"/>
        <v>Ene-27</v>
      </c>
      <c r="BN1" s="164" t="str">
        <f t="shared" ref="BN1:DY1" si="1">TEXT(BN7,"MMM-YY")</f>
        <v>Feb-27</v>
      </c>
      <c r="BO1" s="164" t="str">
        <f t="shared" si="1"/>
        <v>Feb-27</v>
      </c>
      <c r="BP1" s="164" t="str">
        <f t="shared" si="1"/>
        <v>Feb-27</v>
      </c>
      <c r="BQ1" s="164" t="str">
        <f t="shared" si="1"/>
        <v>Feb-27</v>
      </c>
      <c r="BR1" s="164" t="str">
        <f t="shared" si="1"/>
        <v>Mar-27</v>
      </c>
      <c r="BS1" s="164" t="str">
        <f t="shared" si="1"/>
        <v>Mar-27</v>
      </c>
      <c r="BT1" s="164" t="str">
        <f t="shared" si="1"/>
        <v>Mar-27</v>
      </c>
      <c r="BU1" s="164" t="str">
        <f t="shared" si="1"/>
        <v>Mar-27</v>
      </c>
      <c r="BV1" s="164" t="str">
        <f t="shared" si="1"/>
        <v>Mar-27</v>
      </c>
      <c r="BW1" s="164" t="str">
        <f t="shared" si="1"/>
        <v>Abr-27</v>
      </c>
      <c r="BX1" s="164" t="str">
        <f t="shared" si="1"/>
        <v>Abr-27</v>
      </c>
      <c r="BY1" s="164" t="str">
        <f t="shared" si="1"/>
        <v>Abr-27</v>
      </c>
      <c r="BZ1" s="164" t="str">
        <f t="shared" si="1"/>
        <v>Abr-27</v>
      </c>
      <c r="CA1" s="164" t="str">
        <f t="shared" si="1"/>
        <v>Abr-27</v>
      </c>
      <c r="CB1" s="164" t="str">
        <f t="shared" si="1"/>
        <v>May-27</v>
      </c>
      <c r="CC1" s="164" t="str">
        <f t="shared" si="1"/>
        <v>May-27</v>
      </c>
      <c r="CD1" s="164" t="str">
        <f t="shared" si="1"/>
        <v>May-27</v>
      </c>
      <c r="CE1" s="164" t="str">
        <f t="shared" si="1"/>
        <v>May-27</v>
      </c>
      <c r="CF1" s="164" t="str">
        <f t="shared" si="1"/>
        <v>May-27</v>
      </c>
      <c r="CG1" s="164" t="str">
        <f t="shared" si="1"/>
        <v>Jun-27</v>
      </c>
      <c r="CH1" s="164" t="str">
        <f t="shared" si="1"/>
        <v>Jun-27</v>
      </c>
      <c r="CI1" s="164" t="str">
        <f t="shared" si="1"/>
        <v>Jun-27</v>
      </c>
      <c r="CJ1" s="164" t="str">
        <f t="shared" si="1"/>
        <v>Jun-27</v>
      </c>
      <c r="CK1" s="164" t="str">
        <f t="shared" si="1"/>
        <v>Jun-27</v>
      </c>
      <c r="CL1" s="164" t="str">
        <f t="shared" si="1"/>
        <v>Jul-27</v>
      </c>
      <c r="CM1" s="164" t="str">
        <f t="shared" si="1"/>
        <v>Jul-27</v>
      </c>
      <c r="CN1" s="164" t="str">
        <f t="shared" si="1"/>
        <v>Jul-27</v>
      </c>
      <c r="CO1" s="164" t="str">
        <f t="shared" si="1"/>
        <v>Jul-27</v>
      </c>
      <c r="CP1" s="164" t="str">
        <f t="shared" si="1"/>
        <v>Jul-27</v>
      </c>
      <c r="CQ1" s="164" t="str">
        <f t="shared" si="1"/>
        <v>Ago-27</v>
      </c>
      <c r="CR1" s="164" t="str">
        <f t="shared" si="1"/>
        <v>Ago-27</v>
      </c>
      <c r="CS1" s="164" t="str">
        <f t="shared" si="1"/>
        <v>Ago-27</v>
      </c>
      <c r="CT1" s="164" t="str">
        <f t="shared" si="1"/>
        <v>Ago-27</v>
      </c>
      <c r="CU1" s="164" t="str">
        <f t="shared" si="1"/>
        <v>Ago-27</v>
      </c>
      <c r="CV1" s="164" t="str">
        <f t="shared" si="1"/>
        <v>Set-27</v>
      </c>
      <c r="CW1" s="164" t="str">
        <f t="shared" si="1"/>
        <v>Set-27</v>
      </c>
      <c r="CX1" s="164" t="str">
        <f t="shared" si="1"/>
        <v>Set-27</v>
      </c>
      <c r="CY1" s="164" t="str">
        <f t="shared" si="1"/>
        <v>Set-27</v>
      </c>
      <c r="CZ1" s="164" t="str">
        <f t="shared" si="1"/>
        <v>Set-27</v>
      </c>
      <c r="DA1" s="164" t="str">
        <f t="shared" si="1"/>
        <v>Oct-27</v>
      </c>
      <c r="DB1" s="164" t="str">
        <f t="shared" si="1"/>
        <v>Oct-27</v>
      </c>
      <c r="DC1" s="164" t="str">
        <f t="shared" si="1"/>
        <v>Oct-27</v>
      </c>
      <c r="DD1" s="164" t="str">
        <f t="shared" si="1"/>
        <v>Oct-27</v>
      </c>
      <c r="DE1" s="164" t="str">
        <f t="shared" si="1"/>
        <v>Oct-27</v>
      </c>
      <c r="DF1" s="164" t="str">
        <f t="shared" si="1"/>
        <v>Nov-27</v>
      </c>
      <c r="DG1" s="164" t="str">
        <f t="shared" si="1"/>
        <v>Nov-27</v>
      </c>
      <c r="DH1" s="164" t="str">
        <f t="shared" si="1"/>
        <v>Nov-27</v>
      </c>
      <c r="DI1" s="164" t="str">
        <f t="shared" si="1"/>
        <v>Nov-27</v>
      </c>
      <c r="DJ1" s="164" t="str">
        <f t="shared" si="1"/>
        <v>Nov-27</v>
      </c>
      <c r="DK1" s="164" t="str">
        <f t="shared" si="1"/>
        <v>Dic-27</v>
      </c>
      <c r="DL1" s="164" t="str">
        <f t="shared" si="1"/>
        <v>Dic-27</v>
      </c>
      <c r="DM1" s="164" t="str">
        <f t="shared" si="1"/>
        <v>Dic-27</v>
      </c>
      <c r="DN1" s="164" t="str">
        <f t="shared" si="1"/>
        <v>Dic-27</v>
      </c>
      <c r="DO1" s="164" t="str">
        <f t="shared" si="1"/>
        <v>Dic-27</v>
      </c>
      <c r="DP1" s="164" t="str">
        <f t="shared" si="1"/>
        <v>Ene-28</v>
      </c>
      <c r="DQ1" s="164" t="str">
        <f t="shared" si="1"/>
        <v>Ene-28</v>
      </c>
      <c r="DR1" s="164" t="str">
        <f t="shared" si="1"/>
        <v>Ene-28</v>
      </c>
      <c r="DS1" s="164" t="str">
        <f t="shared" si="1"/>
        <v>Ene-28</v>
      </c>
      <c r="DT1" s="164" t="str">
        <f t="shared" si="1"/>
        <v>Ene-28</v>
      </c>
      <c r="DU1" s="164" t="str">
        <f t="shared" si="1"/>
        <v>Feb-28</v>
      </c>
      <c r="DV1" s="164" t="str">
        <f t="shared" si="1"/>
        <v>Feb-28</v>
      </c>
      <c r="DW1" s="164" t="str">
        <f t="shared" si="1"/>
        <v>Feb-28</v>
      </c>
      <c r="DX1" s="164" t="str">
        <f t="shared" si="1"/>
        <v>Feb-28</v>
      </c>
      <c r="DY1" s="164" t="str">
        <f t="shared" si="1"/>
        <v>Feb-28</v>
      </c>
      <c r="DZ1" s="164" t="str">
        <f t="shared" ref="DZ1:GK1" si="2">TEXT(DZ7,"MMM-YY")</f>
        <v>Mar-28</v>
      </c>
      <c r="EA1" s="164" t="str">
        <f t="shared" si="2"/>
        <v>Mar-28</v>
      </c>
      <c r="EB1" s="164" t="str">
        <f t="shared" si="2"/>
        <v>Mar-28</v>
      </c>
      <c r="EC1" s="164" t="str">
        <f t="shared" si="2"/>
        <v>Mar-28</v>
      </c>
      <c r="ED1" s="164" t="str">
        <f t="shared" si="2"/>
        <v>Mar-28</v>
      </c>
      <c r="EE1" s="164" t="str">
        <f t="shared" si="2"/>
        <v>Abr-28</v>
      </c>
      <c r="EF1" s="164" t="str">
        <f t="shared" si="2"/>
        <v>Abr-28</v>
      </c>
      <c r="EG1" s="164" t="str">
        <f t="shared" si="2"/>
        <v>Abr-28</v>
      </c>
      <c r="EH1" s="164" t="str">
        <f t="shared" si="2"/>
        <v>Abr-28</v>
      </c>
      <c r="EI1" s="164" t="str">
        <f t="shared" si="2"/>
        <v>Abr-28</v>
      </c>
      <c r="EJ1" s="164" t="str">
        <f t="shared" si="2"/>
        <v>May-28</v>
      </c>
      <c r="EK1" s="164" t="str">
        <f t="shared" si="2"/>
        <v>May-28</v>
      </c>
      <c r="EL1" s="164" t="str">
        <f t="shared" si="2"/>
        <v>May-28</v>
      </c>
      <c r="EM1" s="164" t="str">
        <f t="shared" si="2"/>
        <v>May-28</v>
      </c>
      <c r="EN1" s="164" t="str">
        <f t="shared" si="2"/>
        <v>May-28</v>
      </c>
      <c r="EO1" s="164" t="str">
        <f t="shared" si="2"/>
        <v>Jun-28</v>
      </c>
      <c r="EP1" s="164" t="str">
        <f t="shared" si="2"/>
        <v>Jun-28</v>
      </c>
      <c r="EQ1" s="164" t="str">
        <f t="shared" si="2"/>
        <v>Jun-28</v>
      </c>
      <c r="ER1" s="164" t="str">
        <f t="shared" si="2"/>
        <v>Jun-28</v>
      </c>
      <c r="ES1" s="164" t="str">
        <f t="shared" si="2"/>
        <v>Jun-28</v>
      </c>
      <c r="ET1" s="164" t="str">
        <f t="shared" si="2"/>
        <v>Jul-28</v>
      </c>
      <c r="EU1" s="164" t="str">
        <f t="shared" si="2"/>
        <v>Jul-28</v>
      </c>
      <c r="EV1" s="164" t="str">
        <f t="shared" si="2"/>
        <v>Jul-28</v>
      </c>
      <c r="EW1" s="164" t="str">
        <f t="shared" si="2"/>
        <v>Jul-28</v>
      </c>
      <c r="EX1" s="164" t="str">
        <f t="shared" si="2"/>
        <v>Jul-28</v>
      </c>
      <c r="EY1" s="164" t="str">
        <f t="shared" si="2"/>
        <v>Ago-28</v>
      </c>
      <c r="EZ1" s="164" t="str">
        <f t="shared" si="2"/>
        <v>Ago-28</v>
      </c>
      <c r="FA1" s="164" t="str">
        <f t="shared" si="2"/>
        <v>Ago-28</v>
      </c>
      <c r="FB1" s="164" t="str">
        <f t="shared" si="2"/>
        <v>Ago-28</v>
      </c>
      <c r="FC1" s="164" t="str">
        <f t="shared" si="2"/>
        <v>Ago-28</v>
      </c>
      <c r="FD1" s="164" t="str">
        <f t="shared" si="2"/>
        <v>Set-28</v>
      </c>
      <c r="FE1" s="164" t="str">
        <f t="shared" si="2"/>
        <v>Set-28</v>
      </c>
      <c r="FF1" s="164" t="str">
        <f t="shared" si="2"/>
        <v>Set-28</v>
      </c>
      <c r="FG1" s="164" t="str">
        <f t="shared" si="2"/>
        <v>Set-28</v>
      </c>
      <c r="FH1" s="164" t="str">
        <f t="shared" si="2"/>
        <v>Set-28</v>
      </c>
      <c r="FI1" s="164" t="str">
        <f t="shared" si="2"/>
        <v>Oct-28</v>
      </c>
      <c r="FJ1" s="164" t="str">
        <f t="shared" si="2"/>
        <v>Oct-28</v>
      </c>
      <c r="FK1" s="164" t="str">
        <f t="shared" si="2"/>
        <v>Oct-28</v>
      </c>
      <c r="FL1" s="164" t="str">
        <f t="shared" si="2"/>
        <v>Oct-28</v>
      </c>
      <c r="FM1" s="164" t="str">
        <f t="shared" si="2"/>
        <v>Oct-28</v>
      </c>
      <c r="FN1" s="164" t="str">
        <f t="shared" si="2"/>
        <v>Nov-28</v>
      </c>
      <c r="FO1" s="164" t="str">
        <f t="shared" si="2"/>
        <v>Nov-28</v>
      </c>
      <c r="FP1" s="164" t="str">
        <f t="shared" si="2"/>
        <v>Nov-28</v>
      </c>
      <c r="FQ1" s="164" t="str">
        <f t="shared" si="2"/>
        <v>Nov-28</v>
      </c>
      <c r="FR1" s="164" t="str">
        <f t="shared" si="2"/>
        <v>Nov-28</v>
      </c>
      <c r="FS1" s="164" t="str">
        <f t="shared" si="2"/>
        <v>Dic-28</v>
      </c>
      <c r="FT1" s="164" t="str">
        <f t="shared" si="2"/>
        <v>Dic-28</v>
      </c>
      <c r="FU1" s="164" t="str">
        <f t="shared" si="2"/>
        <v>Dic-28</v>
      </c>
      <c r="FV1" s="164" t="str">
        <f t="shared" si="2"/>
        <v>Dic-28</v>
      </c>
      <c r="FW1" s="164" t="str">
        <f t="shared" si="2"/>
        <v>Dic-28</v>
      </c>
      <c r="FX1" s="164" t="str">
        <f t="shared" si="2"/>
        <v>Ene-29</v>
      </c>
      <c r="FY1" s="164" t="str">
        <f t="shared" si="2"/>
        <v>Ene-29</v>
      </c>
      <c r="FZ1" s="164" t="str">
        <f t="shared" si="2"/>
        <v>Ene-29</v>
      </c>
      <c r="GA1" s="164" t="str">
        <f t="shared" si="2"/>
        <v>Ene-29</v>
      </c>
      <c r="GB1" s="164" t="str">
        <f t="shared" si="2"/>
        <v>Ene-29</v>
      </c>
      <c r="GC1" s="164" t="str">
        <f t="shared" si="2"/>
        <v>Feb-29</v>
      </c>
      <c r="GD1" s="164" t="str">
        <f t="shared" si="2"/>
        <v>Feb-29</v>
      </c>
      <c r="GE1" s="164" t="str">
        <f t="shared" si="2"/>
        <v>Feb-29</v>
      </c>
      <c r="GF1" s="164" t="str">
        <f t="shared" si="2"/>
        <v>Feb-29</v>
      </c>
      <c r="GG1" s="164" t="str">
        <f t="shared" si="2"/>
        <v>Mar-29</v>
      </c>
      <c r="GH1" s="164" t="str">
        <f t="shared" si="2"/>
        <v>Mar-29</v>
      </c>
      <c r="GI1" s="164" t="str">
        <f t="shared" si="2"/>
        <v>Mar-29</v>
      </c>
      <c r="GJ1" s="164" t="str">
        <f t="shared" si="2"/>
        <v>Mar-29</v>
      </c>
      <c r="GK1" s="164" t="str">
        <f t="shared" si="2"/>
        <v>Mar-29</v>
      </c>
      <c r="GL1" s="164" t="str">
        <f t="shared" ref="GL1:IW1" si="3">TEXT(GL7,"MMM-YY")</f>
        <v>Abr-29</v>
      </c>
      <c r="GM1" s="164" t="str">
        <f t="shared" si="3"/>
        <v>Abr-29</v>
      </c>
      <c r="GN1" s="164" t="str">
        <f t="shared" si="3"/>
        <v>Abr-29</v>
      </c>
      <c r="GO1" s="164" t="str">
        <f t="shared" si="3"/>
        <v>Abr-29</v>
      </c>
      <c r="GP1" s="164" t="str">
        <f t="shared" si="3"/>
        <v>Abr-29</v>
      </c>
      <c r="GQ1" s="164" t="str">
        <f t="shared" si="3"/>
        <v>May-29</v>
      </c>
      <c r="GR1" s="164" t="str">
        <f t="shared" si="3"/>
        <v>May-29</v>
      </c>
      <c r="GS1" s="164" t="str">
        <f t="shared" si="3"/>
        <v>May-29</v>
      </c>
      <c r="GT1" s="164" t="str">
        <f t="shared" si="3"/>
        <v>May-29</v>
      </c>
      <c r="GU1" s="164" t="str">
        <f t="shared" si="3"/>
        <v>May-29</v>
      </c>
      <c r="GV1" s="164" t="str">
        <f t="shared" si="3"/>
        <v>Jun-29</v>
      </c>
      <c r="GW1" s="164" t="str">
        <f t="shared" si="3"/>
        <v>Jun-29</v>
      </c>
      <c r="GX1" s="164" t="str">
        <f t="shared" si="3"/>
        <v>Jun-29</v>
      </c>
      <c r="GY1" s="164" t="str">
        <f t="shared" si="3"/>
        <v>Jun-29</v>
      </c>
      <c r="GZ1" s="164" t="str">
        <f t="shared" si="3"/>
        <v>Jun-29</v>
      </c>
      <c r="HA1" s="164" t="str">
        <f t="shared" si="3"/>
        <v>Jul-29</v>
      </c>
      <c r="HB1" s="164" t="str">
        <f t="shared" si="3"/>
        <v>Jul-29</v>
      </c>
      <c r="HC1" s="164" t="str">
        <f t="shared" si="3"/>
        <v>Jul-29</v>
      </c>
      <c r="HD1" s="164" t="str">
        <f t="shared" si="3"/>
        <v>Jul-29</v>
      </c>
      <c r="HE1" s="164" t="str">
        <f t="shared" si="3"/>
        <v>Jul-29</v>
      </c>
      <c r="HF1" s="164" t="str">
        <f t="shared" si="3"/>
        <v>Ago-29</v>
      </c>
      <c r="HG1" s="164" t="str">
        <f t="shared" si="3"/>
        <v>Ago-29</v>
      </c>
      <c r="HH1" s="164" t="str">
        <f t="shared" si="3"/>
        <v>Ago-29</v>
      </c>
      <c r="HI1" s="164" t="str">
        <f t="shared" si="3"/>
        <v>Ago-29</v>
      </c>
      <c r="HJ1" s="164" t="str">
        <f t="shared" si="3"/>
        <v>Ago-29</v>
      </c>
      <c r="HK1" s="164" t="str">
        <f t="shared" si="3"/>
        <v>Set-29</v>
      </c>
      <c r="HL1" s="164" t="str">
        <f t="shared" si="3"/>
        <v>Set-29</v>
      </c>
      <c r="HM1" s="164" t="str">
        <f t="shared" si="3"/>
        <v>Set-29</v>
      </c>
      <c r="HN1" s="164" t="str">
        <f t="shared" si="3"/>
        <v>Set-29</v>
      </c>
      <c r="HO1" s="164" t="str">
        <f t="shared" si="3"/>
        <v>Set-29</v>
      </c>
      <c r="HP1" s="164" t="str">
        <f t="shared" si="3"/>
        <v>Oct-29</v>
      </c>
      <c r="HQ1" s="164" t="str">
        <f t="shared" si="3"/>
        <v>Oct-29</v>
      </c>
      <c r="HR1" s="164" t="str">
        <f t="shared" si="3"/>
        <v>Oct-29</v>
      </c>
      <c r="HS1" s="164" t="str">
        <f t="shared" si="3"/>
        <v>Oct-29</v>
      </c>
      <c r="HT1" s="164" t="str">
        <f t="shared" si="3"/>
        <v>Oct-29</v>
      </c>
      <c r="HU1" s="164" t="str">
        <f t="shared" si="3"/>
        <v>Nov-29</v>
      </c>
      <c r="HV1" s="164" t="str">
        <f t="shared" si="3"/>
        <v>Nov-29</v>
      </c>
      <c r="HW1" s="164" t="str">
        <f t="shared" si="3"/>
        <v>Nov-29</v>
      </c>
      <c r="HX1" s="164" t="str">
        <f t="shared" si="3"/>
        <v>Nov-29</v>
      </c>
      <c r="HY1" s="164" t="str">
        <f t="shared" si="3"/>
        <v>Nov-29</v>
      </c>
      <c r="HZ1" s="164" t="str">
        <f t="shared" si="3"/>
        <v>Dic-29</v>
      </c>
      <c r="IA1" s="164" t="str">
        <f t="shared" si="3"/>
        <v>Dic-29</v>
      </c>
      <c r="IB1" s="164" t="str">
        <f t="shared" si="3"/>
        <v>Dic-29</v>
      </c>
      <c r="IC1" s="164" t="str">
        <f t="shared" si="3"/>
        <v>Dic-29</v>
      </c>
      <c r="ID1" s="164" t="str">
        <f t="shared" si="3"/>
        <v>Dic-29</v>
      </c>
      <c r="IE1" s="164" t="str">
        <f t="shared" si="3"/>
        <v>Ene-30</v>
      </c>
      <c r="IF1" s="164" t="str">
        <f t="shared" si="3"/>
        <v>Ene-30</v>
      </c>
      <c r="IG1" s="164" t="str">
        <f t="shared" si="3"/>
        <v>Ene-30</v>
      </c>
      <c r="IH1" s="164" t="str">
        <f t="shared" si="3"/>
        <v>Ene-30</v>
      </c>
      <c r="II1" s="164" t="str">
        <f t="shared" si="3"/>
        <v>Ene-30</v>
      </c>
      <c r="IJ1" s="164" t="str">
        <f t="shared" si="3"/>
        <v>Feb-30</v>
      </c>
      <c r="IK1" s="164" t="str">
        <f t="shared" si="3"/>
        <v>Feb-30</v>
      </c>
      <c r="IL1" s="164" t="str">
        <f t="shared" si="3"/>
        <v>Feb-30</v>
      </c>
      <c r="IM1" s="164" t="str">
        <f t="shared" si="3"/>
        <v>Feb-30</v>
      </c>
      <c r="IN1" s="164" t="str">
        <f t="shared" si="3"/>
        <v>Mar-30</v>
      </c>
      <c r="IO1" s="164" t="str">
        <f t="shared" si="3"/>
        <v>Mar-30</v>
      </c>
      <c r="IP1" s="164" t="str">
        <f t="shared" si="3"/>
        <v>Mar-30</v>
      </c>
      <c r="IQ1" s="164" t="str">
        <f t="shared" si="3"/>
        <v>Mar-30</v>
      </c>
      <c r="IR1" s="164" t="str">
        <f t="shared" si="3"/>
        <v>Mar-30</v>
      </c>
      <c r="IS1" s="164" t="str">
        <f t="shared" si="3"/>
        <v>Abr-30</v>
      </c>
      <c r="IT1" s="164" t="str">
        <f t="shared" si="3"/>
        <v>Abr-30</v>
      </c>
      <c r="IU1" s="164" t="str">
        <f t="shared" si="3"/>
        <v>Abr-30</v>
      </c>
      <c r="IV1" s="164" t="str">
        <f t="shared" si="3"/>
        <v>Abr-30</v>
      </c>
      <c r="IW1" s="164" t="str">
        <f t="shared" si="3"/>
        <v>Abr-30</v>
      </c>
      <c r="IX1" s="164" t="str">
        <f t="shared" ref="IX1:LI1" si="4">TEXT(IX7,"MMM-YY")</f>
        <v>May-30</v>
      </c>
      <c r="IY1" s="164" t="str">
        <f t="shared" si="4"/>
        <v>May-30</v>
      </c>
      <c r="IZ1" s="164" t="str">
        <f t="shared" si="4"/>
        <v>May-30</v>
      </c>
      <c r="JA1" s="164" t="str">
        <f t="shared" si="4"/>
        <v>May-30</v>
      </c>
      <c r="JB1" s="164" t="str">
        <f t="shared" si="4"/>
        <v>May-30</v>
      </c>
      <c r="JC1" s="164" t="str">
        <f t="shared" si="4"/>
        <v>Jun-30</v>
      </c>
      <c r="JD1" s="164" t="str">
        <f t="shared" si="4"/>
        <v>Jun-30</v>
      </c>
      <c r="JE1" s="164" t="str">
        <f t="shared" si="4"/>
        <v>Jun-30</v>
      </c>
      <c r="JF1" s="164" t="str">
        <f t="shared" si="4"/>
        <v>Jun-30</v>
      </c>
      <c r="JG1" s="164" t="str">
        <f t="shared" si="4"/>
        <v>Jun-30</v>
      </c>
      <c r="JH1" s="164" t="str">
        <f t="shared" si="4"/>
        <v>Jul-30</v>
      </c>
      <c r="JI1" s="164" t="str">
        <f t="shared" si="4"/>
        <v>Jul-30</v>
      </c>
      <c r="JJ1" s="164" t="str">
        <f t="shared" si="4"/>
        <v>Jul-30</v>
      </c>
      <c r="JK1" s="164" t="str">
        <f t="shared" si="4"/>
        <v>Jul-30</v>
      </c>
      <c r="JL1" s="164" t="str">
        <f t="shared" si="4"/>
        <v>Jul-30</v>
      </c>
      <c r="JM1" s="164" t="str">
        <f t="shared" si="4"/>
        <v>Ago-30</v>
      </c>
      <c r="JN1" s="164" t="str">
        <f t="shared" si="4"/>
        <v>Ago-30</v>
      </c>
      <c r="JO1" s="164" t="str">
        <f t="shared" si="4"/>
        <v>Ago-30</v>
      </c>
      <c r="JP1" s="164" t="str">
        <f t="shared" si="4"/>
        <v>Ago-30</v>
      </c>
      <c r="JQ1" s="164" t="str">
        <f t="shared" si="4"/>
        <v>Ago-30</v>
      </c>
      <c r="JR1" s="164" t="str">
        <f t="shared" si="4"/>
        <v>Set-30</v>
      </c>
      <c r="JS1" s="164" t="str">
        <f t="shared" si="4"/>
        <v>Set-30</v>
      </c>
      <c r="JT1" s="164" t="str">
        <f t="shared" si="4"/>
        <v>Set-30</v>
      </c>
      <c r="JU1" s="164" t="str">
        <f t="shared" si="4"/>
        <v>Set-30</v>
      </c>
      <c r="JV1" s="164" t="str">
        <f t="shared" si="4"/>
        <v>Set-30</v>
      </c>
      <c r="JW1" s="164" t="str">
        <f t="shared" si="4"/>
        <v>Oct-30</v>
      </c>
      <c r="JX1" s="164" t="str">
        <f t="shared" si="4"/>
        <v>Oct-30</v>
      </c>
      <c r="JY1" s="164" t="str">
        <f t="shared" si="4"/>
        <v>Oct-30</v>
      </c>
      <c r="JZ1" s="164" t="str">
        <f t="shared" si="4"/>
        <v>Oct-30</v>
      </c>
      <c r="KA1" s="164" t="str">
        <f t="shared" si="4"/>
        <v>Oct-30</v>
      </c>
      <c r="KB1" s="164" t="str">
        <f t="shared" si="4"/>
        <v>Nov-30</v>
      </c>
      <c r="KC1" s="164" t="str">
        <f t="shared" si="4"/>
        <v>Nov-30</v>
      </c>
      <c r="KD1" s="164" t="str">
        <f t="shared" si="4"/>
        <v>Nov-30</v>
      </c>
      <c r="KE1" s="164" t="str">
        <f t="shared" si="4"/>
        <v>Nov-30</v>
      </c>
      <c r="KF1" s="164" t="str">
        <f t="shared" si="4"/>
        <v>Nov-30</v>
      </c>
      <c r="KG1" s="164" t="str">
        <f t="shared" si="4"/>
        <v>Dic-30</v>
      </c>
      <c r="KH1" s="164" t="str">
        <f t="shared" si="4"/>
        <v>Dic-30</v>
      </c>
      <c r="KI1" s="164" t="str">
        <f t="shared" si="4"/>
        <v>Dic-30</v>
      </c>
      <c r="KJ1" s="164" t="str">
        <f t="shared" si="4"/>
        <v>Dic-30</v>
      </c>
      <c r="KK1" s="164" t="str">
        <f t="shared" si="4"/>
        <v>Dic-30</v>
      </c>
      <c r="KL1" s="164" t="str">
        <f t="shared" si="4"/>
        <v>Ene-31</v>
      </c>
      <c r="KM1" s="164" t="str">
        <f t="shared" si="4"/>
        <v>Ene-31</v>
      </c>
      <c r="KN1" s="164" t="str">
        <f t="shared" si="4"/>
        <v>Ene-31</v>
      </c>
      <c r="KO1" s="164" t="str">
        <f t="shared" si="4"/>
        <v>Ene-31</v>
      </c>
      <c r="KP1" s="164" t="str">
        <f t="shared" si="4"/>
        <v>Ene-31</v>
      </c>
      <c r="KQ1" s="164" t="str">
        <f t="shared" si="4"/>
        <v>Feb-31</v>
      </c>
      <c r="KR1" s="164" t="str">
        <f t="shared" si="4"/>
        <v>Feb-31</v>
      </c>
      <c r="KS1" s="164" t="str">
        <f t="shared" si="4"/>
        <v>Feb-31</v>
      </c>
      <c r="KT1" s="164" t="str">
        <f t="shared" si="4"/>
        <v>Feb-31</v>
      </c>
      <c r="KU1" s="164" t="str">
        <f t="shared" si="4"/>
        <v>Mar-31</v>
      </c>
      <c r="KV1" s="164" t="str">
        <f t="shared" si="4"/>
        <v>Mar-31</v>
      </c>
      <c r="KW1" s="164" t="str">
        <f t="shared" si="4"/>
        <v>Mar-31</v>
      </c>
      <c r="KX1" s="164" t="str">
        <f t="shared" si="4"/>
        <v>Mar-31</v>
      </c>
      <c r="KY1" s="164" t="str">
        <f t="shared" si="4"/>
        <v>Mar-31</v>
      </c>
      <c r="KZ1" s="164" t="str">
        <f t="shared" si="4"/>
        <v>Abr-31</v>
      </c>
      <c r="LA1" s="164" t="str">
        <f t="shared" si="4"/>
        <v>Abr-31</v>
      </c>
      <c r="LB1" s="164" t="str">
        <f t="shared" si="4"/>
        <v>Abr-31</v>
      </c>
      <c r="LC1" s="164" t="str">
        <f t="shared" si="4"/>
        <v>Abr-31</v>
      </c>
      <c r="LD1" s="164" t="str">
        <f t="shared" si="4"/>
        <v>Abr-31</v>
      </c>
      <c r="LE1" s="164" t="str">
        <f t="shared" si="4"/>
        <v>May-31</v>
      </c>
      <c r="LF1" s="164" t="str">
        <f t="shared" si="4"/>
        <v>May-31</v>
      </c>
      <c r="LG1" s="164" t="str">
        <f t="shared" si="4"/>
        <v>May-31</v>
      </c>
      <c r="LH1" s="164" t="str">
        <f t="shared" si="4"/>
        <v>May-31</v>
      </c>
      <c r="LI1" s="164" t="str">
        <f t="shared" si="4"/>
        <v>May-31</v>
      </c>
      <c r="LJ1" s="164" t="str">
        <f t="shared" ref="LJ1:NU1" si="5">TEXT(LJ7,"MMM-YY")</f>
        <v>Jun-31</v>
      </c>
      <c r="LK1" s="164" t="str">
        <f t="shared" si="5"/>
        <v>Jun-31</v>
      </c>
      <c r="LL1" s="164" t="str">
        <f t="shared" si="5"/>
        <v>Jun-31</v>
      </c>
      <c r="LM1" s="164" t="str">
        <f t="shared" si="5"/>
        <v>Jun-31</v>
      </c>
      <c r="LN1" s="164" t="str">
        <f t="shared" si="5"/>
        <v>Jun-31</v>
      </c>
      <c r="LO1" s="164" t="str">
        <f t="shared" si="5"/>
        <v>Jul-31</v>
      </c>
      <c r="LP1" s="164" t="str">
        <f t="shared" si="5"/>
        <v>Jul-31</v>
      </c>
      <c r="LQ1" s="164" t="str">
        <f t="shared" si="5"/>
        <v>Jul-31</v>
      </c>
      <c r="LR1" s="164" t="str">
        <f t="shared" si="5"/>
        <v>Jul-31</v>
      </c>
      <c r="LS1" s="164" t="str">
        <f t="shared" si="5"/>
        <v>Jul-31</v>
      </c>
      <c r="LT1" s="164" t="str">
        <f t="shared" si="5"/>
        <v>Ago-31</v>
      </c>
      <c r="LU1" s="164" t="str">
        <f t="shared" si="5"/>
        <v>Ago-31</v>
      </c>
      <c r="LV1" s="164" t="str">
        <f t="shared" si="5"/>
        <v>Ago-31</v>
      </c>
      <c r="LW1" s="164" t="str">
        <f t="shared" si="5"/>
        <v>Ago-31</v>
      </c>
      <c r="LX1" s="164" t="str">
        <f t="shared" si="5"/>
        <v>Ago-31</v>
      </c>
      <c r="LY1" s="164" t="str">
        <f t="shared" si="5"/>
        <v>Set-31</v>
      </c>
      <c r="LZ1" s="164" t="str">
        <f t="shared" si="5"/>
        <v>Set-31</v>
      </c>
      <c r="MA1" s="164" t="str">
        <f t="shared" si="5"/>
        <v>Set-31</v>
      </c>
      <c r="MB1" s="164" t="str">
        <f t="shared" si="5"/>
        <v>Set-31</v>
      </c>
      <c r="MC1" s="164" t="str">
        <f t="shared" si="5"/>
        <v>Set-31</v>
      </c>
      <c r="MD1" s="164" t="str">
        <f t="shared" si="5"/>
        <v>Oct-31</v>
      </c>
      <c r="ME1" s="164" t="str">
        <f t="shared" si="5"/>
        <v>Oct-31</v>
      </c>
      <c r="MF1" s="164" t="str">
        <f t="shared" si="5"/>
        <v>Oct-31</v>
      </c>
      <c r="MG1" s="164" t="str">
        <f t="shared" si="5"/>
        <v>Oct-31</v>
      </c>
      <c r="MH1" s="164" t="str">
        <f t="shared" si="5"/>
        <v>Oct-31</v>
      </c>
      <c r="MI1" s="164" t="str">
        <f t="shared" si="5"/>
        <v>Nov-31</v>
      </c>
      <c r="MJ1" s="164" t="str">
        <f t="shared" si="5"/>
        <v>Nov-31</v>
      </c>
      <c r="MK1" s="164" t="str">
        <f t="shared" si="5"/>
        <v>Nov-31</v>
      </c>
      <c r="ML1" s="164" t="str">
        <f t="shared" si="5"/>
        <v>Nov-31</v>
      </c>
      <c r="MM1" s="164" t="str">
        <f t="shared" si="5"/>
        <v>Nov-31</v>
      </c>
      <c r="MN1" s="164" t="str">
        <f t="shared" si="5"/>
        <v>Dic-31</v>
      </c>
      <c r="MO1" s="164" t="str">
        <f t="shared" si="5"/>
        <v>Dic-31</v>
      </c>
      <c r="MP1" s="164" t="str">
        <f t="shared" si="5"/>
        <v>Dic-31</v>
      </c>
      <c r="MQ1" s="164" t="str">
        <f t="shared" si="5"/>
        <v>Dic-31</v>
      </c>
      <c r="MR1" s="164" t="str">
        <f t="shared" si="5"/>
        <v>Dic-31</v>
      </c>
      <c r="MS1" s="164" t="str">
        <f t="shared" si="5"/>
        <v>Ene-32</v>
      </c>
      <c r="MT1" s="164" t="str">
        <f t="shared" si="5"/>
        <v>Ene-32</v>
      </c>
      <c r="MU1" s="164" t="str">
        <f t="shared" si="5"/>
        <v>Ene-32</v>
      </c>
      <c r="MV1" s="164" t="str">
        <f t="shared" si="5"/>
        <v>Ene-32</v>
      </c>
      <c r="MW1" s="164" t="str">
        <f t="shared" si="5"/>
        <v>Ene-32</v>
      </c>
      <c r="MX1" s="164" t="str">
        <f t="shared" si="5"/>
        <v>Feb-32</v>
      </c>
      <c r="MY1" s="164" t="str">
        <f t="shared" si="5"/>
        <v>Feb-32</v>
      </c>
      <c r="MZ1" s="164" t="str">
        <f t="shared" si="5"/>
        <v>Feb-32</v>
      </c>
      <c r="NA1" s="164" t="str">
        <f t="shared" si="5"/>
        <v>Feb-32</v>
      </c>
      <c r="NB1" s="164" t="str">
        <f t="shared" si="5"/>
        <v>Feb-32</v>
      </c>
      <c r="NC1" s="164" t="str">
        <f t="shared" si="5"/>
        <v>Mar-32</v>
      </c>
      <c r="ND1" s="164" t="str">
        <f t="shared" si="5"/>
        <v>Mar-32</v>
      </c>
      <c r="NE1" s="164" t="str">
        <f t="shared" si="5"/>
        <v>Mar-32</v>
      </c>
      <c r="NF1" s="164" t="str">
        <f t="shared" si="5"/>
        <v>Mar-32</v>
      </c>
      <c r="NG1" s="164" t="str">
        <f t="shared" si="5"/>
        <v>Mar-32</v>
      </c>
      <c r="NH1" s="164" t="str">
        <f t="shared" si="5"/>
        <v>Abr-32</v>
      </c>
      <c r="NI1" s="164" t="str">
        <f t="shared" si="5"/>
        <v>Abr-32</v>
      </c>
      <c r="NJ1" s="164" t="str">
        <f t="shared" si="5"/>
        <v>Abr-32</v>
      </c>
      <c r="NK1" s="164" t="str">
        <f t="shared" si="5"/>
        <v>Abr-32</v>
      </c>
      <c r="NL1" s="164" t="str">
        <f t="shared" si="5"/>
        <v>Abr-32</v>
      </c>
      <c r="NM1" s="164" t="str">
        <f t="shared" si="5"/>
        <v>May-32</v>
      </c>
      <c r="NN1" s="164" t="str">
        <f t="shared" si="5"/>
        <v>May-32</v>
      </c>
      <c r="NO1" s="164" t="str">
        <f t="shared" si="5"/>
        <v>May-32</v>
      </c>
      <c r="NP1" s="164" t="str">
        <f t="shared" si="5"/>
        <v>May-32</v>
      </c>
      <c r="NQ1" s="164" t="str">
        <f t="shared" si="5"/>
        <v>May-32</v>
      </c>
      <c r="NR1" s="164" t="str">
        <f t="shared" si="5"/>
        <v>Jun-32</v>
      </c>
      <c r="NS1" s="164" t="str">
        <f t="shared" si="5"/>
        <v>Jun-32</v>
      </c>
      <c r="NT1" s="164" t="str">
        <f t="shared" si="5"/>
        <v>Jun-32</v>
      </c>
      <c r="NU1" s="164" t="str">
        <f t="shared" si="5"/>
        <v>Jun-32</v>
      </c>
      <c r="NV1" s="164" t="str">
        <f t="shared" ref="NV1:QG1" si="6">TEXT(NV7,"MMM-YY")</f>
        <v>Jun-32</v>
      </c>
      <c r="NW1" s="164" t="str">
        <f t="shared" si="6"/>
        <v>Jul-32</v>
      </c>
      <c r="NX1" s="164" t="str">
        <f t="shared" si="6"/>
        <v>Jul-32</v>
      </c>
      <c r="NY1" s="164" t="str">
        <f t="shared" si="6"/>
        <v>Jul-32</v>
      </c>
      <c r="NZ1" s="164" t="str">
        <f t="shared" si="6"/>
        <v>Jul-32</v>
      </c>
      <c r="OA1" s="164" t="str">
        <f t="shared" si="6"/>
        <v>Jul-32</v>
      </c>
      <c r="OB1" s="164" t="str">
        <f t="shared" si="6"/>
        <v>Ago-32</v>
      </c>
      <c r="OC1" s="164" t="str">
        <f t="shared" si="6"/>
        <v>Ago-32</v>
      </c>
      <c r="OD1" s="164" t="str">
        <f t="shared" si="6"/>
        <v>Ago-32</v>
      </c>
      <c r="OE1" s="164" t="str">
        <f t="shared" si="6"/>
        <v>Ago-32</v>
      </c>
      <c r="OF1" s="164" t="str">
        <f t="shared" si="6"/>
        <v>Ago-32</v>
      </c>
      <c r="OG1" s="164" t="str">
        <f t="shared" si="6"/>
        <v>Set-32</v>
      </c>
      <c r="OH1" s="164" t="str">
        <f t="shared" si="6"/>
        <v>Set-32</v>
      </c>
      <c r="OI1" s="164" t="str">
        <f t="shared" si="6"/>
        <v>Set-32</v>
      </c>
      <c r="OJ1" s="164" t="str">
        <f t="shared" si="6"/>
        <v>Set-32</v>
      </c>
      <c r="OK1" s="164" t="str">
        <f t="shared" si="6"/>
        <v>Set-32</v>
      </c>
      <c r="OL1" s="164" t="str">
        <f t="shared" si="6"/>
        <v>Oct-32</v>
      </c>
      <c r="OM1" s="164" t="str">
        <f t="shared" si="6"/>
        <v>Oct-32</v>
      </c>
      <c r="ON1" s="164" t="str">
        <f t="shared" si="6"/>
        <v>Oct-32</v>
      </c>
      <c r="OO1" s="164" t="str">
        <f t="shared" si="6"/>
        <v>Oct-32</v>
      </c>
      <c r="OP1" s="164" t="str">
        <f t="shared" si="6"/>
        <v>Oct-32</v>
      </c>
      <c r="OQ1" s="164" t="str">
        <f t="shared" si="6"/>
        <v>Nov-32</v>
      </c>
      <c r="OR1" s="164" t="str">
        <f t="shared" si="6"/>
        <v>Nov-32</v>
      </c>
      <c r="OS1" s="164" t="str">
        <f t="shared" si="6"/>
        <v>Nov-32</v>
      </c>
      <c r="OT1" s="164" t="str">
        <f t="shared" si="6"/>
        <v>Nov-32</v>
      </c>
      <c r="OU1" s="164" t="str">
        <f t="shared" si="6"/>
        <v>Nov-32</v>
      </c>
      <c r="OV1" s="164" t="str">
        <f t="shared" si="6"/>
        <v>Dic-32</v>
      </c>
      <c r="OW1" s="164" t="str">
        <f t="shared" si="6"/>
        <v>Dic-32</v>
      </c>
      <c r="OX1" s="164" t="str">
        <f t="shared" si="6"/>
        <v>Dic-32</v>
      </c>
      <c r="OY1" s="164" t="str">
        <f t="shared" si="6"/>
        <v>Dic-32</v>
      </c>
      <c r="OZ1" s="164" t="str">
        <f t="shared" si="6"/>
        <v>Dic-32</v>
      </c>
      <c r="PA1" s="164" t="str">
        <f t="shared" si="6"/>
        <v>Ene-33</v>
      </c>
      <c r="PB1" s="164" t="str">
        <f t="shared" si="6"/>
        <v>Ene-33</v>
      </c>
      <c r="PC1" s="164" t="str">
        <f t="shared" si="6"/>
        <v>Ene-33</v>
      </c>
      <c r="PD1" s="164" t="str">
        <f t="shared" si="6"/>
        <v>Ene-33</v>
      </c>
      <c r="PE1" s="164" t="str">
        <f t="shared" si="6"/>
        <v>Ene-33</v>
      </c>
      <c r="PF1" s="164" t="str">
        <f t="shared" si="6"/>
        <v>Feb-33</v>
      </c>
      <c r="PG1" s="164" t="str">
        <f t="shared" si="6"/>
        <v>Feb-33</v>
      </c>
      <c r="PH1" s="164" t="str">
        <f t="shared" si="6"/>
        <v>Feb-33</v>
      </c>
      <c r="PI1" s="164" t="str">
        <f t="shared" si="6"/>
        <v>Feb-33</v>
      </c>
      <c r="PJ1" s="164" t="str">
        <f t="shared" si="6"/>
        <v>Mar-33</v>
      </c>
      <c r="PK1" s="164" t="str">
        <f t="shared" si="6"/>
        <v>Mar-33</v>
      </c>
      <c r="PL1" s="164" t="str">
        <f t="shared" si="6"/>
        <v>Mar-33</v>
      </c>
      <c r="PM1" s="164" t="str">
        <f t="shared" si="6"/>
        <v>Mar-33</v>
      </c>
      <c r="PN1" s="164" t="str">
        <f t="shared" si="6"/>
        <v>Mar-33</v>
      </c>
      <c r="PO1" s="164" t="str">
        <f t="shared" si="6"/>
        <v>Abr-33</v>
      </c>
      <c r="PP1" s="164" t="str">
        <f t="shared" si="6"/>
        <v>Abr-33</v>
      </c>
      <c r="PQ1" s="164" t="str">
        <f t="shared" si="6"/>
        <v>Abr-33</v>
      </c>
      <c r="PR1" s="164" t="str">
        <f t="shared" si="6"/>
        <v>Abr-33</v>
      </c>
      <c r="PS1" s="164" t="str">
        <f t="shared" si="6"/>
        <v>Abr-33</v>
      </c>
      <c r="PT1" s="164" t="str">
        <f t="shared" si="6"/>
        <v>May-33</v>
      </c>
      <c r="PU1" s="164" t="str">
        <f t="shared" si="6"/>
        <v>May-33</v>
      </c>
      <c r="PV1" s="164" t="str">
        <f t="shared" si="6"/>
        <v>May-33</v>
      </c>
      <c r="PW1" s="164" t="str">
        <f t="shared" si="6"/>
        <v>May-33</v>
      </c>
      <c r="PX1" s="164" t="str">
        <f t="shared" si="6"/>
        <v>May-33</v>
      </c>
      <c r="PY1" s="164" t="str">
        <f t="shared" si="6"/>
        <v>Jun-33</v>
      </c>
      <c r="PZ1" s="164" t="str">
        <f t="shared" si="6"/>
        <v>Jun-33</v>
      </c>
      <c r="QA1" s="164" t="str">
        <f t="shared" si="6"/>
        <v>Jun-33</v>
      </c>
      <c r="QB1" s="164" t="str">
        <f t="shared" si="6"/>
        <v>Jun-33</v>
      </c>
      <c r="QC1" s="164" t="str">
        <f t="shared" si="6"/>
        <v>Jun-33</v>
      </c>
      <c r="QD1" s="164" t="str">
        <f t="shared" si="6"/>
        <v>Jul-33</v>
      </c>
      <c r="QE1" s="164" t="str">
        <f t="shared" si="6"/>
        <v>Jul-33</v>
      </c>
      <c r="QF1" s="164" t="str">
        <f t="shared" si="6"/>
        <v>Jul-33</v>
      </c>
      <c r="QG1" s="164" t="str">
        <f t="shared" si="6"/>
        <v>Jul-33</v>
      </c>
      <c r="QH1" s="164" t="str">
        <f t="shared" ref="QH1:SS1" si="7">TEXT(QH7,"MMM-YY")</f>
        <v>Jul-33</v>
      </c>
      <c r="QI1" s="164" t="str">
        <f t="shared" si="7"/>
        <v>Ago-33</v>
      </c>
      <c r="QJ1" s="164" t="str">
        <f t="shared" si="7"/>
        <v>Ago-33</v>
      </c>
      <c r="QK1" s="164" t="str">
        <f t="shared" si="7"/>
        <v>Ago-33</v>
      </c>
      <c r="QL1" s="164" t="str">
        <f t="shared" si="7"/>
        <v>Ago-33</v>
      </c>
      <c r="QM1" s="164" t="str">
        <f t="shared" si="7"/>
        <v>Ago-33</v>
      </c>
      <c r="QN1" s="164" t="str">
        <f t="shared" si="7"/>
        <v>Set-33</v>
      </c>
      <c r="QO1" s="164" t="str">
        <f t="shared" si="7"/>
        <v>Set-33</v>
      </c>
      <c r="QP1" s="164" t="str">
        <f t="shared" si="7"/>
        <v>Set-33</v>
      </c>
      <c r="QQ1" s="164" t="str">
        <f t="shared" si="7"/>
        <v>Set-33</v>
      </c>
      <c r="QR1" s="164" t="str">
        <f t="shared" si="7"/>
        <v>Set-33</v>
      </c>
      <c r="QS1" s="164" t="str">
        <f t="shared" si="7"/>
        <v>Oct-33</v>
      </c>
      <c r="QT1" s="164" t="str">
        <f t="shared" si="7"/>
        <v>Oct-33</v>
      </c>
      <c r="QU1" s="164" t="str">
        <f t="shared" si="7"/>
        <v>Oct-33</v>
      </c>
      <c r="QV1" s="164" t="str">
        <f t="shared" si="7"/>
        <v>Oct-33</v>
      </c>
      <c r="QW1" s="164" t="str">
        <f t="shared" si="7"/>
        <v>Oct-33</v>
      </c>
      <c r="QX1" s="164" t="str">
        <f t="shared" si="7"/>
        <v>Nov-33</v>
      </c>
      <c r="QY1" s="164" t="str">
        <f t="shared" si="7"/>
        <v>Nov-33</v>
      </c>
      <c r="QZ1" s="164" t="str">
        <f t="shared" si="7"/>
        <v>Nov-33</v>
      </c>
      <c r="RA1" s="164" t="str">
        <f t="shared" si="7"/>
        <v>Nov-33</v>
      </c>
      <c r="RB1" s="164" t="str">
        <f t="shared" si="7"/>
        <v>Nov-33</v>
      </c>
      <c r="RC1" s="164" t="str">
        <f t="shared" si="7"/>
        <v>Dic-33</v>
      </c>
      <c r="RD1" s="164" t="str">
        <f t="shared" si="7"/>
        <v>Dic-33</v>
      </c>
      <c r="RE1" s="164" t="str">
        <f t="shared" si="7"/>
        <v>Dic-33</v>
      </c>
      <c r="RF1" s="164" t="str">
        <f t="shared" si="7"/>
        <v>Dic-33</v>
      </c>
      <c r="RG1" s="164" t="str">
        <f t="shared" si="7"/>
        <v>Dic-33</v>
      </c>
      <c r="RH1" s="164" t="str">
        <f t="shared" si="7"/>
        <v>Ene-34</v>
      </c>
      <c r="RI1" s="164" t="str">
        <f t="shared" si="7"/>
        <v>Ene-34</v>
      </c>
      <c r="RJ1" s="164" t="str">
        <f t="shared" si="7"/>
        <v>Ene-34</v>
      </c>
      <c r="RK1" s="164" t="str">
        <f t="shared" si="7"/>
        <v>Ene-34</v>
      </c>
      <c r="RL1" s="164" t="str">
        <f t="shared" si="7"/>
        <v>Ene-34</v>
      </c>
      <c r="RM1" s="164" t="str">
        <f t="shared" si="7"/>
        <v>Feb-34</v>
      </c>
      <c r="RN1" s="164" t="str">
        <f t="shared" si="7"/>
        <v>Feb-34</v>
      </c>
      <c r="RO1" s="164" t="str">
        <f t="shared" si="7"/>
        <v>Feb-34</v>
      </c>
      <c r="RP1" s="164" t="str">
        <f t="shared" si="7"/>
        <v>Feb-34</v>
      </c>
      <c r="RQ1" s="164" t="str">
        <f t="shared" si="7"/>
        <v>Mar-34</v>
      </c>
      <c r="RR1" s="164" t="str">
        <f t="shared" si="7"/>
        <v>Mar-34</v>
      </c>
      <c r="RS1" s="164" t="str">
        <f t="shared" si="7"/>
        <v>Mar-34</v>
      </c>
      <c r="RT1" s="164" t="str">
        <f t="shared" si="7"/>
        <v>Mar-34</v>
      </c>
      <c r="RU1" s="164" t="str">
        <f t="shared" si="7"/>
        <v>Mar-34</v>
      </c>
      <c r="RV1" s="164" t="str">
        <f t="shared" si="7"/>
        <v>Abr-34</v>
      </c>
      <c r="RW1" s="164" t="str">
        <f t="shared" si="7"/>
        <v>Abr-34</v>
      </c>
      <c r="RX1" s="164" t="str">
        <f t="shared" si="7"/>
        <v>Abr-34</v>
      </c>
      <c r="RY1" s="164" t="str">
        <f t="shared" si="7"/>
        <v>Abr-34</v>
      </c>
      <c r="RZ1" s="164" t="str">
        <f t="shared" si="7"/>
        <v>Abr-34</v>
      </c>
      <c r="SA1" s="164" t="str">
        <f t="shared" si="7"/>
        <v>May-34</v>
      </c>
      <c r="SB1" s="164" t="str">
        <f t="shared" si="7"/>
        <v>May-34</v>
      </c>
      <c r="SC1" s="164" t="str">
        <f t="shared" si="7"/>
        <v>May-34</v>
      </c>
      <c r="SD1" s="164" t="str">
        <f t="shared" si="7"/>
        <v>May-34</v>
      </c>
      <c r="SE1" s="164" t="str">
        <f t="shared" si="7"/>
        <v>May-34</v>
      </c>
      <c r="SF1" s="164" t="str">
        <f t="shared" si="7"/>
        <v>Jun-34</v>
      </c>
      <c r="SG1" s="164" t="str">
        <f t="shared" si="7"/>
        <v>Jun-34</v>
      </c>
      <c r="SH1" s="164" t="str">
        <f t="shared" si="7"/>
        <v>Jun-34</v>
      </c>
      <c r="SI1" s="164" t="str">
        <f t="shared" si="7"/>
        <v>Jun-34</v>
      </c>
      <c r="SJ1" s="164" t="str">
        <f t="shared" si="7"/>
        <v>Jun-34</v>
      </c>
      <c r="SK1" s="164" t="str">
        <f t="shared" si="7"/>
        <v>Jul-34</v>
      </c>
      <c r="SL1" s="164" t="str">
        <f t="shared" si="7"/>
        <v>Jul-34</v>
      </c>
      <c r="SM1" s="164" t="str">
        <f t="shared" si="7"/>
        <v>Jul-34</v>
      </c>
      <c r="SN1" s="164" t="str">
        <f t="shared" si="7"/>
        <v>Jul-34</v>
      </c>
      <c r="SO1" s="164" t="str">
        <f t="shared" si="7"/>
        <v>Jul-34</v>
      </c>
      <c r="SP1" s="164" t="str">
        <f t="shared" si="7"/>
        <v>Ago-34</v>
      </c>
      <c r="SQ1" s="164" t="str">
        <f t="shared" si="7"/>
        <v>Ago-34</v>
      </c>
      <c r="SR1" s="164" t="str">
        <f t="shared" si="7"/>
        <v>Ago-34</v>
      </c>
      <c r="SS1" s="164" t="str">
        <f t="shared" si="7"/>
        <v>Ago-34</v>
      </c>
      <c r="ST1" s="164" t="str">
        <f t="shared" ref="ST1:TN1" si="8">TEXT(ST7,"MMM-YY")</f>
        <v>Ago-34</v>
      </c>
      <c r="SU1" s="164" t="str">
        <f t="shared" si="8"/>
        <v>Set-34</v>
      </c>
      <c r="SV1" s="164" t="str">
        <f t="shared" si="8"/>
        <v>Set-34</v>
      </c>
      <c r="SW1" s="164" t="str">
        <f t="shared" si="8"/>
        <v>Set-34</v>
      </c>
      <c r="SX1" s="164" t="str">
        <f t="shared" si="8"/>
        <v>Set-34</v>
      </c>
      <c r="SY1" s="164" t="str">
        <f t="shared" si="8"/>
        <v>Set-34</v>
      </c>
      <c r="SZ1" s="164" t="str">
        <f t="shared" si="8"/>
        <v>Oct-34</v>
      </c>
      <c r="TA1" s="164" t="str">
        <f t="shared" si="8"/>
        <v>Oct-34</v>
      </c>
      <c r="TB1" s="164" t="str">
        <f t="shared" si="8"/>
        <v>Oct-34</v>
      </c>
      <c r="TC1" s="164" t="str">
        <f t="shared" si="8"/>
        <v>Oct-34</v>
      </c>
      <c r="TD1" s="164" t="str">
        <f t="shared" si="8"/>
        <v>Oct-34</v>
      </c>
      <c r="TE1" s="164" t="str">
        <f t="shared" si="8"/>
        <v>Nov-34</v>
      </c>
      <c r="TF1" s="164" t="str">
        <f t="shared" si="8"/>
        <v>Nov-34</v>
      </c>
      <c r="TG1" s="164" t="str">
        <f t="shared" si="8"/>
        <v>Nov-34</v>
      </c>
      <c r="TH1" s="164" t="str">
        <f t="shared" si="8"/>
        <v>Nov-34</v>
      </c>
      <c r="TI1" s="164" t="str">
        <f t="shared" si="8"/>
        <v>Nov-34</v>
      </c>
      <c r="TJ1" s="164" t="str">
        <f t="shared" si="8"/>
        <v>Dic-34</v>
      </c>
      <c r="TK1" s="164" t="str">
        <f t="shared" si="8"/>
        <v>Dic-34</v>
      </c>
      <c r="TL1" s="164" t="str">
        <f t="shared" si="8"/>
        <v>Dic-34</v>
      </c>
      <c r="TM1" s="164" t="str">
        <f t="shared" si="8"/>
        <v>Dic-34</v>
      </c>
      <c r="TN1" s="164" t="str">
        <f t="shared" si="8"/>
        <v>Dic-34</v>
      </c>
    </row>
    <row r="2" spans="1:534" x14ac:dyDescent="0.3">
      <c r="A2" s="295" t="s">
        <v>462</v>
      </c>
      <c r="B2" s="165"/>
      <c r="AO2" s="166"/>
      <c r="AP2" s="166"/>
      <c r="AQ2" s="167"/>
      <c r="AR2" s="167"/>
      <c r="AS2" s="166"/>
      <c r="BH2" s="168">
        <f>BH4+BC4+AX4+AS4+AN4+AI4+AD4+Y4+T4+O4+J4+F4</f>
        <v>140027.5129244368</v>
      </c>
      <c r="DO2" s="168">
        <f>BH2*(Supuestos!$C$2+1)</f>
        <v>170133.42820319074</v>
      </c>
      <c r="DT2" s="169"/>
      <c r="DY2" s="169"/>
      <c r="ED2" s="169"/>
      <c r="EI2" s="169"/>
      <c r="EN2" s="169"/>
      <c r="ES2" s="169"/>
      <c r="EX2" s="169"/>
      <c r="FC2" s="169"/>
      <c r="FH2" s="169"/>
      <c r="FM2" s="169"/>
      <c r="FR2" s="169"/>
      <c r="FW2" s="168">
        <f>DO2*(Supuestos!$D$2+1)</f>
        <v>199056.11099773314</v>
      </c>
      <c r="GB2" s="169"/>
      <c r="GK2" s="169"/>
      <c r="GP2" s="169"/>
      <c r="GU2" s="169"/>
      <c r="GZ2" s="169"/>
      <c r="HE2" s="169"/>
      <c r="HJ2" s="169"/>
      <c r="HO2" s="169"/>
      <c r="HT2" s="169"/>
      <c r="HY2" s="169"/>
      <c r="ID2" s="168">
        <f>FW2*(Supuestos!$E$2+1)</f>
        <v>231900.36931235911</v>
      </c>
      <c r="II2" s="169"/>
      <c r="IR2" s="169"/>
      <c r="IW2" s="169"/>
      <c r="JB2" s="169"/>
      <c r="JG2" s="169"/>
      <c r="JL2" s="169"/>
      <c r="JQ2" s="169"/>
      <c r="JV2" s="169"/>
      <c r="KA2" s="169"/>
      <c r="KF2" s="169"/>
      <c r="KK2" s="168">
        <f>ID2*(Supuestos!$F$2+1)</f>
        <v>269004.42840233655</v>
      </c>
      <c r="KP2" s="169"/>
      <c r="KY2" s="169"/>
      <c r="LD2" s="169"/>
      <c r="LI2" s="169"/>
      <c r="LN2" s="169"/>
      <c r="LS2" s="169"/>
      <c r="LX2" s="169"/>
      <c r="MC2" s="169"/>
      <c r="MH2" s="169"/>
      <c r="MM2" s="169"/>
      <c r="MR2" s="168">
        <f>KK2*(Supuestos!$G$2+1)</f>
        <v>310700.11480469874</v>
      </c>
      <c r="MW2" s="169"/>
      <c r="NG2" s="169"/>
      <c r="NL2" s="169"/>
      <c r="NQ2" s="169"/>
      <c r="NV2" s="169"/>
      <c r="OA2" s="169"/>
      <c r="OF2" s="169"/>
      <c r="OK2" s="169"/>
      <c r="OP2" s="169"/>
      <c r="OU2" s="169"/>
      <c r="OZ2" s="168">
        <f>MR2*(Supuestos!$H$2+1)</f>
        <v>354198.13087735663</v>
      </c>
      <c r="PE2" s="169"/>
      <c r="PN2" s="169"/>
      <c r="PS2" s="169"/>
      <c r="PX2" s="169"/>
      <c r="QC2" s="169"/>
      <c r="QH2" s="169"/>
      <c r="QM2" s="169"/>
      <c r="QR2" s="169"/>
      <c r="QW2" s="169"/>
      <c r="RB2" s="169"/>
      <c r="RG2" s="168">
        <f>OZ2*(Supuestos!$I$2+1)</f>
        <v>403785.86920018657</v>
      </c>
      <c r="RL2" s="169"/>
      <c r="RU2" s="169"/>
      <c r="RZ2" s="169"/>
      <c r="SE2" s="169"/>
      <c r="SJ2" s="169"/>
      <c r="SO2" s="169"/>
      <c r="ST2" s="169"/>
      <c r="SY2" s="169"/>
      <c r="TD2" s="169"/>
      <c r="TI2" s="169"/>
      <c r="TN2" s="168">
        <f>RG2*(Supuestos!$J$2+1)</f>
        <v>460315.89088821271</v>
      </c>
    </row>
    <row r="3" spans="1:534" x14ac:dyDescent="0.3">
      <c r="A3" s="53"/>
      <c r="B3" s="165"/>
      <c r="F3" s="170">
        <f>F4/$BH$2</f>
        <v>8.8999053314410534E-2</v>
      </c>
      <c r="J3" s="170">
        <f>J4/$BH$2</f>
        <v>7.4979600791533638E-2</v>
      </c>
      <c r="O3" s="170">
        <f>O4/$BH$2</f>
        <v>8.0804352872137039E-2</v>
      </c>
      <c r="T3" s="170">
        <f>T4/$BH$2</f>
        <v>7.8169103527457692E-2</v>
      </c>
      <c r="Y3" s="170">
        <f>Y4/$BH$2</f>
        <v>8.8506707459976436E-2</v>
      </c>
      <c r="AD3" s="170">
        <f>AD4/$BH$2</f>
        <v>6.8783444397098811E-2</v>
      </c>
      <c r="AI3" s="170">
        <f>AI4/$BH$2</f>
        <v>8.9459988287154638E-2</v>
      </c>
      <c r="AN3" s="170">
        <f>AN4/$BH$2</f>
        <v>9.9301205667063491E-2</v>
      </c>
      <c r="AO3" s="166"/>
      <c r="AP3" s="166"/>
      <c r="AQ3" s="167"/>
      <c r="AR3" s="166"/>
      <c r="AS3" s="170">
        <f>AS4/$BH$2</f>
        <v>9.4827460262321916E-2</v>
      </c>
      <c r="AX3" s="170">
        <f>AX4/$BH$2</f>
        <v>9.7263287927559103E-2</v>
      </c>
      <c r="BC3" s="170">
        <f>BC4/$BH$2</f>
        <v>9.1476337193539564E-2</v>
      </c>
      <c r="BH3" s="170">
        <f>BH4/$BH$2</f>
        <v>4.7429458299747221E-2</v>
      </c>
      <c r="BM3" s="170">
        <f>BM4/$DO$2</f>
        <v>8.8999053314410534E-2</v>
      </c>
      <c r="BQ3" s="170">
        <f>BQ4/$DO$2</f>
        <v>7.4979600791533638E-2</v>
      </c>
      <c r="BV3" s="170">
        <f>BV4/$DO$2</f>
        <v>8.0804352872137039E-2</v>
      </c>
      <c r="CA3" s="170">
        <f>CA4/$DO$2</f>
        <v>7.8169103527457692E-2</v>
      </c>
      <c r="CF3" s="170">
        <f>CF4/$DO$2</f>
        <v>8.8506707459976436E-2</v>
      </c>
      <c r="CK3" s="170">
        <f>CK4/$DO$2</f>
        <v>6.8783444397098811E-2</v>
      </c>
      <c r="CP3" s="170">
        <f>CP4/$DO$2</f>
        <v>8.9459988287154638E-2</v>
      </c>
      <c r="CU3" s="170">
        <f>CU4/$DO$2</f>
        <v>9.9301205667063491E-2</v>
      </c>
      <c r="CZ3" s="170">
        <f>CZ4/$DO$2</f>
        <v>9.4827460262321916E-2</v>
      </c>
      <c r="DE3" s="170">
        <f>DE4/$DO$2</f>
        <v>9.7263287927559117E-2</v>
      </c>
      <c r="DJ3" s="170">
        <f>DJ4/$DO$2</f>
        <v>9.1476337193539564E-2</v>
      </c>
      <c r="DO3" s="170">
        <f>DO4/$DO$2</f>
        <v>4.7429458299747221E-2</v>
      </c>
      <c r="DT3" s="170">
        <f>DT4/$FW$2</f>
        <v>8.8999053314410534E-2</v>
      </c>
      <c r="DY3" s="170">
        <f>DY4/$FW$2</f>
        <v>7.4979600791533638E-2</v>
      </c>
      <c r="ED3" s="170">
        <f>ED4/$FW$2</f>
        <v>8.0804352872137039E-2</v>
      </c>
      <c r="EI3" s="170">
        <f>EI4/$FW$2</f>
        <v>7.8169103527457692E-2</v>
      </c>
      <c r="EN3" s="170">
        <f>EN4/$FW$2</f>
        <v>8.8506707459976436E-2</v>
      </c>
      <c r="ES3" s="170">
        <f>ES4/$FW$2</f>
        <v>6.8783444397098811E-2</v>
      </c>
      <c r="EX3" s="170">
        <f>EX4/$FW$2</f>
        <v>8.9459988287154624E-2</v>
      </c>
      <c r="FC3" s="170">
        <f>FC4/$FW$2</f>
        <v>9.9301205667063491E-2</v>
      </c>
      <c r="FH3" s="170">
        <f>FH4/$FW$2</f>
        <v>9.4827460262321916E-2</v>
      </c>
      <c r="FM3" s="170">
        <f>FM4/$FW$2</f>
        <v>9.7263287927559117E-2</v>
      </c>
      <c r="FR3" s="170">
        <f>FR4/$FW$2</f>
        <v>9.1476337193539564E-2</v>
      </c>
      <c r="FW3" s="170">
        <f>FW4/$FW$2</f>
        <v>4.7429458299747221E-2</v>
      </c>
      <c r="GB3" s="170">
        <f>GB4/$ID$2</f>
        <v>8.8999053314410534E-2</v>
      </c>
      <c r="GF3" s="170">
        <f>GF4/$ID$2</f>
        <v>7.4979600791533638E-2</v>
      </c>
      <c r="GK3" s="170">
        <f>GK4/$ID$2</f>
        <v>8.0804352872137039E-2</v>
      </c>
      <c r="GP3" s="170">
        <f>GP4/$ID$2</f>
        <v>7.8169103527457692E-2</v>
      </c>
      <c r="GU3" s="170">
        <f>GU4/$ID$2</f>
        <v>8.8506707459976436E-2</v>
      </c>
      <c r="GZ3" s="170">
        <f>GZ4/$ID$2</f>
        <v>6.8783444397098811E-2</v>
      </c>
      <c r="HE3" s="170">
        <f>HE4/$ID$2</f>
        <v>8.9459988287154624E-2</v>
      </c>
      <c r="HJ3" s="170">
        <f>HJ4/$ID$2</f>
        <v>9.9301205667063491E-2</v>
      </c>
      <c r="HO3" s="170">
        <f>HO4/$ID$2</f>
        <v>9.4827460262321916E-2</v>
      </c>
      <c r="HT3" s="170">
        <f>HT4/$ID$2</f>
        <v>9.7263287927559117E-2</v>
      </c>
      <c r="HY3" s="170">
        <f>HY4/$ID$2</f>
        <v>9.1476337193539564E-2</v>
      </c>
      <c r="ID3" s="170">
        <f>ID4/$ID$2</f>
        <v>4.7429458299747221E-2</v>
      </c>
      <c r="II3" s="170">
        <f>II4/$KK$2</f>
        <v>8.8999053314410534E-2</v>
      </c>
      <c r="IM3" s="170">
        <f>IM4/$KK$2</f>
        <v>7.4979600791533638E-2</v>
      </c>
      <c r="IR3" s="170">
        <f>IR4/$KK$2</f>
        <v>8.0804352872137039E-2</v>
      </c>
      <c r="IW3" s="170">
        <f>IW4/$KK$2</f>
        <v>7.8169103527457692E-2</v>
      </c>
      <c r="JB3" s="170">
        <f>JB4/$KK$2</f>
        <v>8.8506707459976436E-2</v>
      </c>
      <c r="JG3" s="170">
        <f>JG4/$KK$2</f>
        <v>6.8783444397098811E-2</v>
      </c>
      <c r="JL3" s="170">
        <f>JL4/$KK$2</f>
        <v>8.9459988287154624E-2</v>
      </c>
      <c r="JQ3" s="170">
        <f>JQ4/$KK$2</f>
        <v>9.9301205667063491E-2</v>
      </c>
      <c r="JV3" s="170">
        <f>JV4/$KK$2</f>
        <v>9.4827460262321916E-2</v>
      </c>
      <c r="KA3" s="170">
        <f>KA4/$KK$2</f>
        <v>9.7263287927559117E-2</v>
      </c>
      <c r="KF3" s="170">
        <f>KF4/$KK$2</f>
        <v>9.1476337193539564E-2</v>
      </c>
      <c r="KK3" s="170">
        <f>KK4/$KK$2</f>
        <v>4.7429458299747221E-2</v>
      </c>
      <c r="KP3" s="170">
        <f>KP4/$MR$2</f>
        <v>8.8999053314410534E-2</v>
      </c>
      <c r="KT3" s="170">
        <f>KT4/$MR$2</f>
        <v>7.4979600791533638E-2</v>
      </c>
      <c r="KY3" s="170">
        <f>KY4/$MR$2</f>
        <v>8.0804352872137039E-2</v>
      </c>
      <c r="LD3" s="170">
        <f>LD4/$MR$2</f>
        <v>7.8169103527457692E-2</v>
      </c>
      <c r="LI3" s="170">
        <f>LI4/$MR$2</f>
        <v>8.8506707459976436E-2</v>
      </c>
      <c r="LN3" s="170">
        <f>LN4/$MR$2</f>
        <v>6.8783444397098811E-2</v>
      </c>
      <c r="LS3" s="170">
        <f>LS4/$MR$2</f>
        <v>8.9459988287154624E-2</v>
      </c>
      <c r="LX3" s="170">
        <f>LX4/$MR$2</f>
        <v>9.9301205667063491E-2</v>
      </c>
      <c r="MC3" s="170">
        <f>MC4/$MR$2</f>
        <v>9.4827460262321916E-2</v>
      </c>
      <c r="MH3" s="170">
        <f>MH4/$MR$2</f>
        <v>9.7263287927559117E-2</v>
      </c>
      <c r="MM3" s="170">
        <f>MM4/$MR$2</f>
        <v>9.1476337193539564E-2</v>
      </c>
      <c r="MR3" s="170">
        <f>MR4/$MR$2</f>
        <v>4.7429458299747221E-2</v>
      </c>
      <c r="MW3" s="170">
        <f>MW4/$OZ$2</f>
        <v>8.8999053314410534E-2</v>
      </c>
      <c r="NA3" s="170"/>
      <c r="NB3" s="170">
        <f>NB4/$OZ$2</f>
        <v>7.4979600791533638E-2</v>
      </c>
      <c r="NG3" s="170">
        <f>NG4/$OZ$2</f>
        <v>8.0804352872137039E-2</v>
      </c>
      <c r="NL3" s="170">
        <f>NL4/$OZ$2</f>
        <v>7.8169103527457692E-2</v>
      </c>
      <c r="NQ3" s="170">
        <f>NQ4/$OZ$2</f>
        <v>8.8506707459976436E-2</v>
      </c>
      <c r="NV3" s="170">
        <f>NV4/$OZ$2</f>
        <v>6.8783444397098811E-2</v>
      </c>
      <c r="OA3" s="170">
        <f>OA4/$OZ$2</f>
        <v>8.9459988287154624E-2</v>
      </c>
      <c r="OF3" s="170">
        <f>OF4/$OZ$2</f>
        <v>9.9301205667063491E-2</v>
      </c>
      <c r="OK3" s="170">
        <f>OK4/$OZ$2</f>
        <v>9.4827460262321916E-2</v>
      </c>
      <c r="OP3" s="170">
        <f>OP4/$OZ$2</f>
        <v>9.7263287927559117E-2</v>
      </c>
      <c r="OU3" s="170">
        <f>OU4/$OZ$2</f>
        <v>9.1476337193539564E-2</v>
      </c>
      <c r="OZ3" s="170">
        <f>OZ4/$OZ$2</f>
        <v>4.7429458299747221E-2</v>
      </c>
      <c r="PE3" s="170">
        <f>PE4/$RG$2</f>
        <v>8.8999053314410534E-2</v>
      </c>
      <c r="PI3" s="170">
        <f>PI4/$RG$2</f>
        <v>7.4979600791533638E-2</v>
      </c>
      <c r="PN3" s="170">
        <f>PN4/$RG$2</f>
        <v>8.0804352872137039E-2</v>
      </c>
      <c r="PS3" s="170">
        <f>PS4/$RG$2</f>
        <v>7.8169103527457692E-2</v>
      </c>
      <c r="PX3" s="170">
        <f>PX4/$RG$2</f>
        <v>8.8506707459976436E-2</v>
      </c>
      <c r="QC3" s="170">
        <f>QC4/$RG$2</f>
        <v>6.8783444397098811E-2</v>
      </c>
      <c r="QH3" s="170">
        <f>QH4/$RG$2</f>
        <v>8.9459988287154624E-2</v>
      </c>
      <c r="QM3" s="170">
        <f>QM4/$RG$2</f>
        <v>9.9301205667063491E-2</v>
      </c>
      <c r="QR3" s="170">
        <f>QR4/$RG$2</f>
        <v>9.4827460262321916E-2</v>
      </c>
      <c r="QW3" s="170">
        <f>QW4/$RG$2</f>
        <v>9.7263287927559117E-2</v>
      </c>
      <c r="RB3" s="170">
        <f>RB4/$RG$2</f>
        <v>9.1476337193539564E-2</v>
      </c>
      <c r="RG3" s="170">
        <f>RG4/$RG$2</f>
        <v>4.7429458299747228E-2</v>
      </c>
      <c r="RL3" s="170">
        <f>RL4/$TN$2</f>
        <v>8.8999053314410534E-2</v>
      </c>
      <c r="RP3" s="170">
        <f>RP4/$TN$2</f>
        <v>7.4979600791533638E-2</v>
      </c>
      <c r="RU3" s="170">
        <f>RU4/$TN$2</f>
        <v>8.0804352872137039E-2</v>
      </c>
      <c r="RZ3" s="170">
        <f>RZ4/$TN$2</f>
        <v>7.8169103527457692E-2</v>
      </c>
      <c r="SE3" s="170">
        <f>SE4/$TN$2</f>
        <v>8.8506707459976436E-2</v>
      </c>
      <c r="SJ3" s="170">
        <f>SJ4/$TN$2</f>
        <v>6.8783444397098811E-2</v>
      </c>
      <c r="SO3" s="170">
        <f>SO4/$TN$2</f>
        <v>8.9459988287154624E-2</v>
      </c>
      <c r="ST3" s="170">
        <f>ST4/$TN$2</f>
        <v>9.9301205667063491E-2</v>
      </c>
      <c r="SY3" s="170">
        <f>SY4/$TN$2</f>
        <v>9.4827460262321916E-2</v>
      </c>
      <c r="TD3" s="170">
        <f>TD4/$TN$2</f>
        <v>9.7263287927559117E-2</v>
      </c>
      <c r="TI3" s="170">
        <f>TI4/$TN$2</f>
        <v>9.1476337193539564E-2</v>
      </c>
      <c r="TN3" s="170">
        <f>TN4/$TN$2</f>
        <v>4.7429458299747228E-2</v>
      </c>
    </row>
    <row r="4" spans="1:534" x14ac:dyDescent="0.3">
      <c r="F4" s="169">
        <f>SUM(B9:F9)</f>
        <v>12462.316088246262</v>
      </c>
      <c r="J4" s="169">
        <f>SUM(G9:J9)</f>
        <v>10499.207018905588</v>
      </c>
      <c r="O4" s="169">
        <f>SUM(K9:O9)</f>
        <v>11314.83256615392</v>
      </c>
      <c r="T4" s="169">
        <f>SUM(P9:T9)</f>
        <v>10945.82515448272</v>
      </c>
      <c r="Y4" s="169">
        <f>SUM(U9:Y9)</f>
        <v>12393.374122751198</v>
      </c>
      <c r="AD4" s="169">
        <f>SUM(Z9:AD9)</f>
        <v>9631.5746493020342</v>
      </c>
      <c r="AI4" s="169">
        <f>SUM(AE9:AI9)</f>
        <v>12526.85966609951</v>
      </c>
      <c r="AN4" s="169">
        <f>SUM(AJ9:AN9)</f>
        <v>13904.90085995689</v>
      </c>
      <c r="AQ4" s="167"/>
      <c r="AS4" s="169">
        <f>12678.4534174738+600</f>
        <v>13278.4534174738</v>
      </c>
      <c r="AX4" s="169">
        <f>13019.5363073495+600</f>
        <v>13619.536307349499</v>
      </c>
      <c r="BC4" s="169">
        <f>12209.2039886485+600</f>
        <v>12809.2039886485</v>
      </c>
      <c r="BH4" s="169">
        <v>6641.4290850668904</v>
      </c>
      <c r="BI4" s="169"/>
      <c r="BM4" s="171">
        <f>$DO$2*F3</f>
        <v>15141.71404721921</v>
      </c>
      <c r="BQ4" s="171">
        <f>$DO$2*J3</f>
        <v>12756.536527970291</v>
      </c>
      <c r="BV4" s="171">
        <f>$DO$2*O3</f>
        <v>13747.521567877016</v>
      </c>
      <c r="CA4" s="171">
        <f>$DO$2*T3</f>
        <v>13299.177562696506</v>
      </c>
      <c r="CF4" s="171">
        <f>$DO$2*Y3</f>
        <v>15057.949559142708</v>
      </c>
      <c r="CK4" s="171">
        <f>$DO$2*AD3</f>
        <v>11702.363198901972</v>
      </c>
      <c r="CP4" s="171">
        <f>$DO$2*AI3</f>
        <v>15220.134494310907</v>
      </c>
      <c r="CU4" s="171">
        <f>$DO$2*AN3</f>
        <v>16894.454544847624</v>
      </c>
      <c r="CZ4" s="171">
        <f>$DO$2*AS3</f>
        <v>16133.320902230667</v>
      </c>
      <c r="DE4" s="171">
        <f>$DO$2*AX3</f>
        <v>16547.736613429646</v>
      </c>
      <c r="DJ4" s="171">
        <f>$DO$2*BC3</f>
        <v>15563.18284620793</v>
      </c>
      <c r="DO4" s="171">
        <f>$DO$2*BH3</f>
        <v>8069.3363383562728</v>
      </c>
      <c r="DT4" s="171">
        <f>BM3*$FW$2</f>
        <v>17715.805435246471</v>
      </c>
      <c r="DY4" s="171">
        <f>BQ3*$FW$2</f>
        <v>14925.147737725239</v>
      </c>
      <c r="ED4" s="171">
        <f>BV3*$FW$2</f>
        <v>16084.600234416106</v>
      </c>
      <c r="EI4" s="171">
        <f>CA3*$FW$2</f>
        <v>15560.037748354911</v>
      </c>
      <c r="EN4" s="171">
        <f>CF3*$FW$2</f>
        <v>17617.800984196965</v>
      </c>
      <c r="ES4" s="171">
        <f>CK3*$FW$2</f>
        <v>13691.764942715306</v>
      </c>
      <c r="EX4" s="171">
        <f>CP3*$FW$2</f>
        <v>17807.557358343758</v>
      </c>
      <c r="FC4" s="171">
        <f>CU3*$FW$2</f>
        <v>19766.511817471717</v>
      </c>
      <c r="FH4" s="171">
        <f>CZ3*$FW$2</f>
        <v>18875.98545560988</v>
      </c>
      <c r="FM4" s="171">
        <f>DE3*$FW$2</f>
        <v>19360.851837712686</v>
      </c>
      <c r="FR4" s="171">
        <f>DJ3*$FW$2</f>
        <v>18208.923930063276</v>
      </c>
      <c r="FW4" s="171">
        <f>DO3*$FW$2</f>
        <v>9441.1235158768377</v>
      </c>
      <c r="GB4" s="171">
        <f>DT3*$ID$2</f>
        <v>20638.91333206214</v>
      </c>
      <c r="GF4" s="171">
        <f>DY3*$ID$2</f>
        <v>17387.797114449902</v>
      </c>
      <c r="GK4" s="171">
        <f>ED3*$ID$2</f>
        <v>18738.559273094765</v>
      </c>
      <c r="GP4" s="171">
        <f>EI3*$ID$2</f>
        <v>18127.443976833471</v>
      </c>
      <c r="GU4" s="171">
        <f>EN3*$ID$2</f>
        <v>20524.738146589465</v>
      </c>
      <c r="GZ4" s="171">
        <f>ES3*$ID$2</f>
        <v>15950.906158263333</v>
      </c>
      <c r="HE4" s="171">
        <f>EX3*$ID$2</f>
        <v>20745.804322470478</v>
      </c>
      <c r="HJ4" s="171">
        <f>FC3*$ID$2</f>
        <v>23027.98626735455</v>
      </c>
      <c r="HO4" s="171">
        <f>FH3*$ID$2</f>
        <v>21990.52305578551</v>
      </c>
      <c r="HT4" s="171">
        <f>FM3*$ID$2</f>
        <v>22555.392390935278</v>
      </c>
      <c r="HY4" s="171">
        <f>FR3*$ID$2</f>
        <v>21213.396378523717</v>
      </c>
      <c r="ID4" s="171">
        <f>FW3*$ID$2</f>
        <v>10998.908895996516</v>
      </c>
      <c r="II4" s="171">
        <f>GB3*$KK$2</f>
        <v>23941.139465192082</v>
      </c>
      <c r="IM4" s="171">
        <f>GF3*$KK$2</f>
        <v>20169.844652761887</v>
      </c>
      <c r="IR4" s="171">
        <f>GK3*$KK$2</f>
        <v>21736.728756789926</v>
      </c>
      <c r="IW4" s="171">
        <f>GP3*$KK$2</f>
        <v>21027.835013126827</v>
      </c>
      <c r="JB4" s="171">
        <f>GU3*$KK$2</f>
        <v>23808.696250043777</v>
      </c>
      <c r="JG4" s="171">
        <f>GZ3*$KK$2</f>
        <v>18503.051143585464</v>
      </c>
      <c r="JL4" s="171">
        <f>HE3*$KK$2</f>
        <v>24065.133014065752</v>
      </c>
      <c r="JQ4" s="171">
        <f>HJ3*$KK$2</f>
        <v>26712.464070131278</v>
      </c>
      <c r="JV4" s="171">
        <f>HO3*$KK$2</f>
        <v>25509.006744711191</v>
      </c>
      <c r="KA4" s="171">
        <f>HT3*$KK$2</f>
        <v>26164.255173484922</v>
      </c>
      <c r="KF4" s="171">
        <f>HY3*$KK$2</f>
        <v>24607.53979908751</v>
      </c>
      <c r="KK4" s="171">
        <f>ID3*$KK$2</f>
        <v>12758.734319355957</v>
      </c>
      <c r="KP4" s="171">
        <f>II3*$MR$2</f>
        <v>27652.016082296857</v>
      </c>
      <c r="KT4" s="171">
        <f>IM3*$MR$2</f>
        <v>23296.17057393998</v>
      </c>
      <c r="KY4" s="171">
        <f>IR3*$MR$2</f>
        <v>25105.921714092365</v>
      </c>
      <c r="LD4" s="171">
        <f>IW3*$MR$2</f>
        <v>24287.149440161487</v>
      </c>
      <c r="LI4" s="171">
        <f>JB3*$MR$2</f>
        <v>27499.044168800563</v>
      </c>
      <c r="LN4" s="171">
        <f>JG3*$MR$2</f>
        <v>21371.024070841213</v>
      </c>
      <c r="LS4" s="171">
        <f>JL3*$MR$2</f>
        <v>27795.228631245947</v>
      </c>
      <c r="LX4" s="171">
        <f>JQ3*$MR$2</f>
        <v>30852.896001001627</v>
      </c>
      <c r="MC4" s="171">
        <f>JV3*$MR$2</f>
        <v>29462.902790141427</v>
      </c>
      <c r="MH4" s="171">
        <f>KA3*$MR$2</f>
        <v>30219.714725375085</v>
      </c>
      <c r="MM4" s="171">
        <f>KF3*$MR$2</f>
        <v>28421.708467946075</v>
      </c>
      <c r="MR4" s="171">
        <f>KK3*$MR$2</f>
        <v>14736.338138856132</v>
      </c>
      <c r="MW4" s="171">
        <f>KP3*$OZ$2</f>
        <v>31523.298333818424</v>
      </c>
      <c r="NA4" s="171"/>
      <c r="NB4" s="171">
        <f>KT3*$OZ$2</f>
        <v>26557.634454291583</v>
      </c>
      <c r="NG4" s="171">
        <f>KY3*$OZ$2</f>
        <v>28620.750754065302</v>
      </c>
      <c r="NL4" s="171">
        <f>LD3*$OZ$2</f>
        <v>27687.350361784098</v>
      </c>
      <c r="NQ4" s="171">
        <f>LI3*$OZ$2</f>
        <v>31348.910352432649</v>
      </c>
      <c r="NV4" s="171">
        <f>LN3*$OZ$2</f>
        <v>24362.967440758988</v>
      </c>
      <c r="OA4" s="171">
        <f>LS3*$OZ$2</f>
        <v>31686.560639620384</v>
      </c>
      <c r="OF4" s="171">
        <f>LX3*$OZ$2</f>
        <v>35172.301441141863</v>
      </c>
      <c r="OK4" s="171">
        <f>MC3*$OZ$2</f>
        <v>33587.709180761231</v>
      </c>
      <c r="OP4" s="171">
        <f>MH3*$OZ$2</f>
        <v>34450.474786927603</v>
      </c>
      <c r="OU4" s="171">
        <f>MM3*$OZ$2</f>
        <v>32400.747653458533</v>
      </c>
      <c r="OZ4" s="171">
        <f>MR3*$OZ$2</f>
        <v>16799.425478295994</v>
      </c>
      <c r="PE4" s="171">
        <f>MW3*$RG$2</f>
        <v>35936.560100553004</v>
      </c>
      <c r="PI4" s="171">
        <f>NB3*$RG$2</f>
        <v>30275.703277892408</v>
      </c>
      <c r="PN4" s="171">
        <f>NG3*$RG$2</f>
        <v>32627.655859634448</v>
      </c>
      <c r="PS4" s="171">
        <f>NL3*$RG$2</f>
        <v>31563.579412433875</v>
      </c>
      <c r="PX4" s="171">
        <f>NQ3*$RG$2</f>
        <v>35737.757801773223</v>
      </c>
      <c r="QC4" s="171">
        <f>NV3*$RG$2</f>
        <v>27773.782882465246</v>
      </c>
      <c r="QH4" s="171">
        <f>OA3*$RG$2</f>
        <v>36122.679129167242</v>
      </c>
      <c r="QM4" s="171">
        <f>OF3*$RG$2</f>
        <v>40096.423642901726</v>
      </c>
      <c r="QR4" s="171">
        <f>OK3*$RG$2</f>
        <v>38289.988466067807</v>
      </c>
      <c r="QW4" s="171">
        <f>OP3*$RG$2</f>
        <v>39273.541257097473</v>
      </c>
      <c r="RB4" s="171">
        <f>OU3*$RG$2</f>
        <v>36936.852324942731</v>
      </c>
      <c r="RG4" s="171">
        <f>OZ3*$RG$2</f>
        <v>19151.345045257436</v>
      </c>
      <c r="RL4" s="171">
        <f>PE3*$TN$2</f>
        <v>40967.678514630425</v>
      </c>
      <c r="RP4" s="171">
        <f>PI3*$TN$2</f>
        <v>34514.301736797344</v>
      </c>
      <c r="RU4" s="171">
        <f>PN3*$TN$2</f>
        <v>37195.527679983272</v>
      </c>
      <c r="RZ4" s="171">
        <f>PS3*$TN$2</f>
        <v>35982.480530174616</v>
      </c>
      <c r="SE4" s="171">
        <f>PX3*$TN$2</f>
        <v>40741.043894021474</v>
      </c>
      <c r="SJ4" s="171">
        <f>QC3*$TN$2</f>
        <v>31662.112486010381</v>
      </c>
      <c r="SO4" s="171">
        <f>QH3*$TN$2</f>
        <v>41179.854207250653</v>
      </c>
      <c r="ST4" s="171">
        <f>QM3*$TN$2</f>
        <v>45709.922952907968</v>
      </c>
      <c r="SY4" s="171">
        <f>QR3*$TN$2</f>
        <v>43650.586851317305</v>
      </c>
      <c r="TD4" s="171">
        <f>QW3*$TN$2</f>
        <v>44771.83703309112</v>
      </c>
      <c r="TI4" s="171">
        <f>RB3*$TN$2</f>
        <v>42108.01165043471</v>
      </c>
      <c r="TN4" s="171">
        <f>RG3*$TN$2</f>
        <v>21832.53335159348</v>
      </c>
    </row>
    <row r="5" spans="1:534" x14ac:dyDescent="0.3">
      <c r="B5" s="7" t="s">
        <v>364</v>
      </c>
      <c r="C5" s="7"/>
      <c r="D5" s="7"/>
      <c r="E5" s="7"/>
      <c r="F5" s="7"/>
      <c r="G5" s="7" t="s">
        <v>365</v>
      </c>
      <c r="H5" s="7"/>
      <c r="I5" s="7"/>
      <c r="J5" s="7"/>
      <c r="K5" s="7" t="s">
        <v>366</v>
      </c>
      <c r="L5" s="7"/>
      <c r="M5" s="7"/>
      <c r="N5" s="7"/>
      <c r="O5" s="7"/>
      <c r="P5" s="7" t="s">
        <v>367</v>
      </c>
      <c r="Q5" s="7"/>
      <c r="R5" s="7"/>
      <c r="S5" s="7"/>
      <c r="T5" s="7"/>
      <c r="U5" s="7" t="s">
        <v>368</v>
      </c>
      <c r="V5" s="7"/>
      <c r="W5" s="7"/>
      <c r="X5" s="7"/>
      <c r="Y5" s="7"/>
      <c r="Z5" s="7" t="s">
        <v>369</v>
      </c>
      <c r="AA5" s="7"/>
      <c r="AB5" s="7"/>
      <c r="AC5" s="7"/>
      <c r="AD5" s="7"/>
      <c r="AE5" s="7" t="s">
        <v>370</v>
      </c>
      <c r="AF5" s="7"/>
      <c r="AG5" s="7"/>
      <c r="AH5" s="7"/>
      <c r="AI5" s="7"/>
      <c r="AJ5" s="7" t="s">
        <v>371</v>
      </c>
      <c r="AK5" s="7"/>
      <c r="AL5" s="7"/>
      <c r="AM5" s="7"/>
      <c r="AN5" s="7"/>
      <c r="AO5" s="7" t="s">
        <v>372</v>
      </c>
      <c r="AP5" s="7"/>
      <c r="AQ5" s="7"/>
      <c r="AR5" s="7"/>
      <c r="AS5" s="7"/>
      <c r="AT5" s="7" t="s">
        <v>373</v>
      </c>
      <c r="AU5" s="7"/>
      <c r="AV5" s="7"/>
      <c r="AW5" s="7"/>
      <c r="AX5" s="7"/>
      <c r="AY5" s="7" t="s">
        <v>374</v>
      </c>
      <c r="AZ5" s="7"/>
      <c r="BA5" s="7"/>
      <c r="BB5" s="7"/>
      <c r="BC5" s="7"/>
      <c r="BD5" s="7" t="s">
        <v>375</v>
      </c>
      <c r="BE5" s="7"/>
      <c r="BF5" s="7"/>
      <c r="BG5" s="7"/>
      <c r="BH5" s="7"/>
      <c r="BI5" s="7" t="s">
        <v>364</v>
      </c>
      <c r="BJ5" s="7"/>
      <c r="BK5" s="7"/>
      <c r="BL5" s="7"/>
      <c r="BM5" s="7"/>
      <c r="BN5" s="7" t="s">
        <v>365</v>
      </c>
      <c r="BO5" s="7"/>
      <c r="BP5" s="7"/>
      <c r="BQ5" s="7"/>
      <c r="BR5" s="7" t="s">
        <v>366</v>
      </c>
      <c r="BS5" s="7"/>
      <c r="BT5" s="7"/>
      <c r="BU5" s="7"/>
      <c r="BV5" s="7"/>
      <c r="BW5" s="7" t="s">
        <v>367</v>
      </c>
      <c r="BX5" s="7"/>
      <c r="BY5" s="7"/>
      <c r="BZ5" s="7"/>
      <c r="CA5" s="7"/>
      <c r="CB5" s="7" t="s">
        <v>368</v>
      </c>
      <c r="CC5" s="7"/>
      <c r="CD5" s="7"/>
      <c r="CE5" s="7"/>
      <c r="CF5" s="7"/>
      <c r="CG5" s="7" t="s">
        <v>369</v>
      </c>
      <c r="CH5" s="7"/>
      <c r="CI5" s="7"/>
      <c r="CJ5" s="7"/>
      <c r="CK5" s="7"/>
      <c r="CL5" s="7" t="s">
        <v>370</v>
      </c>
      <c r="CM5" s="7"/>
      <c r="CN5" s="7"/>
      <c r="CO5" s="7"/>
      <c r="CP5" s="7"/>
      <c r="CQ5" s="7" t="s">
        <v>371</v>
      </c>
      <c r="CR5" s="7"/>
      <c r="CS5" s="7"/>
      <c r="CT5" s="7"/>
      <c r="CU5" s="7"/>
      <c r="CV5" s="7" t="s">
        <v>372</v>
      </c>
      <c r="CW5" s="7"/>
      <c r="CX5" s="7"/>
      <c r="CY5" s="7"/>
      <c r="CZ5" s="7"/>
      <c r="DA5" s="7" t="s">
        <v>373</v>
      </c>
      <c r="DB5" s="7"/>
      <c r="DC5" s="7"/>
      <c r="DD5" s="7"/>
      <c r="DE5" s="7"/>
      <c r="DF5" s="7" t="s">
        <v>374</v>
      </c>
      <c r="DG5" s="7"/>
      <c r="DH5" s="7"/>
      <c r="DI5" s="7"/>
      <c r="DJ5" s="7"/>
      <c r="DK5" s="7" t="s">
        <v>375</v>
      </c>
      <c r="DL5" s="7"/>
      <c r="DM5" s="7"/>
      <c r="DN5" s="7"/>
      <c r="DO5" s="7"/>
      <c r="DP5" s="7" t="s">
        <v>364</v>
      </c>
      <c r="DQ5" s="7"/>
      <c r="DR5" s="7"/>
      <c r="DS5" s="7"/>
      <c r="DT5" s="7"/>
      <c r="DU5" s="7" t="s">
        <v>365</v>
      </c>
      <c r="DV5" s="7"/>
      <c r="DW5" s="7"/>
      <c r="DX5" s="7"/>
      <c r="DY5" s="7"/>
      <c r="DZ5" s="7" t="s">
        <v>366</v>
      </c>
      <c r="EA5" s="7"/>
      <c r="EB5" s="7"/>
      <c r="EC5" s="7"/>
      <c r="ED5" s="7"/>
      <c r="EE5" s="7" t="s">
        <v>367</v>
      </c>
      <c r="EF5" s="7"/>
      <c r="EG5" s="7"/>
      <c r="EH5" s="7"/>
      <c r="EI5" s="7"/>
      <c r="EJ5" s="7" t="s">
        <v>368</v>
      </c>
      <c r="EK5" s="7"/>
      <c r="EL5" s="7"/>
      <c r="EM5" s="7"/>
      <c r="EN5" s="7"/>
      <c r="EO5" s="7" t="s">
        <v>369</v>
      </c>
      <c r="EP5" s="7"/>
      <c r="EQ5" s="7"/>
      <c r="ER5" s="7"/>
      <c r="ES5" s="7"/>
      <c r="ET5" s="7" t="s">
        <v>370</v>
      </c>
      <c r="EU5" s="7"/>
      <c r="EV5" s="7"/>
      <c r="EW5" s="7"/>
      <c r="EX5" s="7"/>
      <c r="EY5" s="7" t="s">
        <v>371</v>
      </c>
      <c r="EZ5" s="7"/>
      <c r="FA5" s="7"/>
      <c r="FB5" s="7"/>
      <c r="FC5" s="7"/>
      <c r="FD5" s="7" t="s">
        <v>372</v>
      </c>
      <c r="FE5" s="7"/>
      <c r="FF5" s="7"/>
      <c r="FG5" s="7"/>
      <c r="FH5" s="7"/>
      <c r="FI5" s="7" t="s">
        <v>373</v>
      </c>
      <c r="FJ5" s="7"/>
      <c r="FK5" s="7"/>
      <c r="FL5" s="7"/>
      <c r="FM5" s="7"/>
      <c r="FN5" s="7" t="s">
        <v>374</v>
      </c>
      <c r="FO5" s="7"/>
      <c r="FP5" s="7"/>
      <c r="FQ5" s="7"/>
      <c r="FR5" s="7"/>
      <c r="FS5" s="7" t="s">
        <v>375</v>
      </c>
      <c r="FT5" s="7"/>
      <c r="FU5" s="7"/>
      <c r="FV5" s="7"/>
      <c r="FW5" s="7"/>
      <c r="FX5" s="7" t="s">
        <v>364</v>
      </c>
      <c r="FY5" s="7"/>
      <c r="FZ5" s="7"/>
      <c r="GA5" s="7"/>
      <c r="GB5" s="7"/>
      <c r="GC5" s="6" t="s">
        <v>365</v>
      </c>
      <c r="GD5" s="6"/>
      <c r="GE5" s="6"/>
      <c r="GF5" s="6"/>
      <c r="GG5" s="7" t="s">
        <v>366</v>
      </c>
      <c r="GH5" s="7"/>
      <c r="GI5" s="7"/>
      <c r="GJ5" s="7"/>
      <c r="GK5" s="7"/>
      <c r="GL5" s="7" t="s">
        <v>367</v>
      </c>
      <c r="GM5" s="7"/>
      <c r="GN5" s="7"/>
      <c r="GO5" s="7"/>
      <c r="GP5" s="7"/>
      <c r="GQ5" s="7" t="s">
        <v>368</v>
      </c>
      <c r="GR5" s="7"/>
      <c r="GS5" s="7"/>
      <c r="GT5" s="7"/>
      <c r="GU5" s="7"/>
      <c r="GV5" s="7" t="s">
        <v>369</v>
      </c>
      <c r="GW5" s="7"/>
      <c r="GX5" s="7"/>
      <c r="GY5" s="7"/>
      <c r="GZ5" s="7"/>
      <c r="HA5" s="7" t="s">
        <v>370</v>
      </c>
      <c r="HB5" s="7"/>
      <c r="HC5" s="7"/>
      <c r="HD5" s="7"/>
      <c r="HE5" s="7"/>
      <c r="HF5" s="7" t="s">
        <v>371</v>
      </c>
      <c r="HG5" s="7"/>
      <c r="HH5" s="7"/>
      <c r="HI5" s="7"/>
      <c r="HJ5" s="7"/>
      <c r="HK5" s="7" t="s">
        <v>372</v>
      </c>
      <c r="HL5" s="7"/>
      <c r="HM5" s="7"/>
      <c r="HN5" s="7"/>
      <c r="HO5" s="7"/>
      <c r="HP5" s="7" t="s">
        <v>373</v>
      </c>
      <c r="HQ5" s="7"/>
      <c r="HR5" s="7"/>
      <c r="HS5" s="7"/>
      <c r="HT5" s="7"/>
      <c r="HU5" s="7" t="s">
        <v>374</v>
      </c>
      <c r="HV5" s="7"/>
      <c r="HW5" s="7"/>
      <c r="HX5" s="7"/>
      <c r="HY5" s="7"/>
      <c r="HZ5" s="7" t="s">
        <v>375</v>
      </c>
      <c r="IA5" s="7"/>
      <c r="IB5" s="7"/>
      <c r="IC5" s="7"/>
      <c r="ID5" s="7"/>
      <c r="IE5" s="7" t="s">
        <v>364</v>
      </c>
      <c r="IF5" s="7"/>
      <c r="IG5" s="7"/>
      <c r="IH5" s="7"/>
      <c r="II5" s="7"/>
      <c r="IJ5" s="6" t="s">
        <v>365</v>
      </c>
      <c r="IK5" s="6"/>
      <c r="IL5" s="6"/>
      <c r="IM5" s="6"/>
      <c r="IN5" s="7" t="s">
        <v>366</v>
      </c>
      <c r="IO5" s="7"/>
      <c r="IP5" s="7"/>
      <c r="IQ5" s="7"/>
      <c r="IR5" s="7"/>
      <c r="IS5" s="7" t="s">
        <v>367</v>
      </c>
      <c r="IT5" s="7"/>
      <c r="IU5" s="7"/>
      <c r="IV5" s="7"/>
      <c r="IW5" s="7"/>
      <c r="IX5" s="7" t="s">
        <v>368</v>
      </c>
      <c r="IY5" s="7"/>
      <c r="IZ5" s="7"/>
      <c r="JA5" s="7"/>
      <c r="JB5" s="7"/>
      <c r="JC5" s="7" t="s">
        <v>369</v>
      </c>
      <c r="JD5" s="7"/>
      <c r="JE5" s="7"/>
      <c r="JF5" s="7"/>
      <c r="JG5" s="7"/>
      <c r="JH5" s="7" t="s">
        <v>370</v>
      </c>
      <c r="JI5" s="7"/>
      <c r="JJ5" s="7"/>
      <c r="JK5" s="7"/>
      <c r="JL5" s="7"/>
      <c r="JM5" s="7" t="s">
        <v>371</v>
      </c>
      <c r="JN5" s="7"/>
      <c r="JO5" s="7"/>
      <c r="JP5" s="7"/>
      <c r="JQ5" s="7"/>
      <c r="JR5" s="7" t="s">
        <v>372</v>
      </c>
      <c r="JS5" s="7"/>
      <c r="JT5" s="7"/>
      <c r="JU5" s="7"/>
      <c r="JV5" s="7"/>
      <c r="JW5" s="7" t="s">
        <v>373</v>
      </c>
      <c r="JX5" s="7"/>
      <c r="JY5" s="7"/>
      <c r="JZ5" s="7"/>
      <c r="KA5" s="7"/>
      <c r="KB5" s="7" t="s">
        <v>374</v>
      </c>
      <c r="KC5" s="7"/>
      <c r="KD5" s="7"/>
      <c r="KE5" s="7"/>
      <c r="KF5" s="7"/>
      <c r="KG5" s="7" t="s">
        <v>375</v>
      </c>
      <c r="KH5" s="7"/>
      <c r="KI5" s="7"/>
      <c r="KJ5" s="7"/>
      <c r="KK5" s="7"/>
      <c r="KL5" s="7" t="s">
        <v>364</v>
      </c>
      <c r="KM5" s="7"/>
      <c r="KN5" s="7"/>
      <c r="KO5" s="7"/>
      <c r="KP5" s="7"/>
      <c r="KQ5" s="6" t="s">
        <v>365</v>
      </c>
      <c r="KR5" s="6"/>
      <c r="KS5" s="6"/>
      <c r="KT5" s="6"/>
      <c r="KU5" s="7" t="s">
        <v>366</v>
      </c>
      <c r="KV5" s="7"/>
      <c r="KW5" s="7"/>
      <c r="KX5" s="7"/>
      <c r="KY5" s="7"/>
      <c r="KZ5" s="7" t="s">
        <v>367</v>
      </c>
      <c r="LA5" s="7"/>
      <c r="LB5" s="7"/>
      <c r="LC5" s="7"/>
      <c r="LD5" s="7"/>
      <c r="LE5" s="7" t="s">
        <v>368</v>
      </c>
      <c r="LF5" s="7"/>
      <c r="LG5" s="7"/>
      <c r="LH5" s="7"/>
      <c r="LI5" s="7"/>
      <c r="LJ5" s="7" t="s">
        <v>369</v>
      </c>
      <c r="LK5" s="7"/>
      <c r="LL5" s="7"/>
      <c r="LM5" s="7"/>
      <c r="LN5" s="7"/>
      <c r="LO5" s="7" t="s">
        <v>370</v>
      </c>
      <c r="LP5" s="7"/>
      <c r="LQ5" s="7"/>
      <c r="LR5" s="7"/>
      <c r="LS5" s="7"/>
      <c r="LT5" s="7" t="s">
        <v>371</v>
      </c>
      <c r="LU5" s="7"/>
      <c r="LV5" s="7"/>
      <c r="LW5" s="7"/>
      <c r="LX5" s="7"/>
      <c r="LY5" s="7" t="s">
        <v>372</v>
      </c>
      <c r="LZ5" s="7"/>
      <c r="MA5" s="7"/>
      <c r="MB5" s="7"/>
      <c r="MC5" s="7"/>
      <c r="MD5" s="7" t="s">
        <v>373</v>
      </c>
      <c r="ME5" s="7"/>
      <c r="MF5" s="7"/>
      <c r="MG5" s="7"/>
      <c r="MH5" s="7"/>
      <c r="MI5" s="7" t="s">
        <v>374</v>
      </c>
      <c r="MJ5" s="7"/>
      <c r="MK5" s="7"/>
      <c r="ML5" s="7"/>
      <c r="MM5" s="7"/>
      <c r="MN5" s="7" t="s">
        <v>375</v>
      </c>
      <c r="MO5" s="7"/>
      <c r="MP5" s="7"/>
      <c r="MQ5" s="7"/>
      <c r="MR5" s="7"/>
      <c r="MS5" s="7" t="s">
        <v>364</v>
      </c>
      <c r="MT5" s="7"/>
      <c r="MU5" s="7"/>
      <c r="MV5" s="7"/>
      <c r="MW5" s="7"/>
      <c r="MX5" s="7" t="s">
        <v>365</v>
      </c>
      <c r="MY5" s="7"/>
      <c r="MZ5" s="7"/>
      <c r="NA5" s="7"/>
      <c r="NB5" s="7"/>
      <c r="NC5" s="7" t="s">
        <v>366</v>
      </c>
      <c r="ND5" s="7"/>
      <c r="NE5" s="7"/>
      <c r="NF5" s="7"/>
      <c r="NG5" s="7"/>
      <c r="NH5" s="7" t="s">
        <v>367</v>
      </c>
      <c r="NI5" s="7"/>
      <c r="NJ5" s="7"/>
      <c r="NK5" s="7"/>
      <c r="NL5" s="7"/>
      <c r="NM5" s="7" t="s">
        <v>368</v>
      </c>
      <c r="NN5" s="7"/>
      <c r="NO5" s="7"/>
      <c r="NP5" s="7"/>
      <c r="NQ5" s="7"/>
      <c r="NR5" s="7" t="s">
        <v>369</v>
      </c>
      <c r="NS5" s="7"/>
      <c r="NT5" s="7"/>
      <c r="NU5" s="7"/>
      <c r="NV5" s="7"/>
      <c r="NW5" s="7" t="s">
        <v>370</v>
      </c>
      <c r="NX5" s="7"/>
      <c r="NY5" s="7"/>
      <c r="NZ5" s="7"/>
      <c r="OA5" s="7"/>
      <c r="OB5" s="7" t="s">
        <v>371</v>
      </c>
      <c r="OC5" s="7"/>
      <c r="OD5" s="7"/>
      <c r="OE5" s="7"/>
      <c r="OF5" s="7"/>
      <c r="OG5" s="7" t="s">
        <v>372</v>
      </c>
      <c r="OH5" s="7"/>
      <c r="OI5" s="7"/>
      <c r="OJ5" s="7"/>
      <c r="OK5" s="7"/>
      <c r="OL5" s="7" t="s">
        <v>373</v>
      </c>
      <c r="OM5" s="7"/>
      <c r="ON5" s="7"/>
      <c r="OO5" s="7"/>
      <c r="OP5" s="7"/>
      <c r="OQ5" s="7" t="s">
        <v>374</v>
      </c>
      <c r="OR5" s="7"/>
      <c r="OS5" s="7"/>
      <c r="OT5" s="7"/>
      <c r="OU5" s="7"/>
      <c r="OV5" s="7" t="s">
        <v>375</v>
      </c>
      <c r="OW5" s="7"/>
      <c r="OX5" s="7"/>
      <c r="OY5" s="7"/>
      <c r="OZ5" s="7"/>
      <c r="PA5" s="7" t="s">
        <v>364</v>
      </c>
      <c r="PB5" s="7"/>
      <c r="PC5" s="7"/>
      <c r="PD5" s="7"/>
      <c r="PE5" s="7"/>
      <c r="PF5" s="6" t="s">
        <v>365</v>
      </c>
      <c r="PG5" s="6"/>
      <c r="PH5" s="6"/>
      <c r="PI5" s="6"/>
      <c r="PJ5" s="7" t="s">
        <v>366</v>
      </c>
      <c r="PK5" s="7"/>
      <c r="PL5" s="7"/>
      <c r="PM5" s="7"/>
      <c r="PN5" s="7"/>
      <c r="PO5" s="7" t="s">
        <v>367</v>
      </c>
      <c r="PP5" s="7"/>
      <c r="PQ5" s="7"/>
      <c r="PR5" s="7"/>
      <c r="PS5" s="7"/>
      <c r="PT5" s="7" t="s">
        <v>368</v>
      </c>
      <c r="PU5" s="7"/>
      <c r="PV5" s="7"/>
      <c r="PW5" s="7"/>
      <c r="PX5" s="7"/>
      <c r="PY5" s="7" t="s">
        <v>369</v>
      </c>
      <c r="PZ5" s="7"/>
      <c r="QA5" s="7"/>
      <c r="QB5" s="7"/>
      <c r="QC5" s="7"/>
      <c r="QD5" s="7" t="s">
        <v>370</v>
      </c>
      <c r="QE5" s="7"/>
      <c r="QF5" s="7"/>
      <c r="QG5" s="7"/>
      <c r="QH5" s="7"/>
      <c r="QI5" s="7" t="s">
        <v>371</v>
      </c>
      <c r="QJ5" s="7"/>
      <c r="QK5" s="7"/>
      <c r="QL5" s="7"/>
      <c r="QM5" s="7"/>
      <c r="QN5" s="7" t="s">
        <v>372</v>
      </c>
      <c r="QO5" s="7"/>
      <c r="QP5" s="7"/>
      <c r="QQ5" s="7"/>
      <c r="QR5" s="7"/>
      <c r="QS5" s="7" t="s">
        <v>373</v>
      </c>
      <c r="QT5" s="7"/>
      <c r="QU5" s="7"/>
      <c r="QV5" s="7"/>
      <c r="QW5" s="7"/>
      <c r="QX5" s="7" t="s">
        <v>374</v>
      </c>
      <c r="QY5" s="7"/>
      <c r="QZ5" s="7"/>
      <c r="RA5" s="7"/>
      <c r="RB5" s="7"/>
      <c r="RC5" s="7" t="s">
        <v>375</v>
      </c>
      <c r="RD5" s="7"/>
      <c r="RE5" s="7"/>
      <c r="RF5" s="7"/>
      <c r="RG5" s="7"/>
      <c r="RH5" s="7" t="s">
        <v>364</v>
      </c>
      <c r="RI5" s="7"/>
      <c r="RJ5" s="7"/>
      <c r="RK5" s="7"/>
      <c r="RL5" s="7"/>
      <c r="RM5" s="6" t="s">
        <v>365</v>
      </c>
      <c r="RN5" s="6"/>
      <c r="RO5" s="6"/>
      <c r="RP5" s="6"/>
      <c r="RQ5" s="7" t="s">
        <v>366</v>
      </c>
      <c r="RR5" s="7"/>
      <c r="RS5" s="7"/>
      <c r="RT5" s="7"/>
      <c r="RU5" s="7"/>
      <c r="RV5" s="7" t="s">
        <v>367</v>
      </c>
      <c r="RW5" s="7"/>
      <c r="RX5" s="7"/>
      <c r="RY5" s="7"/>
      <c r="RZ5" s="7"/>
      <c r="SA5" s="7" t="s">
        <v>368</v>
      </c>
      <c r="SB5" s="7"/>
      <c r="SC5" s="7"/>
      <c r="SD5" s="7"/>
      <c r="SE5" s="7"/>
      <c r="SF5" s="7" t="s">
        <v>369</v>
      </c>
      <c r="SG5" s="7"/>
      <c r="SH5" s="7"/>
      <c r="SI5" s="7"/>
      <c r="SJ5" s="7"/>
      <c r="SK5" s="7" t="s">
        <v>370</v>
      </c>
      <c r="SL5" s="7"/>
      <c r="SM5" s="7"/>
      <c r="SN5" s="7"/>
      <c r="SO5" s="7"/>
      <c r="SP5" s="7" t="s">
        <v>371</v>
      </c>
      <c r="SQ5" s="7"/>
      <c r="SR5" s="7"/>
      <c r="SS5" s="7"/>
      <c r="ST5" s="7"/>
      <c r="SU5" s="7" t="s">
        <v>372</v>
      </c>
      <c r="SV5" s="7"/>
      <c r="SW5" s="7"/>
      <c r="SX5" s="7"/>
      <c r="SY5" s="7"/>
      <c r="SZ5" s="7" t="s">
        <v>373</v>
      </c>
      <c r="TA5" s="7"/>
      <c r="TB5" s="7"/>
      <c r="TC5" s="7"/>
      <c r="TD5" s="7"/>
      <c r="TE5" s="7" t="s">
        <v>374</v>
      </c>
      <c r="TF5" s="7"/>
      <c r="TG5" s="7"/>
      <c r="TH5" s="7"/>
      <c r="TI5" s="7"/>
      <c r="TJ5" s="7" t="s">
        <v>375</v>
      </c>
      <c r="TK5" s="7"/>
      <c r="TL5" s="7"/>
      <c r="TM5" s="7"/>
      <c r="TN5" s="7"/>
    </row>
    <row r="6" spans="1:534" s="174" customFormat="1" x14ac:dyDescent="0.3">
      <c r="A6" s="172" t="s">
        <v>376</v>
      </c>
      <c r="B6" s="172" t="s">
        <v>177</v>
      </c>
      <c r="C6" s="172" t="s">
        <v>178</v>
      </c>
      <c r="D6" s="172" t="s">
        <v>187</v>
      </c>
      <c r="E6" s="172" t="s">
        <v>188</v>
      </c>
      <c r="F6" s="172" t="s">
        <v>189</v>
      </c>
      <c r="G6" s="172" t="s">
        <v>177</v>
      </c>
      <c r="H6" s="172" t="s">
        <v>178</v>
      </c>
      <c r="I6" s="172" t="s">
        <v>187</v>
      </c>
      <c r="J6" s="172" t="s">
        <v>188</v>
      </c>
      <c r="K6" s="172" t="s">
        <v>177</v>
      </c>
      <c r="L6" s="172" t="s">
        <v>178</v>
      </c>
      <c r="M6" s="172" t="s">
        <v>187</v>
      </c>
      <c r="N6" s="172" t="s">
        <v>188</v>
      </c>
      <c r="O6" s="172" t="s">
        <v>189</v>
      </c>
      <c r="P6" s="172" t="s">
        <v>177</v>
      </c>
      <c r="Q6" s="172" t="s">
        <v>178</v>
      </c>
      <c r="R6" s="172" t="s">
        <v>187</v>
      </c>
      <c r="S6" s="172" t="s">
        <v>188</v>
      </c>
      <c r="T6" s="172" t="s">
        <v>189</v>
      </c>
      <c r="U6" s="172" t="s">
        <v>177</v>
      </c>
      <c r="V6" s="172" t="s">
        <v>178</v>
      </c>
      <c r="W6" s="172" t="s">
        <v>187</v>
      </c>
      <c r="X6" s="172" t="s">
        <v>188</v>
      </c>
      <c r="Y6" s="172" t="s">
        <v>189</v>
      </c>
      <c r="Z6" s="172" t="s">
        <v>177</v>
      </c>
      <c r="AA6" s="172" t="s">
        <v>178</v>
      </c>
      <c r="AB6" s="172" t="s">
        <v>187</v>
      </c>
      <c r="AC6" s="172" t="s">
        <v>188</v>
      </c>
      <c r="AD6" s="172" t="s">
        <v>189</v>
      </c>
      <c r="AE6" s="172" t="s">
        <v>177</v>
      </c>
      <c r="AF6" s="172" t="s">
        <v>178</v>
      </c>
      <c r="AG6" s="172" t="s">
        <v>187</v>
      </c>
      <c r="AH6" s="172" t="s">
        <v>188</v>
      </c>
      <c r="AI6" s="172" t="s">
        <v>189</v>
      </c>
      <c r="AJ6" s="172" t="s">
        <v>177</v>
      </c>
      <c r="AK6" s="172" t="s">
        <v>178</v>
      </c>
      <c r="AL6" s="172" t="s">
        <v>187</v>
      </c>
      <c r="AM6" s="172" t="s">
        <v>188</v>
      </c>
      <c r="AN6" s="172" t="s">
        <v>189</v>
      </c>
      <c r="AO6" s="172" t="s">
        <v>177</v>
      </c>
      <c r="AP6" s="172" t="s">
        <v>178</v>
      </c>
      <c r="AQ6" s="173" t="s">
        <v>187</v>
      </c>
      <c r="AR6" s="172" t="s">
        <v>188</v>
      </c>
      <c r="AS6" s="172" t="s">
        <v>189</v>
      </c>
      <c r="AT6" s="172" t="s">
        <v>177</v>
      </c>
      <c r="AU6" s="172" t="s">
        <v>178</v>
      </c>
      <c r="AV6" s="172" t="s">
        <v>187</v>
      </c>
      <c r="AW6" s="172" t="s">
        <v>188</v>
      </c>
      <c r="AX6" s="172" t="s">
        <v>189</v>
      </c>
      <c r="AY6" s="172" t="s">
        <v>177</v>
      </c>
      <c r="AZ6" s="172" t="s">
        <v>178</v>
      </c>
      <c r="BA6" s="172" t="s">
        <v>187</v>
      </c>
      <c r="BB6" s="172" t="s">
        <v>188</v>
      </c>
      <c r="BC6" s="172" t="s">
        <v>189</v>
      </c>
      <c r="BD6" s="172" t="s">
        <v>177</v>
      </c>
      <c r="BE6" s="172" t="s">
        <v>178</v>
      </c>
      <c r="BF6" s="172" t="s">
        <v>187</v>
      </c>
      <c r="BG6" s="172" t="s">
        <v>188</v>
      </c>
      <c r="BH6" s="172" t="s">
        <v>189</v>
      </c>
      <c r="BI6" s="172" t="s">
        <v>177</v>
      </c>
      <c r="BJ6" s="172" t="s">
        <v>178</v>
      </c>
      <c r="BK6" s="172" t="s">
        <v>187</v>
      </c>
      <c r="BL6" s="172" t="s">
        <v>188</v>
      </c>
      <c r="BM6" s="172" t="s">
        <v>189</v>
      </c>
      <c r="BN6" s="172" t="s">
        <v>177</v>
      </c>
      <c r="BO6" s="172" t="s">
        <v>178</v>
      </c>
      <c r="BP6" s="172" t="s">
        <v>187</v>
      </c>
      <c r="BQ6" s="172" t="s">
        <v>188</v>
      </c>
      <c r="BR6" s="172" t="s">
        <v>177</v>
      </c>
      <c r="BS6" s="172" t="s">
        <v>178</v>
      </c>
      <c r="BT6" s="172" t="s">
        <v>187</v>
      </c>
      <c r="BU6" s="172" t="s">
        <v>188</v>
      </c>
      <c r="BV6" s="172" t="s">
        <v>189</v>
      </c>
      <c r="BW6" s="172" t="s">
        <v>177</v>
      </c>
      <c r="BX6" s="172" t="s">
        <v>178</v>
      </c>
      <c r="BY6" s="172" t="s">
        <v>187</v>
      </c>
      <c r="BZ6" s="172" t="s">
        <v>188</v>
      </c>
      <c r="CA6" s="172" t="s">
        <v>189</v>
      </c>
      <c r="CB6" s="172" t="s">
        <v>177</v>
      </c>
      <c r="CC6" s="172" t="s">
        <v>178</v>
      </c>
      <c r="CD6" s="172" t="s">
        <v>187</v>
      </c>
      <c r="CE6" s="172" t="s">
        <v>188</v>
      </c>
      <c r="CF6" s="172" t="s">
        <v>189</v>
      </c>
      <c r="CG6" s="172" t="s">
        <v>177</v>
      </c>
      <c r="CH6" s="172" t="s">
        <v>178</v>
      </c>
      <c r="CI6" s="172" t="s">
        <v>187</v>
      </c>
      <c r="CJ6" s="172" t="s">
        <v>188</v>
      </c>
      <c r="CK6" s="172" t="s">
        <v>189</v>
      </c>
      <c r="CL6" s="172" t="s">
        <v>177</v>
      </c>
      <c r="CM6" s="172" t="s">
        <v>178</v>
      </c>
      <c r="CN6" s="172" t="s">
        <v>187</v>
      </c>
      <c r="CO6" s="172" t="s">
        <v>188</v>
      </c>
      <c r="CP6" s="172" t="s">
        <v>189</v>
      </c>
      <c r="CQ6" s="172" t="s">
        <v>177</v>
      </c>
      <c r="CR6" s="172" t="s">
        <v>178</v>
      </c>
      <c r="CS6" s="172" t="s">
        <v>187</v>
      </c>
      <c r="CT6" s="172" t="s">
        <v>188</v>
      </c>
      <c r="CU6" s="172" t="s">
        <v>189</v>
      </c>
      <c r="CV6" s="172" t="s">
        <v>177</v>
      </c>
      <c r="CW6" s="172" t="s">
        <v>178</v>
      </c>
      <c r="CX6" s="172" t="s">
        <v>187</v>
      </c>
      <c r="CY6" s="172" t="s">
        <v>188</v>
      </c>
      <c r="CZ6" s="172" t="s">
        <v>189</v>
      </c>
      <c r="DA6" s="172" t="s">
        <v>177</v>
      </c>
      <c r="DB6" s="172" t="s">
        <v>178</v>
      </c>
      <c r="DC6" s="172" t="s">
        <v>187</v>
      </c>
      <c r="DD6" s="172" t="s">
        <v>188</v>
      </c>
      <c r="DE6" s="172" t="s">
        <v>189</v>
      </c>
      <c r="DF6" s="172" t="s">
        <v>177</v>
      </c>
      <c r="DG6" s="172" t="s">
        <v>178</v>
      </c>
      <c r="DH6" s="172" t="s">
        <v>187</v>
      </c>
      <c r="DI6" s="172" t="s">
        <v>188</v>
      </c>
      <c r="DJ6" s="172" t="s">
        <v>189</v>
      </c>
      <c r="DK6" s="172" t="s">
        <v>177</v>
      </c>
      <c r="DL6" s="172" t="s">
        <v>178</v>
      </c>
      <c r="DM6" s="172" t="s">
        <v>187</v>
      </c>
      <c r="DN6" s="172" t="s">
        <v>188</v>
      </c>
      <c r="DO6" s="172" t="s">
        <v>189</v>
      </c>
      <c r="DP6" s="172" t="s">
        <v>177</v>
      </c>
      <c r="DQ6" s="172" t="s">
        <v>178</v>
      </c>
      <c r="DR6" s="172" t="s">
        <v>187</v>
      </c>
      <c r="DS6" s="172" t="s">
        <v>188</v>
      </c>
      <c r="DT6" s="172" t="s">
        <v>189</v>
      </c>
      <c r="DU6" s="172" t="s">
        <v>177</v>
      </c>
      <c r="DV6" s="172" t="s">
        <v>178</v>
      </c>
      <c r="DW6" s="172" t="s">
        <v>187</v>
      </c>
      <c r="DX6" s="172" t="s">
        <v>188</v>
      </c>
      <c r="DY6" s="172" t="s">
        <v>189</v>
      </c>
      <c r="DZ6" s="172" t="s">
        <v>177</v>
      </c>
      <c r="EA6" s="172" t="s">
        <v>178</v>
      </c>
      <c r="EB6" s="172" t="s">
        <v>187</v>
      </c>
      <c r="EC6" s="172" t="s">
        <v>188</v>
      </c>
      <c r="ED6" s="172" t="s">
        <v>189</v>
      </c>
      <c r="EE6" s="172" t="s">
        <v>177</v>
      </c>
      <c r="EF6" s="172" t="s">
        <v>178</v>
      </c>
      <c r="EG6" s="172" t="s">
        <v>187</v>
      </c>
      <c r="EH6" s="172" t="s">
        <v>188</v>
      </c>
      <c r="EI6" s="172" t="s">
        <v>189</v>
      </c>
      <c r="EJ6" s="172" t="s">
        <v>177</v>
      </c>
      <c r="EK6" s="172" t="s">
        <v>178</v>
      </c>
      <c r="EL6" s="172" t="s">
        <v>187</v>
      </c>
      <c r="EM6" s="172" t="s">
        <v>188</v>
      </c>
      <c r="EN6" s="172" t="s">
        <v>189</v>
      </c>
      <c r="EO6" s="172" t="s">
        <v>177</v>
      </c>
      <c r="EP6" s="172" t="s">
        <v>178</v>
      </c>
      <c r="EQ6" s="172" t="s">
        <v>187</v>
      </c>
      <c r="ER6" s="172" t="s">
        <v>188</v>
      </c>
      <c r="ES6" s="172" t="s">
        <v>189</v>
      </c>
      <c r="ET6" s="172" t="s">
        <v>177</v>
      </c>
      <c r="EU6" s="172" t="s">
        <v>178</v>
      </c>
      <c r="EV6" s="172" t="s">
        <v>187</v>
      </c>
      <c r="EW6" s="172" t="s">
        <v>188</v>
      </c>
      <c r="EX6" s="172" t="s">
        <v>189</v>
      </c>
      <c r="EY6" s="172" t="s">
        <v>177</v>
      </c>
      <c r="EZ6" s="172" t="s">
        <v>178</v>
      </c>
      <c r="FA6" s="172" t="s">
        <v>187</v>
      </c>
      <c r="FB6" s="172" t="s">
        <v>188</v>
      </c>
      <c r="FC6" s="172" t="s">
        <v>189</v>
      </c>
      <c r="FD6" s="172" t="s">
        <v>177</v>
      </c>
      <c r="FE6" s="172" t="s">
        <v>178</v>
      </c>
      <c r="FF6" s="172" t="s">
        <v>187</v>
      </c>
      <c r="FG6" s="172" t="s">
        <v>188</v>
      </c>
      <c r="FH6" s="172" t="s">
        <v>189</v>
      </c>
      <c r="FI6" s="172" t="s">
        <v>177</v>
      </c>
      <c r="FJ6" s="172" t="s">
        <v>178</v>
      </c>
      <c r="FK6" s="172" t="s">
        <v>187</v>
      </c>
      <c r="FL6" s="172" t="s">
        <v>188</v>
      </c>
      <c r="FM6" s="172" t="s">
        <v>189</v>
      </c>
      <c r="FN6" s="172" t="s">
        <v>177</v>
      </c>
      <c r="FO6" s="172" t="s">
        <v>178</v>
      </c>
      <c r="FP6" s="172" t="s">
        <v>187</v>
      </c>
      <c r="FQ6" s="172" t="s">
        <v>188</v>
      </c>
      <c r="FR6" s="172" t="s">
        <v>189</v>
      </c>
      <c r="FS6" s="172" t="s">
        <v>177</v>
      </c>
      <c r="FT6" s="172" t="s">
        <v>178</v>
      </c>
      <c r="FU6" s="172" t="s">
        <v>187</v>
      </c>
      <c r="FV6" s="172" t="s">
        <v>188</v>
      </c>
      <c r="FW6" s="172" t="s">
        <v>189</v>
      </c>
      <c r="FX6" s="172" t="s">
        <v>177</v>
      </c>
      <c r="FY6" s="172" t="s">
        <v>178</v>
      </c>
      <c r="FZ6" s="172" t="s">
        <v>187</v>
      </c>
      <c r="GA6" s="172" t="s">
        <v>188</v>
      </c>
      <c r="GB6" s="172" t="s">
        <v>189</v>
      </c>
      <c r="GC6" s="172" t="s">
        <v>177</v>
      </c>
      <c r="GD6" s="172" t="s">
        <v>178</v>
      </c>
      <c r="GE6" s="172" t="s">
        <v>187</v>
      </c>
      <c r="GF6" s="172" t="s">
        <v>188</v>
      </c>
      <c r="GG6" s="172" t="s">
        <v>177</v>
      </c>
      <c r="GH6" s="172" t="s">
        <v>178</v>
      </c>
      <c r="GI6" s="172" t="s">
        <v>187</v>
      </c>
      <c r="GJ6" s="172" t="s">
        <v>188</v>
      </c>
      <c r="GK6" s="172" t="s">
        <v>189</v>
      </c>
      <c r="GL6" s="172" t="s">
        <v>177</v>
      </c>
      <c r="GM6" s="172" t="s">
        <v>178</v>
      </c>
      <c r="GN6" s="172" t="s">
        <v>187</v>
      </c>
      <c r="GO6" s="172" t="s">
        <v>188</v>
      </c>
      <c r="GP6" s="172" t="s">
        <v>189</v>
      </c>
      <c r="GQ6" s="172" t="s">
        <v>177</v>
      </c>
      <c r="GR6" s="172" t="s">
        <v>178</v>
      </c>
      <c r="GS6" s="172" t="s">
        <v>187</v>
      </c>
      <c r="GT6" s="172" t="s">
        <v>188</v>
      </c>
      <c r="GU6" s="172" t="s">
        <v>189</v>
      </c>
      <c r="GV6" s="172" t="s">
        <v>177</v>
      </c>
      <c r="GW6" s="172" t="s">
        <v>178</v>
      </c>
      <c r="GX6" s="172" t="s">
        <v>187</v>
      </c>
      <c r="GY6" s="172" t="s">
        <v>188</v>
      </c>
      <c r="GZ6" s="172" t="s">
        <v>189</v>
      </c>
      <c r="HA6" s="172" t="s">
        <v>177</v>
      </c>
      <c r="HB6" s="172" t="s">
        <v>178</v>
      </c>
      <c r="HC6" s="172" t="s">
        <v>187</v>
      </c>
      <c r="HD6" s="172" t="s">
        <v>188</v>
      </c>
      <c r="HE6" s="172" t="s">
        <v>189</v>
      </c>
      <c r="HF6" s="172" t="s">
        <v>177</v>
      </c>
      <c r="HG6" s="172" t="s">
        <v>178</v>
      </c>
      <c r="HH6" s="172" t="s">
        <v>187</v>
      </c>
      <c r="HI6" s="172" t="s">
        <v>188</v>
      </c>
      <c r="HJ6" s="172" t="s">
        <v>189</v>
      </c>
      <c r="HK6" s="172" t="s">
        <v>177</v>
      </c>
      <c r="HL6" s="172" t="s">
        <v>178</v>
      </c>
      <c r="HM6" s="172" t="s">
        <v>187</v>
      </c>
      <c r="HN6" s="172" t="s">
        <v>188</v>
      </c>
      <c r="HO6" s="172" t="s">
        <v>189</v>
      </c>
      <c r="HP6" s="172" t="s">
        <v>177</v>
      </c>
      <c r="HQ6" s="172" t="s">
        <v>178</v>
      </c>
      <c r="HR6" s="172" t="s">
        <v>187</v>
      </c>
      <c r="HS6" s="172" t="s">
        <v>188</v>
      </c>
      <c r="HT6" s="172" t="s">
        <v>189</v>
      </c>
      <c r="HU6" s="172" t="s">
        <v>177</v>
      </c>
      <c r="HV6" s="172" t="s">
        <v>178</v>
      </c>
      <c r="HW6" s="172" t="s">
        <v>187</v>
      </c>
      <c r="HX6" s="172" t="s">
        <v>188</v>
      </c>
      <c r="HY6" s="172" t="s">
        <v>189</v>
      </c>
      <c r="HZ6" s="172" t="s">
        <v>177</v>
      </c>
      <c r="IA6" s="172" t="s">
        <v>178</v>
      </c>
      <c r="IB6" s="172" t="s">
        <v>187</v>
      </c>
      <c r="IC6" s="172" t="s">
        <v>188</v>
      </c>
      <c r="ID6" s="172" t="s">
        <v>189</v>
      </c>
      <c r="IE6" s="172" t="s">
        <v>177</v>
      </c>
      <c r="IF6" s="172" t="s">
        <v>178</v>
      </c>
      <c r="IG6" s="172" t="s">
        <v>187</v>
      </c>
      <c r="IH6" s="172" t="s">
        <v>188</v>
      </c>
      <c r="II6" s="172" t="s">
        <v>189</v>
      </c>
      <c r="IJ6" s="172" t="s">
        <v>177</v>
      </c>
      <c r="IK6" s="172" t="s">
        <v>178</v>
      </c>
      <c r="IL6" s="172" t="s">
        <v>187</v>
      </c>
      <c r="IM6" s="172" t="s">
        <v>188</v>
      </c>
      <c r="IN6" s="172" t="s">
        <v>177</v>
      </c>
      <c r="IO6" s="172" t="s">
        <v>178</v>
      </c>
      <c r="IP6" s="172" t="s">
        <v>187</v>
      </c>
      <c r="IQ6" s="172" t="s">
        <v>188</v>
      </c>
      <c r="IR6" s="172" t="s">
        <v>189</v>
      </c>
      <c r="IS6" s="172" t="s">
        <v>177</v>
      </c>
      <c r="IT6" s="172" t="s">
        <v>178</v>
      </c>
      <c r="IU6" s="172" t="s">
        <v>187</v>
      </c>
      <c r="IV6" s="172" t="s">
        <v>188</v>
      </c>
      <c r="IW6" s="172" t="s">
        <v>189</v>
      </c>
      <c r="IX6" s="172" t="s">
        <v>177</v>
      </c>
      <c r="IY6" s="172" t="s">
        <v>178</v>
      </c>
      <c r="IZ6" s="172" t="s">
        <v>187</v>
      </c>
      <c r="JA6" s="172" t="s">
        <v>188</v>
      </c>
      <c r="JB6" s="172" t="s">
        <v>189</v>
      </c>
      <c r="JC6" s="172" t="s">
        <v>177</v>
      </c>
      <c r="JD6" s="172" t="s">
        <v>178</v>
      </c>
      <c r="JE6" s="172" t="s">
        <v>187</v>
      </c>
      <c r="JF6" s="172" t="s">
        <v>188</v>
      </c>
      <c r="JG6" s="172" t="s">
        <v>189</v>
      </c>
      <c r="JH6" s="172" t="s">
        <v>177</v>
      </c>
      <c r="JI6" s="172" t="s">
        <v>178</v>
      </c>
      <c r="JJ6" s="172" t="s">
        <v>187</v>
      </c>
      <c r="JK6" s="172" t="s">
        <v>188</v>
      </c>
      <c r="JL6" s="172" t="s">
        <v>189</v>
      </c>
      <c r="JM6" s="172" t="s">
        <v>177</v>
      </c>
      <c r="JN6" s="172" t="s">
        <v>178</v>
      </c>
      <c r="JO6" s="172" t="s">
        <v>187</v>
      </c>
      <c r="JP6" s="172" t="s">
        <v>188</v>
      </c>
      <c r="JQ6" s="172" t="s">
        <v>189</v>
      </c>
      <c r="JR6" s="172" t="s">
        <v>177</v>
      </c>
      <c r="JS6" s="172" t="s">
        <v>178</v>
      </c>
      <c r="JT6" s="172" t="s">
        <v>187</v>
      </c>
      <c r="JU6" s="172" t="s">
        <v>188</v>
      </c>
      <c r="JV6" s="172" t="s">
        <v>189</v>
      </c>
      <c r="JW6" s="172" t="s">
        <v>177</v>
      </c>
      <c r="JX6" s="172" t="s">
        <v>178</v>
      </c>
      <c r="JY6" s="172" t="s">
        <v>187</v>
      </c>
      <c r="JZ6" s="172" t="s">
        <v>188</v>
      </c>
      <c r="KA6" s="172" t="s">
        <v>189</v>
      </c>
      <c r="KB6" s="172" t="s">
        <v>177</v>
      </c>
      <c r="KC6" s="172" t="s">
        <v>178</v>
      </c>
      <c r="KD6" s="172" t="s">
        <v>187</v>
      </c>
      <c r="KE6" s="172" t="s">
        <v>188</v>
      </c>
      <c r="KF6" s="172" t="s">
        <v>189</v>
      </c>
      <c r="KG6" s="172" t="s">
        <v>177</v>
      </c>
      <c r="KH6" s="172" t="s">
        <v>178</v>
      </c>
      <c r="KI6" s="172" t="s">
        <v>187</v>
      </c>
      <c r="KJ6" s="172" t="s">
        <v>188</v>
      </c>
      <c r="KK6" s="172" t="s">
        <v>189</v>
      </c>
      <c r="KL6" s="172" t="s">
        <v>177</v>
      </c>
      <c r="KM6" s="172" t="s">
        <v>178</v>
      </c>
      <c r="KN6" s="172" t="s">
        <v>187</v>
      </c>
      <c r="KO6" s="172" t="s">
        <v>188</v>
      </c>
      <c r="KP6" s="172" t="s">
        <v>189</v>
      </c>
      <c r="KQ6" s="172" t="s">
        <v>177</v>
      </c>
      <c r="KR6" s="172" t="s">
        <v>178</v>
      </c>
      <c r="KS6" s="172" t="s">
        <v>187</v>
      </c>
      <c r="KT6" s="172" t="s">
        <v>188</v>
      </c>
      <c r="KU6" s="172" t="s">
        <v>177</v>
      </c>
      <c r="KV6" s="172" t="s">
        <v>178</v>
      </c>
      <c r="KW6" s="172" t="s">
        <v>187</v>
      </c>
      <c r="KX6" s="172" t="s">
        <v>188</v>
      </c>
      <c r="KY6" s="172" t="s">
        <v>189</v>
      </c>
      <c r="KZ6" s="172" t="s">
        <v>177</v>
      </c>
      <c r="LA6" s="172" t="s">
        <v>178</v>
      </c>
      <c r="LB6" s="172" t="s">
        <v>187</v>
      </c>
      <c r="LC6" s="172" t="s">
        <v>188</v>
      </c>
      <c r="LD6" s="172" t="s">
        <v>189</v>
      </c>
      <c r="LE6" s="172" t="s">
        <v>177</v>
      </c>
      <c r="LF6" s="172" t="s">
        <v>178</v>
      </c>
      <c r="LG6" s="172" t="s">
        <v>187</v>
      </c>
      <c r="LH6" s="172" t="s">
        <v>188</v>
      </c>
      <c r="LI6" s="172" t="s">
        <v>189</v>
      </c>
      <c r="LJ6" s="172" t="s">
        <v>177</v>
      </c>
      <c r="LK6" s="172" t="s">
        <v>178</v>
      </c>
      <c r="LL6" s="172" t="s">
        <v>187</v>
      </c>
      <c r="LM6" s="172" t="s">
        <v>188</v>
      </c>
      <c r="LN6" s="172" t="s">
        <v>189</v>
      </c>
      <c r="LO6" s="172" t="s">
        <v>177</v>
      </c>
      <c r="LP6" s="172" t="s">
        <v>178</v>
      </c>
      <c r="LQ6" s="172" t="s">
        <v>187</v>
      </c>
      <c r="LR6" s="172" t="s">
        <v>188</v>
      </c>
      <c r="LS6" s="172" t="s">
        <v>189</v>
      </c>
      <c r="LT6" s="172" t="s">
        <v>177</v>
      </c>
      <c r="LU6" s="172" t="s">
        <v>178</v>
      </c>
      <c r="LV6" s="172" t="s">
        <v>187</v>
      </c>
      <c r="LW6" s="172" t="s">
        <v>188</v>
      </c>
      <c r="LX6" s="172" t="s">
        <v>189</v>
      </c>
      <c r="LY6" s="172" t="s">
        <v>177</v>
      </c>
      <c r="LZ6" s="172" t="s">
        <v>178</v>
      </c>
      <c r="MA6" s="172" t="s">
        <v>187</v>
      </c>
      <c r="MB6" s="172" t="s">
        <v>188</v>
      </c>
      <c r="MC6" s="172" t="s">
        <v>189</v>
      </c>
      <c r="MD6" s="172" t="s">
        <v>177</v>
      </c>
      <c r="ME6" s="172" t="s">
        <v>178</v>
      </c>
      <c r="MF6" s="172" t="s">
        <v>187</v>
      </c>
      <c r="MG6" s="172" t="s">
        <v>188</v>
      </c>
      <c r="MH6" s="172" t="s">
        <v>189</v>
      </c>
      <c r="MI6" s="172" t="s">
        <v>177</v>
      </c>
      <c r="MJ6" s="172" t="s">
        <v>178</v>
      </c>
      <c r="MK6" s="172" t="s">
        <v>187</v>
      </c>
      <c r="ML6" s="172" t="s">
        <v>188</v>
      </c>
      <c r="MM6" s="172" t="s">
        <v>189</v>
      </c>
      <c r="MN6" s="172" t="s">
        <v>177</v>
      </c>
      <c r="MO6" s="172" t="s">
        <v>178</v>
      </c>
      <c r="MP6" s="172" t="s">
        <v>187</v>
      </c>
      <c r="MQ6" s="172" t="s">
        <v>188</v>
      </c>
      <c r="MR6" s="172" t="s">
        <v>189</v>
      </c>
      <c r="MS6" s="172" t="s">
        <v>177</v>
      </c>
      <c r="MT6" s="172" t="s">
        <v>178</v>
      </c>
      <c r="MU6" s="172" t="s">
        <v>187</v>
      </c>
      <c r="MV6" s="172" t="s">
        <v>188</v>
      </c>
      <c r="MW6" s="172" t="s">
        <v>189</v>
      </c>
      <c r="MX6" s="172" t="s">
        <v>177</v>
      </c>
      <c r="MY6" s="172" t="s">
        <v>178</v>
      </c>
      <c r="MZ6" s="172" t="s">
        <v>187</v>
      </c>
      <c r="NA6" s="172" t="s">
        <v>188</v>
      </c>
      <c r="NB6" s="172" t="s">
        <v>189</v>
      </c>
      <c r="NC6" s="172" t="s">
        <v>177</v>
      </c>
      <c r="ND6" s="172" t="s">
        <v>178</v>
      </c>
      <c r="NE6" s="172" t="s">
        <v>187</v>
      </c>
      <c r="NF6" s="172" t="s">
        <v>188</v>
      </c>
      <c r="NG6" s="172" t="s">
        <v>189</v>
      </c>
      <c r="NH6" s="172" t="s">
        <v>177</v>
      </c>
      <c r="NI6" s="172" t="s">
        <v>178</v>
      </c>
      <c r="NJ6" s="172" t="s">
        <v>187</v>
      </c>
      <c r="NK6" s="172" t="s">
        <v>188</v>
      </c>
      <c r="NL6" s="172" t="s">
        <v>189</v>
      </c>
      <c r="NM6" s="172" t="s">
        <v>177</v>
      </c>
      <c r="NN6" s="172" t="s">
        <v>178</v>
      </c>
      <c r="NO6" s="172" t="s">
        <v>187</v>
      </c>
      <c r="NP6" s="172" t="s">
        <v>188</v>
      </c>
      <c r="NQ6" s="172" t="s">
        <v>189</v>
      </c>
      <c r="NR6" s="172" t="s">
        <v>177</v>
      </c>
      <c r="NS6" s="172" t="s">
        <v>178</v>
      </c>
      <c r="NT6" s="172" t="s">
        <v>187</v>
      </c>
      <c r="NU6" s="172" t="s">
        <v>188</v>
      </c>
      <c r="NV6" s="172" t="s">
        <v>189</v>
      </c>
      <c r="NW6" s="172" t="s">
        <v>177</v>
      </c>
      <c r="NX6" s="172" t="s">
        <v>178</v>
      </c>
      <c r="NY6" s="172" t="s">
        <v>187</v>
      </c>
      <c r="NZ6" s="172" t="s">
        <v>188</v>
      </c>
      <c r="OA6" s="172" t="s">
        <v>189</v>
      </c>
      <c r="OB6" s="172" t="s">
        <v>177</v>
      </c>
      <c r="OC6" s="172" t="s">
        <v>178</v>
      </c>
      <c r="OD6" s="172" t="s">
        <v>187</v>
      </c>
      <c r="OE6" s="172" t="s">
        <v>188</v>
      </c>
      <c r="OF6" s="172" t="s">
        <v>189</v>
      </c>
      <c r="OG6" s="172" t="s">
        <v>177</v>
      </c>
      <c r="OH6" s="172" t="s">
        <v>178</v>
      </c>
      <c r="OI6" s="172" t="s">
        <v>187</v>
      </c>
      <c r="OJ6" s="172" t="s">
        <v>188</v>
      </c>
      <c r="OK6" s="172" t="s">
        <v>189</v>
      </c>
      <c r="OL6" s="172" t="s">
        <v>177</v>
      </c>
      <c r="OM6" s="172" t="s">
        <v>178</v>
      </c>
      <c r="ON6" s="172" t="s">
        <v>187</v>
      </c>
      <c r="OO6" s="172" t="s">
        <v>188</v>
      </c>
      <c r="OP6" s="172" t="s">
        <v>189</v>
      </c>
      <c r="OQ6" s="172" t="s">
        <v>177</v>
      </c>
      <c r="OR6" s="172" t="s">
        <v>178</v>
      </c>
      <c r="OS6" s="172" t="s">
        <v>187</v>
      </c>
      <c r="OT6" s="172" t="s">
        <v>188</v>
      </c>
      <c r="OU6" s="172" t="s">
        <v>189</v>
      </c>
      <c r="OV6" s="172" t="s">
        <v>177</v>
      </c>
      <c r="OW6" s="172" t="s">
        <v>178</v>
      </c>
      <c r="OX6" s="172" t="s">
        <v>187</v>
      </c>
      <c r="OY6" s="172" t="s">
        <v>188</v>
      </c>
      <c r="OZ6" s="172" t="s">
        <v>189</v>
      </c>
      <c r="PA6" s="172" t="s">
        <v>177</v>
      </c>
      <c r="PB6" s="172" t="s">
        <v>178</v>
      </c>
      <c r="PC6" s="172" t="s">
        <v>187</v>
      </c>
      <c r="PD6" s="172" t="s">
        <v>188</v>
      </c>
      <c r="PE6" s="172" t="s">
        <v>189</v>
      </c>
      <c r="PF6" s="172" t="s">
        <v>177</v>
      </c>
      <c r="PG6" s="172" t="s">
        <v>178</v>
      </c>
      <c r="PH6" s="172" t="s">
        <v>187</v>
      </c>
      <c r="PI6" s="172" t="s">
        <v>188</v>
      </c>
      <c r="PJ6" s="172" t="s">
        <v>177</v>
      </c>
      <c r="PK6" s="172" t="s">
        <v>178</v>
      </c>
      <c r="PL6" s="172" t="s">
        <v>187</v>
      </c>
      <c r="PM6" s="172" t="s">
        <v>188</v>
      </c>
      <c r="PN6" s="172" t="s">
        <v>189</v>
      </c>
      <c r="PO6" s="172" t="s">
        <v>177</v>
      </c>
      <c r="PP6" s="172" t="s">
        <v>178</v>
      </c>
      <c r="PQ6" s="172" t="s">
        <v>187</v>
      </c>
      <c r="PR6" s="172" t="s">
        <v>188</v>
      </c>
      <c r="PS6" s="172" t="s">
        <v>189</v>
      </c>
      <c r="PT6" s="172" t="s">
        <v>177</v>
      </c>
      <c r="PU6" s="172" t="s">
        <v>178</v>
      </c>
      <c r="PV6" s="172" t="s">
        <v>187</v>
      </c>
      <c r="PW6" s="172" t="s">
        <v>188</v>
      </c>
      <c r="PX6" s="172" t="s">
        <v>189</v>
      </c>
      <c r="PY6" s="172" t="s">
        <v>177</v>
      </c>
      <c r="PZ6" s="172" t="s">
        <v>178</v>
      </c>
      <c r="QA6" s="172" t="s">
        <v>187</v>
      </c>
      <c r="QB6" s="172" t="s">
        <v>188</v>
      </c>
      <c r="QC6" s="172" t="s">
        <v>189</v>
      </c>
      <c r="QD6" s="172" t="s">
        <v>177</v>
      </c>
      <c r="QE6" s="172" t="s">
        <v>178</v>
      </c>
      <c r="QF6" s="172" t="s">
        <v>187</v>
      </c>
      <c r="QG6" s="172" t="s">
        <v>188</v>
      </c>
      <c r="QH6" s="172" t="s">
        <v>189</v>
      </c>
      <c r="QI6" s="172" t="s">
        <v>177</v>
      </c>
      <c r="QJ6" s="172" t="s">
        <v>178</v>
      </c>
      <c r="QK6" s="172" t="s">
        <v>187</v>
      </c>
      <c r="QL6" s="172" t="s">
        <v>188</v>
      </c>
      <c r="QM6" s="172" t="s">
        <v>189</v>
      </c>
      <c r="QN6" s="172" t="s">
        <v>177</v>
      </c>
      <c r="QO6" s="172" t="s">
        <v>178</v>
      </c>
      <c r="QP6" s="172" t="s">
        <v>187</v>
      </c>
      <c r="QQ6" s="172" t="s">
        <v>188</v>
      </c>
      <c r="QR6" s="172" t="s">
        <v>189</v>
      </c>
      <c r="QS6" s="172" t="s">
        <v>177</v>
      </c>
      <c r="QT6" s="172" t="s">
        <v>178</v>
      </c>
      <c r="QU6" s="172" t="s">
        <v>187</v>
      </c>
      <c r="QV6" s="172" t="s">
        <v>188</v>
      </c>
      <c r="QW6" s="172" t="s">
        <v>189</v>
      </c>
      <c r="QX6" s="172" t="s">
        <v>177</v>
      </c>
      <c r="QY6" s="172" t="s">
        <v>178</v>
      </c>
      <c r="QZ6" s="172" t="s">
        <v>187</v>
      </c>
      <c r="RA6" s="172" t="s">
        <v>188</v>
      </c>
      <c r="RB6" s="172" t="s">
        <v>189</v>
      </c>
      <c r="RC6" s="172" t="s">
        <v>177</v>
      </c>
      <c r="RD6" s="172" t="s">
        <v>178</v>
      </c>
      <c r="RE6" s="172" t="s">
        <v>187</v>
      </c>
      <c r="RF6" s="172" t="s">
        <v>188</v>
      </c>
      <c r="RG6" s="172" t="s">
        <v>189</v>
      </c>
      <c r="RH6" s="172" t="s">
        <v>177</v>
      </c>
      <c r="RI6" s="172" t="s">
        <v>178</v>
      </c>
      <c r="RJ6" s="172" t="s">
        <v>187</v>
      </c>
      <c r="RK6" s="172" t="s">
        <v>188</v>
      </c>
      <c r="RL6" s="172" t="s">
        <v>189</v>
      </c>
      <c r="RM6" s="172" t="s">
        <v>177</v>
      </c>
      <c r="RN6" s="172" t="s">
        <v>178</v>
      </c>
      <c r="RO6" s="172" t="s">
        <v>187</v>
      </c>
      <c r="RP6" s="172" t="s">
        <v>188</v>
      </c>
      <c r="RQ6" s="172" t="s">
        <v>177</v>
      </c>
      <c r="RR6" s="172" t="s">
        <v>178</v>
      </c>
      <c r="RS6" s="172" t="s">
        <v>187</v>
      </c>
      <c r="RT6" s="172" t="s">
        <v>188</v>
      </c>
      <c r="RU6" s="172" t="s">
        <v>189</v>
      </c>
      <c r="RV6" s="172" t="s">
        <v>177</v>
      </c>
      <c r="RW6" s="172" t="s">
        <v>178</v>
      </c>
      <c r="RX6" s="172" t="s">
        <v>187</v>
      </c>
      <c r="RY6" s="172" t="s">
        <v>188</v>
      </c>
      <c r="RZ6" s="172" t="s">
        <v>189</v>
      </c>
      <c r="SA6" s="172" t="s">
        <v>177</v>
      </c>
      <c r="SB6" s="172" t="s">
        <v>178</v>
      </c>
      <c r="SC6" s="172" t="s">
        <v>187</v>
      </c>
      <c r="SD6" s="172" t="s">
        <v>188</v>
      </c>
      <c r="SE6" s="172" t="s">
        <v>189</v>
      </c>
      <c r="SF6" s="172" t="s">
        <v>177</v>
      </c>
      <c r="SG6" s="172" t="s">
        <v>178</v>
      </c>
      <c r="SH6" s="172" t="s">
        <v>187</v>
      </c>
      <c r="SI6" s="172" t="s">
        <v>188</v>
      </c>
      <c r="SJ6" s="172" t="s">
        <v>189</v>
      </c>
      <c r="SK6" s="172" t="s">
        <v>177</v>
      </c>
      <c r="SL6" s="172" t="s">
        <v>178</v>
      </c>
      <c r="SM6" s="172" t="s">
        <v>187</v>
      </c>
      <c r="SN6" s="172" t="s">
        <v>188</v>
      </c>
      <c r="SO6" s="172" t="s">
        <v>189</v>
      </c>
      <c r="SP6" s="172" t="s">
        <v>177</v>
      </c>
      <c r="SQ6" s="172" t="s">
        <v>178</v>
      </c>
      <c r="SR6" s="172" t="s">
        <v>187</v>
      </c>
      <c r="SS6" s="172" t="s">
        <v>188</v>
      </c>
      <c r="ST6" s="172" t="s">
        <v>189</v>
      </c>
      <c r="SU6" s="172" t="s">
        <v>177</v>
      </c>
      <c r="SV6" s="172" t="s">
        <v>178</v>
      </c>
      <c r="SW6" s="172" t="s">
        <v>187</v>
      </c>
      <c r="SX6" s="172" t="s">
        <v>188</v>
      </c>
      <c r="SY6" s="172" t="s">
        <v>189</v>
      </c>
      <c r="SZ6" s="172" t="s">
        <v>177</v>
      </c>
      <c r="TA6" s="172" t="s">
        <v>178</v>
      </c>
      <c r="TB6" s="172" t="s">
        <v>187</v>
      </c>
      <c r="TC6" s="172" t="s">
        <v>188</v>
      </c>
      <c r="TD6" s="172" t="s">
        <v>189</v>
      </c>
      <c r="TE6" s="172" t="s">
        <v>177</v>
      </c>
      <c r="TF6" s="172" t="s">
        <v>178</v>
      </c>
      <c r="TG6" s="172" t="s">
        <v>187</v>
      </c>
      <c r="TH6" s="172" t="s">
        <v>188</v>
      </c>
      <c r="TI6" s="172" t="s">
        <v>189</v>
      </c>
      <c r="TJ6" s="172" t="s">
        <v>177</v>
      </c>
      <c r="TK6" s="172" t="s">
        <v>178</v>
      </c>
      <c r="TL6" s="172" t="s">
        <v>187</v>
      </c>
      <c r="TM6" s="172" t="s">
        <v>188</v>
      </c>
      <c r="TN6" s="172" t="s">
        <v>189</v>
      </c>
    </row>
    <row r="7" spans="1:534" x14ac:dyDescent="0.3">
      <c r="A7" s="172" t="s">
        <v>377</v>
      </c>
      <c r="B7" s="175">
        <v>46023</v>
      </c>
      <c r="C7" s="175">
        <f t="shared" ref="C7:BN7" si="9">B8+1</f>
        <v>46030</v>
      </c>
      <c r="D7" s="175">
        <f t="shared" si="9"/>
        <v>46037</v>
      </c>
      <c r="E7" s="175">
        <f t="shared" si="9"/>
        <v>46044</v>
      </c>
      <c r="F7" s="175">
        <f t="shared" si="9"/>
        <v>46051</v>
      </c>
      <c r="G7" s="175">
        <f t="shared" si="9"/>
        <v>46054</v>
      </c>
      <c r="H7" s="175">
        <f t="shared" si="9"/>
        <v>46061</v>
      </c>
      <c r="I7" s="175">
        <f t="shared" si="9"/>
        <v>46068</v>
      </c>
      <c r="J7" s="175">
        <f t="shared" si="9"/>
        <v>46075</v>
      </c>
      <c r="K7" s="175">
        <f t="shared" si="9"/>
        <v>46082</v>
      </c>
      <c r="L7" s="175">
        <f t="shared" si="9"/>
        <v>46089</v>
      </c>
      <c r="M7" s="175">
        <f t="shared" si="9"/>
        <v>46096</v>
      </c>
      <c r="N7" s="175">
        <f t="shared" si="9"/>
        <v>46103</v>
      </c>
      <c r="O7" s="175">
        <f t="shared" si="9"/>
        <v>46110</v>
      </c>
      <c r="P7" s="175">
        <f t="shared" si="9"/>
        <v>46113</v>
      </c>
      <c r="Q7" s="175">
        <f t="shared" si="9"/>
        <v>46120</v>
      </c>
      <c r="R7" s="175">
        <f t="shared" si="9"/>
        <v>46127</v>
      </c>
      <c r="S7" s="175">
        <f t="shared" si="9"/>
        <v>46134</v>
      </c>
      <c r="T7" s="175">
        <f t="shared" si="9"/>
        <v>46141</v>
      </c>
      <c r="U7" s="175">
        <f t="shared" si="9"/>
        <v>46143</v>
      </c>
      <c r="V7" s="175">
        <f t="shared" si="9"/>
        <v>46150</v>
      </c>
      <c r="W7" s="175">
        <f t="shared" si="9"/>
        <v>46157</v>
      </c>
      <c r="X7" s="175">
        <f t="shared" si="9"/>
        <v>46164</v>
      </c>
      <c r="Y7" s="175">
        <f t="shared" si="9"/>
        <v>46171</v>
      </c>
      <c r="Z7" s="175">
        <f t="shared" si="9"/>
        <v>46174</v>
      </c>
      <c r="AA7" s="175">
        <f t="shared" si="9"/>
        <v>46181</v>
      </c>
      <c r="AB7" s="175">
        <f t="shared" si="9"/>
        <v>46188</v>
      </c>
      <c r="AC7" s="175">
        <f t="shared" si="9"/>
        <v>46195</v>
      </c>
      <c r="AD7" s="175">
        <f t="shared" si="9"/>
        <v>46202</v>
      </c>
      <c r="AE7" s="175">
        <f t="shared" si="9"/>
        <v>46204</v>
      </c>
      <c r="AF7" s="175">
        <f t="shared" si="9"/>
        <v>46211</v>
      </c>
      <c r="AG7" s="175">
        <f t="shared" si="9"/>
        <v>46218</v>
      </c>
      <c r="AH7" s="175">
        <f t="shared" si="9"/>
        <v>46225</v>
      </c>
      <c r="AI7" s="175">
        <f t="shared" si="9"/>
        <v>46232</v>
      </c>
      <c r="AJ7" s="175">
        <f t="shared" si="9"/>
        <v>46235</v>
      </c>
      <c r="AK7" s="175">
        <f t="shared" si="9"/>
        <v>46242</v>
      </c>
      <c r="AL7" s="175">
        <f t="shared" si="9"/>
        <v>46249</v>
      </c>
      <c r="AM7" s="175">
        <f t="shared" si="9"/>
        <v>46256</v>
      </c>
      <c r="AN7" s="175">
        <f t="shared" si="9"/>
        <v>46263</v>
      </c>
      <c r="AO7" s="175">
        <f t="shared" si="9"/>
        <v>46266</v>
      </c>
      <c r="AP7" s="175">
        <f t="shared" si="9"/>
        <v>46273</v>
      </c>
      <c r="AQ7" s="175">
        <f t="shared" si="9"/>
        <v>46280</v>
      </c>
      <c r="AR7" s="175">
        <f t="shared" si="9"/>
        <v>46287</v>
      </c>
      <c r="AS7" s="175">
        <f t="shared" si="9"/>
        <v>46294</v>
      </c>
      <c r="AT7" s="175">
        <f t="shared" si="9"/>
        <v>46296</v>
      </c>
      <c r="AU7" s="175">
        <f t="shared" si="9"/>
        <v>46303</v>
      </c>
      <c r="AV7" s="175">
        <f t="shared" si="9"/>
        <v>46310</v>
      </c>
      <c r="AW7" s="175">
        <f t="shared" si="9"/>
        <v>46317</v>
      </c>
      <c r="AX7" s="175">
        <f t="shared" si="9"/>
        <v>46324</v>
      </c>
      <c r="AY7" s="175">
        <f t="shared" si="9"/>
        <v>46327</v>
      </c>
      <c r="AZ7" s="175">
        <f t="shared" si="9"/>
        <v>46334</v>
      </c>
      <c r="BA7" s="175">
        <f t="shared" si="9"/>
        <v>46341</v>
      </c>
      <c r="BB7" s="175">
        <f t="shared" si="9"/>
        <v>46348</v>
      </c>
      <c r="BC7" s="175">
        <f t="shared" si="9"/>
        <v>46355</v>
      </c>
      <c r="BD7" s="175">
        <f t="shared" si="9"/>
        <v>46357</v>
      </c>
      <c r="BE7" s="175">
        <f t="shared" si="9"/>
        <v>46364</v>
      </c>
      <c r="BF7" s="175">
        <f t="shared" si="9"/>
        <v>46371</v>
      </c>
      <c r="BG7" s="175">
        <f t="shared" si="9"/>
        <v>46378</v>
      </c>
      <c r="BH7" s="175">
        <f t="shared" si="9"/>
        <v>46385</v>
      </c>
      <c r="BI7" s="175">
        <f t="shared" si="9"/>
        <v>46388</v>
      </c>
      <c r="BJ7" s="175">
        <f t="shared" si="9"/>
        <v>46395</v>
      </c>
      <c r="BK7" s="175">
        <f t="shared" si="9"/>
        <v>46402</v>
      </c>
      <c r="BL7" s="175">
        <f t="shared" si="9"/>
        <v>46409</v>
      </c>
      <c r="BM7" s="175">
        <f t="shared" si="9"/>
        <v>46416</v>
      </c>
      <c r="BN7" s="175">
        <f t="shared" si="9"/>
        <v>46419</v>
      </c>
      <c r="BO7" s="175">
        <f t="shared" ref="BO7:DZ7" si="10">BN8+1</f>
        <v>46426</v>
      </c>
      <c r="BP7" s="175">
        <f t="shared" si="10"/>
        <v>46433</v>
      </c>
      <c r="BQ7" s="175">
        <f t="shared" si="10"/>
        <v>46440</v>
      </c>
      <c r="BR7" s="175">
        <f t="shared" si="10"/>
        <v>46447</v>
      </c>
      <c r="BS7" s="175">
        <f t="shared" si="10"/>
        <v>46454</v>
      </c>
      <c r="BT7" s="175">
        <f t="shared" si="10"/>
        <v>46461</v>
      </c>
      <c r="BU7" s="175">
        <f t="shared" si="10"/>
        <v>46468</v>
      </c>
      <c r="BV7" s="175">
        <f t="shared" si="10"/>
        <v>46475</v>
      </c>
      <c r="BW7" s="175">
        <f t="shared" si="10"/>
        <v>46478</v>
      </c>
      <c r="BX7" s="175">
        <f t="shared" si="10"/>
        <v>46485</v>
      </c>
      <c r="BY7" s="175">
        <f t="shared" si="10"/>
        <v>46492</v>
      </c>
      <c r="BZ7" s="175">
        <f t="shared" si="10"/>
        <v>46499</v>
      </c>
      <c r="CA7" s="175">
        <f t="shared" si="10"/>
        <v>46506</v>
      </c>
      <c r="CB7" s="175">
        <f t="shared" si="10"/>
        <v>46508</v>
      </c>
      <c r="CC7" s="175">
        <f t="shared" si="10"/>
        <v>46515</v>
      </c>
      <c r="CD7" s="175">
        <f t="shared" si="10"/>
        <v>46522</v>
      </c>
      <c r="CE7" s="175">
        <f t="shared" si="10"/>
        <v>46529</v>
      </c>
      <c r="CF7" s="175">
        <f t="shared" si="10"/>
        <v>46536</v>
      </c>
      <c r="CG7" s="175">
        <f t="shared" si="10"/>
        <v>46539</v>
      </c>
      <c r="CH7" s="175">
        <f t="shared" si="10"/>
        <v>46546</v>
      </c>
      <c r="CI7" s="175">
        <f t="shared" si="10"/>
        <v>46553</v>
      </c>
      <c r="CJ7" s="175">
        <f t="shared" si="10"/>
        <v>46560</v>
      </c>
      <c r="CK7" s="175">
        <f t="shared" si="10"/>
        <v>46567</v>
      </c>
      <c r="CL7" s="175">
        <f t="shared" si="10"/>
        <v>46569</v>
      </c>
      <c r="CM7" s="175">
        <f t="shared" si="10"/>
        <v>46576</v>
      </c>
      <c r="CN7" s="175">
        <f t="shared" si="10"/>
        <v>46583</v>
      </c>
      <c r="CO7" s="175">
        <f t="shared" si="10"/>
        <v>46590</v>
      </c>
      <c r="CP7" s="175">
        <f t="shared" si="10"/>
        <v>46597</v>
      </c>
      <c r="CQ7" s="175">
        <f t="shared" si="10"/>
        <v>46600</v>
      </c>
      <c r="CR7" s="175">
        <f t="shared" si="10"/>
        <v>46607</v>
      </c>
      <c r="CS7" s="175">
        <f t="shared" si="10"/>
        <v>46614</v>
      </c>
      <c r="CT7" s="175">
        <f t="shared" si="10"/>
        <v>46621</v>
      </c>
      <c r="CU7" s="175">
        <f t="shared" si="10"/>
        <v>46628</v>
      </c>
      <c r="CV7" s="175">
        <f t="shared" si="10"/>
        <v>46631</v>
      </c>
      <c r="CW7" s="175">
        <f t="shared" si="10"/>
        <v>46638</v>
      </c>
      <c r="CX7" s="175">
        <f t="shared" si="10"/>
        <v>46645</v>
      </c>
      <c r="CY7" s="175">
        <f t="shared" si="10"/>
        <v>46652</v>
      </c>
      <c r="CZ7" s="175">
        <f t="shared" si="10"/>
        <v>46659</v>
      </c>
      <c r="DA7" s="175">
        <f t="shared" si="10"/>
        <v>46661</v>
      </c>
      <c r="DB7" s="175">
        <f t="shared" si="10"/>
        <v>46668</v>
      </c>
      <c r="DC7" s="175">
        <f t="shared" si="10"/>
        <v>46675</v>
      </c>
      <c r="DD7" s="175">
        <f t="shared" si="10"/>
        <v>46682</v>
      </c>
      <c r="DE7" s="175">
        <f t="shared" si="10"/>
        <v>46689</v>
      </c>
      <c r="DF7" s="175">
        <f t="shared" si="10"/>
        <v>46692</v>
      </c>
      <c r="DG7" s="175">
        <f t="shared" si="10"/>
        <v>46699</v>
      </c>
      <c r="DH7" s="175">
        <f t="shared" si="10"/>
        <v>46706</v>
      </c>
      <c r="DI7" s="175">
        <f t="shared" si="10"/>
        <v>46713</v>
      </c>
      <c r="DJ7" s="175">
        <f t="shared" si="10"/>
        <v>46720</v>
      </c>
      <c r="DK7" s="175">
        <f t="shared" si="10"/>
        <v>46722</v>
      </c>
      <c r="DL7" s="175">
        <f t="shared" si="10"/>
        <v>46729</v>
      </c>
      <c r="DM7" s="175">
        <f t="shared" si="10"/>
        <v>46736</v>
      </c>
      <c r="DN7" s="175">
        <f t="shared" si="10"/>
        <v>46743</v>
      </c>
      <c r="DO7" s="175">
        <f t="shared" si="10"/>
        <v>46750</v>
      </c>
      <c r="DP7" s="175">
        <f t="shared" si="10"/>
        <v>46753</v>
      </c>
      <c r="DQ7" s="175">
        <f t="shared" si="10"/>
        <v>46760</v>
      </c>
      <c r="DR7" s="175">
        <f t="shared" si="10"/>
        <v>46767</v>
      </c>
      <c r="DS7" s="175">
        <f t="shared" si="10"/>
        <v>46774</v>
      </c>
      <c r="DT7" s="175">
        <f t="shared" si="10"/>
        <v>46781</v>
      </c>
      <c r="DU7" s="175">
        <f t="shared" si="10"/>
        <v>46784</v>
      </c>
      <c r="DV7" s="175">
        <f t="shared" si="10"/>
        <v>46791</v>
      </c>
      <c r="DW7" s="175">
        <f t="shared" si="10"/>
        <v>46798</v>
      </c>
      <c r="DX7" s="175">
        <f t="shared" si="10"/>
        <v>46805</v>
      </c>
      <c r="DY7" s="175">
        <f t="shared" si="10"/>
        <v>46812</v>
      </c>
      <c r="DZ7" s="175">
        <f t="shared" si="10"/>
        <v>46813</v>
      </c>
      <c r="EA7" s="175">
        <f t="shared" ref="EA7:GL7" si="11">DZ8+1</f>
        <v>46820</v>
      </c>
      <c r="EB7" s="175">
        <f t="shared" si="11"/>
        <v>46827</v>
      </c>
      <c r="EC7" s="175">
        <f t="shared" si="11"/>
        <v>46834</v>
      </c>
      <c r="ED7" s="175">
        <f t="shared" si="11"/>
        <v>46837</v>
      </c>
      <c r="EE7" s="175">
        <f t="shared" si="11"/>
        <v>46844</v>
      </c>
      <c r="EF7" s="175">
        <f t="shared" si="11"/>
        <v>46851</v>
      </c>
      <c r="EG7" s="175">
        <f t="shared" si="11"/>
        <v>46858</v>
      </c>
      <c r="EH7" s="175">
        <f t="shared" si="11"/>
        <v>46865</v>
      </c>
      <c r="EI7" s="175">
        <f t="shared" si="11"/>
        <v>46867</v>
      </c>
      <c r="EJ7" s="175">
        <f t="shared" si="11"/>
        <v>46874</v>
      </c>
      <c r="EK7" s="175">
        <f t="shared" si="11"/>
        <v>46881</v>
      </c>
      <c r="EL7" s="175">
        <f t="shared" si="11"/>
        <v>46888</v>
      </c>
      <c r="EM7" s="175">
        <f t="shared" si="11"/>
        <v>46895</v>
      </c>
      <c r="EN7" s="175">
        <f t="shared" si="11"/>
        <v>46898</v>
      </c>
      <c r="EO7" s="175">
        <f t="shared" si="11"/>
        <v>46905</v>
      </c>
      <c r="EP7" s="175">
        <f t="shared" si="11"/>
        <v>46912</v>
      </c>
      <c r="EQ7" s="175">
        <f t="shared" si="11"/>
        <v>46919</v>
      </c>
      <c r="ER7" s="175">
        <f t="shared" si="11"/>
        <v>46926</v>
      </c>
      <c r="ES7" s="175">
        <f t="shared" si="11"/>
        <v>46928</v>
      </c>
      <c r="ET7" s="175">
        <f t="shared" si="11"/>
        <v>46935</v>
      </c>
      <c r="EU7" s="175">
        <f t="shared" si="11"/>
        <v>46942</v>
      </c>
      <c r="EV7" s="175">
        <f t="shared" si="11"/>
        <v>46949</v>
      </c>
      <c r="EW7" s="175">
        <f t="shared" si="11"/>
        <v>46956</v>
      </c>
      <c r="EX7" s="175">
        <f t="shared" si="11"/>
        <v>46959</v>
      </c>
      <c r="EY7" s="175">
        <f t="shared" si="11"/>
        <v>46966</v>
      </c>
      <c r="EZ7" s="175">
        <f t="shared" si="11"/>
        <v>46973</v>
      </c>
      <c r="FA7" s="175">
        <f t="shared" si="11"/>
        <v>46980</v>
      </c>
      <c r="FB7" s="175">
        <f t="shared" si="11"/>
        <v>46987</v>
      </c>
      <c r="FC7" s="175">
        <f t="shared" si="11"/>
        <v>46990</v>
      </c>
      <c r="FD7" s="175">
        <f t="shared" si="11"/>
        <v>46997</v>
      </c>
      <c r="FE7" s="175">
        <f t="shared" si="11"/>
        <v>47004</v>
      </c>
      <c r="FF7" s="175">
        <f t="shared" si="11"/>
        <v>47011</v>
      </c>
      <c r="FG7" s="175">
        <f t="shared" si="11"/>
        <v>47018</v>
      </c>
      <c r="FH7" s="175">
        <f t="shared" si="11"/>
        <v>47020</v>
      </c>
      <c r="FI7" s="175">
        <f t="shared" si="11"/>
        <v>47027</v>
      </c>
      <c r="FJ7" s="175">
        <f t="shared" si="11"/>
        <v>47034</v>
      </c>
      <c r="FK7" s="175">
        <f t="shared" si="11"/>
        <v>47041</v>
      </c>
      <c r="FL7" s="175">
        <f t="shared" si="11"/>
        <v>47048</v>
      </c>
      <c r="FM7" s="175">
        <f t="shared" si="11"/>
        <v>47051</v>
      </c>
      <c r="FN7" s="175">
        <f t="shared" si="11"/>
        <v>47058</v>
      </c>
      <c r="FO7" s="175">
        <f t="shared" si="11"/>
        <v>47065</v>
      </c>
      <c r="FP7" s="175">
        <f t="shared" si="11"/>
        <v>47072</v>
      </c>
      <c r="FQ7" s="175">
        <f t="shared" si="11"/>
        <v>47079</v>
      </c>
      <c r="FR7" s="175">
        <f t="shared" si="11"/>
        <v>47081</v>
      </c>
      <c r="FS7" s="175">
        <f t="shared" si="11"/>
        <v>47088</v>
      </c>
      <c r="FT7" s="175">
        <f t="shared" si="11"/>
        <v>47095</v>
      </c>
      <c r="FU7" s="175">
        <f t="shared" si="11"/>
        <v>47102</v>
      </c>
      <c r="FV7" s="175">
        <f t="shared" si="11"/>
        <v>47109</v>
      </c>
      <c r="FW7" s="175">
        <f t="shared" si="11"/>
        <v>47116</v>
      </c>
      <c r="FX7" s="175">
        <f t="shared" si="11"/>
        <v>47119</v>
      </c>
      <c r="FY7" s="175">
        <f t="shared" si="11"/>
        <v>47126</v>
      </c>
      <c r="FZ7" s="175">
        <f t="shared" si="11"/>
        <v>47133</v>
      </c>
      <c r="GA7" s="175">
        <f t="shared" si="11"/>
        <v>47140</v>
      </c>
      <c r="GB7" s="175">
        <f t="shared" si="11"/>
        <v>47147</v>
      </c>
      <c r="GC7" s="175">
        <f t="shared" si="11"/>
        <v>47150</v>
      </c>
      <c r="GD7" s="175">
        <f t="shared" si="11"/>
        <v>47157</v>
      </c>
      <c r="GE7" s="175">
        <f t="shared" si="11"/>
        <v>47164</v>
      </c>
      <c r="GF7" s="175">
        <f t="shared" si="11"/>
        <v>47171</v>
      </c>
      <c r="GG7" s="175">
        <f t="shared" si="11"/>
        <v>47178</v>
      </c>
      <c r="GH7" s="175">
        <f t="shared" si="11"/>
        <v>47185</v>
      </c>
      <c r="GI7" s="175">
        <f t="shared" si="11"/>
        <v>47192</v>
      </c>
      <c r="GJ7" s="175">
        <f t="shared" si="11"/>
        <v>47199</v>
      </c>
      <c r="GK7" s="175">
        <f t="shared" si="11"/>
        <v>47202</v>
      </c>
      <c r="GL7" s="175">
        <f t="shared" si="11"/>
        <v>47209</v>
      </c>
      <c r="GM7" s="175">
        <f t="shared" ref="GM7:IX7" si="12">GL8+1</f>
        <v>47216</v>
      </c>
      <c r="GN7" s="175">
        <f t="shared" si="12"/>
        <v>47223</v>
      </c>
      <c r="GO7" s="175">
        <f t="shared" si="12"/>
        <v>47230</v>
      </c>
      <c r="GP7" s="175">
        <f t="shared" si="12"/>
        <v>47232</v>
      </c>
      <c r="GQ7" s="175">
        <f t="shared" si="12"/>
        <v>47239</v>
      </c>
      <c r="GR7" s="175">
        <f t="shared" si="12"/>
        <v>47246</v>
      </c>
      <c r="GS7" s="175">
        <f t="shared" si="12"/>
        <v>47253</v>
      </c>
      <c r="GT7" s="175">
        <f t="shared" si="12"/>
        <v>47260</v>
      </c>
      <c r="GU7" s="175">
        <f t="shared" si="12"/>
        <v>47263</v>
      </c>
      <c r="GV7" s="175">
        <f t="shared" si="12"/>
        <v>47270</v>
      </c>
      <c r="GW7" s="175">
        <f t="shared" si="12"/>
        <v>47277</v>
      </c>
      <c r="GX7" s="175">
        <f t="shared" si="12"/>
        <v>47284</v>
      </c>
      <c r="GY7" s="175">
        <f t="shared" si="12"/>
        <v>47291</v>
      </c>
      <c r="GZ7" s="175">
        <f t="shared" si="12"/>
        <v>47293</v>
      </c>
      <c r="HA7" s="175">
        <f t="shared" si="12"/>
        <v>47300</v>
      </c>
      <c r="HB7" s="175">
        <f t="shared" si="12"/>
        <v>47307</v>
      </c>
      <c r="HC7" s="175">
        <f t="shared" si="12"/>
        <v>47314</v>
      </c>
      <c r="HD7" s="175">
        <f t="shared" si="12"/>
        <v>47321</v>
      </c>
      <c r="HE7" s="175">
        <f t="shared" si="12"/>
        <v>47324</v>
      </c>
      <c r="HF7" s="175">
        <f t="shared" si="12"/>
        <v>47331</v>
      </c>
      <c r="HG7" s="175">
        <f t="shared" si="12"/>
        <v>47338</v>
      </c>
      <c r="HH7" s="175">
        <f t="shared" si="12"/>
        <v>47345</v>
      </c>
      <c r="HI7" s="175">
        <f t="shared" si="12"/>
        <v>47352</v>
      </c>
      <c r="HJ7" s="175">
        <f t="shared" si="12"/>
        <v>47355</v>
      </c>
      <c r="HK7" s="175">
        <f t="shared" si="12"/>
        <v>47362</v>
      </c>
      <c r="HL7" s="175">
        <f t="shared" si="12"/>
        <v>47369</v>
      </c>
      <c r="HM7" s="175">
        <f t="shared" si="12"/>
        <v>47376</v>
      </c>
      <c r="HN7" s="175">
        <f t="shared" si="12"/>
        <v>47383</v>
      </c>
      <c r="HO7" s="175">
        <f t="shared" si="12"/>
        <v>47385</v>
      </c>
      <c r="HP7" s="175">
        <f t="shared" si="12"/>
        <v>47392</v>
      </c>
      <c r="HQ7" s="175">
        <f t="shared" si="12"/>
        <v>47399</v>
      </c>
      <c r="HR7" s="175">
        <f t="shared" si="12"/>
        <v>47406</v>
      </c>
      <c r="HS7" s="175">
        <f t="shared" si="12"/>
        <v>47413</v>
      </c>
      <c r="HT7" s="175">
        <f t="shared" si="12"/>
        <v>47416</v>
      </c>
      <c r="HU7" s="175">
        <f t="shared" si="12"/>
        <v>47423</v>
      </c>
      <c r="HV7" s="175">
        <f t="shared" si="12"/>
        <v>47430</v>
      </c>
      <c r="HW7" s="175">
        <f t="shared" si="12"/>
        <v>47437</v>
      </c>
      <c r="HX7" s="175">
        <f t="shared" si="12"/>
        <v>47444</v>
      </c>
      <c r="HY7" s="175">
        <f t="shared" si="12"/>
        <v>47446</v>
      </c>
      <c r="HZ7" s="175">
        <f t="shared" si="12"/>
        <v>47453</v>
      </c>
      <c r="IA7" s="175">
        <f t="shared" si="12"/>
        <v>47460</v>
      </c>
      <c r="IB7" s="175">
        <f t="shared" si="12"/>
        <v>47467</v>
      </c>
      <c r="IC7" s="175">
        <f t="shared" si="12"/>
        <v>47474</v>
      </c>
      <c r="ID7" s="175">
        <f t="shared" si="12"/>
        <v>47481</v>
      </c>
      <c r="IE7" s="175">
        <f t="shared" si="12"/>
        <v>47484</v>
      </c>
      <c r="IF7" s="175">
        <f t="shared" si="12"/>
        <v>47491</v>
      </c>
      <c r="IG7" s="175">
        <f t="shared" si="12"/>
        <v>47498</v>
      </c>
      <c r="IH7" s="175">
        <f t="shared" si="12"/>
        <v>47505</v>
      </c>
      <c r="II7" s="175">
        <f t="shared" si="12"/>
        <v>47512</v>
      </c>
      <c r="IJ7" s="175">
        <f t="shared" si="12"/>
        <v>47515</v>
      </c>
      <c r="IK7" s="175">
        <f t="shared" si="12"/>
        <v>47522</v>
      </c>
      <c r="IL7" s="175">
        <f t="shared" si="12"/>
        <v>47529</v>
      </c>
      <c r="IM7" s="175">
        <f t="shared" si="12"/>
        <v>47536</v>
      </c>
      <c r="IN7" s="175">
        <f t="shared" si="12"/>
        <v>47543</v>
      </c>
      <c r="IO7" s="175">
        <f t="shared" si="12"/>
        <v>47550</v>
      </c>
      <c r="IP7" s="175">
        <f t="shared" si="12"/>
        <v>47557</v>
      </c>
      <c r="IQ7" s="175">
        <f t="shared" si="12"/>
        <v>47564</v>
      </c>
      <c r="IR7" s="175">
        <f t="shared" si="12"/>
        <v>47567</v>
      </c>
      <c r="IS7" s="175">
        <f t="shared" si="12"/>
        <v>47574</v>
      </c>
      <c r="IT7" s="175">
        <f t="shared" si="12"/>
        <v>47581</v>
      </c>
      <c r="IU7" s="175">
        <f t="shared" si="12"/>
        <v>47588</v>
      </c>
      <c r="IV7" s="175">
        <f t="shared" si="12"/>
        <v>47595</v>
      </c>
      <c r="IW7" s="175">
        <f t="shared" si="12"/>
        <v>47597</v>
      </c>
      <c r="IX7" s="175">
        <f t="shared" si="12"/>
        <v>47604</v>
      </c>
      <c r="IY7" s="175">
        <f t="shared" ref="IY7:LJ7" si="13">IX8+1</f>
        <v>47611</v>
      </c>
      <c r="IZ7" s="175">
        <f t="shared" si="13"/>
        <v>47618</v>
      </c>
      <c r="JA7" s="175">
        <f t="shared" si="13"/>
        <v>47625</v>
      </c>
      <c r="JB7" s="175">
        <f t="shared" si="13"/>
        <v>47628</v>
      </c>
      <c r="JC7" s="175">
        <f t="shared" si="13"/>
        <v>47635</v>
      </c>
      <c r="JD7" s="175">
        <f t="shared" si="13"/>
        <v>47642</v>
      </c>
      <c r="JE7" s="175">
        <f t="shared" si="13"/>
        <v>47649</v>
      </c>
      <c r="JF7" s="175">
        <f t="shared" si="13"/>
        <v>47656</v>
      </c>
      <c r="JG7" s="175">
        <f t="shared" si="13"/>
        <v>47658</v>
      </c>
      <c r="JH7" s="175">
        <f t="shared" si="13"/>
        <v>47665</v>
      </c>
      <c r="JI7" s="175">
        <f t="shared" si="13"/>
        <v>47672</v>
      </c>
      <c r="JJ7" s="175">
        <f t="shared" si="13"/>
        <v>47679</v>
      </c>
      <c r="JK7" s="175">
        <f t="shared" si="13"/>
        <v>47686</v>
      </c>
      <c r="JL7" s="175">
        <f t="shared" si="13"/>
        <v>47689</v>
      </c>
      <c r="JM7" s="175">
        <f t="shared" si="13"/>
        <v>47696</v>
      </c>
      <c r="JN7" s="175">
        <f t="shared" si="13"/>
        <v>47703</v>
      </c>
      <c r="JO7" s="175">
        <f t="shared" si="13"/>
        <v>47710</v>
      </c>
      <c r="JP7" s="175">
        <f t="shared" si="13"/>
        <v>47717</v>
      </c>
      <c r="JQ7" s="175">
        <f t="shared" si="13"/>
        <v>47720</v>
      </c>
      <c r="JR7" s="175">
        <f t="shared" si="13"/>
        <v>47727</v>
      </c>
      <c r="JS7" s="175">
        <f t="shared" si="13"/>
        <v>47734</v>
      </c>
      <c r="JT7" s="175">
        <f t="shared" si="13"/>
        <v>47741</v>
      </c>
      <c r="JU7" s="175">
        <f t="shared" si="13"/>
        <v>47748</v>
      </c>
      <c r="JV7" s="175">
        <f t="shared" si="13"/>
        <v>47750</v>
      </c>
      <c r="JW7" s="175">
        <f t="shared" si="13"/>
        <v>47757</v>
      </c>
      <c r="JX7" s="175">
        <f t="shared" si="13"/>
        <v>47764</v>
      </c>
      <c r="JY7" s="175">
        <f t="shared" si="13"/>
        <v>47771</v>
      </c>
      <c r="JZ7" s="175">
        <f t="shared" si="13"/>
        <v>47778</v>
      </c>
      <c r="KA7" s="175">
        <f t="shared" si="13"/>
        <v>47781</v>
      </c>
      <c r="KB7" s="175">
        <f t="shared" si="13"/>
        <v>47788</v>
      </c>
      <c r="KC7" s="175">
        <f t="shared" si="13"/>
        <v>47795</v>
      </c>
      <c r="KD7" s="175">
        <f t="shared" si="13"/>
        <v>47802</v>
      </c>
      <c r="KE7" s="175">
        <f t="shared" si="13"/>
        <v>47809</v>
      </c>
      <c r="KF7" s="175">
        <f t="shared" si="13"/>
        <v>47811</v>
      </c>
      <c r="KG7" s="175">
        <f t="shared" si="13"/>
        <v>47818</v>
      </c>
      <c r="KH7" s="175">
        <f t="shared" si="13"/>
        <v>47825</v>
      </c>
      <c r="KI7" s="175">
        <f t="shared" si="13"/>
        <v>47832</v>
      </c>
      <c r="KJ7" s="175">
        <f t="shared" si="13"/>
        <v>47839</v>
      </c>
      <c r="KK7" s="175">
        <f t="shared" si="13"/>
        <v>47846</v>
      </c>
      <c r="KL7" s="175">
        <f t="shared" si="13"/>
        <v>47849</v>
      </c>
      <c r="KM7" s="175">
        <f t="shared" si="13"/>
        <v>47856</v>
      </c>
      <c r="KN7" s="175">
        <f t="shared" si="13"/>
        <v>47863</v>
      </c>
      <c r="KO7" s="175">
        <f t="shared" si="13"/>
        <v>47870</v>
      </c>
      <c r="KP7" s="175">
        <f t="shared" si="13"/>
        <v>47877</v>
      </c>
      <c r="KQ7" s="175">
        <f t="shared" si="13"/>
        <v>47880</v>
      </c>
      <c r="KR7" s="175">
        <f t="shared" si="13"/>
        <v>47887</v>
      </c>
      <c r="KS7" s="175">
        <f t="shared" si="13"/>
        <v>47894</v>
      </c>
      <c r="KT7" s="175">
        <f t="shared" si="13"/>
        <v>47901</v>
      </c>
      <c r="KU7" s="175">
        <f t="shared" si="13"/>
        <v>47908</v>
      </c>
      <c r="KV7" s="175">
        <f t="shared" si="13"/>
        <v>47915</v>
      </c>
      <c r="KW7" s="175">
        <f t="shared" si="13"/>
        <v>47922</v>
      </c>
      <c r="KX7" s="175">
        <f t="shared" si="13"/>
        <v>47929</v>
      </c>
      <c r="KY7" s="175">
        <f t="shared" si="13"/>
        <v>47932</v>
      </c>
      <c r="KZ7" s="175">
        <f t="shared" si="13"/>
        <v>47939</v>
      </c>
      <c r="LA7" s="175">
        <f t="shared" si="13"/>
        <v>47946</v>
      </c>
      <c r="LB7" s="175">
        <f t="shared" si="13"/>
        <v>47953</v>
      </c>
      <c r="LC7" s="175">
        <f t="shared" si="13"/>
        <v>47960</v>
      </c>
      <c r="LD7" s="175">
        <f t="shared" si="13"/>
        <v>47962</v>
      </c>
      <c r="LE7" s="175">
        <f t="shared" si="13"/>
        <v>47969</v>
      </c>
      <c r="LF7" s="175">
        <f t="shared" si="13"/>
        <v>47976</v>
      </c>
      <c r="LG7" s="175">
        <f t="shared" si="13"/>
        <v>47983</v>
      </c>
      <c r="LH7" s="175">
        <f t="shared" si="13"/>
        <v>47990</v>
      </c>
      <c r="LI7" s="175">
        <f t="shared" si="13"/>
        <v>47993</v>
      </c>
      <c r="LJ7" s="175">
        <f t="shared" si="13"/>
        <v>48000</v>
      </c>
      <c r="LK7" s="175">
        <f t="shared" ref="LK7:NV7" si="14">LJ8+1</f>
        <v>48007</v>
      </c>
      <c r="LL7" s="175">
        <f t="shared" si="14"/>
        <v>48014</v>
      </c>
      <c r="LM7" s="175">
        <f t="shared" si="14"/>
        <v>48021</v>
      </c>
      <c r="LN7" s="175">
        <f t="shared" si="14"/>
        <v>48023</v>
      </c>
      <c r="LO7" s="175">
        <f t="shared" si="14"/>
        <v>48030</v>
      </c>
      <c r="LP7" s="175">
        <f t="shared" si="14"/>
        <v>48037</v>
      </c>
      <c r="LQ7" s="175">
        <f t="shared" si="14"/>
        <v>48044</v>
      </c>
      <c r="LR7" s="175">
        <f t="shared" si="14"/>
        <v>48051</v>
      </c>
      <c r="LS7" s="175">
        <f t="shared" si="14"/>
        <v>48054</v>
      </c>
      <c r="LT7" s="175">
        <f t="shared" si="14"/>
        <v>48061</v>
      </c>
      <c r="LU7" s="175">
        <f t="shared" si="14"/>
        <v>48068</v>
      </c>
      <c r="LV7" s="175">
        <f t="shared" si="14"/>
        <v>48075</v>
      </c>
      <c r="LW7" s="175">
        <f t="shared" si="14"/>
        <v>48082</v>
      </c>
      <c r="LX7" s="175">
        <f t="shared" si="14"/>
        <v>48085</v>
      </c>
      <c r="LY7" s="175">
        <f t="shared" si="14"/>
        <v>48092</v>
      </c>
      <c r="LZ7" s="175">
        <f t="shared" si="14"/>
        <v>48099</v>
      </c>
      <c r="MA7" s="175">
        <f t="shared" si="14"/>
        <v>48106</v>
      </c>
      <c r="MB7" s="175">
        <f t="shared" si="14"/>
        <v>48113</v>
      </c>
      <c r="MC7" s="175">
        <f t="shared" si="14"/>
        <v>48115</v>
      </c>
      <c r="MD7" s="175">
        <f t="shared" si="14"/>
        <v>48122</v>
      </c>
      <c r="ME7" s="175">
        <f t="shared" si="14"/>
        <v>48129</v>
      </c>
      <c r="MF7" s="175">
        <f t="shared" si="14"/>
        <v>48136</v>
      </c>
      <c r="MG7" s="175">
        <f t="shared" si="14"/>
        <v>48143</v>
      </c>
      <c r="MH7" s="175">
        <f t="shared" si="14"/>
        <v>48146</v>
      </c>
      <c r="MI7" s="175">
        <f t="shared" si="14"/>
        <v>48153</v>
      </c>
      <c r="MJ7" s="175">
        <f t="shared" si="14"/>
        <v>48160</v>
      </c>
      <c r="MK7" s="175">
        <f t="shared" si="14"/>
        <v>48167</v>
      </c>
      <c r="ML7" s="175">
        <f t="shared" si="14"/>
        <v>48174</v>
      </c>
      <c r="MM7" s="175">
        <f t="shared" si="14"/>
        <v>48176</v>
      </c>
      <c r="MN7" s="175">
        <f t="shared" si="14"/>
        <v>48183</v>
      </c>
      <c r="MO7" s="175">
        <f t="shared" si="14"/>
        <v>48190</v>
      </c>
      <c r="MP7" s="175">
        <f t="shared" si="14"/>
        <v>48197</v>
      </c>
      <c r="MQ7" s="175">
        <f t="shared" si="14"/>
        <v>48204</v>
      </c>
      <c r="MR7" s="175">
        <f t="shared" si="14"/>
        <v>48211</v>
      </c>
      <c r="MS7" s="175">
        <f t="shared" si="14"/>
        <v>48214</v>
      </c>
      <c r="MT7" s="175">
        <f t="shared" si="14"/>
        <v>48221</v>
      </c>
      <c r="MU7" s="175">
        <f t="shared" si="14"/>
        <v>48228</v>
      </c>
      <c r="MV7" s="175">
        <f t="shared" si="14"/>
        <v>48235</v>
      </c>
      <c r="MW7" s="175">
        <f t="shared" si="14"/>
        <v>48242</v>
      </c>
      <c r="MX7" s="175">
        <f t="shared" si="14"/>
        <v>48245</v>
      </c>
      <c r="MY7" s="175">
        <f t="shared" si="14"/>
        <v>48252</v>
      </c>
      <c r="MZ7" s="175">
        <f t="shared" si="14"/>
        <v>48259</v>
      </c>
      <c r="NA7" s="175">
        <f t="shared" si="14"/>
        <v>48266</v>
      </c>
      <c r="NB7" s="175">
        <f t="shared" si="14"/>
        <v>48273</v>
      </c>
      <c r="NC7" s="175">
        <f t="shared" si="14"/>
        <v>48274</v>
      </c>
      <c r="ND7" s="175">
        <f t="shared" si="14"/>
        <v>48281</v>
      </c>
      <c r="NE7" s="175">
        <f t="shared" si="14"/>
        <v>48288</v>
      </c>
      <c r="NF7" s="175">
        <f t="shared" si="14"/>
        <v>48295</v>
      </c>
      <c r="NG7" s="175">
        <f t="shared" si="14"/>
        <v>48298</v>
      </c>
      <c r="NH7" s="175">
        <f t="shared" si="14"/>
        <v>48305</v>
      </c>
      <c r="NI7" s="175">
        <f t="shared" si="14"/>
        <v>48312</v>
      </c>
      <c r="NJ7" s="175">
        <f t="shared" si="14"/>
        <v>48319</v>
      </c>
      <c r="NK7" s="175">
        <f t="shared" si="14"/>
        <v>48326</v>
      </c>
      <c r="NL7" s="175">
        <f t="shared" si="14"/>
        <v>48328</v>
      </c>
      <c r="NM7" s="175">
        <f t="shared" si="14"/>
        <v>48335</v>
      </c>
      <c r="NN7" s="175">
        <f t="shared" si="14"/>
        <v>48342</v>
      </c>
      <c r="NO7" s="175">
        <f t="shared" si="14"/>
        <v>48349</v>
      </c>
      <c r="NP7" s="175">
        <f t="shared" si="14"/>
        <v>48356</v>
      </c>
      <c r="NQ7" s="175">
        <f t="shared" si="14"/>
        <v>48359</v>
      </c>
      <c r="NR7" s="175">
        <f t="shared" si="14"/>
        <v>48366</v>
      </c>
      <c r="NS7" s="175">
        <f t="shared" si="14"/>
        <v>48373</v>
      </c>
      <c r="NT7" s="175">
        <f t="shared" si="14"/>
        <v>48380</v>
      </c>
      <c r="NU7" s="175">
        <f t="shared" si="14"/>
        <v>48387</v>
      </c>
      <c r="NV7" s="175">
        <f t="shared" si="14"/>
        <v>48389</v>
      </c>
      <c r="NW7" s="175">
        <f t="shared" ref="NW7:QH7" si="15">NV8+1</f>
        <v>48396</v>
      </c>
      <c r="NX7" s="175">
        <f t="shared" si="15"/>
        <v>48403</v>
      </c>
      <c r="NY7" s="175">
        <f t="shared" si="15"/>
        <v>48410</v>
      </c>
      <c r="NZ7" s="175">
        <f t="shared" si="15"/>
        <v>48417</v>
      </c>
      <c r="OA7" s="175">
        <f t="shared" si="15"/>
        <v>48420</v>
      </c>
      <c r="OB7" s="175">
        <f t="shared" si="15"/>
        <v>48427</v>
      </c>
      <c r="OC7" s="175">
        <f t="shared" si="15"/>
        <v>48434</v>
      </c>
      <c r="OD7" s="175">
        <f t="shared" si="15"/>
        <v>48441</v>
      </c>
      <c r="OE7" s="175">
        <f t="shared" si="15"/>
        <v>48448</v>
      </c>
      <c r="OF7" s="175">
        <f t="shared" si="15"/>
        <v>48451</v>
      </c>
      <c r="OG7" s="175">
        <f t="shared" si="15"/>
        <v>48458</v>
      </c>
      <c r="OH7" s="175">
        <f t="shared" si="15"/>
        <v>48465</v>
      </c>
      <c r="OI7" s="175">
        <f t="shared" si="15"/>
        <v>48472</v>
      </c>
      <c r="OJ7" s="175">
        <f t="shared" si="15"/>
        <v>48479</v>
      </c>
      <c r="OK7" s="175">
        <f t="shared" si="15"/>
        <v>48481</v>
      </c>
      <c r="OL7" s="175">
        <f t="shared" si="15"/>
        <v>48488</v>
      </c>
      <c r="OM7" s="175">
        <f t="shared" si="15"/>
        <v>48495</v>
      </c>
      <c r="ON7" s="175">
        <f t="shared" si="15"/>
        <v>48502</v>
      </c>
      <c r="OO7" s="175">
        <f t="shared" si="15"/>
        <v>48509</v>
      </c>
      <c r="OP7" s="175">
        <f t="shared" si="15"/>
        <v>48512</v>
      </c>
      <c r="OQ7" s="175">
        <f t="shared" si="15"/>
        <v>48519</v>
      </c>
      <c r="OR7" s="175">
        <f t="shared" si="15"/>
        <v>48526</v>
      </c>
      <c r="OS7" s="175">
        <f t="shared" si="15"/>
        <v>48533</v>
      </c>
      <c r="OT7" s="175">
        <f t="shared" si="15"/>
        <v>48540</v>
      </c>
      <c r="OU7" s="175">
        <f t="shared" si="15"/>
        <v>48542</v>
      </c>
      <c r="OV7" s="175">
        <f t="shared" si="15"/>
        <v>48549</v>
      </c>
      <c r="OW7" s="175">
        <f t="shared" si="15"/>
        <v>48556</v>
      </c>
      <c r="OX7" s="175">
        <f t="shared" si="15"/>
        <v>48563</v>
      </c>
      <c r="OY7" s="175">
        <f t="shared" si="15"/>
        <v>48570</v>
      </c>
      <c r="OZ7" s="175">
        <f t="shared" si="15"/>
        <v>48577</v>
      </c>
      <c r="PA7" s="175">
        <f t="shared" si="15"/>
        <v>48580</v>
      </c>
      <c r="PB7" s="175">
        <f t="shared" si="15"/>
        <v>48587</v>
      </c>
      <c r="PC7" s="175">
        <f t="shared" si="15"/>
        <v>48594</v>
      </c>
      <c r="PD7" s="175">
        <f t="shared" si="15"/>
        <v>48601</v>
      </c>
      <c r="PE7" s="175">
        <f t="shared" si="15"/>
        <v>48608</v>
      </c>
      <c r="PF7" s="175">
        <f t="shared" si="15"/>
        <v>48611</v>
      </c>
      <c r="PG7" s="175">
        <f t="shared" si="15"/>
        <v>48618</v>
      </c>
      <c r="PH7" s="175">
        <f t="shared" si="15"/>
        <v>48625</v>
      </c>
      <c r="PI7" s="175">
        <f t="shared" si="15"/>
        <v>48632</v>
      </c>
      <c r="PJ7" s="175">
        <f t="shared" si="15"/>
        <v>48639</v>
      </c>
      <c r="PK7" s="175">
        <f t="shared" si="15"/>
        <v>48646</v>
      </c>
      <c r="PL7" s="175">
        <f t="shared" si="15"/>
        <v>48653</v>
      </c>
      <c r="PM7" s="175">
        <f t="shared" si="15"/>
        <v>48660</v>
      </c>
      <c r="PN7" s="175">
        <f t="shared" si="15"/>
        <v>48663</v>
      </c>
      <c r="PO7" s="175">
        <f t="shared" si="15"/>
        <v>48670</v>
      </c>
      <c r="PP7" s="175">
        <f t="shared" si="15"/>
        <v>48677</v>
      </c>
      <c r="PQ7" s="175">
        <f t="shared" si="15"/>
        <v>48684</v>
      </c>
      <c r="PR7" s="175">
        <f t="shared" si="15"/>
        <v>48691</v>
      </c>
      <c r="PS7" s="175">
        <f t="shared" si="15"/>
        <v>48693</v>
      </c>
      <c r="PT7" s="175">
        <f t="shared" si="15"/>
        <v>48700</v>
      </c>
      <c r="PU7" s="175">
        <f t="shared" si="15"/>
        <v>48707</v>
      </c>
      <c r="PV7" s="175">
        <f t="shared" si="15"/>
        <v>48714</v>
      </c>
      <c r="PW7" s="175">
        <f t="shared" si="15"/>
        <v>48721</v>
      </c>
      <c r="PX7" s="175">
        <f t="shared" si="15"/>
        <v>48724</v>
      </c>
      <c r="PY7" s="175">
        <f t="shared" si="15"/>
        <v>48731</v>
      </c>
      <c r="PZ7" s="175">
        <f t="shared" si="15"/>
        <v>48738</v>
      </c>
      <c r="QA7" s="175">
        <f t="shared" si="15"/>
        <v>48745</v>
      </c>
      <c r="QB7" s="175">
        <f t="shared" si="15"/>
        <v>48752</v>
      </c>
      <c r="QC7" s="175">
        <f t="shared" si="15"/>
        <v>48754</v>
      </c>
      <c r="QD7" s="175">
        <f t="shared" si="15"/>
        <v>48761</v>
      </c>
      <c r="QE7" s="175">
        <f t="shared" si="15"/>
        <v>48768</v>
      </c>
      <c r="QF7" s="175">
        <f t="shared" si="15"/>
        <v>48775</v>
      </c>
      <c r="QG7" s="175">
        <f t="shared" si="15"/>
        <v>48782</v>
      </c>
      <c r="QH7" s="175">
        <f t="shared" si="15"/>
        <v>48785</v>
      </c>
      <c r="QI7" s="175">
        <f t="shared" ref="QI7:ST7" si="16">QH8+1</f>
        <v>48792</v>
      </c>
      <c r="QJ7" s="175">
        <f t="shared" si="16"/>
        <v>48799</v>
      </c>
      <c r="QK7" s="175">
        <f t="shared" si="16"/>
        <v>48806</v>
      </c>
      <c r="QL7" s="175">
        <f t="shared" si="16"/>
        <v>48813</v>
      </c>
      <c r="QM7" s="175">
        <f t="shared" si="16"/>
        <v>48816</v>
      </c>
      <c r="QN7" s="175">
        <f t="shared" si="16"/>
        <v>48823</v>
      </c>
      <c r="QO7" s="175">
        <f t="shared" si="16"/>
        <v>48830</v>
      </c>
      <c r="QP7" s="175">
        <f t="shared" si="16"/>
        <v>48837</v>
      </c>
      <c r="QQ7" s="175">
        <f t="shared" si="16"/>
        <v>48844</v>
      </c>
      <c r="QR7" s="175">
        <f t="shared" si="16"/>
        <v>48846</v>
      </c>
      <c r="QS7" s="175">
        <f t="shared" si="16"/>
        <v>48853</v>
      </c>
      <c r="QT7" s="175">
        <f t="shared" si="16"/>
        <v>48860</v>
      </c>
      <c r="QU7" s="175">
        <f t="shared" si="16"/>
        <v>48867</v>
      </c>
      <c r="QV7" s="175">
        <f t="shared" si="16"/>
        <v>48874</v>
      </c>
      <c r="QW7" s="175">
        <f t="shared" si="16"/>
        <v>48877</v>
      </c>
      <c r="QX7" s="175">
        <f t="shared" si="16"/>
        <v>48884</v>
      </c>
      <c r="QY7" s="175">
        <f t="shared" si="16"/>
        <v>48891</v>
      </c>
      <c r="QZ7" s="175">
        <f t="shared" si="16"/>
        <v>48898</v>
      </c>
      <c r="RA7" s="175">
        <f t="shared" si="16"/>
        <v>48905</v>
      </c>
      <c r="RB7" s="175">
        <f t="shared" si="16"/>
        <v>48907</v>
      </c>
      <c r="RC7" s="175">
        <f t="shared" si="16"/>
        <v>48914</v>
      </c>
      <c r="RD7" s="175">
        <f t="shared" si="16"/>
        <v>48921</v>
      </c>
      <c r="RE7" s="175">
        <f t="shared" si="16"/>
        <v>48928</v>
      </c>
      <c r="RF7" s="175">
        <f t="shared" si="16"/>
        <v>48935</v>
      </c>
      <c r="RG7" s="175">
        <f t="shared" si="16"/>
        <v>48942</v>
      </c>
      <c r="RH7" s="175">
        <f t="shared" si="16"/>
        <v>48945</v>
      </c>
      <c r="RI7" s="175">
        <f t="shared" si="16"/>
        <v>48952</v>
      </c>
      <c r="RJ7" s="175">
        <f t="shared" si="16"/>
        <v>48959</v>
      </c>
      <c r="RK7" s="175">
        <f t="shared" si="16"/>
        <v>48966</v>
      </c>
      <c r="RL7" s="175">
        <f t="shared" si="16"/>
        <v>48973</v>
      </c>
      <c r="RM7" s="175">
        <f t="shared" si="16"/>
        <v>48976</v>
      </c>
      <c r="RN7" s="175">
        <f t="shared" si="16"/>
        <v>48983</v>
      </c>
      <c r="RO7" s="175">
        <f t="shared" si="16"/>
        <v>48990</v>
      </c>
      <c r="RP7" s="175">
        <f t="shared" si="16"/>
        <v>48997</v>
      </c>
      <c r="RQ7" s="175">
        <f t="shared" si="16"/>
        <v>49004</v>
      </c>
      <c r="RR7" s="175">
        <f t="shared" si="16"/>
        <v>49011</v>
      </c>
      <c r="RS7" s="175">
        <f t="shared" si="16"/>
        <v>49018</v>
      </c>
      <c r="RT7" s="175">
        <f t="shared" si="16"/>
        <v>49025</v>
      </c>
      <c r="RU7" s="175">
        <f t="shared" si="16"/>
        <v>49028</v>
      </c>
      <c r="RV7" s="175">
        <f t="shared" si="16"/>
        <v>49035</v>
      </c>
      <c r="RW7" s="175">
        <f t="shared" si="16"/>
        <v>49042</v>
      </c>
      <c r="RX7" s="175">
        <f t="shared" si="16"/>
        <v>49049</v>
      </c>
      <c r="RY7" s="175">
        <f t="shared" si="16"/>
        <v>49056</v>
      </c>
      <c r="RZ7" s="175">
        <f t="shared" si="16"/>
        <v>49058</v>
      </c>
      <c r="SA7" s="175">
        <f t="shared" si="16"/>
        <v>49065</v>
      </c>
      <c r="SB7" s="175">
        <f t="shared" si="16"/>
        <v>49072</v>
      </c>
      <c r="SC7" s="175">
        <f t="shared" si="16"/>
        <v>49079</v>
      </c>
      <c r="SD7" s="175">
        <f t="shared" si="16"/>
        <v>49086</v>
      </c>
      <c r="SE7" s="175">
        <f t="shared" si="16"/>
        <v>49089</v>
      </c>
      <c r="SF7" s="175">
        <f t="shared" si="16"/>
        <v>49096</v>
      </c>
      <c r="SG7" s="175">
        <f t="shared" si="16"/>
        <v>49103</v>
      </c>
      <c r="SH7" s="175">
        <f t="shared" si="16"/>
        <v>49110</v>
      </c>
      <c r="SI7" s="175">
        <f t="shared" si="16"/>
        <v>49117</v>
      </c>
      <c r="SJ7" s="175">
        <f t="shared" si="16"/>
        <v>49119</v>
      </c>
      <c r="SK7" s="175">
        <f t="shared" si="16"/>
        <v>49126</v>
      </c>
      <c r="SL7" s="175">
        <f t="shared" si="16"/>
        <v>49133</v>
      </c>
      <c r="SM7" s="175">
        <f t="shared" si="16"/>
        <v>49140</v>
      </c>
      <c r="SN7" s="175">
        <f t="shared" si="16"/>
        <v>49147</v>
      </c>
      <c r="SO7" s="175">
        <f t="shared" si="16"/>
        <v>49150</v>
      </c>
      <c r="SP7" s="175">
        <f t="shared" si="16"/>
        <v>49157</v>
      </c>
      <c r="SQ7" s="175">
        <f t="shared" si="16"/>
        <v>49164</v>
      </c>
      <c r="SR7" s="175">
        <f t="shared" si="16"/>
        <v>49171</v>
      </c>
      <c r="SS7" s="175">
        <f t="shared" si="16"/>
        <v>49178</v>
      </c>
      <c r="ST7" s="175">
        <f t="shared" si="16"/>
        <v>49181</v>
      </c>
      <c r="SU7" s="175">
        <f t="shared" ref="SU7:TN7" si="17">ST8+1</f>
        <v>49188</v>
      </c>
      <c r="SV7" s="175">
        <f t="shared" si="17"/>
        <v>49195</v>
      </c>
      <c r="SW7" s="175">
        <f t="shared" si="17"/>
        <v>49202</v>
      </c>
      <c r="SX7" s="175">
        <f t="shared" si="17"/>
        <v>49209</v>
      </c>
      <c r="SY7" s="175">
        <f t="shared" si="17"/>
        <v>49211</v>
      </c>
      <c r="SZ7" s="175">
        <f t="shared" si="17"/>
        <v>49218</v>
      </c>
      <c r="TA7" s="175">
        <f t="shared" si="17"/>
        <v>49225</v>
      </c>
      <c r="TB7" s="175">
        <f t="shared" si="17"/>
        <v>49232</v>
      </c>
      <c r="TC7" s="175">
        <f t="shared" si="17"/>
        <v>49239</v>
      </c>
      <c r="TD7" s="175">
        <f t="shared" si="17"/>
        <v>49242</v>
      </c>
      <c r="TE7" s="175">
        <f t="shared" si="17"/>
        <v>49249</v>
      </c>
      <c r="TF7" s="175">
        <f t="shared" si="17"/>
        <v>49256</v>
      </c>
      <c r="TG7" s="175">
        <f t="shared" si="17"/>
        <v>49263</v>
      </c>
      <c r="TH7" s="175">
        <f t="shared" si="17"/>
        <v>49270</v>
      </c>
      <c r="TI7" s="175">
        <f t="shared" si="17"/>
        <v>49272</v>
      </c>
      <c r="TJ7" s="175">
        <f t="shared" si="17"/>
        <v>49279</v>
      </c>
      <c r="TK7" s="175">
        <f t="shared" si="17"/>
        <v>49286</v>
      </c>
      <c r="TL7" s="175">
        <f t="shared" si="17"/>
        <v>49293</v>
      </c>
      <c r="TM7" s="175">
        <f t="shared" si="17"/>
        <v>49300</v>
      </c>
      <c r="TN7" s="175">
        <f t="shared" si="17"/>
        <v>49307</v>
      </c>
    </row>
    <row r="8" spans="1:534" x14ac:dyDescent="0.3">
      <c r="A8" s="172" t="s">
        <v>378</v>
      </c>
      <c r="B8" s="175">
        <f>B7+6</f>
        <v>46029</v>
      </c>
      <c r="C8" s="175">
        <f>C7+6</f>
        <v>46036</v>
      </c>
      <c r="D8" s="175">
        <f>D7+6</f>
        <v>46043</v>
      </c>
      <c r="E8" s="175">
        <f>E7+6</f>
        <v>46050</v>
      </c>
      <c r="F8" s="175">
        <f>F7+2</f>
        <v>46053</v>
      </c>
      <c r="G8" s="175">
        <f t="shared" ref="G8:N8" si="18">G7+6</f>
        <v>46060</v>
      </c>
      <c r="H8" s="175">
        <f t="shared" si="18"/>
        <v>46067</v>
      </c>
      <c r="I8" s="175">
        <f t="shared" si="18"/>
        <v>46074</v>
      </c>
      <c r="J8" s="175">
        <f t="shared" si="18"/>
        <v>46081</v>
      </c>
      <c r="K8" s="175">
        <f t="shared" si="18"/>
        <v>46088</v>
      </c>
      <c r="L8" s="175">
        <f t="shared" si="18"/>
        <v>46095</v>
      </c>
      <c r="M8" s="175">
        <f t="shared" si="18"/>
        <v>46102</v>
      </c>
      <c r="N8" s="175">
        <f t="shared" si="18"/>
        <v>46109</v>
      </c>
      <c r="O8" s="175">
        <f>O7+2</f>
        <v>46112</v>
      </c>
      <c r="P8" s="175">
        <f>P7+6</f>
        <v>46119</v>
      </c>
      <c r="Q8" s="175">
        <f>Q7+6</f>
        <v>46126</v>
      </c>
      <c r="R8" s="175">
        <f>R7+6</f>
        <v>46133</v>
      </c>
      <c r="S8" s="175">
        <f>S7+6</f>
        <v>46140</v>
      </c>
      <c r="T8" s="175">
        <f>T7+1</f>
        <v>46142</v>
      </c>
      <c r="U8" s="175">
        <f>U7+6</f>
        <v>46149</v>
      </c>
      <c r="V8" s="175">
        <f>V7+6</f>
        <v>46156</v>
      </c>
      <c r="W8" s="175">
        <f>W7+6</f>
        <v>46163</v>
      </c>
      <c r="X8" s="175">
        <f>X7+6</f>
        <v>46170</v>
      </c>
      <c r="Y8" s="175">
        <f>Y7+2</f>
        <v>46173</v>
      </c>
      <c r="Z8" s="175">
        <f>Z7+6</f>
        <v>46180</v>
      </c>
      <c r="AA8" s="175">
        <f>AA7+6</f>
        <v>46187</v>
      </c>
      <c r="AB8" s="175">
        <f>AB7+6</f>
        <v>46194</v>
      </c>
      <c r="AC8" s="175">
        <f>AC7+6</f>
        <v>46201</v>
      </c>
      <c r="AD8" s="175">
        <f>AD7+1</f>
        <v>46203</v>
      </c>
      <c r="AE8" s="175">
        <f>AE7+6</f>
        <v>46210</v>
      </c>
      <c r="AF8" s="175">
        <f>AF7+6</f>
        <v>46217</v>
      </c>
      <c r="AG8" s="175">
        <f>AG7+6</f>
        <v>46224</v>
      </c>
      <c r="AH8" s="175">
        <f>AH7+6</f>
        <v>46231</v>
      </c>
      <c r="AI8" s="175">
        <f>AI7+2</f>
        <v>46234</v>
      </c>
      <c r="AJ8" s="175">
        <f>AJ7+6</f>
        <v>46241</v>
      </c>
      <c r="AK8" s="175">
        <f>AK7+6</f>
        <v>46248</v>
      </c>
      <c r="AL8" s="175">
        <f>AL7+6</f>
        <v>46255</v>
      </c>
      <c r="AM8" s="175">
        <f>AM7+6</f>
        <v>46262</v>
      </c>
      <c r="AN8" s="175">
        <f>AN7+2</f>
        <v>46265</v>
      </c>
      <c r="AO8" s="175">
        <f>AO7+6</f>
        <v>46272</v>
      </c>
      <c r="AP8" s="175">
        <f>AP7+6</f>
        <v>46279</v>
      </c>
      <c r="AQ8" s="175">
        <f>AQ7+6</f>
        <v>46286</v>
      </c>
      <c r="AR8" s="175">
        <f>AR7+6</f>
        <v>46293</v>
      </c>
      <c r="AS8" s="175">
        <f>AS7+1</f>
        <v>46295</v>
      </c>
      <c r="AT8" s="175">
        <f>AT7+6</f>
        <v>46302</v>
      </c>
      <c r="AU8" s="175">
        <f>AU7+6</f>
        <v>46309</v>
      </c>
      <c r="AV8" s="175">
        <f>AV7+6</f>
        <v>46316</v>
      </c>
      <c r="AW8" s="175">
        <f>AW7+6</f>
        <v>46323</v>
      </c>
      <c r="AX8" s="175">
        <f>AX7+2</f>
        <v>46326</v>
      </c>
      <c r="AY8" s="175">
        <f>AY7+6</f>
        <v>46333</v>
      </c>
      <c r="AZ8" s="175">
        <f>AZ7+6</f>
        <v>46340</v>
      </c>
      <c r="BA8" s="175">
        <f>BA7+6</f>
        <v>46347</v>
      </c>
      <c r="BB8" s="175">
        <f>BB7+6</f>
        <v>46354</v>
      </c>
      <c r="BC8" s="175">
        <f>BC7+1</f>
        <v>46356</v>
      </c>
      <c r="BD8" s="175">
        <f>BD7+6</f>
        <v>46363</v>
      </c>
      <c r="BE8" s="175">
        <f>BE7+6</f>
        <v>46370</v>
      </c>
      <c r="BF8" s="175">
        <f>BF7+6</f>
        <v>46377</v>
      </c>
      <c r="BG8" s="175">
        <f>BG7+6</f>
        <v>46384</v>
      </c>
      <c r="BH8" s="175">
        <f>BH7+2</f>
        <v>46387</v>
      </c>
      <c r="BI8" s="175">
        <f>BI7+6</f>
        <v>46394</v>
      </c>
      <c r="BJ8" s="175">
        <f>BJ7+6</f>
        <v>46401</v>
      </c>
      <c r="BK8" s="175">
        <f>BK7+6</f>
        <v>46408</v>
      </c>
      <c r="BL8" s="175">
        <f>BL7+6</f>
        <v>46415</v>
      </c>
      <c r="BM8" s="175">
        <f>BM7+2</f>
        <v>46418</v>
      </c>
      <c r="BN8" s="175">
        <f t="shared" ref="BN8:BU8" si="19">BN7+6</f>
        <v>46425</v>
      </c>
      <c r="BO8" s="175">
        <f t="shared" si="19"/>
        <v>46432</v>
      </c>
      <c r="BP8" s="175">
        <f t="shared" si="19"/>
        <v>46439</v>
      </c>
      <c r="BQ8" s="175">
        <f t="shared" si="19"/>
        <v>46446</v>
      </c>
      <c r="BR8" s="175">
        <f t="shared" si="19"/>
        <v>46453</v>
      </c>
      <c r="BS8" s="175">
        <f t="shared" si="19"/>
        <v>46460</v>
      </c>
      <c r="BT8" s="175">
        <f t="shared" si="19"/>
        <v>46467</v>
      </c>
      <c r="BU8" s="175">
        <f t="shared" si="19"/>
        <v>46474</v>
      </c>
      <c r="BV8" s="175">
        <f>BV7+2</f>
        <v>46477</v>
      </c>
      <c r="BW8" s="175">
        <f>BW7+6</f>
        <v>46484</v>
      </c>
      <c r="BX8" s="175">
        <f>BX7+6</f>
        <v>46491</v>
      </c>
      <c r="BY8" s="175">
        <f>BY7+6</f>
        <v>46498</v>
      </c>
      <c r="BZ8" s="175">
        <f>BZ7+6</f>
        <v>46505</v>
      </c>
      <c r="CA8" s="175">
        <f>CA7+1</f>
        <v>46507</v>
      </c>
      <c r="CB8" s="175">
        <f>CB7+6</f>
        <v>46514</v>
      </c>
      <c r="CC8" s="175">
        <f>CC7+6</f>
        <v>46521</v>
      </c>
      <c r="CD8" s="175">
        <f>CD7+6</f>
        <v>46528</v>
      </c>
      <c r="CE8" s="175">
        <f>CE7+6</f>
        <v>46535</v>
      </c>
      <c r="CF8" s="175">
        <f>CF7+2</f>
        <v>46538</v>
      </c>
      <c r="CG8" s="175">
        <f>CG7+6</f>
        <v>46545</v>
      </c>
      <c r="CH8" s="175">
        <f>CH7+6</f>
        <v>46552</v>
      </c>
      <c r="CI8" s="175">
        <f>CI7+6</f>
        <v>46559</v>
      </c>
      <c r="CJ8" s="175">
        <f>CJ7+6</f>
        <v>46566</v>
      </c>
      <c r="CK8" s="175">
        <f>CK7+1</f>
        <v>46568</v>
      </c>
      <c r="CL8" s="175">
        <f>CL7+6</f>
        <v>46575</v>
      </c>
      <c r="CM8" s="175">
        <f>CM7+6</f>
        <v>46582</v>
      </c>
      <c r="CN8" s="175">
        <f>CN7+6</f>
        <v>46589</v>
      </c>
      <c r="CO8" s="175">
        <f>CO7+6</f>
        <v>46596</v>
      </c>
      <c r="CP8" s="175">
        <f>CP7+2</f>
        <v>46599</v>
      </c>
      <c r="CQ8" s="175">
        <f>CQ7+6</f>
        <v>46606</v>
      </c>
      <c r="CR8" s="175">
        <f>CR7+6</f>
        <v>46613</v>
      </c>
      <c r="CS8" s="175">
        <f>CS7+6</f>
        <v>46620</v>
      </c>
      <c r="CT8" s="175">
        <f>CT7+6</f>
        <v>46627</v>
      </c>
      <c r="CU8" s="175">
        <f>CU7+2</f>
        <v>46630</v>
      </c>
      <c r="CV8" s="175">
        <f>CV7+6</f>
        <v>46637</v>
      </c>
      <c r="CW8" s="175">
        <f>CW7+6</f>
        <v>46644</v>
      </c>
      <c r="CX8" s="175">
        <f>CX7+6</f>
        <v>46651</v>
      </c>
      <c r="CY8" s="175">
        <f>CY7+6</f>
        <v>46658</v>
      </c>
      <c r="CZ8" s="175">
        <f>CZ7+1</f>
        <v>46660</v>
      </c>
      <c r="DA8" s="175">
        <f>DA7+6</f>
        <v>46667</v>
      </c>
      <c r="DB8" s="175">
        <f>DB7+6</f>
        <v>46674</v>
      </c>
      <c r="DC8" s="175">
        <f>DC7+6</f>
        <v>46681</v>
      </c>
      <c r="DD8" s="175">
        <f>DD7+6</f>
        <v>46688</v>
      </c>
      <c r="DE8" s="175">
        <f>DE7+2</f>
        <v>46691</v>
      </c>
      <c r="DF8" s="175">
        <f>DF7+6</f>
        <v>46698</v>
      </c>
      <c r="DG8" s="175">
        <f>DG7+6</f>
        <v>46705</v>
      </c>
      <c r="DH8" s="175">
        <f>DH7+6</f>
        <v>46712</v>
      </c>
      <c r="DI8" s="175">
        <f>DI7+6</f>
        <v>46719</v>
      </c>
      <c r="DJ8" s="175">
        <f>DJ7+1</f>
        <v>46721</v>
      </c>
      <c r="DK8" s="175">
        <f>DK7+6</f>
        <v>46728</v>
      </c>
      <c r="DL8" s="175">
        <f>DL7+6</f>
        <v>46735</v>
      </c>
      <c r="DM8" s="175">
        <f>DM7+6</f>
        <v>46742</v>
      </c>
      <c r="DN8" s="175">
        <f>DN7+6</f>
        <v>46749</v>
      </c>
      <c r="DO8" s="175">
        <f>DO7+2</f>
        <v>46752</v>
      </c>
      <c r="DP8" s="175">
        <f>DP7+6</f>
        <v>46759</v>
      </c>
      <c r="DQ8" s="175">
        <f>DQ7+6</f>
        <v>46766</v>
      </c>
      <c r="DR8" s="175">
        <f>DR7+6</f>
        <v>46773</v>
      </c>
      <c r="DS8" s="175">
        <f>DS7+6</f>
        <v>46780</v>
      </c>
      <c r="DT8" s="175">
        <f>DT7+2</f>
        <v>46783</v>
      </c>
      <c r="DU8" s="175">
        <f>DU7+6</f>
        <v>46790</v>
      </c>
      <c r="DV8" s="175">
        <f>DV7+6</f>
        <v>46797</v>
      </c>
      <c r="DW8" s="175">
        <f>DW7+6</f>
        <v>46804</v>
      </c>
      <c r="DX8" s="175">
        <f>DX7+6</f>
        <v>46811</v>
      </c>
      <c r="DY8" s="175">
        <f>DY7</f>
        <v>46812</v>
      </c>
      <c r="DZ8" s="175">
        <f>DZ7+6</f>
        <v>46819</v>
      </c>
      <c r="EA8" s="175">
        <f>EA7+6</f>
        <v>46826</v>
      </c>
      <c r="EB8" s="175">
        <f>EB7+6</f>
        <v>46833</v>
      </c>
      <c r="EC8" s="175">
        <f>EC7+2</f>
        <v>46836</v>
      </c>
      <c r="ED8" s="175">
        <f>ED7+6</f>
        <v>46843</v>
      </c>
      <c r="EE8" s="175">
        <f>EE7+6</f>
        <v>46850</v>
      </c>
      <c r="EF8" s="175">
        <f>EF7+6</f>
        <v>46857</v>
      </c>
      <c r="EG8" s="175">
        <f>EG7+6</f>
        <v>46864</v>
      </c>
      <c r="EH8" s="175">
        <f>EH7+1</f>
        <v>46866</v>
      </c>
      <c r="EI8" s="175">
        <f>EI7+6</f>
        <v>46873</v>
      </c>
      <c r="EJ8" s="175">
        <f>EJ7+6</f>
        <v>46880</v>
      </c>
      <c r="EK8" s="175">
        <f>EK7+6</f>
        <v>46887</v>
      </c>
      <c r="EL8" s="175">
        <f>EL7+6</f>
        <v>46894</v>
      </c>
      <c r="EM8" s="175">
        <f>EM7+2</f>
        <v>46897</v>
      </c>
      <c r="EN8" s="175">
        <f>EN7+6</f>
        <v>46904</v>
      </c>
      <c r="EO8" s="175">
        <f>EO7+6</f>
        <v>46911</v>
      </c>
      <c r="EP8" s="175">
        <f>EP7+6</f>
        <v>46918</v>
      </c>
      <c r="EQ8" s="175">
        <f>EQ7+6</f>
        <v>46925</v>
      </c>
      <c r="ER8" s="175">
        <f>ER7+1</f>
        <v>46927</v>
      </c>
      <c r="ES8" s="175">
        <f>ES7+6</f>
        <v>46934</v>
      </c>
      <c r="ET8" s="175">
        <f>ET7+6</f>
        <v>46941</v>
      </c>
      <c r="EU8" s="175">
        <f>EU7+6</f>
        <v>46948</v>
      </c>
      <c r="EV8" s="175">
        <f>EV7+6</f>
        <v>46955</v>
      </c>
      <c r="EW8" s="175">
        <f>EW7+2</f>
        <v>46958</v>
      </c>
      <c r="EX8" s="175">
        <f>EX7+6</f>
        <v>46965</v>
      </c>
      <c r="EY8" s="175">
        <f>EY7+6</f>
        <v>46972</v>
      </c>
      <c r="EZ8" s="175">
        <f>EZ7+6</f>
        <v>46979</v>
      </c>
      <c r="FA8" s="175">
        <f>FA7+6</f>
        <v>46986</v>
      </c>
      <c r="FB8" s="175">
        <f>FB7+2</f>
        <v>46989</v>
      </c>
      <c r="FC8" s="175">
        <f>FC7+6</f>
        <v>46996</v>
      </c>
      <c r="FD8" s="175">
        <f>FD7+6</f>
        <v>47003</v>
      </c>
      <c r="FE8" s="175">
        <f>FE7+6</f>
        <v>47010</v>
      </c>
      <c r="FF8" s="175">
        <f>FF7+6</f>
        <v>47017</v>
      </c>
      <c r="FG8" s="175">
        <f>FG7+1</f>
        <v>47019</v>
      </c>
      <c r="FH8" s="175">
        <f>FH7+6</f>
        <v>47026</v>
      </c>
      <c r="FI8" s="175">
        <f>FI7+6</f>
        <v>47033</v>
      </c>
      <c r="FJ8" s="175">
        <f>FJ7+6</f>
        <v>47040</v>
      </c>
      <c r="FK8" s="175">
        <f>FK7+6</f>
        <v>47047</v>
      </c>
      <c r="FL8" s="175">
        <f>FL7+2</f>
        <v>47050</v>
      </c>
      <c r="FM8" s="175">
        <f>FM7+6</f>
        <v>47057</v>
      </c>
      <c r="FN8" s="175">
        <f>FN7+6</f>
        <v>47064</v>
      </c>
      <c r="FO8" s="175">
        <f>FO7+6</f>
        <v>47071</v>
      </c>
      <c r="FP8" s="175">
        <f>FP7+6</f>
        <v>47078</v>
      </c>
      <c r="FQ8" s="175">
        <f>FQ7+1</f>
        <v>47080</v>
      </c>
      <c r="FR8" s="175">
        <f>FR7+6</f>
        <v>47087</v>
      </c>
      <c r="FS8" s="175">
        <f>FS7+6</f>
        <v>47094</v>
      </c>
      <c r="FT8" s="175">
        <f>FT7+6</f>
        <v>47101</v>
      </c>
      <c r="FU8" s="175">
        <f>FU7+6</f>
        <v>47108</v>
      </c>
      <c r="FV8" s="175">
        <f>FV7+6</f>
        <v>47115</v>
      </c>
      <c r="FW8" s="175">
        <f>FW7+2</f>
        <v>47118</v>
      </c>
      <c r="FX8" s="175">
        <f>FX7+6</f>
        <v>47125</v>
      </c>
      <c r="FY8" s="175">
        <f>FY7+6</f>
        <v>47132</v>
      </c>
      <c r="FZ8" s="175">
        <f>FZ7+6</f>
        <v>47139</v>
      </c>
      <c r="GA8" s="175">
        <f>GA7+6</f>
        <v>47146</v>
      </c>
      <c r="GB8" s="175">
        <f>GB7+2</f>
        <v>47149</v>
      </c>
      <c r="GC8" s="175">
        <f t="shared" ref="GC8:GI8" si="20">GC7+6</f>
        <v>47156</v>
      </c>
      <c r="GD8" s="175">
        <f t="shared" si="20"/>
        <v>47163</v>
      </c>
      <c r="GE8" s="175">
        <f t="shared" si="20"/>
        <v>47170</v>
      </c>
      <c r="GF8" s="175">
        <f t="shared" si="20"/>
        <v>47177</v>
      </c>
      <c r="GG8" s="175">
        <f t="shared" si="20"/>
        <v>47184</v>
      </c>
      <c r="GH8" s="175">
        <f t="shared" si="20"/>
        <v>47191</v>
      </c>
      <c r="GI8" s="175">
        <f t="shared" si="20"/>
        <v>47198</v>
      </c>
      <c r="GJ8" s="175">
        <f>GJ7+2</f>
        <v>47201</v>
      </c>
      <c r="GK8" s="175">
        <f>GK7+6</f>
        <v>47208</v>
      </c>
      <c r="GL8" s="175">
        <f>GL7+6</f>
        <v>47215</v>
      </c>
      <c r="GM8" s="175">
        <f>GM7+6</f>
        <v>47222</v>
      </c>
      <c r="GN8" s="175">
        <f>GN7+6</f>
        <v>47229</v>
      </c>
      <c r="GO8" s="175">
        <f>GO7+1</f>
        <v>47231</v>
      </c>
      <c r="GP8" s="175">
        <f>GP7+6</f>
        <v>47238</v>
      </c>
      <c r="GQ8" s="175">
        <f>GQ7+6</f>
        <v>47245</v>
      </c>
      <c r="GR8" s="175">
        <f>GR7+6</f>
        <v>47252</v>
      </c>
      <c r="GS8" s="175">
        <f>GS7+6</f>
        <v>47259</v>
      </c>
      <c r="GT8" s="175">
        <f>GT7+2</f>
        <v>47262</v>
      </c>
      <c r="GU8" s="175">
        <f>GU7+6</f>
        <v>47269</v>
      </c>
      <c r="GV8" s="175">
        <f>GV7+6</f>
        <v>47276</v>
      </c>
      <c r="GW8" s="175">
        <f>GW7+6</f>
        <v>47283</v>
      </c>
      <c r="GX8" s="175">
        <f>GX7+6</f>
        <v>47290</v>
      </c>
      <c r="GY8" s="175">
        <f>GY7+1</f>
        <v>47292</v>
      </c>
      <c r="GZ8" s="175">
        <f>GZ7+6</f>
        <v>47299</v>
      </c>
      <c r="HA8" s="175">
        <f>HA7+6</f>
        <v>47306</v>
      </c>
      <c r="HB8" s="175">
        <f>HB7+6</f>
        <v>47313</v>
      </c>
      <c r="HC8" s="175">
        <f>HC7+6</f>
        <v>47320</v>
      </c>
      <c r="HD8" s="175">
        <f>HD7+2</f>
        <v>47323</v>
      </c>
      <c r="HE8" s="175">
        <f>HE7+6</f>
        <v>47330</v>
      </c>
      <c r="HF8" s="175">
        <f>HF7+6</f>
        <v>47337</v>
      </c>
      <c r="HG8" s="175">
        <f>HG7+6</f>
        <v>47344</v>
      </c>
      <c r="HH8" s="175">
        <f>HH7+6</f>
        <v>47351</v>
      </c>
      <c r="HI8" s="175">
        <f>HI7+2</f>
        <v>47354</v>
      </c>
      <c r="HJ8" s="175">
        <f>HJ7+6</f>
        <v>47361</v>
      </c>
      <c r="HK8" s="175">
        <f>HK7+6</f>
        <v>47368</v>
      </c>
      <c r="HL8" s="175">
        <f>HL7+6</f>
        <v>47375</v>
      </c>
      <c r="HM8" s="175">
        <f>HM7+6</f>
        <v>47382</v>
      </c>
      <c r="HN8" s="175">
        <f>HN7+1</f>
        <v>47384</v>
      </c>
      <c r="HO8" s="175">
        <f>HO7+6</f>
        <v>47391</v>
      </c>
      <c r="HP8" s="175">
        <f>HP7+6</f>
        <v>47398</v>
      </c>
      <c r="HQ8" s="175">
        <f>HQ7+6</f>
        <v>47405</v>
      </c>
      <c r="HR8" s="175">
        <f>HR7+6</f>
        <v>47412</v>
      </c>
      <c r="HS8" s="175">
        <f>HS7+2</f>
        <v>47415</v>
      </c>
      <c r="HT8" s="175">
        <f>HT7+6</f>
        <v>47422</v>
      </c>
      <c r="HU8" s="175">
        <f>HU7+6</f>
        <v>47429</v>
      </c>
      <c r="HV8" s="175">
        <f>HV7+6</f>
        <v>47436</v>
      </c>
      <c r="HW8" s="175">
        <f>HW7+6</f>
        <v>47443</v>
      </c>
      <c r="HX8" s="175">
        <f>HX7+1</f>
        <v>47445</v>
      </c>
      <c r="HY8" s="175">
        <f>HY7+6</f>
        <v>47452</v>
      </c>
      <c r="HZ8" s="175">
        <f>HZ7+6</f>
        <v>47459</v>
      </c>
      <c r="IA8" s="175">
        <f>IA7+6</f>
        <v>47466</v>
      </c>
      <c r="IB8" s="175">
        <f>IB7+6</f>
        <v>47473</v>
      </c>
      <c r="IC8" s="175">
        <f>IC7+6</f>
        <v>47480</v>
      </c>
      <c r="ID8" s="175">
        <f>ID7+2</f>
        <v>47483</v>
      </c>
      <c r="IE8" s="175">
        <f>IE7+6</f>
        <v>47490</v>
      </c>
      <c r="IF8" s="175">
        <f>IF7+6</f>
        <v>47497</v>
      </c>
      <c r="IG8" s="175">
        <f>IG7+6</f>
        <v>47504</v>
      </c>
      <c r="IH8" s="175">
        <f>IH7+6</f>
        <v>47511</v>
      </c>
      <c r="II8" s="175">
        <f>II7+2</f>
        <v>47514</v>
      </c>
      <c r="IJ8" s="175">
        <f t="shared" ref="IJ8:IP8" si="21">IJ7+6</f>
        <v>47521</v>
      </c>
      <c r="IK8" s="175">
        <f t="shared" si="21"/>
        <v>47528</v>
      </c>
      <c r="IL8" s="175">
        <f t="shared" si="21"/>
        <v>47535</v>
      </c>
      <c r="IM8" s="175">
        <f t="shared" si="21"/>
        <v>47542</v>
      </c>
      <c r="IN8" s="175">
        <f t="shared" si="21"/>
        <v>47549</v>
      </c>
      <c r="IO8" s="175">
        <f t="shared" si="21"/>
        <v>47556</v>
      </c>
      <c r="IP8" s="175">
        <f t="shared" si="21"/>
        <v>47563</v>
      </c>
      <c r="IQ8" s="175">
        <f>IQ7+2</f>
        <v>47566</v>
      </c>
      <c r="IR8" s="175">
        <f>IR7+6</f>
        <v>47573</v>
      </c>
      <c r="IS8" s="175">
        <f>IS7+6</f>
        <v>47580</v>
      </c>
      <c r="IT8" s="175">
        <f>IT7+6</f>
        <v>47587</v>
      </c>
      <c r="IU8" s="175">
        <f>IU7+6</f>
        <v>47594</v>
      </c>
      <c r="IV8" s="175">
        <f>IV7+1</f>
        <v>47596</v>
      </c>
      <c r="IW8" s="175">
        <f>IW7+6</f>
        <v>47603</v>
      </c>
      <c r="IX8" s="175">
        <f>IX7+6</f>
        <v>47610</v>
      </c>
      <c r="IY8" s="175">
        <f>IY7+6</f>
        <v>47617</v>
      </c>
      <c r="IZ8" s="175">
        <f>IZ7+6</f>
        <v>47624</v>
      </c>
      <c r="JA8" s="175">
        <f>JA7+2</f>
        <v>47627</v>
      </c>
      <c r="JB8" s="175">
        <f>JB7+6</f>
        <v>47634</v>
      </c>
      <c r="JC8" s="175">
        <f>JC7+6</f>
        <v>47641</v>
      </c>
      <c r="JD8" s="175">
        <f>JD7+6</f>
        <v>47648</v>
      </c>
      <c r="JE8" s="175">
        <f>JE7+6</f>
        <v>47655</v>
      </c>
      <c r="JF8" s="175">
        <f>JF7+1</f>
        <v>47657</v>
      </c>
      <c r="JG8" s="175">
        <f>JG7+6</f>
        <v>47664</v>
      </c>
      <c r="JH8" s="175">
        <f>JH7+6</f>
        <v>47671</v>
      </c>
      <c r="JI8" s="175">
        <f>JI7+6</f>
        <v>47678</v>
      </c>
      <c r="JJ8" s="175">
        <f>JJ7+6</f>
        <v>47685</v>
      </c>
      <c r="JK8" s="175">
        <f>JK7+2</f>
        <v>47688</v>
      </c>
      <c r="JL8" s="175">
        <f>JL7+6</f>
        <v>47695</v>
      </c>
      <c r="JM8" s="175">
        <f>JM7+6</f>
        <v>47702</v>
      </c>
      <c r="JN8" s="175">
        <f>JN7+6</f>
        <v>47709</v>
      </c>
      <c r="JO8" s="175">
        <f>JO7+6</f>
        <v>47716</v>
      </c>
      <c r="JP8" s="175">
        <f>JP7+2</f>
        <v>47719</v>
      </c>
      <c r="JQ8" s="175">
        <f>JQ7+6</f>
        <v>47726</v>
      </c>
      <c r="JR8" s="175">
        <f>JR7+6</f>
        <v>47733</v>
      </c>
      <c r="JS8" s="175">
        <f>JS7+6</f>
        <v>47740</v>
      </c>
      <c r="JT8" s="175">
        <f>JT7+6</f>
        <v>47747</v>
      </c>
      <c r="JU8" s="175">
        <f>JU7+1</f>
        <v>47749</v>
      </c>
      <c r="JV8" s="175">
        <f>JV7+6</f>
        <v>47756</v>
      </c>
      <c r="JW8" s="175">
        <f>JW7+6</f>
        <v>47763</v>
      </c>
      <c r="JX8" s="175">
        <f>JX7+6</f>
        <v>47770</v>
      </c>
      <c r="JY8" s="175">
        <f>JY7+6</f>
        <v>47777</v>
      </c>
      <c r="JZ8" s="175">
        <f>JZ7+2</f>
        <v>47780</v>
      </c>
      <c r="KA8" s="175">
        <f>KA7+6</f>
        <v>47787</v>
      </c>
      <c r="KB8" s="175">
        <f>KB7+6</f>
        <v>47794</v>
      </c>
      <c r="KC8" s="175">
        <f>KC7+6</f>
        <v>47801</v>
      </c>
      <c r="KD8" s="175">
        <f>KD7+6</f>
        <v>47808</v>
      </c>
      <c r="KE8" s="175">
        <f>KE7+1</f>
        <v>47810</v>
      </c>
      <c r="KF8" s="175">
        <f>KF7+6</f>
        <v>47817</v>
      </c>
      <c r="KG8" s="175">
        <f>KG7+6</f>
        <v>47824</v>
      </c>
      <c r="KH8" s="175">
        <f>KH7+6</f>
        <v>47831</v>
      </c>
      <c r="KI8" s="175">
        <f>KI7+6</f>
        <v>47838</v>
      </c>
      <c r="KJ8" s="175">
        <f>KJ7+6</f>
        <v>47845</v>
      </c>
      <c r="KK8" s="175">
        <f>KK7+2</f>
        <v>47848</v>
      </c>
      <c r="KL8" s="175">
        <f>KL7+6</f>
        <v>47855</v>
      </c>
      <c r="KM8" s="175">
        <f>KM7+6</f>
        <v>47862</v>
      </c>
      <c r="KN8" s="175">
        <f>KN7+6</f>
        <v>47869</v>
      </c>
      <c r="KO8" s="175">
        <f>KO7+6</f>
        <v>47876</v>
      </c>
      <c r="KP8" s="175">
        <f>KP7+2</f>
        <v>47879</v>
      </c>
      <c r="KQ8" s="175">
        <f t="shared" ref="KQ8:KW8" si="22">KQ7+6</f>
        <v>47886</v>
      </c>
      <c r="KR8" s="175">
        <f t="shared" si="22"/>
        <v>47893</v>
      </c>
      <c r="KS8" s="175">
        <f t="shared" si="22"/>
        <v>47900</v>
      </c>
      <c r="KT8" s="175">
        <f t="shared" si="22"/>
        <v>47907</v>
      </c>
      <c r="KU8" s="175">
        <f t="shared" si="22"/>
        <v>47914</v>
      </c>
      <c r="KV8" s="175">
        <f t="shared" si="22"/>
        <v>47921</v>
      </c>
      <c r="KW8" s="175">
        <f t="shared" si="22"/>
        <v>47928</v>
      </c>
      <c r="KX8" s="175">
        <f>KX7+2</f>
        <v>47931</v>
      </c>
      <c r="KY8" s="175">
        <f>KY7+6</f>
        <v>47938</v>
      </c>
      <c r="KZ8" s="175">
        <f>KZ7+6</f>
        <v>47945</v>
      </c>
      <c r="LA8" s="175">
        <f>LA7+6</f>
        <v>47952</v>
      </c>
      <c r="LB8" s="175">
        <f>LB7+6</f>
        <v>47959</v>
      </c>
      <c r="LC8" s="175">
        <f>LC7+1</f>
        <v>47961</v>
      </c>
      <c r="LD8" s="175">
        <f>LD7+6</f>
        <v>47968</v>
      </c>
      <c r="LE8" s="175">
        <f>LE7+6</f>
        <v>47975</v>
      </c>
      <c r="LF8" s="175">
        <f>LF7+6</f>
        <v>47982</v>
      </c>
      <c r="LG8" s="175">
        <f>LG7+6</f>
        <v>47989</v>
      </c>
      <c r="LH8" s="175">
        <f>LH7+2</f>
        <v>47992</v>
      </c>
      <c r="LI8" s="175">
        <f>LI7+6</f>
        <v>47999</v>
      </c>
      <c r="LJ8" s="175">
        <f>LJ7+6</f>
        <v>48006</v>
      </c>
      <c r="LK8" s="175">
        <f>LK7+6</f>
        <v>48013</v>
      </c>
      <c r="LL8" s="175">
        <f>LL7+6</f>
        <v>48020</v>
      </c>
      <c r="LM8" s="175">
        <f>LM7+1</f>
        <v>48022</v>
      </c>
      <c r="LN8" s="175">
        <f>LN7+6</f>
        <v>48029</v>
      </c>
      <c r="LO8" s="175">
        <f>LO7+6</f>
        <v>48036</v>
      </c>
      <c r="LP8" s="175">
        <f>LP7+6</f>
        <v>48043</v>
      </c>
      <c r="LQ8" s="175">
        <f>LQ7+6</f>
        <v>48050</v>
      </c>
      <c r="LR8" s="175">
        <f>LR7+2</f>
        <v>48053</v>
      </c>
      <c r="LS8" s="175">
        <f>LS7+6</f>
        <v>48060</v>
      </c>
      <c r="LT8" s="175">
        <f>LT7+6</f>
        <v>48067</v>
      </c>
      <c r="LU8" s="175">
        <f>LU7+6</f>
        <v>48074</v>
      </c>
      <c r="LV8" s="175">
        <f>LV7+6</f>
        <v>48081</v>
      </c>
      <c r="LW8" s="175">
        <f>LW7+2</f>
        <v>48084</v>
      </c>
      <c r="LX8" s="175">
        <f>LX7+6</f>
        <v>48091</v>
      </c>
      <c r="LY8" s="175">
        <f>LY7+6</f>
        <v>48098</v>
      </c>
      <c r="LZ8" s="175">
        <f>LZ7+6</f>
        <v>48105</v>
      </c>
      <c r="MA8" s="175">
        <f>MA7+6</f>
        <v>48112</v>
      </c>
      <c r="MB8" s="175">
        <f>MB7+1</f>
        <v>48114</v>
      </c>
      <c r="MC8" s="175">
        <f>MC7+6</f>
        <v>48121</v>
      </c>
      <c r="MD8" s="175">
        <f>MD7+6</f>
        <v>48128</v>
      </c>
      <c r="ME8" s="175">
        <f>ME7+6</f>
        <v>48135</v>
      </c>
      <c r="MF8" s="175">
        <f>MF7+6</f>
        <v>48142</v>
      </c>
      <c r="MG8" s="175">
        <f>MG7+2</f>
        <v>48145</v>
      </c>
      <c r="MH8" s="175">
        <f>MH7+6</f>
        <v>48152</v>
      </c>
      <c r="MI8" s="175">
        <f>MI7+6</f>
        <v>48159</v>
      </c>
      <c r="MJ8" s="175">
        <f>MJ7+6</f>
        <v>48166</v>
      </c>
      <c r="MK8" s="175">
        <f>MK7+6</f>
        <v>48173</v>
      </c>
      <c r="ML8" s="175">
        <f>ML7+1</f>
        <v>48175</v>
      </c>
      <c r="MM8" s="175">
        <f>MM7+6</f>
        <v>48182</v>
      </c>
      <c r="MN8" s="175">
        <f>MN7+6</f>
        <v>48189</v>
      </c>
      <c r="MO8" s="175">
        <f>MO7+6</f>
        <v>48196</v>
      </c>
      <c r="MP8" s="175">
        <f>MP7+6</f>
        <v>48203</v>
      </c>
      <c r="MQ8" s="175">
        <f>MQ7+6</f>
        <v>48210</v>
      </c>
      <c r="MR8" s="175">
        <f>MR7+2</f>
        <v>48213</v>
      </c>
      <c r="MS8" s="175">
        <f>MS7+6</f>
        <v>48220</v>
      </c>
      <c r="MT8" s="175">
        <f>MT7+6</f>
        <v>48227</v>
      </c>
      <c r="MU8" s="175">
        <f>MU7+6</f>
        <v>48234</v>
      </c>
      <c r="MV8" s="175">
        <f>MV7+6</f>
        <v>48241</v>
      </c>
      <c r="MW8" s="175">
        <f>MW7+2</f>
        <v>48244</v>
      </c>
      <c r="MX8" s="175">
        <f>MX7+6</f>
        <v>48251</v>
      </c>
      <c r="MY8" s="175">
        <f>MY7+6</f>
        <v>48258</v>
      </c>
      <c r="MZ8" s="175">
        <f>MZ7+6</f>
        <v>48265</v>
      </c>
      <c r="NA8" s="175">
        <f>NA7+6</f>
        <v>48272</v>
      </c>
      <c r="NB8" s="175">
        <f>NB7</f>
        <v>48273</v>
      </c>
      <c r="NC8" s="175">
        <f>NC7+6</f>
        <v>48280</v>
      </c>
      <c r="ND8" s="175">
        <f>ND7+6</f>
        <v>48287</v>
      </c>
      <c r="NE8" s="175">
        <f>NE7+6</f>
        <v>48294</v>
      </c>
      <c r="NF8" s="175">
        <f>NF7+2</f>
        <v>48297</v>
      </c>
      <c r="NG8" s="175">
        <f>NG7+6</f>
        <v>48304</v>
      </c>
      <c r="NH8" s="175">
        <f>NH7+6</f>
        <v>48311</v>
      </c>
      <c r="NI8" s="175">
        <f>NI7+6</f>
        <v>48318</v>
      </c>
      <c r="NJ8" s="175">
        <f>NJ7+6</f>
        <v>48325</v>
      </c>
      <c r="NK8" s="175">
        <f>NK7+1</f>
        <v>48327</v>
      </c>
      <c r="NL8" s="175">
        <f>NL7+6</f>
        <v>48334</v>
      </c>
      <c r="NM8" s="175">
        <f>NM7+6</f>
        <v>48341</v>
      </c>
      <c r="NN8" s="175">
        <f>NN7+6</f>
        <v>48348</v>
      </c>
      <c r="NO8" s="175">
        <f>NO7+6</f>
        <v>48355</v>
      </c>
      <c r="NP8" s="175">
        <f>NP7+2</f>
        <v>48358</v>
      </c>
      <c r="NQ8" s="175">
        <f>NQ7+6</f>
        <v>48365</v>
      </c>
      <c r="NR8" s="175">
        <f>NR7+6</f>
        <v>48372</v>
      </c>
      <c r="NS8" s="175">
        <f>NS7+6</f>
        <v>48379</v>
      </c>
      <c r="NT8" s="175">
        <f>NT7+6</f>
        <v>48386</v>
      </c>
      <c r="NU8" s="175">
        <f>NU7+1</f>
        <v>48388</v>
      </c>
      <c r="NV8" s="175">
        <f>NV7+6</f>
        <v>48395</v>
      </c>
      <c r="NW8" s="175">
        <f>NW7+6</f>
        <v>48402</v>
      </c>
      <c r="NX8" s="175">
        <f>NX7+6</f>
        <v>48409</v>
      </c>
      <c r="NY8" s="175">
        <f>NY7+6</f>
        <v>48416</v>
      </c>
      <c r="NZ8" s="175">
        <f>NZ7+2</f>
        <v>48419</v>
      </c>
      <c r="OA8" s="175">
        <f>OA7+6</f>
        <v>48426</v>
      </c>
      <c r="OB8" s="175">
        <f>OB7+6</f>
        <v>48433</v>
      </c>
      <c r="OC8" s="175">
        <f>OC7+6</f>
        <v>48440</v>
      </c>
      <c r="OD8" s="175">
        <f>OD7+6</f>
        <v>48447</v>
      </c>
      <c r="OE8" s="175">
        <f>OE7+2</f>
        <v>48450</v>
      </c>
      <c r="OF8" s="175">
        <f>OF7+6</f>
        <v>48457</v>
      </c>
      <c r="OG8" s="175">
        <f>OG7+6</f>
        <v>48464</v>
      </c>
      <c r="OH8" s="175">
        <f>OH7+6</f>
        <v>48471</v>
      </c>
      <c r="OI8" s="175">
        <f>OI7+6</f>
        <v>48478</v>
      </c>
      <c r="OJ8" s="175">
        <f>OJ7+1</f>
        <v>48480</v>
      </c>
      <c r="OK8" s="175">
        <f>OK7+6</f>
        <v>48487</v>
      </c>
      <c r="OL8" s="175">
        <f>OL7+6</f>
        <v>48494</v>
      </c>
      <c r="OM8" s="175">
        <f>OM7+6</f>
        <v>48501</v>
      </c>
      <c r="ON8" s="175">
        <f>ON7+6</f>
        <v>48508</v>
      </c>
      <c r="OO8" s="175">
        <f>OO7+2</f>
        <v>48511</v>
      </c>
      <c r="OP8" s="175">
        <f>OP7+6</f>
        <v>48518</v>
      </c>
      <c r="OQ8" s="175">
        <f>OQ7+6</f>
        <v>48525</v>
      </c>
      <c r="OR8" s="175">
        <f>OR7+6</f>
        <v>48532</v>
      </c>
      <c r="OS8" s="175">
        <f>OS7+6</f>
        <v>48539</v>
      </c>
      <c r="OT8" s="175">
        <f>OT7+1</f>
        <v>48541</v>
      </c>
      <c r="OU8" s="175">
        <f>OU7+6</f>
        <v>48548</v>
      </c>
      <c r="OV8" s="175">
        <f>OV7+6</f>
        <v>48555</v>
      </c>
      <c r="OW8" s="175">
        <f>OW7+6</f>
        <v>48562</v>
      </c>
      <c r="OX8" s="175">
        <f>OX7+6</f>
        <v>48569</v>
      </c>
      <c r="OY8" s="175">
        <f>OY7+6</f>
        <v>48576</v>
      </c>
      <c r="OZ8" s="175">
        <f>OZ7+2</f>
        <v>48579</v>
      </c>
      <c r="PA8" s="175">
        <f>PA7+6</f>
        <v>48586</v>
      </c>
      <c r="PB8" s="175">
        <f>PB7+6</f>
        <v>48593</v>
      </c>
      <c r="PC8" s="175">
        <f>PC7+6</f>
        <v>48600</v>
      </c>
      <c r="PD8" s="175">
        <f>PD7+6</f>
        <v>48607</v>
      </c>
      <c r="PE8" s="175">
        <f>PE7+2</f>
        <v>48610</v>
      </c>
      <c r="PF8" s="175">
        <f t="shared" ref="PF8:PL8" si="23">PF7+6</f>
        <v>48617</v>
      </c>
      <c r="PG8" s="175">
        <f t="shared" si="23"/>
        <v>48624</v>
      </c>
      <c r="PH8" s="175">
        <f t="shared" si="23"/>
        <v>48631</v>
      </c>
      <c r="PI8" s="175">
        <f t="shared" si="23"/>
        <v>48638</v>
      </c>
      <c r="PJ8" s="175">
        <f t="shared" si="23"/>
        <v>48645</v>
      </c>
      <c r="PK8" s="175">
        <f t="shared" si="23"/>
        <v>48652</v>
      </c>
      <c r="PL8" s="175">
        <f t="shared" si="23"/>
        <v>48659</v>
      </c>
      <c r="PM8" s="175">
        <f>PM7+2</f>
        <v>48662</v>
      </c>
      <c r="PN8" s="175">
        <f>PN7+6</f>
        <v>48669</v>
      </c>
      <c r="PO8" s="175">
        <f>PO7+6</f>
        <v>48676</v>
      </c>
      <c r="PP8" s="175">
        <f>PP7+6</f>
        <v>48683</v>
      </c>
      <c r="PQ8" s="175">
        <f>PQ7+6</f>
        <v>48690</v>
      </c>
      <c r="PR8" s="175">
        <f>PR7+1</f>
        <v>48692</v>
      </c>
      <c r="PS8" s="175">
        <f>PS7+6</f>
        <v>48699</v>
      </c>
      <c r="PT8" s="175">
        <f>PT7+6</f>
        <v>48706</v>
      </c>
      <c r="PU8" s="175">
        <f>PU7+6</f>
        <v>48713</v>
      </c>
      <c r="PV8" s="175">
        <f>PV7+6</f>
        <v>48720</v>
      </c>
      <c r="PW8" s="175">
        <f>PW7+2</f>
        <v>48723</v>
      </c>
      <c r="PX8" s="175">
        <f>PX7+6</f>
        <v>48730</v>
      </c>
      <c r="PY8" s="175">
        <f>PY7+6</f>
        <v>48737</v>
      </c>
      <c r="PZ8" s="175">
        <f>PZ7+6</f>
        <v>48744</v>
      </c>
      <c r="QA8" s="175">
        <f>QA7+6</f>
        <v>48751</v>
      </c>
      <c r="QB8" s="175">
        <f>QB7+1</f>
        <v>48753</v>
      </c>
      <c r="QC8" s="175">
        <f>QC7+6</f>
        <v>48760</v>
      </c>
      <c r="QD8" s="175">
        <f>QD7+6</f>
        <v>48767</v>
      </c>
      <c r="QE8" s="175">
        <f>QE7+6</f>
        <v>48774</v>
      </c>
      <c r="QF8" s="175">
        <f>QF7+6</f>
        <v>48781</v>
      </c>
      <c r="QG8" s="175">
        <f>QG7+2</f>
        <v>48784</v>
      </c>
      <c r="QH8" s="175">
        <f>QH7+6</f>
        <v>48791</v>
      </c>
      <c r="QI8" s="175">
        <f>QI7+6</f>
        <v>48798</v>
      </c>
      <c r="QJ8" s="175">
        <f>QJ7+6</f>
        <v>48805</v>
      </c>
      <c r="QK8" s="175">
        <f>QK7+6</f>
        <v>48812</v>
      </c>
      <c r="QL8" s="175">
        <f>QL7+2</f>
        <v>48815</v>
      </c>
      <c r="QM8" s="175">
        <f>QM7+6</f>
        <v>48822</v>
      </c>
      <c r="QN8" s="175">
        <f>QN7+6</f>
        <v>48829</v>
      </c>
      <c r="QO8" s="175">
        <f>QO7+6</f>
        <v>48836</v>
      </c>
      <c r="QP8" s="175">
        <f>QP7+6</f>
        <v>48843</v>
      </c>
      <c r="QQ8" s="175">
        <f>QQ7+1</f>
        <v>48845</v>
      </c>
      <c r="QR8" s="175">
        <f>QR7+6</f>
        <v>48852</v>
      </c>
      <c r="QS8" s="175">
        <f>QS7+6</f>
        <v>48859</v>
      </c>
      <c r="QT8" s="175">
        <f>QT7+6</f>
        <v>48866</v>
      </c>
      <c r="QU8" s="175">
        <f>QU7+6</f>
        <v>48873</v>
      </c>
      <c r="QV8" s="175">
        <f>QV7+2</f>
        <v>48876</v>
      </c>
      <c r="QW8" s="175">
        <f>QW7+6</f>
        <v>48883</v>
      </c>
      <c r="QX8" s="175">
        <f>QX7+6</f>
        <v>48890</v>
      </c>
      <c r="QY8" s="175">
        <f>QY7+6</f>
        <v>48897</v>
      </c>
      <c r="QZ8" s="175">
        <f>QZ7+6</f>
        <v>48904</v>
      </c>
      <c r="RA8" s="175">
        <f>RA7+1</f>
        <v>48906</v>
      </c>
      <c r="RB8" s="175">
        <f>RB7+6</f>
        <v>48913</v>
      </c>
      <c r="RC8" s="175">
        <f>RC7+6</f>
        <v>48920</v>
      </c>
      <c r="RD8" s="175">
        <f>RD7+6</f>
        <v>48927</v>
      </c>
      <c r="RE8" s="175">
        <f>RE7+6</f>
        <v>48934</v>
      </c>
      <c r="RF8" s="175">
        <f>RF7+6</f>
        <v>48941</v>
      </c>
      <c r="RG8" s="175">
        <f>RG7+2</f>
        <v>48944</v>
      </c>
      <c r="RH8" s="175">
        <f>RH7+6</f>
        <v>48951</v>
      </c>
      <c r="RI8" s="175">
        <f>RI7+6</f>
        <v>48958</v>
      </c>
      <c r="RJ8" s="175">
        <f>RJ7+6</f>
        <v>48965</v>
      </c>
      <c r="RK8" s="175">
        <f>RK7+6</f>
        <v>48972</v>
      </c>
      <c r="RL8" s="175">
        <f>RL7+2</f>
        <v>48975</v>
      </c>
      <c r="RM8" s="175">
        <f t="shared" ref="RM8:RS8" si="24">RM7+6</f>
        <v>48982</v>
      </c>
      <c r="RN8" s="175">
        <f t="shared" si="24"/>
        <v>48989</v>
      </c>
      <c r="RO8" s="175">
        <f t="shared" si="24"/>
        <v>48996</v>
      </c>
      <c r="RP8" s="175">
        <f t="shared" si="24"/>
        <v>49003</v>
      </c>
      <c r="RQ8" s="175">
        <f t="shared" si="24"/>
        <v>49010</v>
      </c>
      <c r="RR8" s="175">
        <f t="shared" si="24"/>
        <v>49017</v>
      </c>
      <c r="RS8" s="175">
        <f t="shared" si="24"/>
        <v>49024</v>
      </c>
      <c r="RT8" s="175">
        <f>RT7+2</f>
        <v>49027</v>
      </c>
      <c r="RU8" s="175">
        <f>RU7+6</f>
        <v>49034</v>
      </c>
      <c r="RV8" s="175">
        <f>RV7+6</f>
        <v>49041</v>
      </c>
      <c r="RW8" s="175">
        <f>RW7+6</f>
        <v>49048</v>
      </c>
      <c r="RX8" s="175">
        <f>RX7+6</f>
        <v>49055</v>
      </c>
      <c r="RY8" s="175">
        <f>RY7+1</f>
        <v>49057</v>
      </c>
      <c r="RZ8" s="175">
        <f>RZ7+6</f>
        <v>49064</v>
      </c>
      <c r="SA8" s="175">
        <f>SA7+6</f>
        <v>49071</v>
      </c>
      <c r="SB8" s="175">
        <f>SB7+6</f>
        <v>49078</v>
      </c>
      <c r="SC8" s="175">
        <f>SC7+6</f>
        <v>49085</v>
      </c>
      <c r="SD8" s="175">
        <f>SD7+2</f>
        <v>49088</v>
      </c>
      <c r="SE8" s="175">
        <f>SE7+6</f>
        <v>49095</v>
      </c>
      <c r="SF8" s="175">
        <f>SF7+6</f>
        <v>49102</v>
      </c>
      <c r="SG8" s="175">
        <f>SG7+6</f>
        <v>49109</v>
      </c>
      <c r="SH8" s="175">
        <f>SH7+6</f>
        <v>49116</v>
      </c>
      <c r="SI8" s="175">
        <f>SI7+1</f>
        <v>49118</v>
      </c>
      <c r="SJ8" s="175">
        <f>SJ7+6</f>
        <v>49125</v>
      </c>
      <c r="SK8" s="175">
        <f>SK7+6</f>
        <v>49132</v>
      </c>
      <c r="SL8" s="175">
        <f>SL7+6</f>
        <v>49139</v>
      </c>
      <c r="SM8" s="175">
        <f>SM7+6</f>
        <v>49146</v>
      </c>
      <c r="SN8" s="175">
        <f>SN7+2</f>
        <v>49149</v>
      </c>
      <c r="SO8" s="175">
        <f>SO7+6</f>
        <v>49156</v>
      </c>
      <c r="SP8" s="175">
        <f>SP7+6</f>
        <v>49163</v>
      </c>
      <c r="SQ8" s="175">
        <f>SQ7+6</f>
        <v>49170</v>
      </c>
      <c r="SR8" s="175">
        <f>SR7+6</f>
        <v>49177</v>
      </c>
      <c r="SS8" s="175">
        <f>SS7+2</f>
        <v>49180</v>
      </c>
      <c r="ST8" s="175">
        <f>ST7+6</f>
        <v>49187</v>
      </c>
      <c r="SU8" s="175">
        <f>SU7+6</f>
        <v>49194</v>
      </c>
      <c r="SV8" s="175">
        <f>SV7+6</f>
        <v>49201</v>
      </c>
      <c r="SW8" s="175">
        <f>SW7+6</f>
        <v>49208</v>
      </c>
      <c r="SX8" s="175">
        <f>SX7+1</f>
        <v>49210</v>
      </c>
      <c r="SY8" s="175">
        <f>SY7+6</f>
        <v>49217</v>
      </c>
      <c r="SZ8" s="175">
        <f>SZ7+6</f>
        <v>49224</v>
      </c>
      <c r="TA8" s="175">
        <f>TA7+6</f>
        <v>49231</v>
      </c>
      <c r="TB8" s="175">
        <f>TB7+6</f>
        <v>49238</v>
      </c>
      <c r="TC8" s="175">
        <f>TC7+2</f>
        <v>49241</v>
      </c>
      <c r="TD8" s="175">
        <f>TD7+6</f>
        <v>49248</v>
      </c>
      <c r="TE8" s="175">
        <f>TE7+6</f>
        <v>49255</v>
      </c>
      <c r="TF8" s="175">
        <f>TF7+6</f>
        <v>49262</v>
      </c>
      <c r="TG8" s="175">
        <f>TG7+6</f>
        <v>49269</v>
      </c>
      <c r="TH8" s="175">
        <f>TH7+1</f>
        <v>49271</v>
      </c>
      <c r="TI8" s="175">
        <f>TI7+6</f>
        <v>49278</v>
      </c>
      <c r="TJ8" s="175">
        <f>TJ7+6</f>
        <v>49285</v>
      </c>
      <c r="TK8" s="175">
        <f>TK7+6</f>
        <v>49292</v>
      </c>
      <c r="TL8" s="175">
        <f>TL7+6</f>
        <v>49299</v>
      </c>
      <c r="TM8" s="175">
        <f>TM7+6</f>
        <v>49306</v>
      </c>
      <c r="TN8" s="175">
        <f>TN7+2</f>
        <v>49309</v>
      </c>
    </row>
    <row r="9" spans="1:534" x14ac:dyDescent="0.3">
      <c r="A9" s="176" t="s">
        <v>379</v>
      </c>
      <c r="B9" s="177">
        <f t="shared" ref="B9:BM9" si="25">B10+B12</f>
        <v>538.06383000000005</v>
      </c>
      <c r="C9" s="177">
        <f t="shared" si="25"/>
        <v>3602.1837599999999</v>
      </c>
      <c r="D9" s="177">
        <f t="shared" si="25"/>
        <v>2051.016701316621</v>
      </c>
      <c r="E9" s="177">
        <f t="shared" si="25"/>
        <v>3754.2197469296398</v>
      </c>
      <c r="F9" s="177">
        <f t="shared" si="25"/>
        <v>2516.83205</v>
      </c>
      <c r="G9" s="177">
        <f t="shared" si="25"/>
        <v>1255.7665793304368</v>
      </c>
      <c r="H9" s="177">
        <f t="shared" si="25"/>
        <v>1926.6994185392609</v>
      </c>
      <c r="I9" s="177">
        <f t="shared" si="25"/>
        <v>2465.22739</v>
      </c>
      <c r="J9" s="177">
        <f t="shared" si="25"/>
        <v>4851.5136310358903</v>
      </c>
      <c r="K9" s="177">
        <f t="shared" si="25"/>
        <v>1088.5874626309699</v>
      </c>
      <c r="L9" s="177">
        <f t="shared" si="25"/>
        <v>1997.59918999914</v>
      </c>
      <c r="M9" s="177">
        <f t="shared" si="25"/>
        <v>2223.8937500000002</v>
      </c>
      <c r="N9" s="177">
        <f t="shared" si="25"/>
        <v>3671.1052235238103</v>
      </c>
      <c r="O9" s="177">
        <f t="shared" si="25"/>
        <v>2333.6469399999992</v>
      </c>
      <c r="P9" s="177">
        <f t="shared" si="25"/>
        <v>454.20728847441001</v>
      </c>
      <c r="Q9" s="177">
        <f t="shared" si="25"/>
        <v>2801.2950899999992</v>
      </c>
      <c r="R9" s="177">
        <f t="shared" si="25"/>
        <v>2565.0518966683599</v>
      </c>
      <c r="S9" s="177">
        <f t="shared" si="25"/>
        <v>2664.3340199999998</v>
      </c>
      <c r="T9" s="177">
        <f t="shared" si="25"/>
        <v>2460.9368593399499</v>
      </c>
      <c r="U9" s="177">
        <f t="shared" si="25"/>
        <v>1399.208541518002</v>
      </c>
      <c r="V9" s="177">
        <f t="shared" si="25"/>
        <v>1518.399296600079</v>
      </c>
      <c r="W9" s="177">
        <f t="shared" si="25"/>
        <v>2542.3274358584767</v>
      </c>
      <c r="X9" s="177">
        <f t="shared" si="25"/>
        <v>4658.2476987746395</v>
      </c>
      <c r="Y9" s="177">
        <f t="shared" si="25"/>
        <v>2275.1911500000001</v>
      </c>
      <c r="Z9" s="177">
        <f t="shared" si="25"/>
        <v>864.18985930203212</v>
      </c>
      <c r="AA9" s="177">
        <f t="shared" si="25"/>
        <v>2056.0150199999998</v>
      </c>
      <c r="AB9" s="177">
        <f t="shared" si="25"/>
        <v>2011.253070000002</v>
      </c>
      <c r="AC9" s="177">
        <f t="shared" si="25"/>
        <v>2276.7937999999999</v>
      </c>
      <c r="AD9" s="177">
        <f t="shared" si="25"/>
        <v>2423.3229000000001</v>
      </c>
      <c r="AE9" s="177">
        <f t="shared" si="25"/>
        <v>1704.014020000001</v>
      </c>
      <c r="AF9" s="177">
        <f t="shared" si="25"/>
        <v>2206.751310000001</v>
      </c>
      <c r="AG9" s="177">
        <f t="shared" si="25"/>
        <v>3931.5465045745495</v>
      </c>
      <c r="AH9" s="177">
        <f t="shared" si="25"/>
        <v>1836.898461524969</v>
      </c>
      <c r="AI9" s="177">
        <f t="shared" si="25"/>
        <v>2847.6493699999901</v>
      </c>
      <c r="AJ9" s="177">
        <f t="shared" si="25"/>
        <v>1387.29846</v>
      </c>
      <c r="AK9" s="177">
        <f t="shared" si="25"/>
        <v>3871.40823</v>
      </c>
      <c r="AL9" s="177">
        <f t="shared" si="25"/>
        <v>3372.06033847447</v>
      </c>
      <c r="AM9" s="177">
        <f t="shared" si="25"/>
        <v>4052.8900800000088</v>
      </c>
      <c r="AN9" s="177">
        <f t="shared" si="25"/>
        <v>1221.243751482411</v>
      </c>
      <c r="AO9" s="177">
        <f t="shared" si="25"/>
        <v>1476.6239</v>
      </c>
      <c r="AP9" s="177">
        <f t="shared" si="25"/>
        <v>1799.5140049101899</v>
      </c>
      <c r="AQ9" s="177">
        <f t="shared" si="25"/>
        <v>3759.5554323668703</v>
      </c>
      <c r="AR9" s="177">
        <f t="shared" si="25"/>
        <v>3429.9404349544957</v>
      </c>
      <c r="AS9" s="177">
        <f t="shared" si="25"/>
        <v>2812.8196452422462</v>
      </c>
      <c r="AT9" s="177">
        <f t="shared" si="25"/>
        <v>1280.7841703639879</v>
      </c>
      <c r="AU9" s="177">
        <f t="shared" si="25"/>
        <v>2800.6255755622597</v>
      </c>
      <c r="AV9" s="177">
        <f t="shared" si="25"/>
        <v>3378.7240640609089</v>
      </c>
      <c r="AW9" s="177">
        <f t="shared" si="25"/>
        <v>3518.0451229685586</v>
      </c>
      <c r="AX9" s="177">
        <f t="shared" si="25"/>
        <v>2641.3573743937854</v>
      </c>
      <c r="AY9" s="177">
        <f t="shared" si="25"/>
        <v>1204.5803420466809</v>
      </c>
      <c r="AZ9" s="177">
        <f t="shared" si="25"/>
        <v>2633.9945416382898</v>
      </c>
      <c r="BA9" s="177">
        <f t="shared" si="25"/>
        <v>3177.6974473468072</v>
      </c>
      <c r="BB9" s="177">
        <f t="shared" si="25"/>
        <v>3308.7292110713606</v>
      </c>
      <c r="BC9" s="177">
        <f t="shared" si="25"/>
        <v>2484.2024465453619</v>
      </c>
      <c r="BD9" s="177">
        <f t="shared" si="25"/>
        <v>624.56144238614354</v>
      </c>
      <c r="BE9" s="177">
        <f t="shared" si="25"/>
        <v>1365.6967266854892</v>
      </c>
      <c r="BF9" s="177">
        <f t="shared" si="25"/>
        <v>1647.6006057093507</v>
      </c>
      <c r="BG9" s="177">
        <f t="shared" si="25"/>
        <v>1715.53911050942</v>
      </c>
      <c r="BH9" s="177">
        <f t="shared" si="25"/>
        <v>1288.0311997764875</v>
      </c>
      <c r="BI9" s="177">
        <f t="shared" si="25"/>
        <v>1423.9300976341769</v>
      </c>
      <c r="BJ9" s="177">
        <f t="shared" si="25"/>
        <v>3113.6354910709242</v>
      </c>
      <c r="BK9" s="177">
        <f t="shared" si="25"/>
        <v>3756.3447439000838</v>
      </c>
      <c r="BL9" s="177">
        <f t="shared" si="25"/>
        <v>3911.2369213670236</v>
      </c>
      <c r="BM9" s="177">
        <f t="shared" si="25"/>
        <v>2936.5667932470019</v>
      </c>
      <c r="BN9" s="177">
        <f t="shared" ref="BN9:DY9" si="26">BN10+BN12</f>
        <v>1525.7563938864832</v>
      </c>
      <c r="BO9" s="177">
        <f t="shared" si="26"/>
        <v>2340.9397935251982</v>
      </c>
      <c r="BP9" s="177">
        <f t="shared" si="26"/>
        <v>2995.251278850003</v>
      </c>
      <c r="BQ9" s="177">
        <f t="shared" si="26"/>
        <v>5894.5890617086079</v>
      </c>
      <c r="BR9" s="177">
        <f t="shared" si="26"/>
        <v>1292.8199322302048</v>
      </c>
      <c r="BS9" s="177">
        <f t="shared" si="26"/>
        <v>2826.9435636229055</v>
      </c>
      <c r="BT9" s="177">
        <f t="shared" si="26"/>
        <v>3410.4745487933501</v>
      </c>
      <c r="BU9" s="177">
        <f t="shared" si="26"/>
        <v>3551.1048330386966</v>
      </c>
      <c r="BV9" s="177">
        <f t="shared" si="26"/>
        <v>2666.1786901918604</v>
      </c>
      <c r="BW9" s="177">
        <f t="shared" si="26"/>
        <v>1250.6575640148553</v>
      </c>
      <c r="BX9" s="177">
        <f t="shared" si="26"/>
        <v>2734.7492583820604</v>
      </c>
      <c r="BY9" s="177">
        <f t="shared" si="26"/>
        <v>3299.2497137405308</v>
      </c>
      <c r="BZ9" s="177">
        <f t="shared" si="26"/>
        <v>3435.2936625815692</v>
      </c>
      <c r="CA9" s="177">
        <f t="shared" si="26"/>
        <v>2579.2273639774917</v>
      </c>
      <c r="CB9" s="177">
        <f t="shared" si="26"/>
        <v>1416.0528668719867</v>
      </c>
      <c r="CC9" s="177">
        <f t="shared" si="26"/>
        <v>3096.41075137811</v>
      </c>
      <c r="CD9" s="177">
        <f t="shared" si="26"/>
        <v>3735.5645142952699</v>
      </c>
      <c r="CE9" s="177">
        <f t="shared" si="26"/>
        <v>3889.5998228560798</v>
      </c>
      <c r="CF9" s="177">
        <f t="shared" si="26"/>
        <v>2920.3216037412626</v>
      </c>
      <c r="CG9" s="177">
        <f t="shared" si="26"/>
        <v>1100.4927923218393</v>
      </c>
      <c r="CH9" s="177">
        <f t="shared" si="26"/>
        <v>2406.3915929118425</v>
      </c>
      <c r="CI9" s="177">
        <f t="shared" si="26"/>
        <v>2903.1132377960967</v>
      </c>
      <c r="CJ9" s="177">
        <f t="shared" si="26"/>
        <v>3022.8225726662658</v>
      </c>
      <c r="CK9" s="177">
        <f t="shared" si="26"/>
        <v>2269.5430032059294</v>
      </c>
      <c r="CL9" s="177">
        <f t="shared" si="26"/>
        <v>1431.304773614424</v>
      </c>
      <c r="CM9" s="177">
        <f t="shared" si="26"/>
        <v>3129.7613197934133</v>
      </c>
      <c r="CN9" s="177">
        <f t="shared" si="26"/>
        <v>3775.7992279385862</v>
      </c>
      <c r="CO9" s="177">
        <f t="shared" si="26"/>
        <v>3931.4936074395946</v>
      </c>
      <c r="CP9" s="177">
        <f t="shared" si="26"/>
        <v>3062.1789121840548</v>
      </c>
      <c r="CQ9" s="177">
        <f t="shared" si="26"/>
        <v>1588.7581970245337</v>
      </c>
      <c r="CR9" s="177">
        <f t="shared" si="26"/>
        <v>3474.0567091070297</v>
      </c>
      <c r="CS9" s="177">
        <f t="shared" si="26"/>
        <v>4191.163254879456</v>
      </c>
      <c r="CT9" s="177">
        <f t="shared" si="26"/>
        <v>4363.9850928435844</v>
      </c>
      <c r="CU9" s="177">
        <f t="shared" si="26"/>
        <v>3276.4912909930208</v>
      </c>
      <c r="CV9" s="177">
        <f t="shared" si="26"/>
        <v>1517.1810229566308</v>
      </c>
      <c r="CW9" s="177">
        <f t="shared" si="26"/>
        <v>3317.5425446135132</v>
      </c>
      <c r="CX9" s="177">
        <f t="shared" si="26"/>
        <v>4002.3418077874212</v>
      </c>
      <c r="CY9" s="177">
        <f t="shared" si="26"/>
        <v>4167.3776284697124</v>
      </c>
      <c r="CZ9" s="177">
        <f t="shared" si="26"/>
        <v>3128.8778984033906</v>
      </c>
      <c r="DA9" s="177">
        <f t="shared" si="26"/>
        <v>1556.1527669922452</v>
      </c>
      <c r="DB9" s="177">
        <f t="shared" si="26"/>
        <v>3402.7600743081457</v>
      </c>
      <c r="DC9" s="177">
        <f t="shared" si="26"/>
        <v>4105.1497378340055</v>
      </c>
      <c r="DD9" s="177">
        <f t="shared" si="26"/>
        <v>4274.4248244067994</v>
      </c>
      <c r="DE9" s="177">
        <f t="shared" si="26"/>
        <v>3209.2492098884504</v>
      </c>
      <c r="DF9" s="177">
        <f t="shared" si="26"/>
        <v>1463.5651155867176</v>
      </c>
      <c r="DG9" s="177">
        <f t="shared" si="26"/>
        <v>3200.3033680905232</v>
      </c>
      <c r="DH9" s="177">
        <f t="shared" si="26"/>
        <v>3860.9023985263721</v>
      </c>
      <c r="DI9" s="177">
        <f t="shared" si="26"/>
        <v>4020.1059914517036</v>
      </c>
      <c r="DJ9" s="177">
        <f t="shared" si="26"/>
        <v>3018.305972552615</v>
      </c>
      <c r="DK9" s="177">
        <f t="shared" si="26"/>
        <v>758.84215249916451</v>
      </c>
      <c r="DL9" s="177">
        <f t="shared" si="26"/>
        <v>1659.3215229228697</v>
      </c>
      <c r="DM9" s="177">
        <f t="shared" si="26"/>
        <v>2001.8347359368613</v>
      </c>
      <c r="DN9" s="177">
        <f t="shared" si="26"/>
        <v>2084.3800192689455</v>
      </c>
      <c r="DO9" s="177">
        <f t="shared" si="26"/>
        <v>1564.9579077284322</v>
      </c>
      <c r="DP9" s="177">
        <f t="shared" si="26"/>
        <v>1665.9982142319868</v>
      </c>
      <c r="DQ9" s="177">
        <f t="shared" si="26"/>
        <v>3642.953524552981</v>
      </c>
      <c r="DR9" s="177">
        <f t="shared" si="26"/>
        <v>4394.9233503630967</v>
      </c>
      <c r="DS9" s="177">
        <f t="shared" si="26"/>
        <v>4576.1471979994158</v>
      </c>
      <c r="DT9" s="177">
        <f t="shared" si="26"/>
        <v>3435.7831480989917</v>
      </c>
      <c r="DU9" s="177">
        <f t="shared" si="26"/>
        <v>1403.5641545672061</v>
      </c>
      <c r="DV9" s="177">
        <f t="shared" si="26"/>
        <v>3069.1023196408041</v>
      </c>
      <c r="DW9" s="177">
        <f t="shared" si="26"/>
        <v>3702.6191408516684</v>
      </c>
      <c r="DX9" s="177">
        <f t="shared" si="26"/>
        <v>3855.295953060825</v>
      </c>
      <c r="DY9" s="177">
        <f t="shared" si="26"/>
        <v>2894.5661696047373</v>
      </c>
      <c r="DZ9" s="177">
        <f t="shared" ref="DZ9:GK9" si="27">DZ10+DZ12</f>
        <v>1512.5993207093393</v>
      </c>
      <c r="EA9" s="177">
        <f t="shared" si="27"/>
        <v>3307.5239694387992</v>
      </c>
      <c r="EB9" s="177">
        <f t="shared" si="27"/>
        <v>3990.2552220882189</v>
      </c>
      <c r="EC9" s="177">
        <f t="shared" si="27"/>
        <v>4154.7926546552735</v>
      </c>
      <c r="ED9" s="177">
        <f t="shared" si="27"/>
        <v>3119.4290675244765</v>
      </c>
      <c r="EE9" s="177">
        <f t="shared" si="27"/>
        <v>1463.2693498973806</v>
      </c>
      <c r="EF9" s="177">
        <f t="shared" si="27"/>
        <v>3199.6566323070101</v>
      </c>
      <c r="EG9" s="177">
        <f t="shared" si="27"/>
        <v>3860.1221650764205</v>
      </c>
      <c r="EH9" s="177">
        <f t="shared" si="27"/>
        <v>4019.2935852204355</v>
      </c>
      <c r="EI9" s="177">
        <f t="shared" si="27"/>
        <v>3017.6960158536649</v>
      </c>
      <c r="EJ9" s="177">
        <f t="shared" si="27"/>
        <v>1656.7818542402238</v>
      </c>
      <c r="EK9" s="177">
        <f t="shared" si="27"/>
        <v>3622.8005791123878</v>
      </c>
      <c r="EL9" s="177">
        <f t="shared" si="27"/>
        <v>4370.6104817254645</v>
      </c>
      <c r="EM9" s="177">
        <f t="shared" si="27"/>
        <v>4550.8317927416119</v>
      </c>
      <c r="EN9" s="177">
        <f t="shared" si="27"/>
        <v>3416.7762763772771</v>
      </c>
      <c r="EO9" s="177">
        <f t="shared" si="27"/>
        <v>1287.576567016552</v>
      </c>
      <c r="EP9" s="177">
        <f t="shared" si="27"/>
        <v>2815.4781637068554</v>
      </c>
      <c r="EQ9" s="177">
        <f t="shared" si="27"/>
        <v>3396.6424882214328</v>
      </c>
      <c r="ER9" s="177">
        <f t="shared" si="27"/>
        <v>3536.7024100195304</v>
      </c>
      <c r="ES9" s="177">
        <f t="shared" si="27"/>
        <v>2655.3653137509373</v>
      </c>
      <c r="ET9" s="177">
        <f t="shared" si="27"/>
        <v>1674.6265851288761</v>
      </c>
      <c r="EU9" s="177">
        <f t="shared" si="27"/>
        <v>3661.8207441582927</v>
      </c>
      <c r="EV9" s="177">
        <f t="shared" si="27"/>
        <v>4417.6850966881448</v>
      </c>
      <c r="EW9" s="177">
        <f t="shared" si="27"/>
        <v>4599.8475207043239</v>
      </c>
      <c r="EX9" s="177">
        <f t="shared" si="27"/>
        <v>3453.577411664121</v>
      </c>
      <c r="EY9" s="177">
        <f t="shared" si="27"/>
        <v>1858.8470905187041</v>
      </c>
      <c r="EZ9" s="177">
        <f t="shared" si="27"/>
        <v>4064.6463496552242</v>
      </c>
      <c r="FA9" s="177">
        <f t="shared" si="27"/>
        <v>4903.6610082089646</v>
      </c>
      <c r="FB9" s="177">
        <f t="shared" si="27"/>
        <v>5105.8625586269936</v>
      </c>
      <c r="FC9" s="177">
        <f t="shared" si="27"/>
        <v>3833.4948104618338</v>
      </c>
      <c r="FD9" s="177">
        <f t="shared" si="27"/>
        <v>1775.1017968592578</v>
      </c>
      <c r="FE9" s="177">
        <f t="shared" si="27"/>
        <v>3881.5247771978102</v>
      </c>
      <c r="FF9" s="177">
        <f t="shared" si="27"/>
        <v>4682.7399151112822</v>
      </c>
      <c r="FG9" s="177">
        <f t="shared" si="27"/>
        <v>4875.8318253095631</v>
      </c>
      <c r="FH9" s="177">
        <f t="shared" si="27"/>
        <v>3660.787141131967</v>
      </c>
      <c r="FI9" s="177">
        <f t="shared" si="27"/>
        <v>1820.698737380927</v>
      </c>
      <c r="FJ9" s="177">
        <f t="shared" si="27"/>
        <v>3981.229286940531</v>
      </c>
      <c r="FK9" s="177">
        <f t="shared" si="27"/>
        <v>4803.0251932657866</v>
      </c>
      <c r="FL9" s="177">
        <f t="shared" si="27"/>
        <v>5001.0770445559556</v>
      </c>
      <c r="FM9" s="177">
        <f t="shared" si="27"/>
        <v>3754.8215755694869</v>
      </c>
      <c r="FN9" s="177">
        <f t="shared" si="27"/>
        <v>1712.3711852364595</v>
      </c>
      <c r="FO9" s="177">
        <f t="shared" si="27"/>
        <v>3744.3549406659113</v>
      </c>
      <c r="FP9" s="177">
        <f t="shared" si="27"/>
        <v>4517.2558062758544</v>
      </c>
      <c r="FQ9" s="177">
        <f t="shared" si="27"/>
        <v>4703.5240099984931</v>
      </c>
      <c r="FR9" s="177">
        <f t="shared" si="27"/>
        <v>3531.4179878865598</v>
      </c>
      <c r="FS9" s="177">
        <f t="shared" si="27"/>
        <v>887.84531842402225</v>
      </c>
      <c r="FT9" s="177">
        <f t="shared" si="27"/>
        <v>1941.4061818197574</v>
      </c>
      <c r="FU9" s="177">
        <f t="shared" si="27"/>
        <v>2342.1466410461276</v>
      </c>
      <c r="FV9" s="177">
        <f t="shared" si="27"/>
        <v>2438.7246225446656</v>
      </c>
      <c r="FW9" s="177">
        <f t="shared" si="27"/>
        <v>1831.0007520422653</v>
      </c>
      <c r="FX9" s="177">
        <f t="shared" si="27"/>
        <v>1940.8879195802649</v>
      </c>
      <c r="FY9" s="177">
        <f t="shared" si="27"/>
        <v>4244.0408561042232</v>
      </c>
      <c r="FZ9" s="177">
        <f t="shared" si="27"/>
        <v>5120.0857031730084</v>
      </c>
      <c r="GA9" s="177">
        <f t="shared" si="27"/>
        <v>5331.2114856693197</v>
      </c>
      <c r="GB9" s="177">
        <f t="shared" si="27"/>
        <v>4002.6873675353258</v>
      </c>
      <c r="GC9" s="177">
        <f t="shared" si="27"/>
        <v>2079.6822526869705</v>
      </c>
      <c r="GD9" s="177">
        <f t="shared" si="27"/>
        <v>3190.8179855645203</v>
      </c>
      <c r="GE9" s="177">
        <f t="shared" si="27"/>
        <v>4082.6772556364958</v>
      </c>
      <c r="GF9" s="177">
        <f t="shared" si="27"/>
        <v>8034.6196205619162</v>
      </c>
      <c r="GG9" s="177">
        <f t="shared" si="27"/>
        <v>1762.17820862638</v>
      </c>
      <c r="GH9" s="177">
        <f t="shared" si="27"/>
        <v>3853.2654243962006</v>
      </c>
      <c r="GI9" s="177">
        <f t="shared" si="27"/>
        <v>4648.6473337327752</v>
      </c>
      <c r="GJ9" s="177">
        <f t="shared" si="27"/>
        <v>4840.3334426733945</v>
      </c>
      <c r="GK9" s="177">
        <f t="shared" si="27"/>
        <v>3634.134863666015</v>
      </c>
      <c r="GL9" s="177">
        <f t="shared" ref="GL9:IW9" si="28">GL10+GL12</f>
        <v>1704.7087926304484</v>
      </c>
      <c r="GM9" s="177">
        <f t="shared" si="28"/>
        <v>3727.5999766376672</v>
      </c>
      <c r="GN9" s="177">
        <f t="shared" si="28"/>
        <v>4497.0423223140297</v>
      </c>
      <c r="GO9" s="177">
        <f t="shared" si="28"/>
        <v>4682.4770267818076</v>
      </c>
      <c r="GP9" s="177">
        <f t="shared" si="28"/>
        <v>3515.6158584695195</v>
      </c>
      <c r="GQ9" s="177">
        <f t="shared" si="28"/>
        <v>1930.1508601898611</v>
      </c>
      <c r="GR9" s="177">
        <f t="shared" si="28"/>
        <v>4220.5626746659327</v>
      </c>
      <c r="GS9" s="177">
        <f t="shared" si="28"/>
        <v>5091.7612112101669</v>
      </c>
      <c r="GT9" s="177">
        <f t="shared" si="28"/>
        <v>5301.7190385439781</v>
      </c>
      <c r="GU9" s="177">
        <f t="shared" si="28"/>
        <v>3980.5443619795274</v>
      </c>
      <c r="GV9" s="177">
        <f t="shared" si="28"/>
        <v>1500.026700574283</v>
      </c>
      <c r="GW9" s="177">
        <f t="shared" si="28"/>
        <v>3280.0320607184872</v>
      </c>
      <c r="GX9" s="177">
        <f t="shared" si="28"/>
        <v>3957.0884987779691</v>
      </c>
      <c r="GY9" s="177">
        <f t="shared" si="28"/>
        <v>4120.2583076727524</v>
      </c>
      <c r="GZ9" s="177">
        <f t="shared" si="28"/>
        <v>3093.5005905198423</v>
      </c>
      <c r="HA9" s="177">
        <f t="shared" si="28"/>
        <v>1950.9399716751404</v>
      </c>
      <c r="HB9" s="177">
        <f t="shared" si="28"/>
        <v>4266.0211669444107</v>
      </c>
      <c r="HC9" s="177">
        <f t="shared" si="28"/>
        <v>5146.6031376416886</v>
      </c>
      <c r="HD9" s="177">
        <f t="shared" si="28"/>
        <v>5358.8223616205378</v>
      </c>
      <c r="HE9" s="177">
        <f t="shared" si="28"/>
        <v>4023.4176845887009</v>
      </c>
      <c r="HF9" s="177">
        <f t="shared" si="28"/>
        <v>2165.55686045429</v>
      </c>
      <c r="HG9" s="177">
        <f t="shared" si="28"/>
        <v>4735.3129973483356</v>
      </c>
      <c r="HH9" s="177">
        <f t="shared" si="28"/>
        <v>5712.7650745634419</v>
      </c>
      <c r="HI9" s="177">
        <f t="shared" si="28"/>
        <v>5948.3298808004474</v>
      </c>
      <c r="HJ9" s="177">
        <f t="shared" si="28"/>
        <v>4466.0214541880359</v>
      </c>
      <c r="HK9" s="177">
        <f t="shared" si="28"/>
        <v>2067.9935933410352</v>
      </c>
      <c r="HL9" s="177">
        <f t="shared" si="28"/>
        <v>4521.9763654354492</v>
      </c>
      <c r="HM9" s="177">
        <f t="shared" si="28"/>
        <v>5455.3920011046439</v>
      </c>
      <c r="HN9" s="177">
        <f t="shared" si="28"/>
        <v>5680.3440764856414</v>
      </c>
      <c r="HO9" s="177">
        <f t="shared" si="28"/>
        <v>4264.8170194187414</v>
      </c>
      <c r="HP9" s="177">
        <f t="shared" si="28"/>
        <v>2121.1140290487801</v>
      </c>
      <c r="HQ9" s="177">
        <f t="shared" si="28"/>
        <v>4638.1321192857176</v>
      </c>
      <c r="HR9" s="177">
        <f t="shared" si="28"/>
        <v>5595.5243501546411</v>
      </c>
      <c r="HS9" s="177">
        <f t="shared" si="28"/>
        <v>5826.2547569076887</v>
      </c>
      <c r="HT9" s="177">
        <f t="shared" si="28"/>
        <v>4374.3671355384522</v>
      </c>
      <c r="HU9" s="177">
        <f t="shared" si="28"/>
        <v>1994.9124308004752</v>
      </c>
      <c r="HV9" s="177">
        <f t="shared" si="28"/>
        <v>4362.1735058757868</v>
      </c>
      <c r="HW9" s="177">
        <f t="shared" si="28"/>
        <v>5262.6030143113712</v>
      </c>
      <c r="HX9" s="177">
        <f t="shared" si="28"/>
        <v>5479.605471648244</v>
      </c>
      <c r="HY9" s="177">
        <f t="shared" si="28"/>
        <v>4114.1019558878415</v>
      </c>
      <c r="HZ9" s="177">
        <f t="shared" si="28"/>
        <v>1034.339795963986</v>
      </c>
      <c r="IA9" s="177">
        <f t="shared" si="28"/>
        <v>2261.7382018200174</v>
      </c>
      <c r="IB9" s="177">
        <f t="shared" si="28"/>
        <v>2728.6008368187386</v>
      </c>
      <c r="IC9" s="177">
        <f t="shared" si="28"/>
        <v>2841.1141852645355</v>
      </c>
      <c r="ID9" s="177">
        <f t="shared" si="28"/>
        <v>2133.115876129239</v>
      </c>
      <c r="IE9" s="177">
        <f t="shared" si="28"/>
        <v>2251.4299867131072</v>
      </c>
      <c r="IF9" s="177">
        <f t="shared" si="28"/>
        <v>4923.0873930808984</v>
      </c>
      <c r="IG9" s="177">
        <f t="shared" si="28"/>
        <v>5939.299415680689</v>
      </c>
      <c r="IH9" s="177">
        <f t="shared" si="28"/>
        <v>6184.2053233764109</v>
      </c>
      <c r="II9" s="177">
        <f t="shared" si="28"/>
        <v>4643.1173463409768</v>
      </c>
      <c r="IJ9" s="177">
        <f t="shared" si="28"/>
        <v>2412.4314131168858</v>
      </c>
      <c r="IK9" s="177">
        <f t="shared" si="28"/>
        <v>3701.3488632548433</v>
      </c>
      <c r="IL9" s="177">
        <f t="shared" si="28"/>
        <v>4735.9056165383354</v>
      </c>
      <c r="IM9" s="177">
        <f t="shared" si="28"/>
        <v>9320.1587598518217</v>
      </c>
      <c r="IN9" s="177">
        <f t="shared" si="28"/>
        <v>2044.1267220066011</v>
      </c>
      <c r="IO9" s="177">
        <f t="shared" si="28"/>
        <v>4469.7878922995924</v>
      </c>
      <c r="IP9" s="177">
        <f t="shared" si="28"/>
        <v>5392.4309071300195</v>
      </c>
      <c r="IQ9" s="177">
        <f t="shared" si="28"/>
        <v>5614.7867935011382</v>
      </c>
      <c r="IR9" s="177">
        <f t="shared" si="28"/>
        <v>4215.5964418525773</v>
      </c>
      <c r="IS9" s="177">
        <f t="shared" si="28"/>
        <v>1977.4621994513204</v>
      </c>
      <c r="IT9" s="177">
        <f t="shared" si="28"/>
        <v>4324.0159728996932</v>
      </c>
      <c r="IU9" s="177">
        <f t="shared" si="28"/>
        <v>5216.5690938842745</v>
      </c>
      <c r="IV9" s="177">
        <f t="shared" si="28"/>
        <v>5431.6733510668964</v>
      </c>
      <c r="IW9" s="177">
        <f t="shared" si="28"/>
        <v>4078.1143958246435</v>
      </c>
      <c r="IX9" s="177">
        <f t="shared" ref="IX9:LI9" si="29">IX10+IX12</f>
        <v>2238.9749978202381</v>
      </c>
      <c r="IY9" s="177">
        <f t="shared" si="29"/>
        <v>4895.8527026124812</v>
      </c>
      <c r="IZ9" s="177">
        <f t="shared" si="29"/>
        <v>5906.4430050037936</v>
      </c>
      <c r="JA9" s="177">
        <f t="shared" si="29"/>
        <v>6149.9940847110138</v>
      </c>
      <c r="JB9" s="177">
        <f t="shared" si="29"/>
        <v>4617.4314598962519</v>
      </c>
      <c r="JC9" s="177">
        <f t="shared" si="29"/>
        <v>1740.0309726661683</v>
      </c>
      <c r="JD9" s="177">
        <f t="shared" si="29"/>
        <v>3804.8371904334444</v>
      </c>
      <c r="JE9" s="177">
        <f t="shared" si="29"/>
        <v>4590.2226585824437</v>
      </c>
      <c r="JF9" s="177">
        <f t="shared" si="29"/>
        <v>4779.4996369003929</v>
      </c>
      <c r="JG9" s="177">
        <f t="shared" si="29"/>
        <v>3588.4606850030168</v>
      </c>
      <c r="JH9" s="177">
        <f t="shared" si="29"/>
        <v>2263.0903671431624</v>
      </c>
      <c r="JI9" s="177">
        <f t="shared" si="29"/>
        <v>4948.5845536555162</v>
      </c>
      <c r="JJ9" s="177">
        <f t="shared" si="29"/>
        <v>5970.0596396643577</v>
      </c>
      <c r="JK9" s="177">
        <f t="shared" si="29"/>
        <v>6216.2339394798237</v>
      </c>
      <c r="JL9" s="177">
        <f t="shared" si="29"/>
        <v>4667.1645141228928</v>
      </c>
      <c r="JM9" s="177">
        <f t="shared" si="29"/>
        <v>2512.0459581269765</v>
      </c>
      <c r="JN9" s="177">
        <f t="shared" si="29"/>
        <v>5492.9630769240694</v>
      </c>
      <c r="JO9" s="177">
        <f t="shared" si="29"/>
        <v>6626.8074864935925</v>
      </c>
      <c r="JP9" s="177">
        <f t="shared" si="29"/>
        <v>6900.0626617285188</v>
      </c>
      <c r="JQ9" s="177">
        <f t="shared" si="29"/>
        <v>5180.5848868581215</v>
      </c>
      <c r="JR9" s="177">
        <f t="shared" si="29"/>
        <v>2398.8725682756008</v>
      </c>
      <c r="JS9" s="177">
        <f t="shared" si="29"/>
        <v>5245.4925839051202</v>
      </c>
      <c r="JT9" s="177">
        <f t="shared" si="29"/>
        <v>6328.2547212813879</v>
      </c>
      <c r="JU9" s="177">
        <f t="shared" si="29"/>
        <v>6589.1991287233432</v>
      </c>
      <c r="JV9" s="177">
        <f t="shared" si="29"/>
        <v>4947.1877425257408</v>
      </c>
      <c r="JW9" s="177">
        <f t="shared" si="29"/>
        <v>2460.4922736965846</v>
      </c>
      <c r="JX9" s="177">
        <f t="shared" si="29"/>
        <v>5380.2332583714324</v>
      </c>
      <c r="JY9" s="177">
        <f t="shared" si="29"/>
        <v>6490.8082461793838</v>
      </c>
      <c r="JZ9" s="177">
        <f t="shared" si="29"/>
        <v>6758.4555180129173</v>
      </c>
      <c r="KA9" s="177">
        <f t="shared" si="29"/>
        <v>5074.2658772246041</v>
      </c>
      <c r="KB9" s="177">
        <f t="shared" si="29"/>
        <v>2314.0984197285516</v>
      </c>
      <c r="KC9" s="177">
        <f t="shared" si="29"/>
        <v>5060.1212668159123</v>
      </c>
      <c r="KD9" s="177">
        <f t="shared" si="29"/>
        <v>6104.6194966011899</v>
      </c>
      <c r="KE9" s="177">
        <f t="shared" si="29"/>
        <v>6356.342347111964</v>
      </c>
      <c r="KF9" s="177">
        <f t="shared" si="29"/>
        <v>4772.3582688298957</v>
      </c>
      <c r="KG9" s="177">
        <f t="shared" si="29"/>
        <v>1199.8341633182235</v>
      </c>
      <c r="KH9" s="177">
        <f t="shared" si="29"/>
        <v>2623.6163141112197</v>
      </c>
      <c r="KI9" s="177">
        <f t="shared" si="29"/>
        <v>3165.1769707097365</v>
      </c>
      <c r="KJ9" s="177">
        <f t="shared" si="29"/>
        <v>3295.6924549068608</v>
      </c>
      <c r="KK9" s="177">
        <f t="shared" si="29"/>
        <v>2474.4144163099172</v>
      </c>
      <c r="KL9" s="177">
        <f t="shared" si="29"/>
        <v>2600.4016346536387</v>
      </c>
      <c r="KM9" s="177">
        <f t="shared" si="29"/>
        <v>5686.1659390084378</v>
      </c>
      <c r="KN9" s="177">
        <f t="shared" si="29"/>
        <v>6859.8908251111961</v>
      </c>
      <c r="KO9" s="177">
        <f t="shared" si="29"/>
        <v>7142.7571484997552</v>
      </c>
      <c r="KP9" s="177">
        <f t="shared" si="29"/>
        <v>5362.8005350238291</v>
      </c>
      <c r="KQ9" s="177">
        <f t="shared" si="29"/>
        <v>2786.3582821500031</v>
      </c>
      <c r="KR9" s="177">
        <f t="shared" si="29"/>
        <v>4275.0579370593441</v>
      </c>
      <c r="KS9" s="177">
        <f t="shared" si="29"/>
        <v>5469.9709871017776</v>
      </c>
      <c r="KT9" s="177">
        <f t="shared" si="29"/>
        <v>10764.783367628857</v>
      </c>
      <c r="KU9" s="177">
        <f t="shared" si="29"/>
        <v>2360.9663639176242</v>
      </c>
      <c r="KV9" s="177">
        <f t="shared" si="29"/>
        <v>5162.6050156060292</v>
      </c>
      <c r="KW9" s="177">
        <f t="shared" si="29"/>
        <v>6228.2576977351728</v>
      </c>
      <c r="KX9" s="177">
        <f t="shared" si="29"/>
        <v>6485.078746493813</v>
      </c>
      <c r="KY9" s="177">
        <f t="shared" si="29"/>
        <v>4869.0138903397265</v>
      </c>
      <c r="KZ9" s="177">
        <f t="shared" si="29"/>
        <v>2283.9688403662749</v>
      </c>
      <c r="LA9" s="177">
        <f t="shared" si="29"/>
        <v>4994.2384486991468</v>
      </c>
      <c r="LB9" s="177">
        <f t="shared" si="29"/>
        <v>6025.1373034363378</v>
      </c>
      <c r="LC9" s="177">
        <f t="shared" si="29"/>
        <v>6273.5827204822672</v>
      </c>
      <c r="LD9" s="177">
        <f t="shared" si="29"/>
        <v>4710.2221271774633</v>
      </c>
      <c r="LE9" s="177">
        <f t="shared" si="29"/>
        <v>2586.0161224823751</v>
      </c>
      <c r="LF9" s="177">
        <f t="shared" si="29"/>
        <v>5654.7098715174161</v>
      </c>
      <c r="LG9" s="177">
        <f t="shared" si="29"/>
        <v>6821.9416707793807</v>
      </c>
      <c r="LH9" s="177">
        <f t="shared" si="29"/>
        <v>7103.2431678412222</v>
      </c>
      <c r="LI9" s="177">
        <f t="shared" si="29"/>
        <v>5333.1333361801708</v>
      </c>
      <c r="LJ9" s="177">
        <f t="shared" ref="LJ9:NU9" si="30">LJ10+LJ12</f>
        <v>2009.7357734294242</v>
      </c>
      <c r="LK9" s="177">
        <f t="shared" si="30"/>
        <v>4394.5869549506288</v>
      </c>
      <c r="LL9" s="177">
        <f t="shared" si="30"/>
        <v>5301.707170662723</v>
      </c>
      <c r="LM9" s="177">
        <f t="shared" si="30"/>
        <v>5520.3220806199542</v>
      </c>
      <c r="LN9" s="177">
        <f t="shared" si="30"/>
        <v>4144.6720911784842</v>
      </c>
      <c r="LO9" s="177">
        <f t="shared" si="30"/>
        <v>2613.8693740503531</v>
      </c>
      <c r="LP9" s="177">
        <f t="shared" si="30"/>
        <v>5715.6151594721223</v>
      </c>
      <c r="LQ9" s="177">
        <f t="shared" si="30"/>
        <v>6895.4188838123355</v>
      </c>
      <c r="LR9" s="177">
        <f t="shared" si="30"/>
        <v>7179.7502000991963</v>
      </c>
      <c r="LS9" s="177">
        <f t="shared" si="30"/>
        <v>5390.575013811942</v>
      </c>
      <c r="LT9" s="177">
        <f t="shared" si="30"/>
        <v>2901.4130816366578</v>
      </c>
      <c r="LU9" s="177">
        <f t="shared" si="30"/>
        <v>6344.3723538472996</v>
      </c>
      <c r="LV9" s="177">
        <f t="shared" si="30"/>
        <v>7653.9626469000996</v>
      </c>
      <c r="LW9" s="177">
        <f t="shared" si="30"/>
        <v>7969.5723742964401</v>
      </c>
      <c r="LX9" s="177">
        <f t="shared" si="30"/>
        <v>5983.575544321131</v>
      </c>
      <c r="LY9" s="177">
        <f t="shared" si="30"/>
        <v>2770.697816358319</v>
      </c>
      <c r="LZ9" s="177">
        <f t="shared" si="30"/>
        <v>6058.5439344104143</v>
      </c>
      <c r="MA9" s="177">
        <f t="shared" si="30"/>
        <v>7309.1342030800024</v>
      </c>
      <c r="MB9" s="177">
        <f t="shared" si="30"/>
        <v>7610.5249936754626</v>
      </c>
      <c r="MC9" s="177">
        <f t="shared" si="30"/>
        <v>5714.0018426172301</v>
      </c>
      <c r="MD9" s="177">
        <f t="shared" si="30"/>
        <v>2841.8685761195557</v>
      </c>
      <c r="ME9" s="177">
        <f t="shared" si="30"/>
        <v>6214.1694134190047</v>
      </c>
      <c r="MF9" s="177">
        <f t="shared" si="30"/>
        <v>7496.8835243371886</v>
      </c>
      <c r="MG9" s="177">
        <f t="shared" si="30"/>
        <v>7806.0161233049203</v>
      </c>
      <c r="MH9" s="177">
        <f t="shared" si="30"/>
        <v>5860.777088194418</v>
      </c>
      <c r="MI9" s="177">
        <f t="shared" si="30"/>
        <v>2672.7836747864767</v>
      </c>
      <c r="MJ9" s="177">
        <f t="shared" si="30"/>
        <v>5844.4400631723784</v>
      </c>
      <c r="MK9" s="177">
        <f t="shared" si="30"/>
        <v>7050.835518574374</v>
      </c>
      <c r="ML9" s="177">
        <f t="shared" si="30"/>
        <v>7341.5754109143181</v>
      </c>
      <c r="MM9" s="177">
        <f t="shared" si="30"/>
        <v>5512.0738004985296</v>
      </c>
      <c r="MN9" s="177">
        <f t="shared" si="30"/>
        <v>1385.8084586325483</v>
      </c>
      <c r="MO9" s="177">
        <f t="shared" si="30"/>
        <v>3030.2768427984593</v>
      </c>
      <c r="MP9" s="177">
        <f t="shared" si="30"/>
        <v>3655.7794011697456</v>
      </c>
      <c r="MQ9" s="177">
        <f t="shared" si="30"/>
        <v>3806.5247854174245</v>
      </c>
      <c r="MR9" s="177">
        <f t="shared" si="30"/>
        <v>2857.9486508379546</v>
      </c>
      <c r="MS9" s="177">
        <f t="shared" si="30"/>
        <v>2964.4578635051489</v>
      </c>
      <c r="MT9" s="177">
        <f t="shared" si="30"/>
        <v>6482.2291704696208</v>
      </c>
      <c r="MU9" s="177">
        <f t="shared" si="30"/>
        <v>7820.2755406267661</v>
      </c>
      <c r="MV9" s="177">
        <f t="shared" si="30"/>
        <v>8142.7431492897231</v>
      </c>
      <c r="MW9" s="177">
        <f t="shared" si="30"/>
        <v>6113.5926099271674</v>
      </c>
      <c r="MX9" s="177">
        <f t="shared" si="30"/>
        <v>2497.4857472214107</v>
      </c>
      <c r="MY9" s="177">
        <f t="shared" si="30"/>
        <v>5461.1250045998931</v>
      </c>
      <c r="MZ9" s="177">
        <f t="shared" si="30"/>
        <v>6588.3974747970424</v>
      </c>
      <c r="NA9" s="177">
        <f t="shared" si="30"/>
        <v>6860.0688203374575</v>
      </c>
      <c r="NB9" s="177">
        <f t="shared" si="30"/>
        <v>5150.5574073357793</v>
      </c>
      <c r="NC9" s="177">
        <f t="shared" si="30"/>
        <v>2691.5016548660924</v>
      </c>
      <c r="ND9" s="177">
        <f t="shared" si="30"/>
        <v>5885.3697177908762</v>
      </c>
      <c r="NE9" s="177">
        <f t="shared" si="30"/>
        <v>7100.2137754180985</v>
      </c>
      <c r="NF9" s="177">
        <f t="shared" si="30"/>
        <v>7392.9897710029491</v>
      </c>
      <c r="NG9" s="177">
        <f t="shared" si="30"/>
        <v>5550.6758349872898</v>
      </c>
      <c r="NH9" s="177">
        <f t="shared" si="30"/>
        <v>2603.7244780175538</v>
      </c>
      <c r="NI9" s="177">
        <f t="shared" si="30"/>
        <v>5693.4318315170276</v>
      </c>
      <c r="NJ9" s="177">
        <f t="shared" si="30"/>
        <v>6868.6565259174258</v>
      </c>
      <c r="NK9" s="177">
        <f t="shared" si="30"/>
        <v>7151.8843013497844</v>
      </c>
      <c r="NL9" s="177">
        <f t="shared" si="30"/>
        <v>5369.6532249823085</v>
      </c>
      <c r="NM9" s="177">
        <f t="shared" si="30"/>
        <v>2948.0583796299084</v>
      </c>
      <c r="NN9" s="177">
        <f t="shared" si="30"/>
        <v>6446.369253529856</v>
      </c>
      <c r="NO9" s="177">
        <f t="shared" si="30"/>
        <v>7777.0135046884971</v>
      </c>
      <c r="NP9" s="177">
        <f t="shared" si="30"/>
        <v>8097.6972113389957</v>
      </c>
      <c r="NQ9" s="177">
        <f t="shared" si="30"/>
        <v>6079.7720032453963</v>
      </c>
      <c r="NR9" s="177">
        <f t="shared" si="30"/>
        <v>2291.0987817095443</v>
      </c>
      <c r="NS9" s="177">
        <f t="shared" si="30"/>
        <v>5009.8291286437179</v>
      </c>
      <c r="NT9" s="177">
        <f t="shared" si="30"/>
        <v>6043.9461745555054</v>
      </c>
      <c r="NU9" s="177">
        <f t="shared" si="30"/>
        <v>6293.167171906749</v>
      </c>
      <c r="NV9" s="177">
        <f t="shared" ref="NV9:QG9" si="31">NV10+NV12</f>
        <v>4724.926183943473</v>
      </c>
      <c r="NW9" s="177">
        <f t="shared" si="31"/>
        <v>2979.8110864174032</v>
      </c>
      <c r="NX9" s="177">
        <f t="shared" si="31"/>
        <v>6515.8012817982208</v>
      </c>
      <c r="NY9" s="177">
        <f t="shared" si="31"/>
        <v>7860.7775275460626</v>
      </c>
      <c r="NZ9" s="177">
        <f t="shared" si="31"/>
        <v>8184.9152281130864</v>
      </c>
      <c r="OA9" s="177">
        <f t="shared" si="31"/>
        <v>6145.2555157456145</v>
      </c>
      <c r="OB9" s="177">
        <f t="shared" si="31"/>
        <v>3307.610913065791</v>
      </c>
      <c r="OC9" s="177">
        <f t="shared" si="31"/>
        <v>7232.5844833859237</v>
      </c>
      <c r="OD9" s="177">
        <f t="shared" si="31"/>
        <v>8725.5174174661151</v>
      </c>
      <c r="OE9" s="177">
        <f t="shared" si="31"/>
        <v>9085.3125066979428</v>
      </c>
      <c r="OF9" s="177">
        <f t="shared" si="31"/>
        <v>6821.2761205260904</v>
      </c>
      <c r="OG9" s="177">
        <f t="shared" si="31"/>
        <v>3158.5955106484839</v>
      </c>
      <c r="OH9" s="177">
        <f t="shared" si="31"/>
        <v>6906.7400852278734</v>
      </c>
      <c r="OI9" s="177">
        <f t="shared" si="31"/>
        <v>8332.4129915112044</v>
      </c>
      <c r="OJ9" s="177">
        <f t="shared" si="31"/>
        <v>8675.9984927900277</v>
      </c>
      <c r="OK9" s="177">
        <f t="shared" si="31"/>
        <v>6513.9621005836434</v>
      </c>
      <c r="OL9" s="177">
        <f t="shared" si="31"/>
        <v>3239.7301767762938</v>
      </c>
      <c r="OM9" s="177">
        <f t="shared" si="31"/>
        <v>7084.1531312976676</v>
      </c>
      <c r="ON9" s="177">
        <f t="shared" si="31"/>
        <v>8546.4472177443968</v>
      </c>
      <c r="OO9" s="177">
        <f t="shared" si="31"/>
        <v>8898.8583805676099</v>
      </c>
      <c r="OP9" s="177">
        <f t="shared" si="31"/>
        <v>6681.2858805416381</v>
      </c>
      <c r="OQ9" s="177">
        <f t="shared" si="31"/>
        <v>3046.9733892565841</v>
      </c>
      <c r="OR9" s="177">
        <f t="shared" si="31"/>
        <v>6662.661672016513</v>
      </c>
      <c r="OS9" s="177">
        <f t="shared" si="31"/>
        <v>8037.9524911747885</v>
      </c>
      <c r="OT9" s="177">
        <f t="shared" si="31"/>
        <v>8369.3959684423244</v>
      </c>
      <c r="OU9" s="177">
        <f t="shared" si="31"/>
        <v>6283.7641325683253</v>
      </c>
      <c r="OV9" s="177">
        <f t="shared" si="31"/>
        <v>1579.8216428411056</v>
      </c>
      <c r="OW9" s="177">
        <f t="shared" si="31"/>
        <v>3454.5156007902442</v>
      </c>
      <c r="OX9" s="177">
        <f t="shared" si="31"/>
        <v>4167.5885173335109</v>
      </c>
      <c r="OY9" s="177">
        <f t="shared" si="31"/>
        <v>4339.4382553758651</v>
      </c>
      <c r="OZ9" s="177">
        <f t="shared" si="31"/>
        <v>3258.0614619552689</v>
      </c>
      <c r="PA9" s="177">
        <f t="shared" si="31"/>
        <v>3379.4819643958699</v>
      </c>
      <c r="PB9" s="177">
        <f t="shared" si="31"/>
        <v>7389.7412543353685</v>
      </c>
      <c r="PC9" s="177">
        <f t="shared" si="31"/>
        <v>8915.114116314513</v>
      </c>
      <c r="PD9" s="177">
        <f t="shared" si="31"/>
        <v>9282.7271901902841</v>
      </c>
      <c r="PE9" s="177">
        <f t="shared" si="31"/>
        <v>6969.4955753169697</v>
      </c>
      <c r="PF9" s="177">
        <f t="shared" si="31"/>
        <v>3621.1512234821457</v>
      </c>
      <c r="PG9" s="177">
        <f t="shared" si="31"/>
        <v>5555.8652950023261</v>
      </c>
      <c r="PH9" s="177">
        <f t="shared" si="31"/>
        <v>7108.7742948374726</v>
      </c>
      <c r="PI9" s="177">
        <f t="shared" si="31"/>
        <v>13989.912464570465</v>
      </c>
      <c r="PJ9" s="177">
        <f t="shared" si="31"/>
        <v>3068.3118865473452</v>
      </c>
      <c r="PK9" s="177">
        <f t="shared" si="31"/>
        <v>6709.3214782815985</v>
      </c>
      <c r="PL9" s="177">
        <f t="shared" si="31"/>
        <v>8094.2437039766319</v>
      </c>
      <c r="PM9" s="177">
        <f t="shared" si="31"/>
        <v>8428.0083389433621</v>
      </c>
      <c r="PN9" s="177">
        <f t="shared" si="31"/>
        <v>6327.7704518855116</v>
      </c>
      <c r="PO9" s="177">
        <f t="shared" si="31"/>
        <v>2968.2459049400118</v>
      </c>
      <c r="PP9" s="177">
        <f t="shared" si="31"/>
        <v>6490.5122879294122</v>
      </c>
      <c r="PQ9" s="177">
        <f t="shared" si="31"/>
        <v>7830.2684395458664</v>
      </c>
      <c r="PR9" s="177">
        <f t="shared" si="31"/>
        <v>8153.1481035387551</v>
      </c>
      <c r="PS9" s="177">
        <f t="shared" si="31"/>
        <v>6121.4046764798322</v>
      </c>
      <c r="PT9" s="177">
        <f t="shared" si="31"/>
        <v>3360.7865527780959</v>
      </c>
      <c r="PU9" s="177">
        <f t="shared" si="31"/>
        <v>7348.8609490240351</v>
      </c>
      <c r="PV9" s="177">
        <f t="shared" si="31"/>
        <v>8865.7953953448869</v>
      </c>
      <c r="PW9" s="177">
        <f t="shared" si="31"/>
        <v>9231.374820926454</v>
      </c>
      <c r="PX9" s="177">
        <f t="shared" si="31"/>
        <v>6930.9400836997529</v>
      </c>
      <c r="PY9" s="177">
        <f t="shared" si="31"/>
        <v>2611.8526111488804</v>
      </c>
      <c r="PZ9" s="177">
        <f t="shared" si="31"/>
        <v>5711.2052066538381</v>
      </c>
      <c r="QA9" s="177">
        <f t="shared" si="31"/>
        <v>6890.0986389932768</v>
      </c>
      <c r="QB9" s="177">
        <f t="shared" si="31"/>
        <v>7174.2105759736951</v>
      </c>
      <c r="QC9" s="177">
        <f t="shared" si="31"/>
        <v>5386.4158496955588</v>
      </c>
      <c r="QD9" s="177">
        <f t="shared" si="31"/>
        <v>3396.9846385158398</v>
      </c>
      <c r="QE9" s="177">
        <f t="shared" si="31"/>
        <v>7428.0134612499724</v>
      </c>
      <c r="QF9" s="177">
        <f t="shared" si="31"/>
        <v>8961.2863814025113</v>
      </c>
      <c r="QG9" s="177">
        <f t="shared" si="31"/>
        <v>9330.803360048918</v>
      </c>
      <c r="QH9" s="177">
        <f t="shared" ref="QH9:SS9" si="32">QH10+QH12</f>
        <v>7005.5912879500011</v>
      </c>
      <c r="QI9" s="177">
        <f t="shared" si="32"/>
        <v>3770.6764408950021</v>
      </c>
      <c r="QJ9" s="177">
        <f t="shared" si="32"/>
        <v>8245.1463110599525</v>
      </c>
      <c r="QK9" s="177">
        <f t="shared" si="32"/>
        <v>9947.0898559113721</v>
      </c>
      <c r="QL9" s="177">
        <f t="shared" si="32"/>
        <v>10357.256257635656</v>
      </c>
      <c r="QM9" s="177">
        <f t="shared" si="32"/>
        <v>7776.2547773997449</v>
      </c>
      <c r="QN9" s="177">
        <f t="shared" si="32"/>
        <v>3600.7988821392728</v>
      </c>
      <c r="QO9" s="177">
        <f t="shared" si="32"/>
        <v>7873.6836971597768</v>
      </c>
      <c r="QP9" s="177">
        <f t="shared" si="32"/>
        <v>9498.9508103227745</v>
      </c>
      <c r="QQ9" s="177">
        <f t="shared" si="32"/>
        <v>9890.6382817806334</v>
      </c>
      <c r="QR9" s="177">
        <f t="shared" si="32"/>
        <v>7425.9167946653542</v>
      </c>
      <c r="QS9" s="177">
        <f t="shared" si="32"/>
        <v>3693.2924015249755</v>
      </c>
      <c r="QT9" s="177">
        <f t="shared" si="32"/>
        <v>8075.9345696793416</v>
      </c>
      <c r="QU9" s="177">
        <f t="shared" si="32"/>
        <v>9742.9498282286131</v>
      </c>
      <c r="QV9" s="177">
        <f t="shared" si="32"/>
        <v>10144.698553847076</v>
      </c>
      <c r="QW9" s="177">
        <f t="shared" si="32"/>
        <v>7616.6659038174685</v>
      </c>
      <c r="QX9" s="177">
        <f t="shared" si="32"/>
        <v>3473.5496637525061</v>
      </c>
      <c r="QY9" s="177">
        <f t="shared" si="32"/>
        <v>7595.4343060988267</v>
      </c>
      <c r="QZ9" s="177">
        <f t="shared" si="32"/>
        <v>9163.2658399392585</v>
      </c>
      <c r="RA9" s="177">
        <f t="shared" si="32"/>
        <v>9541.1114040242501</v>
      </c>
      <c r="RB9" s="177">
        <f t="shared" si="32"/>
        <v>7163.4911111278916</v>
      </c>
      <c r="RC9" s="177">
        <f t="shared" si="32"/>
        <v>1800.9966728388608</v>
      </c>
      <c r="RD9" s="177">
        <f t="shared" si="32"/>
        <v>3938.1477849008788</v>
      </c>
      <c r="RE9" s="177">
        <f t="shared" si="32"/>
        <v>4751.0509097602035</v>
      </c>
      <c r="RF9" s="177">
        <f t="shared" si="32"/>
        <v>4946.9596111284864</v>
      </c>
      <c r="RG9" s="177">
        <f t="shared" si="32"/>
        <v>3714.1900666290076</v>
      </c>
      <c r="RH9" s="177">
        <f t="shared" si="32"/>
        <v>3852.609439411292</v>
      </c>
      <c r="RI9" s="177">
        <f t="shared" si="32"/>
        <v>8424.3050299423194</v>
      </c>
      <c r="RJ9" s="177">
        <f t="shared" si="32"/>
        <v>10163.230092598546</v>
      </c>
      <c r="RK9" s="177">
        <f t="shared" si="32"/>
        <v>10582.308996816924</v>
      </c>
      <c r="RL9" s="177">
        <f t="shared" si="32"/>
        <v>7945.2249558613457</v>
      </c>
      <c r="RM9" s="177">
        <f t="shared" si="32"/>
        <v>4128.1123947696451</v>
      </c>
      <c r="RN9" s="177">
        <f t="shared" si="32"/>
        <v>6333.6864363026525</v>
      </c>
      <c r="RO9" s="177">
        <f t="shared" si="32"/>
        <v>8104.0026961147196</v>
      </c>
      <c r="RP9" s="177">
        <f t="shared" si="32"/>
        <v>15948.500209610331</v>
      </c>
      <c r="RQ9" s="177">
        <f t="shared" si="32"/>
        <v>3497.8755506639736</v>
      </c>
      <c r="RR9" s="177">
        <f t="shared" si="32"/>
        <v>7648.6264852410222</v>
      </c>
      <c r="RS9" s="177">
        <f t="shared" si="32"/>
        <v>9227.4378225333603</v>
      </c>
      <c r="RT9" s="177">
        <f t="shared" si="32"/>
        <v>9607.9295063954341</v>
      </c>
      <c r="RU9" s="177">
        <f t="shared" si="32"/>
        <v>7213.6583151494824</v>
      </c>
      <c r="RV9" s="177">
        <f t="shared" si="32"/>
        <v>3383.8003316316135</v>
      </c>
      <c r="RW9" s="177">
        <f t="shared" si="32"/>
        <v>7399.1840082395302</v>
      </c>
      <c r="RX9" s="177">
        <f t="shared" si="32"/>
        <v>8926.5060210822867</v>
      </c>
      <c r="RY9" s="177">
        <f t="shared" si="32"/>
        <v>9294.5888380341821</v>
      </c>
      <c r="RZ9" s="177">
        <f t="shared" si="32"/>
        <v>6978.4013311870094</v>
      </c>
      <c r="SA9" s="177">
        <f t="shared" si="32"/>
        <v>3831.2966701670293</v>
      </c>
      <c r="SB9" s="177">
        <f t="shared" si="32"/>
        <v>8377.7014818873995</v>
      </c>
      <c r="SC9" s="177">
        <f t="shared" si="32"/>
        <v>10107.00675069317</v>
      </c>
      <c r="SD9" s="177">
        <f t="shared" si="32"/>
        <v>10523.767295856158</v>
      </c>
      <c r="SE9" s="177">
        <f t="shared" si="32"/>
        <v>7901.2716954177176</v>
      </c>
      <c r="SF9" s="177">
        <f t="shared" si="32"/>
        <v>2977.5119767097235</v>
      </c>
      <c r="SG9" s="177">
        <f t="shared" si="32"/>
        <v>6510.7739355853755</v>
      </c>
      <c r="SH9" s="177">
        <f t="shared" si="32"/>
        <v>7854.7124484523338</v>
      </c>
      <c r="SI9" s="177">
        <f t="shared" si="32"/>
        <v>8178.600056610012</v>
      </c>
      <c r="SJ9" s="177">
        <f t="shared" si="32"/>
        <v>6140.5140686529376</v>
      </c>
      <c r="SK9" s="177">
        <f t="shared" si="32"/>
        <v>3872.5624879080569</v>
      </c>
      <c r="SL9" s="177">
        <f t="shared" si="32"/>
        <v>8467.935345824968</v>
      </c>
      <c r="SM9" s="177">
        <f t="shared" si="32"/>
        <v>10215.866474798862</v>
      </c>
      <c r="SN9" s="177">
        <f t="shared" si="32"/>
        <v>10637.115830455768</v>
      </c>
      <c r="SO9" s="177">
        <f t="shared" si="32"/>
        <v>7986.3740682630014</v>
      </c>
      <c r="SP9" s="177">
        <f t="shared" si="32"/>
        <v>4298.5711426203015</v>
      </c>
      <c r="SQ9" s="177">
        <f t="shared" si="32"/>
        <v>9399.4667946083464</v>
      </c>
      <c r="SR9" s="177">
        <f t="shared" si="32"/>
        <v>11339.682435738965</v>
      </c>
      <c r="SS9" s="177">
        <f t="shared" si="32"/>
        <v>11807.27213370465</v>
      </c>
      <c r="ST9" s="177">
        <f t="shared" ref="ST9:VE9" si="33">ST10+ST12</f>
        <v>8864.9304462357104</v>
      </c>
      <c r="SU9" s="177">
        <f t="shared" si="33"/>
        <v>4104.9107256387706</v>
      </c>
      <c r="SV9" s="177">
        <f t="shared" si="33"/>
        <v>8975.9994147621455</v>
      </c>
      <c r="SW9" s="177">
        <f t="shared" si="33"/>
        <v>10828.803923767962</v>
      </c>
      <c r="SX9" s="177">
        <f t="shared" si="33"/>
        <v>11275.327641229922</v>
      </c>
      <c r="SY9" s="177">
        <f t="shared" si="33"/>
        <v>8465.5451459185042</v>
      </c>
      <c r="SZ9" s="177">
        <f t="shared" si="33"/>
        <v>4210.353337738472</v>
      </c>
      <c r="TA9" s="177">
        <f t="shared" si="33"/>
        <v>9206.5654094344482</v>
      </c>
      <c r="TB9" s="177">
        <f t="shared" si="33"/>
        <v>11106.962804180619</v>
      </c>
      <c r="TC9" s="177">
        <f t="shared" si="33"/>
        <v>11564.95635138567</v>
      </c>
      <c r="TD9" s="177">
        <f t="shared" si="33"/>
        <v>8682.9991303519146</v>
      </c>
      <c r="TE9" s="177">
        <f t="shared" si="33"/>
        <v>3959.8466166778571</v>
      </c>
      <c r="TF9" s="177">
        <f t="shared" si="33"/>
        <v>8658.7951089526596</v>
      </c>
      <c r="TG9" s="177">
        <f t="shared" si="33"/>
        <v>10446.123057530756</v>
      </c>
      <c r="TH9" s="177">
        <f t="shared" si="33"/>
        <v>10876.867000587645</v>
      </c>
      <c r="TI9" s="177">
        <f t="shared" si="33"/>
        <v>8166.3798666857956</v>
      </c>
      <c r="TJ9" s="177">
        <f t="shared" si="33"/>
        <v>2053.1362070363011</v>
      </c>
      <c r="TK9" s="177">
        <f t="shared" si="33"/>
        <v>4489.4884747870028</v>
      </c>
      <c r="TL9" s="177">
        <f t="shared" si="33"/>
        <v>5416.1980371266327</v>
      </c>
      <c r="TM9" s="177">
        <f t="shared" si="33"/>
        <v>5639.5339566864768</v>
      </c>
      <c r="TN9" s="177">
        <f t="shared" si="33"/>
        <v>4234.1766759570692</v>
      </c>
    </row>
    <row r="10" spans="1:534" x14ac:dyDescent="0.3">
      <c r="A10" s="178" t="s">
        <v>174</v>
      </c>
      <c r="B10" s="179">
        <v>265.44445999999999</v>
      </c>
      <c r="C10" s="179">
        <v>2397.23207</v>
      </c>
      <c r="D10" s="179">
        <v>1352.1454113166201</v>
      </c>
      <c r="E10" s="179">
        <v>2521.86428540818</v>
      </c>
      <c r="F10" s="179">
        <v>1645.1813500000001</v>
      </c>
      <c r="G10" s="179">
        <v>696.10222034239496</v>
      </c>
      <c r="H10" s="179">
        <v>1254.60956853926</v>
      </c>
      <c r="I10" s="179">
        <v>1393.63652</v>
      </c>
      <c r="J10" s="179">
        <v>2624.6439325621</v>
      </c>
      <c r="K10" s="179">
        <v>581.22400263096995</v>
      </c>
      <c r="L10" s="179">
        <v>1338.6261399991399</v>
      </c>
      <c r="M10" s="179">
        <v>1207.1655000000001</v>
      </c>
      <c r="N10" s="179">
        <v>2243.1590335238102</v>
      </c>
      <c r="O10" s="179">
        <v>1381.2108000000001</v>
      </c>
      <c r="P10" s="179">
        <v>278.34624847441</v>
      </c>
      <c r="Q10" s="179">
        <v>2075.8995300000001</v>
      </c>
      <c r="R10" s="179">
        <v>1447.44675666836</v>
      </c>
      <c r="S10" s="179">
        <v>1715.8148799999999</v>
      </c>
      <c r="T10" s="179">
        <v>1214.7742193399499</v>
      </c>
      <c r="U10" s="179">
        <v>960.90441151800201</v>
      </c>
      <c r="V10" s="179">
        <v>763.65362660007702</v>
      </c>
      <c r="W10" s="179">
        <v>1846.53825613868</v>
      </c>
      <c r="X10" s="179">
        <v>2388.4220399999999</v>
      </c>
      <c r="Y10" s="179">
        <v>1182.98955</v>
      </c>
      <c r="Z10" s="179">
        <v>573.82856000000004</v>
      </c>
      <c r="AA10" s="179">
        <v>1439.8379399999999</v>
      </c>
      <c r="AB10" s="179">
        <v>1069.5545500000001</v>
      </c>
      <c r="AC10" s="179">
        <v>1426.5837300000001</v>
      </c>
      <c r="AD10" s="179">
        <v>1508.65094</v>
      </c>
      <c r="AE10" s="179">
        <v>1170.7044599999999</v>
      </c>
      <c r="AF10" s="179">
        <v>1399.0094899999999</v>
      </c>
      <c r="AG10" s="179">
        <v>1398.15221000001</v>
      </c>
      <c r="AH10" s="179">
        <v>1228.97777152497</v>
      </c>
      <c r="AI10" s="179">
        <v>1654.64057999999</v>
      </c>
      <c r="AJ10" s="179">
        <v>1047.11357</v>
      </c>
      <c r="AK10" s="179">
        <v>2471.79817</v>
      </c>
      <c r="AL10" s="179">
        <v>2459.5457084744698</v>
      </c>
      <c r="AM10" s="179">
        <v>3063.7080800000099</v>
      </c>
      <c r="AN10" s="179">
        <v>741.83705999999995</v>
      </c>
      <c r="AO10" s="179">
        <v>1132.5536500000001</v>
      </c>
      <c r="AP10" s="179">
        <v>1167.8743149101899</v>
      </c>
      <c r="AQ10" s="179">
        <v>2453.3820523668701</v>
      </c>
      <c r="AR10" s="179">
        <f>$AS$4*Supuestos!I12*Supuestos!$B$5</f>
        <v>2263.7606870699674</v>
      </c>
      <c r="AS10" s="179">
        <f>$AS$4*Supuestos!J12*Supuestos!$B$5+156.823588949399</f>
        <v>1856.4609658598827</v>
      </c>
      <c r="AT10" s="179">
        <f>$AX$4*Supuestos!F12*Supuestos!$B$5</f>
        <v>845.31755244023191</v>
      </c>
      <c r="AU10" s="179">
        <f>$AX$4*Supuestos!G12*Supuestos!$B$5</f>
        <v>1848.4128798710913</v>
      </c>
      <c r="AV10" s="179">
        <f>$AX$4*Supuestos!H12*Supuestos!$B$5</f>
        <v>2229.9578822802</v>
      </c>
      <c r="AW10" s="179">
        <f>$AX$4*Supuestos!I12*Supuestos!$B$5</f>
        <v>2321.9097811592487</v>
      </c>
      <c r="AX10" s="179">
        <f>$AX$4*Supuestos!J12*Supuestos!$B$5</f>
        <v>1743.2958670998985</v>
      </c>
      <c r="AY10" s="179">
        <f>$BC$4*Supuestos!F12*Supuestos!$B$5</f>
        <v>795.02302575080944</v>
      </c>
      <c r="AZ10" s="179">
        <f>$BC$4*Supuestos!G12*Supuestos!$B$5</f>
        <v>1738.4363974812713</v>
      </c>
      <c r="BA10" s="179">
        <f>$BC$4*Supuestos!H12*Supuestos!$B$5</f>
        <v>2097.2803152488927</v>
      </c>
      <c r="BB10" s="179">
        <f>$BC$4*Supuestos!I12*Supuestos!$B$5</f>
        <v>2183.761279307098</v>
      </c>
      <c r="BC10" s="179">
        <f>$BC$4*Supuestos!J12*Supuestos!$B$5</f>
        <v>1639.5736147199389</v>
      </c>
      <c r="BD10" s="179">
        <f>$BH$4*Supuestos!F12*Supuestos!$B$5</f>
        <v>412.21055197485475</v>
      </c>
      <c r="BE10" s="179">
        <f>$BH$4*Supuestos!G12*Supuestos!$B$5</f>
        <v>901.35983961242289</v>
      </c>
      <c r="BF10" s="179">
        <f>$BH$4*Supuestos!H12*Supuestos!$B$5</f>
        <v>1087.4163997681715</v>
      </c>
      <c r="BG10" s="179">
        <f>$BH$4*Supuestos!I12*Supuestos!$B$5</f>
        <v>1132.2558129362171</v>
      </c>
      <c r="BH10" s="179">
        <f>$BH$4*Supuestos!J12*Supuestos!$B$5</f>
        <v>850.10059185248167</v>
      </c>
      <c r="BI10" s="179">
        <f>$BM$4*Supuestos!F12*Supuestos!$B$5</f>
        <v>939.79386443855685</v>
      </c>
      <c r="BJ10" s="179">
        <f>$BM$4*Supuestos!G12*Supuestos!$B$5</f>
        <v>2054.9994241068102</v>
      </c>
      <c r="BK10" s="179">
        <f>$BM$4*Supuestos!H12*Supuestos!$B$5</f>
        <v>2479.1875309740553</v>
      </c>
      <c r="BL10" s="179">
        <f>$BM$4*Supuestos!I12*Supuestos!$B$5</f>
        <v>2581.4163681022355</v>
      </c>
      <c r="BM10" s="179">
        <f>$BM$4*Supuestos!J12*Supuestos!$B$5</f>
        <v>1938.1340835430212</v>
      </c>
      <c r="BN10" s="179">
        <f>$BQ$4*Supuestos!F13*Supuestos!$B$5</f>
        <v>1006.9992199650789</v>
      </c>
      <c r="BO10" s="179">
        <f>$BQ$4*Supuestos!G13*Supuestos!$B$5</f>
        <v>1545.0202637266307</v>
      </c>
      <c r="BP10" s="179">
        <f>$BQ$4*Supuestos!H13*Supuestos!$B$5</f>
        <v>1976.865844041002</v>
      </c>
      <c r="BQ10" s="179">
        <f>$BQ$4*Supuestos!I13*Supuestos!$B$5</f>
        <v>3890.428780727681</v>
      </c>
      <c r="BR10" s="179">
        <f>$BV$4*Supuestos!F12*Supuestos!$B$5</f>
        <v>853.26115527193508</v>
      </c>
      <c r="BS10" s="179">
        <f>$BV$4*Supuestos!G12*Supuestos!$B$5</f>
        <v>1865.7827519911177</v>
      </c>
      <c r="BT10" s="179">
        <f>$BV$4*Supuestos!H12*Supuestos!$B$5</f>
        <v>2250.913202203611</v>
      </c>
      <c r="BU10" s="179">
        <f>$BV$4*Supuestos!I12*Supuestos!$B$5</f>
        <v>2343.7291898055396</v>
      </c>
      <c r="BV10" s="179">
        <f>$BV$4*Supuestos!J12*Supuestos!$B$5</f>
        <v>1759.6779355266278</v>
      </c>
      <c r="BW10" s="179">
        <f>$CA$4*Supuestos!F12*Supuestos!$B$5</f>
        <v>825.43399224980453</v>
      </c>
      <c r="BX10" s="179">
        <f>$CA$4*Supuestos!G12*Supuestos!$B$5</f>
        <v>1804.9345105321599</v>
      </c>
      <c r="BY10" s="179">
        <f>$CA$4*Supuestos!H12*Supuestos!$B$5</f>
        <v>2177.5048110687503</v>
      </c>
      <c r="BZ10" s="179">
        <f>$CA$4*Supuestos!I12*Supuestos!$B$5</f>
        <v>2267.2938173038356</v>
      </c>
      <c r="CA10" s="179">
        <f>$CA$4*Supuestos!J12*Supuestos!$B$5</f>
        <v>1702.2900602251445</v>
      </c>
      <c r="CB10" s="179">
        <f>$CF$4*Supuestos!F12*Supuestos!$B$5</f>
        <v>934.59489213551115</v>
      </c>
      <c r="CC10" s="179">
        <f>$CF$4*Supuestos!G12*Supuestos!$B$5</f>
        <v>2043.6310959095526</v>
      </c>
      <c r="CD10" s="179">
        <f>$CF$4*Supuestos!H12*Supuestos!$B$5</f>
        <v>2465.4725794348783</v>
      </c>
      <c r="CE10" s="179">
        <f>$CF$4*Supuestos!I12*Supuestos!$B$5</f>
        <v>2567.1358830850127</v>
      </c>
      <c r="CF10" s="179">
        <f>$CF$4*Supuestos!J12*Supuestos!$B$5</f>
        <v>1927.4122584692334</v>
      </c>
      <c r="CG10" s="179">
        <f>$CK$4*Supuestos!F12*Supuestos!$B$5</f>
        <v>726.32524293241397</v>
      </c>
      <c r="CH10" s="179">
        <f>$CK$4*Supuestos!G12*Supuestos!$B$5</f>
        <v>1588.218451321816</v>
      </c>
      <c r="CI10" s="179">
        <f>$CK$4*Supuestos!H12*Supuestos!$B$5</f>
        <v>1916.0547369454237</v>
      </c>
      <c r="CJ10" s="179">
        <f>$CK$4*Supuestos!I12*Supuestos!$B$5</f>
        <v>1995.0628979597352</v>
      </c>
      <c r="CK10" s="179">
        <f>$CK$4*Supuestos!J12*Supuestos!$B$5</f>
        <v>1497.8983821159134</v>
      </c>
      <c r="CL10" s="179">
        <f>$CP$4*Supuestos!F12*Supuestos!$B$5</f>
        <v>944.66115058551986</v>
      </c>
      <c r="CM10" s="179">
        <f>$CP$4*Supuestos!G12*Supuestos!$B$5</f>
        <v>2065.6424710636529</v>
      </c>
      <c r="CN10" s="179">
        <f>$CP$4*Supuestos!H12*Supuestos!$B$5</f>
        <v>2492.0274904394669</v>
      </c>
      <c r="CO10" s="179">
        <f>$CP$4*Supuestos!I12*Supuestos!$B$5</f>
        <v>2594.7857809101324</v>
      </c>
      <c r="CP10" s="179">
        <f>$CP$4*Supuestos!J12*Supuestos!$B$5</f>
        <v>1948.1718732464276</v>
      </c>
      <c r="CQ10" s="179">
        <f>$CU$4*Supuestos!F12*Supuestos!$B$5</f>
        <v>1048.5804100361922</v>
      </c>
      <c r="CR10" s="179">
        <f>$CU$4*Supuestos!G12*Supuestos!$B$5</f>
        <v>2292.8774280106395</v>
      </c>
      <c r="CS10" s="179">
        <f>$CU$4*Supuestos!H12*Supuestos!$B$5</f>
        <v>2766.1677482204409</v>
      </c>
      <c r="CT10" s="179">
        <f>$CU$4*Supuestos!I12*Supuestos!$B$5</f>
        <v>2880.230161276766</v>
      </c>
      <c r="CU10" s="179">
        <f>$CU$4*Supuestos!J12*Supuestos!$B$5</f>
        <v>2162.4842520553939</v>
      </c>
      <c r="CV10" s="179">
        <f>CZ4*Supuestos!$F$12*Supuestos!$B$5</f>
        <v>1001.3394751513763</v>
      </c>
      <c r="CW10" s="179">
        <f>CZ4*Supuestos!$G$12*Supuestos!$B$5</f>
        <v>2189.5780794449188</v>
      </c>
      <c r="CX10" s="179">
        <f>CZ4*Supuestos!$H$12*Supuestos!$B$5</f>
        <v>2641.5455931396982</v>
      </c>
      <c r="CY10" s="179">
        <f>CZ4*Supuestos!$I$12*Supuestos!$B$5</f>
        <v>2750.4692347900104</v>
      </c>
      <c r="CZ10" s="179">
        <f>CZ4*Supuestos!$J$12*Supuestos!$B$5</f>
        <v>2065.0594129462379</v>
      </c>
      <c r="DA10" s="179">
        <f>DE4*Supuestos!$F$12*Supuestos!$B$5</f>
        <v>1027.0608262148819</v>
      </c>
      <c r="DB10" s="179">
        <f>DE4*Supuestos!$G$12*Supuestos!$B$5</f>
        <v>2245.8216490433761</v>
      </c>
      <c r="DC10" s="179">
        <f>DE4*Supuestos!$H$12*Supuestos!$B$5</f>
        <v>2709.3988269704437</v>
      </c>
      <c r="DD10" s="179">
        <f>DE4*Supuestos!$I$12*Supuestos!$B$5</f>
        <v>2821.1203841084875</v>
      </c>
      <c r="DE10" s="179">
        <f>DE4*Supuestos!$J$12*Supuestos!$B$5</f>
        <v>2118.1044785263775</v>
      </c>
      <c r="DF10" s="179">
        <f>DJ4*Supuestos!$F$12*Supuestos!$B$5</f>
        <v>965.9529762872337</v>
      </c>
      <c r="DG10" s="179">
        <f>DJ4*Supuestos!$G$12*Supuestos!$B$5</f>
        <v>2112.2002229397453</v>
      </c>
      <c r="DH10" s="179">
        <f>DJ4*Supuestos!$H$12*Supuestos!$B$5</f>
        <v>2548.1955830274055</v>
      </c>
      <c r="DI10" s="179">
        <f>DJ4*Supuestos!$I$12*Supuestos!$B$5</f>
        <v>2653.2699543581243</v>
      </c>
      <c r="DJ10" s="179">
        <f>DJ4*Supuestos!$J$12*Supuestos!$B$5</f>
        <v>1992.0819418847259</v>
      </c>
      <c r="DK10" s="179">
        <f>DO4*Supuestos!$F$12*Supuestos!$B$5</f>
        <v>500.83582064944858</v>
      </c>
      <c r="DL10" s="179">
        <f>DO4*Supuestos!$G$12*Supuestos!$B$5</f>
        <v>1095.152205129094</v>
      </c>
      <c r="DM10" s="179">
        <f>DO4*Supuestos!$H$12*Supuestos!$B$5</f>
        <v>1321.2109257183286</v>
      </c>
      <c r="DN10" s="179">
        <f>DO4*Supuestos!$I$12*Supuestos!$B$5</f>
        <v>1375.6908127175041</v>
      </c>
      <c r="DO10" s="179">
        <f>DO4*Supuestos!$J$12*Supuestos!$B$5</f>
        <v>1032.8722191007653</v>
      </c>
      <c r="DP10" s="179">
        <f>DT4*Supuestos!$F$12*Supuestos!$B$5</f>
        <v>1099.5588213931114</v>
      </c>
      <c r="DQ10" s="179">
        <f>DT4*Supuestos!$G$12*Supuestos!$B$5</f>
        <v>2404.3493262049674</v>
      </c>
      <c r="DR10" s="179">
        <f>DT4*Supuestos!$H$12*Supuestos!$B$5</f>
        <v>2900.649411239644</v>
      </c>
      <c r="DS10" s="179">
        <f>DT4*Supuestos!$I$12*Supuestos!$B$5</f>
        <v>3020.2571506796144</v>
      </c>
      <c r="DT10" s="179">
        <f>DT4*Supuestos!$J$12*Supuestos!$B$5</f>
        <v>2267.6168777453345</v>
      </c>
      <c r="DU10" s="179">
        <f>DY4*Supuestos!$F$12*Supuestos!$B$5</f>
        <v>926.35234201435605</v>
      </c>
      <c r="DV10" s="179">
        <f>DY4*Supuestos!$G$12*Supuestos!$B$5</f>
        <v>2025.6075309629309</v>
      </c>
      <c r="DW10" s="179">
        <f>DY4*Supuestos!$H$12*Supuestos!$B$5</f>
        <v>2443.7286329621011</v>
      </c>
      <c r="DX10" s="179">
        <f>DY4*Supuestos!$I$12*Supuestos!$B$5</f>
        <v>2544.4953290201443</v>
      </c>
      <c r="DY10" s="179">
        <f>DY4*Supuestos!$J$12*Supuestos!$B$5</f>
        <v>1910.4136719391267</v>
      </c>
      <c r="DZ10" s="179">
        <f>ED4*Supuestos!$F$12*Supuestos!$B$5</f>
        <v>998.31555166816383</v>
      </c>
      <c r="EA10" s="179">
        <f>ED4*Supuestos!$G$12*Supuestos!$B$5</f>
        <v>2182.9658198296074</v>
      </c>
      <c r="EB10" s="179">
        <f>ED4*Supuestos!$H$12*Supuestos!$B$5</f>
        <v>2633.5684465782247</v>
      </c>
      <c r="EC10" s="179">
        <f>ED4*Supuestos!$I$12*Supuestos!$B$5</f>
        <v>2742.1631520724804</v>
      </c>
      <c r="ED10" s="179">
        <f>ED4*Supuestos!$J$12*Supuestos!$B$5</f>
        <v>2058.8231845661544</v>
      </c>
      <c r="EE10" s="179">
        <f>EI4*Supuestos!$F$12*Supuestos!$B$5</f>
        <v>965.75777093227123</v>
      </c>
      <c r="EF10" s="179">
        <f>EI4*Supuestos!$G$12*Supuestos!$B$5</f>
        <v>2111.7733773226269</v>
      </c>
      <c r="EG10" s="179">
        <f>EI4*Supuestos!$H$12*Supuestos!$B$5</f>
        <v>2547.6806289504375</v>
      </c>
      <c r="EH10" s="179">
        <f>EI4*Supuestos!$I$12*Supuestos!$B$5</f>
        <v>2652.7337662454875</v>
      </c>
      <c r="EI10" s="179">
        <f>EI4*Supuestos!$J$12*Supuestos!$B$5</f>
        <v>1991.679370463419</v>
      </c>
      <c r="EJ10" s="179">
        <f>EN4*Supuestos!$F$12*Supuestos!$B$5</f>
        <v>1093.4760237985477</v>
      </c>
      <c r="EK10" s="179">
        <f>EN4*Supuestos!$G$12*Supuestos!$B$5</f>
        <v>2391.0483822141759</v>
      </c>
      <c r="EL10" s="179">
        <f>EN4*Supuestos!$H$12*Supuestos!$B$5</f>
        <v>2884.6029179388065</v>
      </c>
      <c r="EM10" s="179">
        <f>EN4*Supuestos!$I$12*Supuestos!$B$5</f>
        <v>3003.548983209464</v>
      </c>
      <c r="EN10" s="179">
        <f>EN4*Supuestos!$J$12*Supuestos!$B$5</f>
        <v>2255.0723424090029</v>
      </c>
      <c r="EO10" s="179">
        <f>ES4*Supuestos!$F$12*Supuestos!$B$5</f>
        <v>849.8005342309242</v>
      </c>
      <c r="EP10" s="179">
        <f>ES4*Supuestos!$G$12*Supuestos!$B$5</f>
        <v>1858.2155880465248</v>
      </c>
      <c r="EQ10" s="179">
        <f>ES4*Supuestos!$H$12*Supuestos!$B$5</f>
        <v>2241.7840422261456</v>
      </c>
      <c r="ER10" s="179">
        <f>ES4*Supuestos!$I$12*Supuestos!$B$5</f>
        <v>2334.2235906128899</v>
      </c>
      <c r="ES10" s="179">
        <f>ES4*Supuestos!$J$12*Supuestos!$B$5</f>
        <v>1752.5411070756186</v>
      </c>
      <c r="ET10" s="179">
        <f>EX4*Supuestos!$F$12*Supuestos!$B$5</f>
        <v>1105.2535461850582</v>
      </c>
      <c r="EU10" s="179">
        <f>EX4*Supuestos!$G$12*Supuestos!$B$5</f>
        <v>2416.8016911444734</v>
      </c>
      <c r="EV10" s="179">
        <f>EX4*Supuestos!$H$12*Supuestos!$B$5</f>
        <v>2915.6721638141757</v>
      </c>
      <c r="EW10" s="179">
        <f>EX4*Supuestos!$I$12*Supuestos!$B$5</f>
        <v>3035.8993636648538</v>
      </c>
      <c r="EX10" s="179">
        <f>EX4*Supuestos!$J$12*Supuestos!$B$5</f>
        <v>2279.3610916983198</v>
      </c>
      <c r="EY10" s="179">
        <f>FC4*Supuestos!$F$12*Supuestos!$B$5</f>
        <v>1226.8390797423447</v>
      </c>
      <c r="EZ10" s="179">
        <f>FC4*Supuestos!$G$12*Supuestos!$B$5</f>
        <v>2682.6665907724478</v>
      </c>
      <c r="FA10" s="179">
        <f>FC4*Supuestos!$H$12*Supuestos!$B$5</f>
        <v>3236.4162654179163</v>
      </c>
      <c r="FB10" s="179">
        <f>FC4*Supuestos!$I$12*Supuestos!$B$5</f>
        <v>3369.8692886938161</v>
      </c>
      <c r="FC10" s="179">
        <f>FC4*Supuestos!$J$12*Supuestos!$B$5</f>
        <v>2530.1065749048103</v>
      </c>
      <c r="FD10" s="179">
        <f>FH4*Supuestos!$F$12*Supuestos!$B$5</f>
        <v>1171.5671859271101</v>
      </c>
      <c r="FE10" s="179">
        <f>FH4*Supuestos!$G$12*Supuestos!$B$5</f>
        <v>2561.8063529505548</v>
      </c>
      <c r="FF10" s="179">
        <f>FH4*Supuestos!$H$12*Supuestos!$B$5</f>
        <v>3090.6083439734466</v>
      </c>
      <c r="FG10" s="179">
        <f>FH4*Supuestos!$I$12*Supuestos!$B$5</f>
        <v>3218.0490047043118</v>
      </c>
      <c r="FH10" s="179">
        <f>FH4*Supuestos!$J$12*Supuestos!$B$5</f>
        <v>2416.1195131470981</v>
      </c>
      <c r="FI10" s="179">
        <f>FM4*Supuestos!$F$12*Supuestos!$B$5</f>
        <v>1201.6611666714118</v>
      </c>
      <c r="FJ10" s="179">
        <f>FM4*Supuestos!$G$12*Supuestos!$B$5</f>
        <v>2627.6113293807502</v>
      </c>
      <c r="FK10" s="179">
        <f>FM4*Supuestos!$H$12*Supuestos!$B$5</f>
        <v>3169.9966275554193</v>
      </c>
      <c r="FL10" s="179">
        <f>FM4*Supuestos!$I$12*Supuestos!$B$5</f>
        <v>3300.7108494069307</v>
      </c>
      <c r="FM10" s="179">
        <f>FM4*Supuestos!$J$12*Supuestos!$B$5</f>
        <v>2478.1822398758613</v>
      </c>
      <c r="FN10" s="179">
        <f>FR4*Supuestos!$F$12*Supuestos!$B$5</f>
        <v>1130.1649822560632</v>
      </c>
      <c r="FO10" s="179">
        <f>FR4*Supuestos!$G$12*Supuestos!$B$5</f>
        <v>2471.2742608395015</v>
      </c>
      <c r="FP10" s="179">
        <f>FR4*Supuestos!$H$12*Supuestos!$B$5</f>
        <v>2981.3888321420641</v>
      </c>
      <c r="FQ10" s="179">
        <f>FR4*Supuestos!$I$12*Supuestos!$B$5</f>
        <v>3104.3258465990057</v>
      </c>
      <c r="FR10" s="179">
        <f>FR4*Supuestos!$J$12*Supuestos!$B$5</f>
        <v>2330.7358720051293</v>
      </c>
      <c r="FS10" s="179">
        <f>FW4*Supuestos!$F$12*Supuestos!$B$5</f>
        <v>585.97791015985467</v>
      </c>
      <c r="FT10" s="179">
        <f>FW4*Supuestos!$G$12*Supuestos!$B$5</f>
        <v>1281.32808000104</v>
      </c>
      <c r="FU10" s="179">
        <f>FW4*Supuestos!$H$12*Supuestos!$B$5</f>
        <v>1545.8167830904442</v>
      </c>
      <c r="FV10" s="179">
        <f>FW4*Supuestos!$I$12*Supuestos!$B$5</f>
        <v>1609.5582508794794</v>
      </c>
      <c r="FW10" s="179">
        <f>FW4*Supuestos!$J$12*Supuestos!$B$5</f>
        <v>1208.4604963478951</v>
      </c>
      <c r="FX10" s="179">
        <f>GB4*Supuestos!$F$12*Supuestos!$B$5</f>
        <v>1280.9860269229748</v>
      </c>
      <c r="FY10" s="179">
        <f>GB4*Supuestos!$G$12*Supuestos!$B$5</f>
        <v>2801.0669650287873</v>
      </c>
      <c r="FZ10" s="179">
        <f>GB4*Supuestos!$H$12*Supuestos!$B$5</f>
        <v>3379.2565640941857</v>
      </c>
      <c r="GA10" s="179">
        <f>GB4*Supuestos!$I$12*Supuestos!$B$5</f>
        <v>3518.599580541751</v>
      </c>
      <c r="GB10" s="179">
        <f>GB4*Supuestos!$J$12*Supuestos!$B$5</f>
        <v>2641.7736625733151</v>
      </c>
      <c r="GC10" s="179">
        <f>GF4*Supuestos!$F$13*Supuestos!$B$5</f>
        <v>1372.5902867734005</v>
      </c>
      <c r="GD10" s="179">
        <f>GF4*Supuestos!$G$13*Supuestos!$B$5</f>
        <v>2105.9398704725836</v>
      </c>
      <c r="GE10" s="179">
        <f>GF4*Supuestos!$H$13*Supuestos!$B$5</f>
        <v>2694.5669887200875</v>
      </c>
      <c r="GF10" s="179">
        <f>GF4*Supuestos!$I$13*Supuestos!$B$5</f>
        <v>5302.8489495708645</v>
      </c>
      <c r="GG10" s="179">
        <f>GK4*Supuestos!$F$12*Supuestos!$B$5</f>
        <v>1163.0376176934108</v>
      </c>
      <c r="GH10" s="179">
        <f>GK4*Supuestos!$G$12*Supuestos!$B$5</f>
        <v>2543.1551801014925</v>
      </c>
      <c r="GI10" s="179">
        <f>GK4*Supuestos!$H$12*Supuestos!$B$5</f>
        <v>3068.1072402636319</v>
      </c>
      <c r="GJ10" s="179">
        <f>GK4*Supuestos!$I$12*Supuestos!$B$5</f>
        <v>3194.6200721644404</v>
      </c>
      <c r="GK10" s="179">
        <f>GK4*Supuestos!$J$12*Supuestos!$B$5</f>
        <v>2398.5290100195698</v>
      </c>
      <c r="GL10" s="179">
        <f>GP4*Supuestos!$F$12*Supuestos!$B$5</f>
        <v>1125.107803136096</v>
      </c>
      <c r="GM10" s="179">
        <f>GP4*Supuestos!$G$12*Supuestos!$B$5</f>
        <v>2460.2159845808601</v>
      </c>
      <c r="GN10" s="179">
        <f>GP4*Supuestos!$H$12*Supuestos!$B$5</f>
        <v>2968.0479327272596</v>
      </c>
      <c r="GO10" s="179">
        <f>GP4*Supuestos!$I$12*Supuestos!$B$5</f>
        <v>3090.4348376759931</v>
      </c>
      <c r="GP10" s="179">
        <f>GP4*Supuestos!$J$12*Supuestos!$B$5</f>
        <v>2320.3064665898828</v>
      </c>
      <c r="GQ10" s="179">
        <f>GU4*Supuestos!$F$12*Supuestos!$B$5</f>
        <v>1273.8995677253083</v>
      </c>
      <c r="GR10" s="179">
        <f>GU4*Supuestos!$G$12*Supuestos!$B$5</f>
        <v>2785.5713652795152</v>
      </c>
      <c r="GS10" s="179">
        <f>GU4*Supuestos!$H$12*Supuestos!$B$5</f>
        <v>3360.5623993987106</v>
      </c>
      <c r="GT10" s="179">
        <f>GU4*Supuestos!$I$12*Supuestos!$B$5</f>
        <v>3499.1345654390257</v>
      </c>
      <c r="GU10" s="179">
        <f>GU4*Supuestos!$J$12*Supuestos!$B$5</f>
        <v>2627.159278906488</v>
      </c>
      <c r="GV10" s="179">
        <f>GZ4*Supuestos!$F$12*Supuestos!$B$5</f>
        <v>990.01762237902688</v>
      </c>
      <c r="GW10" s="179">
        <f>GZ4*Supuestos!$G$12*Supuestos!$B$5</f>
        <v>2164.8211600742015</v>
      </c>
      <c r="GX10" s="179">
        <f>GZ4*Supuestos!$H$12*Supuestos!$B$5</f>
        <v>2611.6784091934596</v>
      </c>
      <c r="GY10" s="179">
        <f>GZ4*Supuestos!$I$12*Supuestos!$B$5</f>
        <v>2719.3704830640168</v>
      </c>
      <c r="GZ10" s="179">
        <f>GZ4*Supuestos!$J$12*Supuestos!$B$5</f>
        <v>2041.7103897430957</v>
      </c>
      <c r="HA10" s="179">
        <f>HE4*Supuestos!$F$12*Supuestos!$B$5</f>
        <v>1287.6203813055927</v>
      </c>
      <c r="HB10" s="179">
        <f>HE4*Supuestos!$G$12*Supuestos!$B$5</f>
        <v>2815.5739701833113</v>
      </c>
      <c r="HC10" s="179">
        <f>HE4*Supuestos!$H$12*Supuestos!$B$5</f>
        <v>3396.7580708435148</v>
      </c>
      <c r="HD10" s="179">
        <f>HE4*Supuestos!$I$12*Supuestos!$B$5</f>
        <v>3536.8227586695552</v>
      </c>
      <c r="HE10" s="179">
        <f>HE4*Supuestos!$J$12*Supuestos!$B$5</f>
        <v>2655.4556718285426</v>
      </c>
      <c r="HF10" s="179">
        <f>HJ4*Supuestos!$F$12*Supuestos!$B$5</f>
        <v>1429.2675278998315</v>
      </c>
      <c r="HG10" s="179">
        <f>HJ4*Supuestos!$G$12*Supuestos!$B$5</f>
        <v>3125.3065782499016</v>
      </c>
      <c r="HH10" s="179">
        <f>HJ4*Supuestos!$H$12*Supuestos!$B$5</f>
        <v>3770.424949211872</v>
      </c>
      <c r="HI10" s="179">
        <f>HJ4*Supuestos!$I$12*Supuestos!$B$5</f>
        <v>3925.8977213282956</v>
      </c>
      <c r="HJ10" s="179">
        <f>HJ4*Supuestos!$J$12*Supuestos!$B$5</f>
        <v>2947.574159764104</v>
      </c>
      <c r="HK10" s="179">
        <f>HO4*Supuestos!$F$12*Supuestos!$B$5</f>
        <v>1364.8757716050834</v>
      </c>
      <c r="HL10" s="179">
        <f>HO4*Supuestos!$G$12*Supuestos!$B$5</f>
        <v>2984.5044011873965</v>
      </c>
      <c r="HM10" s="179">
        <f>HO4*Supuestos!$H$12*Supuestos!$B$5</f>
        <v>3600.558720729065</v>
      </c>
      <c r="HN10" s="179">
        <f>HO4*Supuestos!$I$12*Supuestos!$B$5</f>
        <v>3749.0270904805234</v>
      </c>
      <c r="HO10" s="179">
        <f>HO4*Supuestos!$J$12*Supuestos!$B$5</f>
        <v>2814.7792328163696</v>
      </c>
      <c r="HP10" s="179">
        <f>HT4*Supuestos!$F$12*Supuestos!$B$5</f>
        <v>1399.9352591721947</v>
      </c>
      <c r="HQ10" s="179">
        <f>HT4*Supuestos!$G$12*Supuestos!$B$5</f>
        <v>3061.1671987285736</v>
      </c>
      <c r="HR10" s="179">
        <f>HT4*Supuestos!$H$12*Supuestos!$B$5</f>
        <v>3693.0460711020633</v>
      </c>
      <c r="HS10" s="179">
        <f>HT4*Supuestos!$I$12*Supuestos!$B$5</f>
        <v>3845.3281395590743</v>
      </c>
      <c r="HT10" s="179">
        <f>HT4*Supuestos!$J$12*Supuestos!$B$5</f>
        <v>2887.0823094553784</v>
      </c>
      <c r="HU10" s="179">
        <f>HY4*Supuestos!$F$12*Supuestos!$B$5</f>
        <v>1316.6422043283137</v>
      </c>
      <c r="HV10" s="179">
        <f>HY4*Supuestos!$G$12*Supuestos!$B$5</f>
        <v>2879.0345138780194</v>
      </c>
      <c r="HW10" s="179">
        <f>HY4*Supuestos!$H$12*Supuestos!$B$5</f>
        <v>3473.3179894455047</v>
      </c>
      <c r="HX10" s="179">
        <f>HY4*Supuestos!$I$12*Supuestos!$B$5</f>
        <v>3616.5396112878411</v>
      </c>
      <c r="HY10" s="179">
        <f>HY4*Supuestos!$J$12*Supuestos!$B$5</f>
        <v>2715.3072908859754</v>
      </c>
      <c r="HZ10" s="179">
        <f>ID4*Supuestos!$F$12*Supuestos!$B$5</f>
        <v>682.66426533623087</v>
      </c>
      <c r="IA10" s="179">
        <f>ID4*Supuestos!$G$12*Supuestos!$B$5</f>
        <v>1492.7472132012115</v>
      </c>
      <c r="IB10" s="179">
        <f>ID4*Supuestos!$H$12*Supuestos!$B$5</f>
        <v>1800.8765523003676</v>
      </c>
      <c r="IC10" s="179">
        <f>ID4*Supuestos!$I$12*Supuestos!$B$5</f>
        <v>1875.1353622745935</v>
      </c>
      <c r="ID10" s="179">
        <f>ID4*Supuestos!$J$12*Supuestos!$B$5</f>
        <v>1407.8564782452979</v>
      </c>
      <c r="IE10" s="179">
        <f>II4*Supuestos!$F$12*Supuestos!$B$5</f>
        <v>1485.9437912306507</v>
      </c>
      <c r="IF10" s="179">
        <f>II4*Supuestos!$G$12*Supuestos!$B$5</f>
        <v>3249.2376794333932</v>
      </c>
      <c r="IG10" s="179">
        <f>II4*Supuestos!$H$12*Supuestos!$B$5</f>
        <v>3919.937614349255</v>
      </c>
      <c r="IH10" s="179">
        <f>II4*Supuestos!$I$12*Supuestos!$B$5</f>
        <v>4081.5755134284313</v>
      </c>
      <c r="II10" s="179">
        <f>II4*Supuestos!$J$12*Supuestos!$B$5</f>
        <v>3064.4574485850449</v>
      </c>
      <c r="IJ10" s="179">
        <f>IM4*Supuestos!$F$13*Supuestos!$B$5</f>
        <v>1592.2047326571446</v>
      </c>
      <c r="IK10" s="179">
        <f>IM4*Supuestos!$G$13*Supuestos!$B$5</f>
        <v>2442.8902497481968</v>
      </c>
      <c r="IL10" s="179">
        <f>IM4*Supuestos!$H$13*Supuestos!$B$5</f>
        <v>3125.6977069153013</v>
      </c>
      <c r="IM10" s="179">
        <f>IM4*Supuestos!$I$13*Supuestos!$B$5</f>
        <v>6151.3047815022028</v>
      </c>
      <c r="IN10" s="179">
        <f>IR4*Supuestos!$F$12*Supuestos!$B$5</f>
        <v>1349.1236365243567</v>
      </c>
      <c r="IO10" s="179">
        <f>IR4*Supuestos!$G$12*Supuestos!$B$5</f>
        <v>2950.060008917731</v>
      </c>
      <c r="IP10" s="179">
        <f>IR4*Supuestos!$H$12*Supuestos!$B$5</f>
        <v>3559.0043987058125</v>
      </c>
      <c r="IQ10" s="179">
        <f>IR4*Supuestos!$I$12*Supuestos!$B$5</f>
        <v>3705.7592837107509</v>
      </c>
      <c r="IR10" s="179">
        <f>IR4*Supuestos!$J$12*Supuestos!$B$5</f>
        <v>2782.293651622701</v>
      </c>
      <c r="IS10" s="179">
        <f>IW4*Supuestos!$F$12*Supuestos!$B$5</f>
        <v>1305.1250516378714</v>
      </c>
      <c r="IT10" s="179">
        <f>IW4*Supuestos!$G$12*Supuestos!$B$5</f>
        <v>2853.8505421137975</v>
      </c>
      <c r="IU10" s="179">
        <f>IW4*Supuestos!$H$12*Supuestos!$B$5</f>
        <v>3442.9356019636211</v>
      </c>
      <c r="IV10" s="179">
        <f>IW4*Supuestos!$I$12*Supuestos!$B$5</f>
        <v>3584.9044117041517</v>
      </c>
      <c r="IW10" s="179">
        <f>IW4*Supuestos!$J$12*Supuestos!$B$5</f>
        <v>2691.5555012442646</v>
      </c>
      <c r="IX10" s="179">
        <f>JB4*Supuestos!$F$12*Supuestos!$B$5</f>
        <v>1477.7234985613572</v>
      </c>
      <c r="IY10" s="179">
        <f>JB4*Supuestos!$G$12*Supuestos!$B$5</f>
        <v>3231.2627837242376</v>
      </c>
      <c r="IZ10" s="179">
        <f>JB4*Supuestos!$H$12*Supuestos!$B$5</f>
        <v>3898.2523833025034</v>
      </c>
      <c r="JA10" s="179">
        <f>JB4*Supuestos!$I$12*Supuestos!$B$5</f>
        <v>4058.9960959092691</v>
      </c>
      <c r="JB10" s="179">
        <f>JB4*Supuestos!$J$12*Supuestos!$B$5</f>
        <v>3047.5047635315259</v>
      </c>
      <c r="JC10" s="179">
        <f>JG4*Supuestos!$F$12*Supuestos!$B$5</f>
        <v>1148.4204419596711</v>
      </c>
      <c r="JD10" s="179">
        <f>JG4*Supuestos!$G$12*Supuestos!$B$5</f>
        <v>2511.1925456860736</v>
      </c>
      <c r="JE10" s="179">
        <f>JG4*Supuestos!$H$12*Supuestos!$B$5</f>
        <v>3029.5469546644131</v>
      </c>
      <c r="JF10" s="179">
        <f>JG4*Supuestos!$I$12*Supuestos!$B$5</f>
        <v>3154.4697603542595</v>
      </c>
      <c r="JG10" s="179">
        <f>JG4*Supuestos!$J$12*Supuestos!$B$5</f>
        <v>2368.3840521019911</v>
      </c>
      <c r="JH10" s="179">
        <f>JL4*Supuestos!$F$12*Supuestos!$B$5</f>
        <v>1493.6396423144872</v>
      </c>
      <c r="JI10" s="179">
        <f>JL4*Supuestos!$G$12*Supuestos!$B$5</f>
        <v>3266.0658054126407</v>
      </c>
      <c r="JJ10" s="179">
        <f>JL4*Supuestos!$H$12*Supuestos!$B$5</f>
        <v>3940.2393621784763</v>
      </c>
      <c r="JK10" s="179">
        <f>JL4*Supuestos!$I$12*Supuestos!$B$5</f>
        <v>4102.7144000566832</v>
      </c>
      <c r="JL10" s="179">
        <f>JL4*Supuestos!$J$12*Supuestos!$B$5</f>
        <v>3080.3285793211094</v>
      </c>
      <c r="JM10" s="179">
        <f>JQ4*Supuestos!$F$12*Supuestos!$B$5</f>
        <v>1657.9503323638046</v>
      </c>
      <c r="JN10" s="179">
        <f>JQ4*Supuestos!$G$12*Supuestos!$B$5</f>
        <v>3625.3556307698859</v>
      </c>
      <c r="JO10" s="179">
        <f>JQ4*Supuestos!$H$12*Supuestos!$B$5</f>
        <v>4373.6929410857711</v>
      </c>
      <c r="JP10" s="179">
        <f>JQ4*Supuestos!$I$12*Supuestos!$B$5</f>
        <v>4554.0413567408223</v>
      </c>
      <c r="JQ10" s="179">
        <f>JQ4*Supuestos!$J$12*Supuestos!$B$5</f>
        <v>3419.1860253263603</v>
      </c>
      <c r="JR10" s="179">
        <f>JV4*Supuestos!$F$12*Supuestos!$B$5</f>
        <v>1583.2558950618966</v>
      </c>
      <c r="JS10" s="179">
        <f>JV4*Supuestos!$G$12*Supuestos!$B$5</f>
        <v>3462.0251053773795</v>
      </c>
      <c r="JT10" s="179">
        <f>JV4*Supuestos!$H$12*Supuestos!$B$5</f>
        <v>4176.6481160457161</v>
      </c>
      <c r="JU10" s="179">
        <f>JV4*Supuestos!$I$12*Supuestos!$B$5</f>
        <v>4348.8714249574068</v>
      </c>
      <c r="JV10" s="179">
        <f>JV4*Supuestos!$J$12*Supuestos!$B$5</f>
        <v>3265.1439100669886</v>
      </c>
      <c r="JW10" s="179">
        <f>KA4*Supuestos!$F$12*Supuestos!$B$5</f>
        <v>1623.9249006397458</v>
      </c>
      <c r="JX10" s="179">
        <f>KA4*Supuestos!$G$12*Supuestos!$B$5</f>
        <v>3550.9539505251455</v>
      </c>
      <c r="JY10" s="179">
        <f>KA4*Supuestos!$H$12*Supuestos!$B$5</f>
        <v>4283.9334424783938</v>
      </c>
      <c r="JZ10" s="179">
        <f>KA4*Supuestos!$I$12*Supuestos!$B$5</f>
        <v>4460.5806418885259</v>
      </c>
      <c r="KA10" s="179">
        <f>KA4*Supuestos!$J$12*Supuestos!$B$5</f>
        <v>3349.0154789682388</v>
      </c>
      <c r="KB10" s="179">
        <f>KF4*Supuestos!$F$12*Supuestos!$B$5</f>
        <v>1527.3049570208439</v>
      </c>
      <c r="KC10" s="179">
        <f>KF4*Supuestos!$G$12*Supuestos!$B$5</f>
        <v>3339.6800360985021</v>
      </c>
      <c r="KD10" s="179">
        <f>KF4*Supuestos!$H$12*Supuestos!$B$5</f>
        <v>4029.0488677567851</v>
      </c>
      <c r="KE10" s="179">
        <f>KF4*Supuestos!$I$12*Supuestos!$B$5</f>
        <v>4195.1859490938959</v>
      </c>
      <c r="KF10" s="179">
        <f>KF4*Supuestos!$J$12*Supuestos!$B$5</f>
        <v>3149.7564574277312</v>
      </c>
      <c r="KG10" s="179">
        <f>KK4*Supuestos!$F$12*Supuestos!$B$5</f>
        <v>791.89054779002754</v>
      </c>
      <c r="KH10" s="179">
        <f>KK4*Supuestos!$G$12*Supuestos!$B$5</f>
        <v>1731.5867673134051</v>
      </c>
      <c r="KI10" s="179">
        <f>KK4*Supuestos!$H$12*Supuestos!$B$5</f>
        <v>2089.0168006684262</v>
      </c>
      <c r="KJ10" s="179">
        <f>KK4*Supuestos!$I$12*Supuestos!$B$5</f>
        <v>2175.1570202385283</v>
      </c>
      <c r="KK10" s="179">
        <f>KK4*Supuestos!$J$12*Supuestos!$B$5</f>
        <v>1633.1135147645455</v>
      </c>
      <c r="KL10" s="179">
        <f>KP4*Supuestos!$F$12*Supuestos!$B$5</f>
        <v>1716.2650788714016</v>
      </c>
      <c r="KM10" s="179">
        <f>KP4*Supuestos!$G$12*Supuestos!$B$5</f>
        <v>3752.8695197455691</v>
      </c>
      <c r="KN10" s="179">
        <f>KP4*Supuestos!$H$12*Supuestos!$B$5</f>
        <v>4527.5279445733895</v>
      </c>
      <c r="KO10" s="179">
        <f>KP4*Supuestos!$I$12*Supuestos!$B$5</f>
        <v>4714.2197180098383</v>
      </c>
      <c r="KP10" s="179">
        <f>KP4*Supuestos!$J$12*Supuestos!$B$5</f>
        <v>3539.4483531157275</v>
      </c>
      <c r="KQ10" s="179">
        <f>KT4*Supuestos!$F$13*Supuestos!$B$5</f>
        <v>1838.9964662190021</v>
      </c>
      <c r="KR10" s="179">
        <f>KT4*Supuestos!$G$13*Supuestos!$B$5</f>
        <v>2821.5382384591671</v>
      </c>
      <c r="KS10" s="179">
        <f>KT4*Supuestos!$H$13*Supuestos!$B$5</f>
        <v>3610.1808514871732</v>
      </c>
      <c r="KT10" s="179">
        <f>KT4*Supuestos!$I$13*Supuestos!$B$5</f>
        <v>7104.7570226350454</v>
      </c>
      <c r="KU10" s="179">
        <f>KY4*Supuestos!$F$12*Supuestos!$B$5</f>
        <v>1558.2378001856318</v>
      </c>
      <c r="KV10" s="179">
        <f>KY4*Supuestos!$G$12*Supuestos!$B$5</f>
        <v>3407.3193102999794</v>
      </c>
      <c r="KW10" s="179">
        <f>KY4*Supuestos!$H$12*Supuestos!$B$5</f>
        <v>4110.6500805052137</v>
      </c>
      <c r="KX10" s="179">
        <f>KY4*Supuestos!$I$12*Supuestos!$B$5</f>
        <v>4280.1519726859169</v>
      </c>
      <c r="KY10" s="179">
        <f>KY4*Supuestos!$J$12*Supuestos!$B$5</f>
        <v>3213.5491676242195</v>
      </c>
      <c r="KZ10" s="179">
        <f>LD4*Supuestos!$F$12*Supuestos!$B$5</f>
        <v>1507.4194346417414</v>
      </c>
      <c r="LA10" s="179">
        <f>LD4*Supuestos!$G$12*Supuestos!$B$5</f>
        <v>3296.197376141437</v>
      </c>
      <c r="LB10" s="179">
        <f>LD4*Supuestos!$H$12*Supuestos!$B$5</f>
        <v>3976.590620267983</v>
      </c>
      <c r="LC10" s="179">
        <f>LD4*Supuestos!$I$12*Supuestos!$B$5</f>
        <v>4140.5645955182963</v>
      </c>
      <c r="LD10" s="179">
        <f>LD4*Supuestos!$J$12*Supuestos!$B$5</f>
        <v>3108.7466039371261</v>
      </c>
      <c r="LE10" s="179">
        <f>LI4*Supuestos!$F$12*Supuestos!$B$5</f>
        <v>1706.7706408383676</v>
      </c>
      <c r="LF10" s="179">
        <f>LI4*Supuestos!$G$12*Supuestos!$B$5</f>
        <v>3732.1085152014944</v>
      </c>
      <c r="LG10" s="179">
        <f>LI4*Supuestos!$H$12*Supuestos!$B$5</f>
        <v>4502.4815027143914</v>
      </c>
      <c r="LH10" s="179">
        <f>LI4*Supuestos!$I$12*Supuestos!$B$5</f>
        <v>4688.1404907752067</v>
      </c>
      <c r="LI10" s="179">
        <f>LI4*Supuestos!$J$12*Supuestos!$B$5</f>
        <v>3519.8680018789128</v>
      </c>
      <c r="LJ10" s="179">
        <f>LN4*Supuestos!$F$12*Supuestos!$B$5</f>
        <v>1326.4256104634201</v>
      </c>
      <c r="LK10" s="179">
        <f>LN4*Supuestos!$G$12*Supuestos!$B$5</f>
        <v>2900.4273902674149</v>
      </c>
      <c r="LL10" s="179">
        <f>LN4*Supuestos!$H$12*Supuestos!$B$5</f>
        <v>3499.1267326373968</v>
      </c>
      <c r="LM10" s="179">
        <f>LN4*Supuestos!$I$12*Supuestos!$B$5</f>
        <v>3643.4125732091698</v>
      </c>
      <c r="LN10" s="179">
        <f>LN4*Supuestos!$J$12*Supuestos!$B$5</f>
        <v>2735.4835801777995</v>
      </c>
      <c r="LO10" s="179">
        <f>LS4*Supuestos!$F$12*Supuestos!$B$5</f>
        <v>1725.1537868732332</v>
      </c>
      <c r="LP10" s="179">
        <f>LS4*Supuestos!$G$12*Supuestos!$B$5</f>
        <v>3772.3060052516007</v>
      </c>
      <c r="LQ10" s="179">
        <f>LS4*Supuestos!$H$12*Supuestos!$B$5</f>
        <v>4550.9764633161412</v>
      </c>
      <c r="LR10" s="179">
        <f>LS4*Supuestos!$I$12*Supuestos!$B$5</f>
        <v>4738.6351320654694</v>
      </c>
      <c r="LS10" s="179">
        <f>LS4*Supuestos!$J$12*Supuestos!$B$5</f>
        <v>3557.7795091158819</v>
      </c>
      <c r="LT10" s="179">
        <f>LX4*Supuestos!$F$12*Supuestos!$B$5</f>
        <v>1914.9326338801943</v>
      </c>
      <c r="LU10" s="179">
        <f>LX4*Supuestos!$G$12*Supuestos!$B$5</f>
        <v>4187.2857535392177</v>
      </c>
      <c r="LV10" s="179">
        <f>LX4*Supuestos!$H$12*Supuestos!$B$5</f>
        <v>5051.6153469540659</v>
      </c>
      <c r="LW10" s="179">
        <f>LX4*Supuestos!$I$12*Supuestos!$B$5</f>
        <v>5259.9177670356503</v>
      </c>
      <c r="LX10" s="179">
        <f>LX4*Supuestos!$J$12*Supuestos!$B$5</f>
        <v>3949.1598592519467</v>
      </c>
      <c r="LY10" s="179">
        <f>MC4*Supuestos!$F$12*Supuestos!$B$5</f>
        <v>1828.6605587964907</v>
      </c>
      <c r="LZ10" s="179">
        <f>MC4*Supuestos!$G$12*Supuestos!$B$5</f>
        <v>3998.6389967108735</v>
      </c>
      <c r="MA10" s="179">
        <f>MC4*Supuestos!$H$12*Supuestos!$B$5</f>
        <v>4824.0285740328018</v>
      </c>
      <c r="MB10" s="179">
        <f>MC4*Supuestos!$I$12*Supuestos!$B$5</f>
        <v>5022.946495825805</v>
      </c>
      <c r="MC10" s="179">
        <f>MC4*Supuestos!$J$12*Supuestos!$B$5</f>
        <v>3771.2412161273719</v>
      </c>
      <c r="MD10" s="179">
        <f>MH4*Supuestos!$F$12*Supuestos!$B$5</f>
        <v>1875.6332602389066</v>
      </c>
      <c r="ME10" s="179">
        <f>MH4*Supuestos!$G$12*Supuestos!$B$5</f>
        <v>4101.3518128565429</v>
      </c>
      <c r="MF10" s="179">
        <f>MH4*Supuestos!$H$12*Supuestos!$B$5</f>
        <v>4947.9431260625443</v>
      </c>
      <c r="MG10" s="179">
        <f>MH4*Supuestos!$I$12*Supuestos!$B$5</f>
        <v>5151.9706413812473</v>
      </c>
      <c r="MH10" s="179">
        <f>MH4*Supuestos!$J$12*Supuestos!$B$5</f>
        <v>3868.112878208316</v>
      </c>
      <c r="MI10" s="179">
        <f>MM4*Supuestos!$F$12*Supuestos!$B$5</f>
        <v>1764.0372253590747</v>
      </c>
      <c r="MJ10" s="179">
        <f>MM4*Supuestos!$G$12*Supuestos!$B$5</f>
        <v>3857.3304416937699</v>
      </c>
      <c r="MK10" s="179">
        <f>MM4*Supuestos!$H$12*Supuestos!$B$5</f>
        <v>4653.5514422590868</v>
      </c>
      <c r="ML10" s="179">
        <f>MM4*Supuestos!$I$12*Supuestos!$B$5</f>
        <v>4845.4397712034497</v>
      </c>
      <c r="MM10" s="179">
        <f>MM4*Supuestos!$J$12*Supuestos!$B$5</f>
        <v>3637.9687083290296</v>
      </c>
      <c r="MN10" s="179">
        <f>MR4*Supuestos!$F$12*Supuestos!$B$5</f>
        <v>914.63358269748187</v>
      </c>
      <c r="MO10" s="179">
        <f>MR4*Supuestos!$G$12*Supuestos!$B$5</f>
        <v>1999.9827162469833</v>
      </c>
      <c r="MP10" s="179">
        <f>MR4*Supuestos!$H$12*Supuestos!$B$5</f>
        <v>2412.814404772032</v>
      </c>
      <c r="MQ10" s="179">
        <f>MR4*Supuestos!$I$12*Supuestos!$B$5</f>
        <v>2512.3063583755002</v>
      </c>
      <c r="MR10" s="179">
        <f>MR4*Supuestos!$J$12*Supuestos!$B$5</f>
        <v>1886.24610955305</v>
      </c>
      <c r="MS10" s="179">
        <f>MW4*Supuestos!$F$12*Supuestos!$B$5</f>
        <v>1956.5421899133983</v>
      </c>
      <c r="MT10" s="179">
        <f>MW4*Supuestos!$G$12*Supuestos!$B$5</f>
        <v>4278.2712525099496</v>
      </c>
      <c r="MU10" s="179">
        <f>MW4*Supuestos!$H$12*Supuestos!$B$5</f>
        <v>5161.3818568136658</v>
      </c>
      <c r="MV10" s="179">
        <f>MW4*Supuestos!$I$12*Supuestos!$B$5</f>
        <v>5374.2104785312176</v>
      </c>
      <c r="MW10" s="179">
        <f>MW4*Supuestos!$J$12*Supuestos!$B$5</f>
        <v>4034.97112255193</v>
      </c>
      <c r="MX10" s="179">
        <f>NB4*Supuestos!$F$12*Supuestos!$B$5</f>
        <v>1648.3405931661312</v>
      </c>
      <c r="MY10" s="179">
        <f>NB4*Supuestos!$G$12*Supuestos!$B$5</f>
        <v>3604.3425030359294</v>
      </c>
      <c r="MZ10" s="179">
        <f>NB4*Supuestos!$H$12*Supuestos!$B$5</f>
        <v>4348.3423333660485</v>
      </c>
      <c r="NA10" s="179">
        <f>NB4*Supuestos!$I$12*Supuestos!$B$5</f>
        <v>4527.6454214227224</v>
      </c>
      <c r="NB10" s="179">
        <f>NB4*Supuestos!$J$12*Supuestos!$B$5</f>
        <v>3399.3678888416143</v>
      </c>
      <c r="NC10" s="179">
        <f>NG4*Supuestos!$F$12*Supuestos!$B$5</f>
        <v>1776.3910922116208</v>
      </c>
      <c r="ND10" s="179">
        <f>NG4*Supuestos!$G$12*Supuestos!$B$5</f>
        <v>3884.344013741978</v>
      </c>
      <c r="NE10" s="179">
        <f>NG4*Supuestos!$H$12*Supuestos!$B$5</f>
        <v>4686.1410917759449</v>
      </c>
      <c r="NF10" s="179">
        <f>NG4*Supuestos!$I$12*Supuestos!$B$5</f>
        <v>4879.3732488619462</v>
      </c>
      <c r="NG10" s="179">
        <f>NG4*Supuestos!$J$12*Supuestos!$B$5</f>
        <v>3663.4460510916115</v>
      </c>
      <c r="NH10" s="179">
        <f>NL4*Supuestos!$F$12*Supuestos!$B$5</f>
        <v>1718.4581554915856</v>
      </c>
      <c r="NI10" s="179">
        <f>NL4*Supuestos!$G$12*Supuestos!$B$5</f>
        <v>3757.6650088012384</v>
      </c>
      <c r="NJ10" s="179">
        <f>NL4*Supuestos!$H$12*Supuestos!$B$5</f>
        <v>4533.3133071055008</v>
      </c>
      <c r="NK10" s="179">
        <f>NL4*Supuestos!$I$12*Supuestos!$B$5</f>
        <v>4720.2436388908582</v>
      </c>
      <c r="NL10" s="179">
        <f>NL4*Supuestos!$J$12*Supuestos!$B$5</f>
        <v>3543.9711284883238</v>
      </c>
      <c r="NM10" s="179">
        <f>NQ4*Supuestos!$F$12*Supuestos!$B$5</f>
        <v>1945.7185305557396</v>
      </c>
      <c r="NN10" s="179">
        <f>NQ4*Supuestos!$G$12*Supuestos!$B$5</f>
        <v>4254.6037073297048</v>
      </c>
      <c r="NO10" s="179">
        <f>NQ4*Supuestos!$H$12*Supuestos!$B$5</f>
        <v>5132.8289130944077</v>
      </c>
      <c r="NP10" s="179">
        <f>NQ4*Supuestos!$I$12*Supuestos!$B$5</f>
        <v>5344.4801594837372</v>
      </c>
      <c r="NQ10" s="179">
        <f>NQ4*Supuestos!$J$12*Supuestos!$B$5</f>
        <v>4012.6495221419618</v>
      </c>
      <c r="NR10" s="179">
        <f>NV4*Supuestos!$F$12*Supuestos!$B$5</f>
        <v>1512.1251959282993</v>
      </c>
      <c r="NS10" s="179">
        <f>NV4*Supuestos!$G$12*Supuestos!$B$5</f>
        <v>3306.487224904854</v>
      </c>
      <c r="NT10" s="179">
        <f>NV4*Supuestos!$H$12*Supuestos!$B$5</f>
        <v>3989.0044752066333</v>
      </c>
      <c r="NU10" s="179">
        <f>NV4*Supuestos!$I$12*Supuestos!$B$5</f>
        <v>4153.4903334584542</v>
      </c>
      <c r="NV10" s="179">
        <f>NV4*Supuestos!$J$12*Supuestos!$B$5</f>
        <v>3118.4512814026925</v>
      </c>
      <c r="NW10" s="179">
        <f>OA4*Supuestos!$F$12*Supuestos!$B$5</f>
        <v>1966.6753170354862</v>
      </c>
      <c r="NX10" s="179">
        <f>OA4*Supuestos!$G$12*Supuestos!$B$5</f>
        <v>4300.4288459868258</v>
      </c>
      <c r="NY10" s="179">
        <f>OA4*Supuestos!$H$12*Supuestos!$B$5</f>
        <v>5188.1131681804009</v>
      </c>
      <c r="NZ10" s="179">
        <f>OA4*Supuestos!$I$12*Supuestos!$B$5</f>
        <v>5402.0440505546367</v>
      </c>
      <c r="OA10" s="179">
        <f>OA4*Supuestos!$J$12*Supuestos!$B$5</f>
        <v>4055.8686403921056</v>
      </c>
      <c r="OB10" s="179">
        <f>OF4*Supuestos!$F$12*Supuestos!$B$5</f>
        <v>2183.0232026234221</v>
      </c>
      <c r="OC10" s="179">
        <f>OF4*Supuestos!$G$12*Supuestos!$B$5</f>
        <v>4773.5057590347096</v>
      </c>
      <c r="OD10" s="179">
        <f>OF4*Supuestos!$H$12*Supuestos!$B$5</f>
        <v>5758.8414955276367</v>
      </c>
      <c r="OE10" s="179">
        <f>OF4*Supuestos!$I$12*Supuestos!$B$5</f>
        <v>5996.3062544206423</v>
      </c>
      <c r="OF10" s="179">
        <f>OF4*Supuestos!$J$12*Supuestos!$B$5</f>
        <v>4502.0422395472197</v>
      </c>
      <c r="OG10" s="179">
        <f>OK4*Supuestos!$F$12*Supuestos!$B$5</f>
        <v>2084.6730370279993</v>
      </c>
      <c r="OH10" s="179">
        <f>OK4*Supuestos!$G$12*Supuestos!$B$5</f>
        <v>4558.4484562503967</v>
      </c>
      <c r="OI10" s="179">
        <f>OK4*Supuestos!$H$12*Supuestos!$B$5</f>
        <v>5499.392574397395</v>
      </c>
      <c r="OJ10" s="179">
        <f>OK4*Supuestos!$I$12*Supuestos!$B$5</f>
        <v>5726.1590052414185</v>
      </c>
      <c r="OK10" s="179">
        <f>OK4*Supuestos!$J$12*Supuestos!$B$5</f>
        <v>4299.2149863852046</v>
      </c>
      <c r="OL10" s="179">
        <f>OP4*Supuestos!$F$12*Supuestos!$B$5</f>
        <v>2138.2219166723539</v>
      </c>
      <c r="OM10" s="179">
        <f>OP4*Supuestos!$G$12*Supuestos!$B$5</f>
        <v>4675.5410666564603</v>
      </c>
      <c r="ON10" s="179">
        <f>OP4*Supuestos!$H$12*Supuestos!$B$5</f>
        <v>5640.6551637113025</v>
      </c>
      <c r="OO10" s="179">
        <f>OP4*Supuestos!$I$12*Supuestos!$B$5</f>
        <v>5873.2465311746228</v>
      </c>
      <c r="OP10" s="179">
        <f>OP4*Supuestos!$J$12*Supuestos!$B$5</f>
        <v>4409.6486811574814</v>
      </c>
      <c r="OQ10" s="179">
        <f>OU4*Supuestos!$F$12*Supuestos!$B$5</f>
        <v>2011.0024369093455</v>
      </c>
      <c r="OR10" s="179">
        <f>OU4*Supuestos!$G$12*Supuestos!$B$5</f>
        <v>4397.3567035308988</v>
      </c>
      <c r="OS10" s="179">
        <f>OU4*Supuestos!$H$12*Supuestos!$B$5</f>
        <v>5305.0486441753601</v>
      </c>
      <c r="OT10" s="179">
        <f>OU4*Supuestos!$I$12*Supuestos!$B$5</f>
        <v>5523.8013391719342</v>
      </c>
      <c r="OU10" s="179">
        <f>OU4*Supuestos!$J$12*Supuestos!$B$5</f>
        <v>4147.2843274950947</v>
      </c>
      <c r="OV10" s="179">
        <f>OZ4*Supuestos!$F$12*Supuestos!$B$5</f>
        <v>1042.6822842751296</v>
      </c>
      <c r="OW10" s="179">
        <f>OZ4*Supuestos!$G$12*Supuestos!$B$5</f>
        <v>2279.9802965215613</v>
      </c>
      <c r="OX10" s="179">
        <f>OZ4*Supuestos!$H$12*Supuestos!$B$5</f>
        <v>2750.6084214401171</v>
      </c>
      <c r="OY10" s="179">
        <f>OZ4*Supuestos!$I$12*Supuestos!$B$5</f>
        <v>2864.0292485480709</v>
      </c>
      <c r="OZ10" s="179">
        <f>OZ4*Supuestos!$J$12*Supuestos!$B$5</f>
        <v>2150.3205648904777</v>
      </c>
      <c r="PA10" s="179">
        <f>PE4*Supuestos!$F$12*Supuestos!$B$5</f>
        <v>2230.4580965012742</v>
      </c>
      <c r="PB10" s="179">
        <f>PE4*Supuestos!$G$12*Supuestos!$B$5</f>
        <v>4877.2292278613431</v>
      </c>
      <c r="PC10" s="179">
        <f>PE4*Supuestos!$H$12*Supuestos!$B$5</f>
        <v>5883.975316767579</v>
      </c>
      <c r="PD10" s="179">
        <f>PE4*Supuestos!$I$12*Supuestos!$B$5</f>
        <v>6126.5999455255878</v>
      </c>
      <c r="PE10" s="179">
        <f>PE4*Supuestos!$J$12*Supuestos!$B$5</f>
        <v>4599.8670797092</v>
      </c>
      <c r="PF10" s="179">
        <f>PI4*Supuestos!$F$13*Supuestos!$B$5</f>
        <v>2389.9598074982159</v>
      </c>
      <c r="PG10" s="179">
        <f>PI4*Supuestos!$G$13*Supuestos!$B$5</f>
        <v>3666.8710947015352</v>
      </c>
      <c r="PH10" s="179">
        <f>PI4*Supuestos!$H$13*Supuestos!$B$5</f>
        <v>4691.7910345927321</v>
      </c>
      <c r="PI10" s="179">
        <f>PI4*Supuestos!$I$13*Supuestos!$B$5</f>
        <v>9233.3422266165071</v>
      </c>
      <c r="PJ10" s="179">
        <f>PN4*Supuestos!$F$12*Supuestos!$B$5</f>
        <v>2025.085845121248</v>
      </c>
      <c r="PK10" s="179">
        <f>PN4*Supuestos!$G$12*Supuestos!$B$5</f>
        <v>4428.1521756658549</v>
      </c>
      <c r="PL10" s="179">
        <f>PN4*Supuestos!$H$12*Supuestos!$B$5</f>
        <v>5342.2008446245773</v>
      </c>
      <c r="PM10" s="179">
        <f>PN4*Supuestos!$I$12*Supuestos!$B$5</f>
        <v>5562.4855037026191</v>
      </c>
      <c r="PN10" s="179">
        <f>PN4*Supuestos!$J$12*Supuestos!$B$5</f>
        <v>4176.3284982444375</v>
      </c>
      <c r="PO10" s="179">
        <f>PS4*Supuestos!$F$12*Supuestos!$B$5</f>
        <v>1959.0422972604078</v>
      </c>
      <c r="PP10" s="179">
        <f>PS4*Supuestos!$G$12*Supuestos!$B$5</f>
        <v>4283.7381100334123</v>
      </c>
      <c r="PQ10" s="179">
        <f>PS4*Supuestos!$H$12*Supuestos!$B$5</f>
        <v>5167.9771701002719</v>
      </c>
      <c r="PR10" s="179">
        <f>PS4*Supuestos!$I$12*Supuestos!$B$5</f>
        <v>5381.0777483355787</v>
      </c>
      <c r="PS10" s="179">
        <f>PS4*Supuestos!$J$12*Supuestos!$B$5</f>
        <v>4040.1270864766893</v>
      </c>
      <c r="PT10" s="179">
        <f>PX4*Supuestos!$F$12*Supuestos!$B$5</f>
        <v>2218.1191248335435</v>
      </c>
      <c r="PU10" s="179">
        <f>PX4*Supuestos!$G$12*Supuestos!$B$5</f>
        <v>4850.2482263558632</v>
      </c>
      <c r="PV10" s="179">
        <f>PX4*Supuestos!$H$12*Supuestos!$B$5</f>
        <v>5851.4249609276258</v>
      </c>
      <c r="PW10" s="179">
        <f>PX4*Supuestos!$I$12*Supuestos!$B$5</f>
        <v>6092.7073818114595</v>
      </c>
      <c r="PX10" s="179">
        <f>PX4*Supuestos!$J$12*Supuestos!$B$5</f>
        <v>4574.4204552418369</v>
      </c>
      <c r="PY10" s="179">
        <f>QC4*Supuestos!$F$12*Supuestos!$B$5</f>
        <v>1723.8227233582611</v>
      </c>
      <c r="PZ10" s="179">
        <f>QC4*Supuestos!$G$12*Supuestos!$B$5</f>
        <v>3769.3954363915332</v>
      </c>
      <c r="QA10" s="179">
        <f>QC4*Supuestos!$H$12*Supuestos!$B$5</f>
        <v>4547.4651017355627</v>
      </c>
      <c r="QB10" s="179">
        <f>QC4*Supuestos!$I$12*Supuestos!$B$5</f>
        <v>4734.9789801426386</v>
      </c>
      <c r="QC10" s="179">
        <f>QC4*Supuestos!$J$12*Supuestos!$B$5</f>
        <v>3555.0344607990692</v>
      </c>
      <c r="QD10" s="179">
        <f>QH4*Supuestos!$F$12*Supuestos!$B$5</f>
        <v>2242.0098614204544</v>
      </c>
      <c r="QE10" s="179">
        <f>QH4*Supuestos!$G$12*Supuestos!$B$5</f>
        <v>4902.4888844249817</v>
      </c>
      <c r="QF10" s="179">
        <f>QH4*Supuestos!$H$12*Supuestos!$B$5</f>
        <v>5914.4490117256573</v>
      </c>
      <c r="QG10" s="179">
        <f>QH4*Supuestos!$I$12*Supuestos!$B$5</f>
        <v>6158.3302176322859</v>
      </c>
      <c r="QH10" s="179">
        <f>QH4*Supuestos!$J$12*Supuestos!$B$5</f>
        <v>4623.6902500470005</v>
      </c>
      <c r="QI10" s="179">
        <f>QM4*Supuestos!$F$12*Supuestos!$B$5</f>
        <v>2488.6464509907014</v>
      </c>
      <c r="QJ10" s="179">
        <f>QM4*Supuestos!$G$12*Supuestos!$B$5</f>
        <v>5441.796565299569</v>
      </c>
      <c r="QK10" s="179">
        <f>QM4*Supuestos!$H$12*Supuestos!$B$5</f>
        <v>6565.0793049015056</v>
      </c>
      <c r="QL10" s="179">
        <f>QM4*Supuestos!$I$12*Supuestos!$B$5</f>
        <v>6835.7891300395331</v>
      </c>
      <c r="QM10" s="179">
        <f>QM4*Supuestos!$J$12*Supuestos!$B$5</f>
        <v>5132.3281530838312</v>
      </c>
      <c r="QN10" s="179">
        <f>QR4*Supuestos!$F$12*Supuestos!$B$5</f>
        <v>2376.5272622119201</v>
      </c>
      <c r="QO10" s="179">
        <f>QR4*Supuestos!$G$12*Supuestos!$B$5</f>
        <v>5196.6312401254527</v>
      </c>
      <c r="QP10" s="179">
        <f>QR4*Supuestos!$H$12*Supuestos!$B$5</f>
        <v>6269.3075348130305</v>
      </c>
      <c r="QQ10" s="179">
        <f>QR4*Supuestos!$I$12*Supuestos!$B$5</f>
        <v>6527.821265975218</v>
      </c>
      <c r="QR10" s="179">
        <f>QR4*Supuestos!$J$12*Supuestos!$B$5</f>
        <v>4901.1050844791334</v>
      </c>
      <c r="QS10" s="179">
        <f>QW4*Supuestos!$F$12*Supuestos!$B$5</f>
        <v>2437.5729850064836</v>
      </c>
      <c r="QT10" s="179">
        <f>QW4*Supuestos!$G$12*Supuestos!$B$5</f>
        <v>5330.1168159883655</v>
      </c>
      <c r="QU10" s="179">
        <f>QW4*Supuestos!$H$12*Supuestos!$B$5</f>
        <v>6430.3468866308849</v>
      </c>
      <c r="QV10" s="179">
        <f>QW4*Supuestos!$I$12*Supuestos!$B$5</f>
        <v>6695.5010455390702</v>
      </c>
      <c r="QW10" s="179">
        <f>QW4*Supuestos!$J$12*Supuestos!$B$5</f>
        <v>5026.9994965195292</v>
      </c>
      <c r="QX10" s="179">
        <f>RB4*Supuestos!$F$12*Supuestos!$B$5</f>
        <v>2292.542778076654</v>
      </c>
      <c r="QY10" s="179">
        <f>RB4*Supuestos!$G$12*Supuestos!$B$5</f>
        <v>5012.9866420252256</v>
      </c>
      <c r="QZ10" s="179">
        <f>RB4*Supuestos!$H$12*Supuestos!$B$5</f>
        <v>6047.7554543599108</v>
      </c>
      <c r="RA10" s="179">
        <f>RB4*Supuestos!$I$12*Supuestos!$B$5</f>
        <v>6297.1335266560054</v>
      </c>
      <c r="RB10" s="179">
        <f>RB4*Supuestos!$J$12*Supuestos!$B$5</f>
        <v>4727.9041333444084</v>
      </c>
      <c r="RC10" s="179">
        <f>RG4*Supuestos!$F$12*Supuestos!$B$5</f>
        <v>1188.6578040736481</v>
      </c>
      <c r="RD10" s="179">
        <f>RG4*Supuestos!$G$12*Supuestos!$B$5</f>
        <v>2599.1775380345803</v>
      </c>
      <c r="RE10" s="179">
        <f>RG4*Supuestos!$H$12*Supuestos!$B$5</f>
        <v>3135.6936004417344</v>
      </c>
      <c r="RF10" s="179">
        <f>RG4*Supuestos!$I$12*Supuestos!$B$5</f>
        <v>3264.9933433448014</v>
      </c>
      <c r="RG10" s="179">
        <f>RG4*Supuestos!$J$12*Supuestos!$B$5</f>
        <v>2451.3654439751449</v>
      </c>
      <c r="RH10" s="179">
        <f>RL4*Supuestos!$F$12*Supuestos!$B$5</f>
        <v>2542.7222300114527</v>
      </c>
      <c r="RI10" s="179">
        <f>RL4*Supuestos!$G$12*Supuestos!$B$5</f>
        <v>5560.0413197619309</v>
      </c>
      <c r="RJ10" s="179">
        <f>RL4*Supuestos!$H$12*Supuestos!$B$5</f>
        <v>6707.7318611150404</v>
      </c>
      <c r="RK10" s="179">
        <f>RL4*Supuestos!$I$12*Supuestos!$B$5</f>
        <v>6984.3239378991702</v>
      </c>
      <c r="RL10" s="179">
        <f>RL4*Supuestos!$J$12*Supuestos!$B$5</f>
        <v>5243.8484708684882</v>
      </c>
      <c r="RM10" s="179">
        <f>RP4*Supuestos!$F$13*Supuestos!$B$5</f>
        <v>2724.5541805479661</v>
      </c>
      <c r="RN10" s="179">
        <f>RP4*Supuestos!$G$13*Supuestos!$B$5</f>
        <v>4180.2330479597504</v>
      </c>
      <c r="RO10" s="179">
        <f>RP4*Supuestos!$H$13*Supuestos!$B$5</f>
        <v>5348.6417794357149</v>
      </c>
      <c r="RP10" s="179">
        <f>RP4*Supuestos!$I$13*Supuestos!$B$5</f>
        <v>10526.010138342817</v>
      </c>
      <c r="RQ10" s="179">
        <f>RU4*Supuestos!$F$12*Supuestos!$B$5</f>
        <v>2308.5978634382227</v>
      </c>
      <c r="RR10" s="179">
        <f>RU4*Supuestos!$G$12*Supuestos!$B$5</f>
        <v>5048.0934802590746</v>
      </c>
      <c r="RS10" s="179">
        <f>RU4*Supuestos!$H$12*Supuestos!$B$5</f>
        <v>6090.1089628720183</v>
      </c>
      <c r="RT10" s="179">
        <f>RU4*Supuestos!$I$12*Supuestos!$B$5</f>
        <v>6341.2334742209869</v>
      </c>
      <c r="RU10" s="179">
        <f>RU4*Supuestos!$J$12*Supuestos!$B$5</f>
        <v>4761.0144879986583</v>
      </c>
      <c r="RV10" s="179">
        <f>RZ4*Supuestos!$F$12*Supuestos!$B$5</f>
        <v>2233.3082188768649</v>
      </c>
      <c r="RW10" s="179">
        <f>RZ4*Supuestos!$G$12*Supuestos!$B$5</f>
        <v>4883.4614454380899</v>
      </c>
      <c r="RX10" s="179">
        <f>RZ4*Supuestos!$H$12*Supuestos!$B$5</f>
        <v>5891.4939739143092</v>
      </c>
      <c r="RY10" s="179">
        <f>RZ4*Supuestos!$I$12*Supuestos!$B$5</f>
        <v>6134.4286331025596</v>
      </c>
      <c r="RZ10" s="179">
        <f>RZ4*Supuestos!$J$12*Supuestos!$B$5</f>
        <v>4605.7448785834258</v>
      </c>
      <c r="SA10" s="179">
        <f>SE4*Supuestos!$F$12*Supuestos!$B$5</f>
        <v>2528.6558023102393</v>
      </c>
      <c r="SB10" s="179">
        <f>SE4*Supuestos!$G$12*Supuestos!$B$5</f>
        <v>5529.2829780456841</v>
      </c>
      <c r="SC10" s="179">
        <f>SE4*Supuestos!$H$12*Supuestos!$B$5</f>
        <v>6670.6244554574923</v>
      </c>
      <c r="SD10" s="179">
        <f>SE4*Supuestos!$I$12*Supuestos!$B$5</f>
        <v>6945.6864152650642</v>
      </c>
      <c r="SE10" s="179">
        <f>SE4*Supuestos!$J$12*Supuestos!$B$5</f>
        <v>5214.8393189756935</v>
      </c>
      <c r="SF10" s="179">
        <f>SJ4*Supuestos!$F$12*Supuestos!$B$5</f>
        <v>1965.1579046284176</v>
      </c>
      <c r="SG10" s="179">
        <f>SJ4*Supuestos!$G$12*Supuestos!$B$5</f>
        <v>4297.110797486348</v>
      </c>
      <c r="SH10" s="179">
        <f>SJ4*Supuestos!$H$12*Supuestos!$B$5</f>
        <v>5184.1102159785405</v>
      </c>
      <c r="SI10" s="179">
        <f>SJ4*Supuestos!$I$12*Supuestos!$B$5</f>
        <v>5397.8760373626073</v>
      </c>
      <c r="SJ10" s="179">
        <f>SJ4*Supuestos!$J$12*Supuestos!$B$5</f>
        <v>4052.7392853109391</v>
      </c>
      <c r="SK10" s="179">
        <f>SO4*Supuestos!$F$12*Supuestos!$B$5</f>
        <v>2555.8912420193178</v>
      </c>
      <c r="SL10" s="179">
        <f>SO4*Supuestos!$G$12*Supuestos!$B$5</f>
        <v>5588.8373282444791</v>
      </c>
      <c r="SM10" s="179">
        <f>SO4*Supuestos!$H$12*Supuestos!$B$5</f>
        <v>6742.4718733672498</v>
      </c>
      <c r="SN10" s="179">
        <f>SO4*Supuestos!$I$12*Supuestos!$B$5</f>
        <v>7020.4964481008064</v>
      </c>
      <c r="SO10" s="179">
        <f>SO4*Supuestos!$J$12*Supuestos!$B$5</f>
        <v>5271.0068850535808</v>
      </c>
      <c r="SP10" s="179">
        <f>ST4*Supuestos!$F$12*Supuestos!$B$5</f>
        <v>2837.0569541293989</v>
      </c>
      <c r="SQ10" s="179">
        <f>ST4*Supuestos!$G$12*Supuestos!$B$5</f>
        <v>6203.6480844415091</v>
      </c>
      <c r="SR10" s="179">
        <f>ST4*Supuestos!$H$12*Supuestos!$B$5</f>
        <v>7484.1904075877173</v>
      </c>
      <c r="SS10" s="179">
        <f>ST4*Supuestos!$I$12*Supuestos!$B$5</f>
        <v>7792.7996082450682</v>
      </c>
      <c r="ST10" s="179">
        <f>ST4*Supuestos!$J$12*Supuestos!$B$5</f>
        <v>5850.8540945155682</v>
      </c>
      <c r="SU10" s="179">
        <f>SY4*Supuestos!$F$12*Supuestos!$B$5</f>
        <v>2709.2410789215887</v>
      </c>
      <c r="SV10" s="179">
        <f>SY4*Supuestos!$G$12*Supuestos!$B$5</f>
        <v>5924.1596137430161</v>
      </c>
      <c r="SW10" s="179">
        <f>SY4*Supuestos!$H$12*Supuestos!$B$5</f>
        <v>7147.0105896868554</v>
      </c>
      <c r="SX10" s="179">
        <f>SY4*Supuestos!$I$12*Supuestos!$B$5</f>
        <v>7441.7162432117484</v>
      </c>
      <c r="SY10" s="179">
        <f>SY4*Supuestos!$J$12*Supuestos!$B$5</f>
        <v>5587.2597963062126</v>
      </c>
      <c r="SZ10" s="179">
        <f>TD4*Supuestos!$F$12*Supuestos!$B$5</f>
        <v>2778.8332029073918</v>
      </c>
      <c r="TA10" s="179">
        <f>TD4*Supuestos!$G$12*Supuestos!$B$5</f>
        <v>6076.333170226736</v>
      </c>
      <c r="TB10" s="179">
        <f>TD4*Supuestos!$H$12*Supuestos!$B$5</f>
        <v>7330.5954507592087</v>
      </c>
      <c r="TC10" s="179">
        <f>TD4*Supuestos!$I$12*Supuestos!$B$5</f>
        <v>7632.8711919145417</v>
      </c>
      <c r="TD10" s="179">
        <f>TD4*Supuestos!$J$12*Supuestos!$B$5</f>
        <v>5730.7794260322635</v>
      </c>
      <c r="TE10" s="179">
        <f>TI4*Supuestos!$F$12*Supuestos!$B$5</f>
        <v>2613.4987670073856</v>
      </c>
      <c r="TF10" s="179">
        <f>TI4*Supuestos!$G$12*Supuestos!$B$5</f>
        <v>5714.8047719087554</v>
      </c>
      <c r="TG10" s="179">
        <f>TI4*Supuestos!$H$12*Supuestos!$B$5</f>
        <v>6894.4412179702986</v>
      </c>
      <c r="TH10" s="179">
        <f>TI4*Supuestos!$I$12*Supuestos!$B$5</f>
        <v>7178.7322203878448</v>
      </c>
      <c r="TI10" s="179">
        <f>TI4*Supuestos!$J$12*Supuestos!$B$5</f>
        <v>5389.8107120126251</v>
      </c>
      <c r="TJ10" s="179">
        <f>TN4*Supuestos!$F$12*Supuestos!$B$5</f>
        <v>1355.0698966439588</v>
      </c>
      <c r="TK10" s="179">
        <f>TN4*Supuestos!$G$12*Supuestos!$B$5</f>
        <v>2963.062393359422</v>
      </c>
      <c r="TL10" s="179">
        <f>TN4*Supuestos!$H$12*Supuestos!$B$5</f>
        <v>3574.6907045035778</v>
      </c>
      <c r="TM10" s="179">
        <f>TN4*Supuestos!$I$12*Supuestos!$B$5</f>
        <v>3722.0924114130744</v>
      </c>
      <c r="TN10" s="179">
        <f>TN4*Supuestos!$J$12*Supuestos!$B$5</f>
        <v>2794.5566061316654</v>
      </c>
    </row>
    <row r="11" spans="1:534" s="53" customFormat="1" x14ac:dyDescent="0.3">
      <c r="A11" s="180" t="s">
        <v>380</v>
      </c>
      <c r="B11" s="181">
        <f>Supuestos!$B$9*B10</f>
        <v>185.81112199999998</v>
      </c>
      <c r="C11" s="181">
        <f>Supuestos!$B$9*C10+Supuestos!$C$9*B10</f>
        <v>1757.6957870000001</v>
      </c>
      <c r="D11" s="181">
        <f>Supuestos!$B$9*D10+Supuestos!$C$9*C10</f>
        <v>1665.6714089216339</v>
      </c>
      <c r="E11" s="181">
        <f>Supuestos!$B$9*E10+Supuestos!$C$9*D10</f>
        <v>2170.9486231807118</v>
      </c>
      <c r="F11" s="181">
        <f>Supuestos!$B$9*F10+Supuestos!$C$9*E10</f>
        <v>1908.1862306224539</v>
      </c>
      <c r="G11" s="181">
        <f>Supuestos!$B$9*G10+Supuestos!$C$9*F10</f>
        <v>980.82595923967642</v>
      </c>
      <c r="H11" s="181">
        <f>Supuestos!$B$9*H10+Supuestos!$C$9*G10</f>
        <v>1087.0573640802004</v>
      </c>
      <c r="I11" s="181">
        <f>Supuestos!$B$9*I10+Supuestos!$C$9*H10</f>
        <v>1351.928434561778</v>
      </c>
      <c r="J11" s="181">
        <f>Supuestos!$B$9*J10+Supuestos!$C$9*I10</f>
        <v>2255.3417087934699</v>
      </c>
      <c r="K11" s="181">
        <f>Supuestos!$B$9*K10+Supuestos!$C$9*J10</f>
        <v>1194.2499816103089</v>
      </c>
      <c r="L11" s="181">
        <f>Supuestos!$B$9*L10+Supuestos!$C$9*K10</f>
        <v>1111.4054987886889</v>
      </c>
      <c r="M11" s="181">
        <f>Supuestos!$B$9*M10+Supuestos!$C$9*L10</f>
        <v>1246.6036919997418</v>
      </c>
      <c r="N11" s="181">
        <f>Supuestos!$B$9*N10+Supuestos!$C$9*M10</f>
        <v>1932.360973466667</v>
      </c>
      <c r="O11" s="181">
        <f>Supuestos!$B$9*O10+Supuestos!$C$9*N10</f>
        <v>1639.7952700571429</v>
      </c>
      <c r="P11" s="181">
        <f>Supuestos!$B$9*P10+Supuestos!$C$9*O10</f>
        <v>609.20561393208698</v>
      </c>
      <c r="Q11" s="181">
        <f>Supuestos!$B$9*Q10+Supuestos!$C$9*P10</f>
        <v>1536.633545542323</v>
      </c>
      <c r="R11" s="181">
        <f>Supuestos!$B$9*R10+Supuestos!$C$9*Q10</f>
        <v>1635.9825886678518</v>
      </c>
      <c r="S11" s="181">
        <f>Supuestos!$B$9*S10+Supuestos!$C$9*R10</f>
        <v>1635.3044430005077</v>
      </c>
      <c r="T11" s="181">
        <f>Supuestos!$B$9*T10+Supuestos!$C$9*S10</f>
        <v>1365.0864175379647</v>
      </c>
      <c r="U11" s="181">
        <f>Supuestos!$B$9*U10+Supuestos!$C$9*T10</f>
        <v>1037.0653538645863</v>
      </c>
      <c r="V11" s="181">
        <f>Supuestos!$B$9*V10+Supuestos!$C$9*U10</f>
        <v>822.82886207545448</v>
      </c>
      <c r="W11" s="181">
        <f>Supuestos!$B$9*W10+Supuestos!$C$9*V10</f>
        <v>1521.6728672770992</v>
      </c>
      <c r="X11" s="181">
        <f>Supuestos!$B$9*X10+Supuestos!$C$9*W10</f>
        <v>2225.8569048416039</v>
      </c>
      <c r="Y11" s="181">
        <f>Supuestos!$B$9*Y10+Supuestos!$C$9*X10</f>
        <v>1544.619297</v>
      </c>
      <c r="Z11" s="181">
        <f>Supuestos!$B$9*Z10+Supuestos!$C$9*Y10</f>
        <v>756.57685700000002</v>
      </c>
      <c r="AA11" s="181">
        <f>Supuestos!$B$9*AA10+Supuestos!$C$9*Z10</f>
        <v>1180.0351259999998</v>
      </c>
      <c r="AB11" s="181">
        <f>Supuestos!$B$9*AB10+Supuestos!$C$9*AA10</f>
        <v>1180.6395669999999</v>
      </c>
      <c r="AC11" s="181">
        <f>Supuestos!$B$9*AC10+Supuestos!$C$9*AB10</f>
        <v>1319.474976</v>
      </c>
      <c r="AD11" s="181">
        <f>Supuestos!$B$9*AD10+Supuestos!$C$9*AC10</f>
        <v>1484.0307769999999</v>
      </c>
      <c r="AE11" s="181">
        <f>Supuestos!$B$9*AE10+Supuestos!$C$9*AD10</f>
        <v>1272.0884039999999</v>
      </c>
      <c r="AF11" s="181">
        <f>Supuestos!$B$9*AF10+Supuestos!$C$9*AE10</f>
        <v>1330.517981</v>
      </c>
      <c r="AG11" s="181">
        <f>Supuestos!$B$9*AG10+Supuestos!$C$9*AF10</f>
        <v>1398.4093940000068</v>
      </c>
      <c r="AH11" s="181">
        <f>Supuestos!$B$9*AH10+Supuestos!$C$9*AG10</f>
        <v>1279.7301030674819</v>
      </c>
      <c r="AI11" s="181">
        <f>Supuestos!$B$9*AI10+Supuestos!$C$9*AH10</f>
        <v>1526.9417374574839</v>
      </c>
      <c r="AJ11" s="181">
        <f>Supuestos!$B$9*AJ10+Supuestos!$C$9*AI10</f>
        <v>1229.3716729999969</v>
      </c>
      <c r="AK11" s="181">
        <f>Supuestos!$B$9*AK10+Supuestos!$C$9*AJ10</f>
        <v>2044.3927899999999</v>
      </c>
      <c r="AL11" s="181">
        <f>Supuestos!$B$9*AL10+Supuestos!$C$9*AK10</f>
        <v>2463.2214469321289</v>
      </c>
      <c r="AM11" s="181">
        <f>Supuestos!$B$9*AM10+Supuestos!$C$9*AL10</f>
        <v>2882.4593685423479</v>
      </c>
      <c r="AN11" s="181">
        <f>Supuestos!$B$9*AN10+Supuestos!$C$9*AM10</f>
        <v>1438.3983660000031</v>
      </c>
      <c r="AO11" s="181">
        <f>Supuestos!$B$9*AO10+Supuestos!$C$9*AN10</f>
        <v>1015.338673</v>
      </c>
      <c r="AP11" s="181">
        <f>Supuestos!$B$9*AP10+Supuestos!$C$9*AO10</f>
        <v>1157.278115437133</v>
      </c>
      <c r="AQ11" s="181">
        <f>Supuestos!$B$9*AQ10+Supuestos!$C$9*AP10</f>
        <v>2067.7297311298657</v>
      </c>
      <c r="AR11" s="181">
        <f>Supuestos!$B$9*AR10+Supuestos!$C$9*AQ10</f>
        <v>2320.6470966590377</v>
      </c>
      <c r="AS11" s="181">
        <f>Supuestos!$B$9*AS10+Supuestos!$C$9*AR10</f>
        <v>1978.650882222908</v>
      </c>
      <c r="AT11" s="181">
        <f>Supuestos!$B$9*AT10+Supuestos!$C$9*AS10</f>
        <v>1148.6605764661272</v>
      </c>
      <c r="AU11" s="181">
        <f>Supuestos!$B$9*AU10+Supuestos!$C$9*AT10</f>
        <v>1547.4842816418334</v>
      </c>
      <c r="AV11" s="181">
        <f>Supuestos!$B$9*AV10+Supuestos!$C$9*AU10</f>
        <v>2115.494381557467</v>
      </c>
      <c r="AW11" s="181">
        <f>Supuestos!$B$9*AW10+Supuestos!$C$9*AV10</f>
        <v>2294.3242114955342</v>
      </c>
      <c r="AX11" s="181">
        <f>Supuestos!$B$9*AX10+Supuestos!$C$9*AW10</f>
        <v>1916.8800413177032</v>
      </c>
      <c r="AY11" s="181">
        <f>Supuestos!$B$9*AY10+Supuestos!$C$9*AX10</f>
        <v>1079.5048781555361</v>
      </c>
      <c r="AZ11" s="181">
        <f>Supuestos!$B$9*AZ10+Supuestos!$C$9*AY10</f>
        <v>1455.4123859621327</v>
      </c>
      <c r="BA11" s="181">
        <f>Supuestos!$B$9*BA10+Supuestos!$C$9*AZ10</f>
        <v>1989.6271399186062</v>
      </c>
      <c r="BB11" s="181">
        <f>Supuestos!$B$9*BB10+Supuestos!$C$9*BA10</f>
        <v>2157.8169900896364</v>
      </c>
      <c r="BC11" s="181">
        <f>Supuestos!$B$9*BC10+Supuestos!$C$9*BB10</f>
        <v>1802.8299140960864</v>
      </c>
      <c r="BD11" s="181">
        <f>Supuestos!$B$9*BD10+Supuestos!$C$9*BC10</f>
        <v>780.41947079837996</v>
      </c>
      <c r="BE11" s="181">
        <f>Supuestos!$B$9*BE10+Supuestos!$C$9*BD10</f>
        <v>754.61505332115235</v>
      </c>
      <c r="BF11" s="181">
        <f>Supuestos!$B$9*BF10+Supuestos!$C$9*BE10</f>
        <v>1031.5994317214468</v>
      </c>
      <c r="BG11" s="181">
        <f>Supuestos!$B$9*BG10+Supuestos!$C$9*BF10</f>
        <v>1118.8039889858035</v>
      </c>
      <c r="BH11" s="181">
        <f>Supuestos!$B$9*BH10+Supuestos!$C$9*BG10</f>
        <v>934.74715817760216</v>
      </c>
      <c r="BI11" s="181">
        <f>Supuestos!$B$9*BI10+Supuestos!$C$9*BH10</f>
        <v>912.88588266273428</v>
      </c>
      <c r="BJ11" s="181">
        <f>Supuestos!$B$9*BJ10+Supuestos!$C$9*BI10</f>
        <v>1720.4377562063341</v>
      </c>
      <c r="BK11" s="181">
        <f>Supuestos!$B$9*BK10+Supuestos!$C$9*BJ10</f>
        <v>2351.9310989138817</v>
      </c>
      <c r="BL11" s="181">
        <f>Supuestos!$B$9*BL10+Supuestos!$C$9*BK10</f>
        <v>2550.7477169637814</v>
      </c>
      <c r="BM11" s="181">
        <f>Supuestos!$B$9*BM10+Supuestos!$C$9*BL10</f>
        <v>2131.1187689107855</v>
      </c>
      <c r="BN11" s="181">
        <f>Supuestos!$B$9*BN10+Supuestos!$C$9*BM10</f>
        <v>1286.3396790384616</v>
      </c>
      <c r="BO11" s="181">
        <f>Supuestos!$B$9*BO10+Supuestos!$C$9*BN10</f>
        <v>1383.613950598165</v>
      </c>
      <c r="BP11" s="181">
        <f>Supuestos!$B$9*BP10+Supuestos!$C$9*BO10</f>
        <v>1847.3121699466906</v>
      </c>
      <c r="BQ11" s="181">
        <f>Supuestos!$B$9*BQ10+Supuestos!$C$9*BP10</f>
        <v>3316.3598997216773</v>
      </c>
      <c r="BR11" s="181">
        <f>Supuestos!$B$9*BR10+Supuestos!$C$9*BQ10</f>
        <v>1764.411442908659</v>
      </c>
      <c r="BS11" s="181">
        <f>Supuestos!$B$9*BS10+Supuestos!$C$9*BR10</f>
        <v>1562.0262729753629</v>
      </c>
      <c r="BT11" s="181">
        <f>Supuestos!$B$9*BT10+Supuestos!$C$9*BS10</f>
        <v>2135.3740671398627</v>
      </c>
      <c r="BU11" s="181">
        <f>Supuestos!$B$9*BU10+Supuestos!$C$9*BT10</f>
        <v>2315.8843935249606</v>
      </c>
      <c r="BV11" s="181">
        <f>Supuestos!$B$9*BV10+Supuestos!$C$9*BU10</f>
        <v>1934.8933118103014</v>
      </c>
      <c r="BW11" s="181">
        <f>Supuestos!$B$9*BW10+Supuestos!$C$9*BV10</f>
        <v>1105.7071752328516</v>
      </c>
      <c r="BX11" s="181">
        <f>Supuestos!$B$9*BX10+Supuestos!$C$9*BW10</f>
        <v>1511.0843550474533</v>
      </c>
      <c r="BY11" s="181">
        <f>Supuestos!$B$9*BY10+Supuestos!$C$9*BX10</f>
        <v>2065.7337209077732</v>
      </c>
      <c r="BZ11" s="181">
        <f>Supuestos!$B$9*BZ10+Supuestos!$C$9*BY10</f>
        <v>2240.3571154333099</v>
      </c>
      <c r="CA11" s="181">
        <f>Supuestos!$B$9*CA10+Supuestos!$C$9*BZ10</f>
        <v>1871.7911873487517</v>
      </c>
      <c r="CB11" s="181">
        <f>Supuestos!$B$9*CB10+Supuestos!$C$9*CA10</f>
        <v>1164.9034425624011</v>
      </c>
      <c r="CC11" s="181">
        <f>Supuestos!$B$9*CC10+Supuestos!$C$9*CB10</f>
        <v>1710.9202347773401</v>
      </c>
      <c r="CD11" s="181">
        <f>Supuestos!$B$9*CD10+Supuestos!$C$9*CC10</f>
        <v>2338.9201343772806</v>
      </c>
      <c r="CE11" s="181">
        <f>Supuestos!$B$9*CE10+Supuestos!$C$9*CD10</f>
        <v>2536.6368919899724</v>
      </c>
      <c r="CF11" s="181">
        <f>Supuestos!$B$9*CF10+Supuestos!$C$9*CE10</f>
        <v>2119.329345853967</v>
      </c>
      <c r="CG11" s="181">
        <f>Supuestos!$B$9*CG10+Supuestos!$C$9*CF10</f>
        <v>1086.6513475934598</v>
      </c>
      <c r="CH11" s="181">
        <f>Supuestos!$B$9*CH10+Supuestos!$C$9*CG10</f>
        <v>1329.6504888049953</v>
      </c>
      <c r="CI11" s="181">
        <f>Supuestos!$B$9*CI10+Supuestos!$C$9*CH10</f>
        <v>1817.7038512583413</v>
      </c>
      <c r="CJ11" s="181">
        <f>Supuestos!$B$9*CJ10+Supuestos!$C$9*CI10</f>
        <v>1971.3604496554417</v>
      </c>
      <c r="CK11" s="181">
        <f>Supuestos!$B$9*CK10+Supuestos!$C$9*CJ10</f>
        <v>1647.0477368690599</v>
      </c>
      <c r="CL11" s="181">
        <f>Supuestos!$B$9*CL10+Supuestos!$C$9*CK10</f>
        <v>1110.6323200446379</v>
      </c>
      <c r="CM11" s="181">
        <f>Supuestos!$B$9*CM10+Supuestos!$C$9*CL10</f>
        <v>1729.3480749202129</v>
      </c>
      <c r="CN11" s="181">
        <f>Supuestos!$B$9*CN10+Supuestos!$C$9*CM10</f>
        <v>2364.1119846267225</v>
      </c>
      <c r="CO11" s="181">
        <f>Supuestos!$B$9*CO10+Supuestos!$C$9*CN10</f>
        <v>2563.9582937689329</v>
      </c>
      <c r="CP11" s="181">
        <f>Supuestos!$B$9*CP10+Supuestos!$C$9*CO10</f>
        <v>2142.1560455455387</v>
      </c>
      <c r="CQ11" s="181">
        <f>Supuestos!$B$9*CQ10+Supuestos!$C$9*CP10</f>
        <v>1318.4578489992628</v>
      </c>
      <c r="CR11" s="181">
        <f>Supuestos!$B$9*CR10+Supuestos!$C$9*CQ10</f>
        <v>1919.5883226183053</v>
      </c>
      <c r="CS11" s="181">
        <f>Supuestos!$B$9*CS10+Supuestos!$C$9*CR10</f>
        <v>2624.1806521575004</v>
      </c>
      <c r="CT11" s="181">
        <f>Supuestos!$B$9*CT10+Supuestos!$C$9*CS10</f>
        <v>2846.0114373598685</v>
      </c>
      <c r="CU11" s="181">
        <f>Supuestos!$B$9*CU10+Supuestos!$C$9*CT10</f>
        <v>2377.8080248218052</v>
      </c>
      <c r="CV11" s="181">
        <f>Supuestos!$B$9*CV10+Supuestos!$C$9*CU10</f>
        <v>1349.6829082225815</v>
      </c>
      <c r="CW11" s="181">
        <f>Supuestos!$B$9*CW10+Supuestos!$C$9*CV10</f>
        <v>1833.1064981568559</v>
      </c>
      <c r="CX11" s="181">
        <f>Supuestos!$B$9*CX10+Supuestos!$C$9*CW10</f>
        <v>2505.9553390312644</v>
      </c>
      <c r="CY11" s="181">
        <f>Supuestos!$B$9*CY10+Supuestos!$C$9*CX10</f>
        <v>2717.7921422949166</v>
      </c>
      <c r="CZ11" s="181">
        <f>Supuestos!$B$9*CZ10+Supuestos!$C$9*CY10</f>
        <v>2270.6823594993693</v>
      </c>
      <c r="DA11" s="181">
        <f>Supuestos!$B$9*DA10+Supuestos!$C$9*CZ10</f>
        <v>1338.4604022342887</v>
      </c>
      <c r="DB11" s="181">
        <f>Supuestos!$B$9*DB10+Supuestos!$C$9*DA10</f>
        <v>1880.1934021948277</v>
      </c>
      <c r="DC11" s="181">
        <f>Supuestos!$B$9*DC10+Supuestos!$C$9*DB10</f>
        <v>2570.3256735923233</v>
      </c>
      <c r="DD11" s="181">
        <f>Supuestos!$B$9*DD10+Supuestos!$C$9*DC10</f>
        <v>2787.6039169670739</v>
      </c>
      <c r="DE11" s="181">
        <f>Supuestos!$B$9*DE10+Supuestos!$C$9*DD10</f>
        <v>2329.0092502010102</v>
      </c>
      <c r="DF11" s="181">
        <f>Supuestos!$B$9*DF10+Supuestos!$C$9*DE10</f>
        <v>1311.5984269589767</v>
      </c>
      <c r="DG11" s="181">
        <f>Supuestos!$B$9*DG10+Supuestos!$C$9*DF10</f>
        <v>1768.3260489439917</v>
      </c>
      <c r="DH11" s="181">
        <f>Supuestos!$B$9*DH10+Supuestos!$C$9*DG10</f>
        <v>2417.3969750011074</v>
      </c>
      <c r="DI11" s="181">
        <f>Supuestos!$B$9*DI10+Supuestos!$C$9*DH10</f>
        <v>2621.7476429589087</v>
      </c>
      <c r="DJ11" s="181">
        <f>Supuestos!$B$9*DJ10+Supuestos!$C$9*DI10</f>
        <v>2190.4383456267456</v>
      </c>
      <c r="DK11" s="181">
        <f>Supuestos!$B$9*DK10+Supuestos!$C$9*DJ10</f>
        <v>948.20965702003173</v>
      </c>
      <c r="DL11" s="181">
        <f>Supuestos!$B$9*DL10+Supuestos!$C$9*DK10</f>
        <v>916.85728978520024</v>
      </c>
      <c r="DM11" s="181">
        <f>Supuestos!$B$9*DM10+Supuestos!$C$9*DL10</f>
        <v>1253.3933095415582</v>
      </c>
      <c r="DN11" s="181">
        <f>Supuestos!$B$9*DN10+Supuestos!$C$9*DM10</f>
        <v>1359.3468466177512</v>
      </c>
      <c r="DO11" s="181">
        <f>Supuestos!$B$9*DO10+Supuestos!$C$9*DN10</f>
        <v>1135.7177971857868</v>
      </c>
      <c r="DP11" s="181">
        <f>Supuestos!$B$9*DP10+Supuestos!$C$9*DO10</f>
        <v>1079.5528407054076</v>
      </c>
      <c r="DQ11" s="181">
        <f>Supuestos!$B$9*DQ10+Supuestos!$C$9*DP10</f>
        <v>2012.9121747614106</v>
      </c>
      <c r="DR11" s="181">
        <f>Supuestos!$B$9*DR10+Supuestos!$C$9*DQ10</f>
        <v>2751.7593857292409</v>
      </c>
      <c r="DS11" s="181">
        <f>Supuestos!$B$9*DS10+Supuestos!$C$9*DR10</f>
        <v>2984.3748288476231</v>
      </c>
      <c r="DT11" s="181">
        <f>Supuestos!$B$9*DT10+Supuestos!$C$9*DS10</f>
        <v>2493.4089596256181</v>
      </c>
      <c r="DU11" s="181">
        <f>Supuestos!$B$9*DU10+Supuestos!$C$9*DT10</f>
        <v>1328.7317027336494</v>
      </c>
      <c r="DV11" s="181">
        <f>Supuestos!$B$9*DV10+Supuestos!$C$9*DU10</f>
        <v>1695.8309742783583</v>
      </c>
      <c r="DW11" s="181">
        <f>Supuestos!$B$9*DW10+Supuestos!$C$9*DV10</f>
        <v>2318.2923023623498</v>
      </c>
      <c r="DX11" s="181">
        <f>Supuestos!$B$9*DX10+Supuestos!$C$9*DW10</f>
        <v>2514.2653202027313</v>
      </c>
      <c r="DY11" s="181">
        <f>Supuestos!$B$9*DY10+Supuestos!$C$9*DX10</f>
        <v>2100.6381690634316</v>
      </c>
      <c r="DZ11" s="181">
        <f>Supuestos!$B$9*DZ10+Supuestos!$C$9*DY10</f>
        <v>1271.9449877494526</v>
      </c>
      <c r="EA11" s="181">
        <f>Supuestos!$B$9*EA10+Supuestos!$C$9*DZ10</f>
        <v>1827.5707393811742</v>
      </c>
      <c r="EB11" s="181">
        <f>Supuestos!$B$9*EB10+Supuestos!$C$9*EA10</f>
        <v>2498.3876585536395</v>
      </c>
      <c r="EC11" s="181">
        <f>Supuestos!$B$9*EC10+Supuestos!$C$9*EB10</f>
        <v>2709.5847404242036</v>
      </c>
      <c r="ED11" s="181">
        <f>Supuestos!$B$9*ED10+Supuestos!$C$9*EC10</f>
        <v>2263.8251748180519</v>
      </c>
      <c r="EE11" s="181">
        <f>Supuestos!$B$9*EE10+Supuestos!$C$9*ED10</f>
        <v>1293.677395022436</v>
      </c>
      <c r="EF11" s="181">
        <f>Supuestos!$B$9*EF10+Supuestos!$C$9*EE10</f>
        <v>1767.9686954055201</v>
      </c>
      <c r="EG11" s="181">
        <f>Supuestos!$B$9*EG10+Supuestos!$C$9*EF10</f>
        <v>2416.9084534620943</v>
      </c>
      <c r="EH11" s="181">
        <f>Supuestos!$B$9*EH10+Supuestos!$C$9*EG10</f>
        <v>2621.2178250569723</v>
      </c>
      <c r="EI11" s="181">
        <f>Supuestos!$B$9*EI10+Supuestos!$C$9*EH10</f>
        <v>2189.9956891980391</v>
      </c>
      <c r="EJ11" s="181">
        <f>Supuestos!$B$9*EJ10+Supuestos!$C$9*EI10</f>
        <v>1362.9370277980088</v>
      </c>
      <c r="EK11" s="181">
        <f>Supuestos!$B$9*EK10+Supuestos!$C$9*EJ10</f>
        <v>2001.7766746894874</v>
      </c>
      <c r="EL11" s="181">
        <f>Supuestos!$B$9*EL10+Supuestos!$C$9*EK10</f>
        <v>2736.5365572214173</v>
      </c>
      <c r="EM11" s="181">
        <f>Supuestos!$B$9*EM10+Supuestos!$C$9*EL10</f>
        <v>2967.8651636282666</v>
      </c>
      <c r="EN11" s="181">
        <f>Supuestos!$B$9*EN10+Supuestos!$C$9*EM10</f>
        <v>2479.615334649141</v>
      </c>
      <c r="EO11" s="181">
        <f>Supuestos!$B$9*EO10+Supuestos!$C$9*EN10</f>
        <v>1271.3820766843478</v>
      </c>
      <c r="EP11" s="181">
        <f>Supuestos!$B$9*EP10+Supuestos!$C$9*EO10</f>
        <v>1555.6910719018445</v>
      </c>
      <c r="EQ11" s="181">
        <f>Supuestos!$B$9*EQ10+Supuestos!$C$9*EP10</f>
        <v>2126.7135059722591</v>
      </c>
      <c r="ER11" s="181">
        <f>Supuestos!$B$9*ER10+Supuestos!$C$9*EQ10</f>
        <v>2306.4917260968664</v>
      </c>
      <c r="ES11" s="181">
        <f>Supuestos!$B$9*ES10+Supuestos!$C$9*ER10</f>
        <v>1927.0458521368</v>
      </c>
      <c r="ET11" s="181">
        <f>Supuestos!$B$9*ET10+Supuestos!$C$9*ES10</f>
        <v>1299.4398144522261</v>
      </c>
      <c r="EU11" s="181">
        <f>Supuestos!$B$9*EU10+Supuestos!$C$9*ET10</f>
        <v>2023.3372476566487</v>
      </c>
      <c r="EV11" s="181">
        <f>Supuestos!$B$9*EV10+Supuestos!$C$9*EU10</f>
        <v>2766.0110220132651</v>
      </c>
      <c r="EW11" s="181">
        <f>Supuestos!$B$9*EW10+Supuestos!$C$9*EV10</f>
        <v>2999.8312037096503</v>
      </c>
      <c r="EX11" s="181">
        <f>Supuestos!$B$9*EX10+Supuestos!$C$9*EW10</f>
        <v>2506.3225732882802</v>
      </c>
      <c r="EY11" s="181">
        <f>Supuestos!$B$9*EY10+Supuestos!$C$9*EX10</f>
        <v>1542.595683329137</v>
      </c>
      <c r="EZ11" s="181">
        <f>Supuestos!$B$9*EZ10+Supuestos!$C$9*EY10</f>
        <v>2245.9183374634167</v>
      </c>
      <c r="FA11" s="181">
        <f>Supuestos!$B$9*FA10+Supuestos!$C$9*EZ10</f>
        <v>3070.2913630242756</v>
      </c>
      <c r="FB11" s="181">
        <f>Supuestos!$B$9*FB10+Supuestos!$C$9*FA10</f>
        <v>3329.8333817110461</v>
      </c>
      <c r="FC11" s="181">
        <f>Supuestos!$B$9*FC10+Supuestos!$C$9*FB10</f>
        <v>2782.0353890415117</v>
      </c>
      <c r="FD11" s="181">
        <f>Supuestos!$B$9*FD10+Supuestos!$C$9*FC10</f>
        <v>1579.1290026204201</v>
      </c>
      <c r="FE11" s="181">
        <f>Supuestos!$B$9*FE10+Supuestos!$C$9*FD10</f>
        <v>2144.7346028435213</v>
      </c>
      <c r="FF11" s="181">
        <f>Supuestos!$B$9*FF10+Supuestos!$C$9*FE10</f>
        <v>2931.9677466665789</v>
      </c>
      <c r="FG11" s="181">
        <f>Supuestos!$B$9*FG10+Supuestos!$C$9*FF10</f>
        <v>3179.816806485052</v>
      </c>
      <c r="FH11" s="181">
        <f>Supuestos!$B$9*FH10+Supuestos!$C$9*FG10</f>
        <v>2656.6983606142621</v>
      </c>
      <c r="FI11" s="181">
        <f>Supuestos!$B$9*FI10+Supuestos!$C$9*FH10</f>
        <v>1565.9986706141176</v>
      </c>
      <c r="FJ11" s="181">
        <f>Supuestos!$B$9*FJ10+Supuestos!$C$9*FI10</f>
        <v>2199.8262805679487</v>
      </c>
      <c r="FK11" s="181">
        <f>Supuestos!$B$9*FK10+Supuestos!$C$9*FJ10</f>
        <v>3007.2810381030185</v>
      </c>
      <c r="FL11" s="181">
        <f>Supuestos!$B$9*FL10+Supuestos!$C$9*FK10</f>
        <v>3261.4965828514769</v>
      </c>
      <c r="FM11" s="181">
        <f>Supuestos!$B$9*FM10+Supuestos!$C$9*FL10</f>
        <v>2724.9408227351819</v>
      </c>
      <c r="FN11" s="181">
        <f>Supuestos!$B$9*FN10+Supuestos!$C$9*FM10</f>
        <v>1534.5701595420028</v>
      </c>
      <c r="FO11" s="181">
        <f>Supuestos!$B$9*FO10+Supuestos!$C$9*FN10</f>
        <v>2068.94147726447</v>
      </c>
      <c r="FP11" s="181">
        <f>Supuestos!$B$9*FP10+Supuestos!$C$9*FO10</f>
        <v>2828.3544607512954</v>
      </c>
      <c r="FQ11" s="181">
        <f>Supuestos!$B$9*FQ10+Supuestos!$C$9*FP10</f>
        <v>3067.4447422619228</v>
      </c>
      <c r="FR11" s="181">
        <f>Supuestos!$B$9*FR10+Supuestos!$C$9*FQ10</f>
        <v>2562.812864383292</v>
      </c>
      <c r="FS11" s="181">
        <f>Supuestos!$B$9*FS10+Supuestos!$C$9*FR10</f>
        <v>1109.4052987134371</v>
      </c>
      <c r="FT11" s="181">
        <f>Supuestos!$B$9*FT10+Supuestos!$C$9*FS10</f>
        <v>1072.7230290486843</v>
      </c>
      <c r="FU11" s="181">
        <f>Supuestos!$B$9*FU10+Supuestos!$C$9*FT10</f>
        <v>1466.4701721636229</v>
      </c>
      <c r="FV11" s="181">
        <f>Supuestos!$B$9*FV10+Supuestos!$C$9*FU10</f>
        <v>1590.4358105427686</v>
      </c>
      <c r="FW11" s="181">
        <f>Supuestos!$B$9*FW10+Supuestos!$C$9*FV10</f>
        <v>1328.7898227073704</v>
      </c>
      <c r="FX11" s="181">
        <f>Supuestos!$B$9*FX10+Supuestos!$C$9*FW10</f>
        <v>1259.2283677504508</v>
      </c>
      <c r="FY11" s="181">
        <f>Supuestos!$B$9*FY10+Supuestos!$C$9*FX10</f>
        <v>2345.0426835970434</v>
      </c>
      <c r="FZ11" s="181">
        <f>Supuestos!$B$9*FZ10+Supuestos!$C$9*FY10</f>
        <v>3205.7996843745659</v>
      </c>
      <c r="GA11" s="181">
        <f>Supuestos!$B$9*GA10+Supuestos!$C$9*FZ10</f>
        <v>3476.7966756074811</v>
      </c>
      <c r="GB11" s="181">
        <f>Supuestos!$B$9*GB10+Supuestos!$C$9*GA10</f>
        <v>2904.8214379638457</v>
      </c>
      <c r="GC11" s="181">
        <f>Supuestos!$B$9*GC10+Supuestos!$C$9*GB10</f>
        <v>1753.3452995133748</v>
      </c>
      <c r="GD11" s="181">
        <f>Supuestos!$B$9*GD10+Supuestos!$C$9*GC10</f>
        <v>1885.9349953628287</v>
      </c>
      <c r="GE11" s="181">
        <f>Supuestos!$B$9*GE10+Supuestos!$C$9*GD10</f>
        <v>2517.978853245836</v>
      </c>
      <c r="GF11" s="181">
        <f>Supuestos!$B$9*GF10+Supuestos!$C$9*GE10</f>
        <v>4520.364361315631</v>
      </c>
      <c r="GG11" s="181">
        <f>Supuestos!$B$9*GG10+Supuestos!$C$9*GF10</f>
        <v>2404.9810172566467</v>
      </c>
      <c r="GH11" s="181">
        <f>Supuestos!$B$9*GH10+Supuestos!$C$9*GG10</f>
        <v>2129.1199113790676</v>
      </c>
      <c r="GI11" s="181">
        <f>Supuestos!$B$9*GI10+Supuestos!$C$9*GH10</f>
        <v>2910.6216222149901</v>
      </c>
      <c r="GJ11" s="181">
        <f>Supuestos!$B$9*GJ10+Supuestos!$C$9*GI10</f>
        <v>3156.6662225941977</v>
      </c>
      <c r="GK11" s="181">
        <f>Supuestos!$B$9*GK10+Supuestos!$C$9*GJ10</f>
        <v>2637.356328663031</v>
      </c>
      <c r="GL11" s="181">
        <f>Supuestos!$B$9*GL10+Supuestos!$C$9*GK10</f>
        <v>1507.1341652011381</v>
      </c>
      <c r="GM11" s="181">
        <f>Supuestos!$B$9*GM10+Supuestos!$C$9*GL10</f>
        <v>2059.6835301474307</v>
      </c>
      <c r="GN11" s="181">
        <f>Supuestos!$B$9*GN10+Supuestos!$C$9*GM10</f>
        <v>2815.6983482833393</v>
      </c>
      <c r="GO11" s="181">
        <f>Supuestos!$B$9*GO10+Supuestos!$C$9*GN10</f>
        <v>3053.7187661913731</v>
      </c>
      <c r="GP11" s="181">
        <f>Supuestos!$B$9*GP10+Supuestos!$C$9*GO10</f>
        <v>2551.3449779157154</v>
      </c>
      <c r="GQ11" s="181">
        <f>Supuestos!$B$9*GQ10+Supuestos!$C$9*GP10</f>
        <v>1587.8216373846806</v>
      </c>
      <c r="GR11" s="181">
        <f>Supuestos!$B$9*GR10+Supuestos!$C$9*GQ10</f>
        <v>2332.0698260132531</v>
      </c>
      <c r="GS11" s="181">
        <f>Supuestos!$B$9*GS10+Supuestos!$C$9*GR10</f>
        <v>3188.0650891629521</v>
      </c>
      <c r="GT11" s="181">
        <f>Supuestos!$B$9*GT10+Supuestos!$C$9*GS10</f>
        <v>3457.562915626931</v>
      </c>
      <c r="GU11" s="181">
        <f>Supuestos!$B$9*GU10+Supuestos!$C$9*GT10</f>
        <v>2888.751864866249</v>
      </c>
      <c r="GV11" s="181">
        <f>Supuestos!$B$9*GV10+Supuestos!$C$9*GU10</f>
        <v>1481.1601193372653</v>
      </c>
      <c r="GW11" s="181">
        <f>Supuestos!$B$9*GW10+Supuestos!$C$9*GV10</f>
        <v>1812.3800987656491</v>
      </c>
      <c r="GX11" s="181">
        <f>Supuestos!$B$9*GX10+Supuestos!$C$9*GW10</f>
        <v>2477.621234457682</v>
      </c>
      <c r="GY11" s="181">
        <f>Supuestos!$B$9*GY10+Supuestos!$C$9*GX10</f>
        <v>2687.0628609028495</v>
      </c>
      <c r="GZ11" s="181">
        <f>Supuestos!$B$9*GZ10+Supuestos!$C$9*GY10</f>
        <v>2245.0084177393719</v>
      </c>
      <c r="HA11" s="181">
        <f>Supuestos!$B$9*HA10+Supuestos!$C$9*GZ10</f>
        <v>1513.8473838368436</v>
      </c>
      <c r="HB11" s="181">
        <f>Supuestos!$B$9*HB10+Supuestos!$C$9*HA10</f>
        <v>2357.1878935199957</v>
      </c>
      <c r="HC11" s="181">
        <f>Supuestos!$B$9*HC10+Supuestos!$C$9*HB10</f>
        <v>3222.4028406454536</v>
      </c>
      <c r="HD11" s="181">
        <f>Supuestos!$B$9*HD10+Supuestos!$C$9*HC10</f>
        <v>3494.8033523217428</v>
      </c>
      <c r="HE11" s="181">
        <f>Supuestos!$B$9*HE10+Supuestos!$C$9*HD10</f>
        <v>2919.865797880846</v>
      </c>
      <c r="HF11" s="181">
        <f>Supuestos!$B$9*HF10+Supuestos!$C$9*HE10</f>
        <v>1797.1239710784448</v>
      </c>
      <c r="HG11" s="181">
        <f>Supuestos!$B$9*HG10+Supuestos!$C$9*HF10</f>
        <v>2616.4948631448806</v>
      </c>
      <c r="HH11" s="181">
        <f>Supuestos!$B$9*HH10+Supuestos!$C$9*HG10</f>
        <v>3576.8894379232806</v>
      </c>
      <c r="HI11" s="181">
        <f>Supuestos!$B$9*HI10+Supuestos!$C$9*HH10</f>
        <v>3879.2558896933688</v>
      </c>
      <c r="HJ11" s="181">
        <f>Supuestos!$B$9*HJ10+Supuestos!$C$9*HI10</f>
        <v>3241.0712282333611</v>
      </c>
      <c r="HK11" s="181">
        <f>Supuestos!$B$9*HK10+Supuestos!$C$9*HJ10</f>
        <v>1839.6852880527895</v>
      </c>
      <c r="HL11" s="181">
        <f>Supuestos!$B$9*HL10+Supuestos!$C$9*HK10</f>
        <v>2498.6158123127025</v>
      </c>
      <c r="HM11" s="181">
        <f>Supuestos!$B$9*HM10+Supuestos!$C$9*HL10</f>
        <v>3415.7424248665643</v>
      </c>
      <c r="HN11" s="181">
        <f>Supuestos!$B$9*HN10+Supuestos!$C$9*HM10</f>
        <v>3704.4865795550859</v>
      </c>
      <c r="HO11" s="181">
        <f>Supuestos!$B$9*HO10+Supuestos!$C$9*HN10</f>
        <v>3095.0535901156154</v>
      </c>
      <c r="HP11" s="181">
        <f>Supuestos!$B$9*HP10+Supuestos!$C$9*HO10</f>
        <v>1824.3884512654472</v>
      </c>
      <c r="HQ11" s="181">
        <f>Supuestos!$B$9*HQ10+Supuestos!$C$9*HP10</f>
        <v>2562.7976168616601</v>
      </c>
      <c r="HR11" s="181">
        <f>Supuestos!$B$9*HR10+Supuestos!$C$9*HQ10</f>
        <v>3503.4824093900161</v>
      </c>
      <c r="HS11" s="181">
        <f>Supuestos!$B$9*HS10+Supuestos!$C$9*HR10</f>
        <v>3799.6435190219709</v>
      </c>
      <c r="HT11" s="181">
        <f>Supuestos!$B$9*HT10+Supuestos!$C$9*HS10</f>
        <v>3174.556058486487</v>
      </c>
      <c r="HU11" s="181">
        <f>Supuestos!$B$9*HU10+Supuestos!$C$9*HT10</f>
        <v>1787.7742358664329</v>
      </c>
      <c r="HV11" s="181">
        <f>Supuestos!$B$9*HV10+Supuestos!$C$9*HU10</f>
        <v>2410.3168210131075</v>
      </c>
      <c r="HW11" s="181">
        <f>Supuestos!$B$9*HW10+Supuestos!$C$9*HV10</f>
        <v>3295.032946775259</v>
      </c>
      <c r="HX11" s="181">
        <f>Supuestos!$B$9*HX10+Supuestos!$C$9*HW10</f>
        <v>3573.57312473514</v>
      </c>
      <c r="HY11" s="181">
        <f>Supuestos!$B$9*HY10+Supuestos!$C$9*HX10</f>
        <v>2985.676987006535</v>
      </c>
      <c r="HZ11" s="181">
        <f>Supuestos!$B$9*HZ10+Supuestos!$C$9*HY10</f>
        <v>1292.4571730011542</v>
      </c>
      <c r="IA11" s="181">
        <f>Supuestos!$B$9*IA10+Supuestos!$C$9*HZ10</f>
        <v>1249.7223288417174</v>
      </c>
      <c r="IB11" s="181">
        <f>Supuestos!$B$9*IB10+Supuestos!$C$9*IA10</f>
        <v>1708.4377505706207</v>
      </c>
      <c r="IC11" s="181">
        <f>Supuestos!$B$9*IC10+Supuestos!$C$9*IB10</f>
        <v>1852.8577192823254</v>
      </c>
      <c r="ID11" s="181">
        <f>Supuestos!$B$9*ID10+Supuestos!$C$9*IC10</f>
        <v>1548.0401434540863</v>
      </c>
      <c r="IE11" s="181">
        <f>Supuestos!$B$9*IE10+Supuestos!$C$9*ID10</f>
        <v>1462.5175973350449</v>
      </c>
      <c r="IF11" s="181">
        <f>Supuestos!$B$9*IF10+Supuestos!$C$9*IE10</f>
        <v>2720.2495129725703</v>
      </c>
      <c r="IG11" s="181">
        <f>Supuestos!$B$9*IG10+Supuestos!$C$9*IF10</f>
        <v>3718.7276338744964</v>
      </c>
      <c r="IH11" s="181">
        <f>Supuestos!$B$9*IH10+Supuestos!$C$9*IG10</f>
        <v>4033.0841437046784</v>
      </c>
      <c r="II11" s="181">
        <f>Supuestos!$B$9*II10+Supuestos!$C$9*IH10</f>
        <v>3369.5928680380603</v>
      </c>
      <c r="IJ11" s="181">
        <f>Supuestos!$B$9*IJ10+Supuestos!$C$9*II10</f>
        <v>2033.8805474355145</v>
      </c>
      <c r="IK11" s="181">
        <f>Supuestos!$B$9*IK10+Supuestos!$C$9*IJ10</f>
        <v>2187.6845946208809</v>
      </c>
      <c r="IL11" s="181">
        <f>Supuestos!$B$9*IL10+Supuestos!$C$9*IK10</f>
        <v>2920.8554697651698</v>
      </c>
      <c r="IM11" s="181">
        <f>Supuestos!$B$9*IM10+Supuestos!$C$9*IL10</f>
        <v>5243.622659126132</v>
      </c>
      <c r="IN11" s="181">
        <f>Supuestos!$B$9*IN10+Supuestos!$C$9*IM10</f>
        <v>2789.7779800177104</v>
      </c>
      <c r="IO11" s="181">
        <f>Supuestos!$B$9*IO10+Supuestos!$C$9*IN10</f>
        <v>2469.7790971997183</v>
      </c>
      <c r="IP11" s="181">
        <f>Supuestos!$B$9*IP10+Supuestos!$C$9*IO10</f>
        <v>3376.3210817693875</v>
      </c>
      <c r="IQ11" s="181">
        <f>Supuestos!$B$9*IQ10+Supuestos!$C$9*IP10</f>
        <v>3661.7328182092692</v>
      </c>
      <c r="IR11" s="181">
        <f>Supuestos!$B$9*IR10+Supuestos!$C$9*IQ10</f>
        <v>3059.3333412491156</v>
      </c>
      <c r="IS11" s="181">
        <f>Supuestos!$B$9*IS10+Supuestos!$C$9*IR10</f>
        <v>1748.2756316333202</v>
      </c>
      <c r="IT11" s="181">
        <f>Supuestos!$B$9*IT10+Supuestos!$C$9*IS10</f>
        <v>2389.2328949710195</v>
      </c>
      <c r="IU11" s="181">
        <f>Supuestos!$B$9*IU10+Supuestos!$C$9*IT10</f>
        <v>3266.2100840086741</v>
      </c>
      <c r="IV11" s="181">
        <f>Supuestos!$B$9*IV10+Supuestos!$C$9*IU10</f>
        <v>3542.3137687819922</v>
      </c>
      <c r="IW11" s="181">
        <f>Supuestos!$B$9*IW10+Supuestos!$C$9*IV10</f>
        <v>2959.5601743822308</v>
      </c>
      <c r="IX11" s="181">
        <f>Supuestos!$B$9*IX10+Supuestos!$C$9*IW10</f>
        <v>1841.8730993662293</v>
      </c>
      <c r="IY11" s="181">
        <f>Supuestos!$B$9*IY10+Supuestos!$C$9*IX10</f>
        <v>2705.2009981753731</v>
      </c>
      <c r="IZ11" s="181">
        <f>Supuestos!$B$9*IZ10+Supuestos!$C$9*IY10</f>
        <v>3698.1555034290232</v>
      </c>
      <c r="JA11" s="181">
        <f>Supuestos!$B$9*JA10+Supuestos!$C$9*IZ10</f>
        <v>4010.7729821272392</v>
      </c>
      <c r="JB11" s="181">
        <f>Supuestos!$B$9*JB10+Supuestos!$C$9*JA10</f>
        <v>3350.9521632448486</v>
      </c>
      <c r="JC11" s="181">
        <f>Supuestos!$B$9*JC10+Supuestos!$C$9*JB10</f>
        <v>1718.1457384312275</v>
      </c>
      <c r="JD11" s="181">
        <f>Supuestos!$B$9*JD10+Supuestos!$C$9*JC10</f>
        <v>2102.3609145681526</v>
      </c>
      <c r="JE11" s="181">
        <f>Supuestos!$B$9*JE10+Supuestos!$C$9*JD10</f>
        <v>2874.0406319709109</v>
      </c>
      <c r="JF11" s="181">
        <f>Supuestos!$B$9*JF10+Supuestos!$C$9*JE10</f>
        <v>3116.9929186473055</v>
      </c>
      <c r="JG11" s="181">
        <f>Supuestos!$B$9*JG10+Supuestos!$C$9*JF10</f>
        <v>2604.2097645776716</v>
      </c>
      <c r="JH11" s="181">
        <f>Supuestos!$B$9*JH10+Supuestos!$C$9*JG10</f>
        <v>1756.0629652507382</v>
      </c>
      <c r="JI11" s="181">
        <f>Supuestos!$B$9*JI10+Supuestos!$C$9*JH10</f>
        <v>2734.3379564831948</v>
      </c>
      <c r="JJ11" s="181">
        <f>Supuestos!$B$9*JJ10+Supuestos!$C$9*JI10</f>
        <v>3737.9872951487255</v>
      </c>
      <c r="JK11" s="181">
        <f>Supuestos!$B$9*JK10+Supuestos!$C$9*JJ10</f>
        <v>4053.9718886932205</v>
      </c>
      <c r="JL11" s="181">
        <f>Supuestos!$B$9*JL10+Supuestos!$C$9*JK10</f>
        <v>3387.0443255417813</v>
      </c>
      <c r="JM11" s="181">
        <f>Supuestos!$B$9*JM10+Supuestos!$C$9*JL10</f>
        <v>2084.6638064509957</v>
      </c>
      <c r="JN11" s="181">
        <f>Supuestos!$B$9*JN10+Supuestos!$C$9*JM10</f>
        <v>3035.1340412480613</v>
      </c>
      <c r="JO11" s="181">
        <f>Supuestos!$B$9*JO10+Supuestos!$C$9*JN10</f>
        <v>4149.1917479910053</v>
      </c>
      <c r="JP11" s="181">
        <f>Supuestos!$B$9*JP10+Supuestos!$C$9*JO10</f>
        <v>4499.9368320443064</v>
      </c>
      <c r="JQ11" s="181">
        <f>Supuestos!$B$9*JQ10+Supuestos!$C$9*JP10</f>
        <v>3759.6426247506988</v>
      </c>
      <c r="JR11" s="181">
        <f>Supuestos!$B$9*JR10+Supuestos!$C$9*JQ10</f>
        <v>2134.0349341412357</v>
      </c>
      <c r="JS11" s="181">
        <f>Supuestos!$B$9*JS10+Supuestos!$C$9*JR10</f>
        <v>2898.3943422827342</v>
      </c>
      <c r="JT11" s="181">
        <f>Supuestos!$B$9*JT10+Supuestos!$C$9*JS10</f>
        <v>3962.2612128452147</v>
      </c>
      <c r="JU11" s="181">
        <f>Supuestos!$B$9*JU10+Supuestos!$C$9*JT10</f>
        <v>4297.2044322838992</v>
      </c>
      <c r="JV11" s="181">
        <f>Supuestos!$B$9*JV10+Supuestos!$C$9*JU10</f>
        <v>3590.2621645341142</v>
      </c>
      <c r="JW11" s="181">
        <f>Supuestos!$B$9*JW10+Supuestos!$C$9*JV10</f>
        <v>2116.2906034679186</v>
      </c>
      <c r="JX11" s="181">
        <f>Supuestos!$B$9*JX10+Supuestos!$C$9*JW10</f>
        <v>2972.8452355595255</v>
      </c>
      <c r="JY11" s="181">
        <f>Supuestos!$B$9*JY10+Supuestos!$C$9*JX10</f>
        <v>4064.0395948924188</v>
      </c>
      <c r="JZ11" s="181">
        <f>Supuestos!$B$9*JZ10+Supuestos!$C$9*JY10</f>
        <v>4407.5864820654861</v>
      </c>
      <c r="KA11" s="181">
        <f>Supuestos!$B$9*KA10+Supuestos!$C$9*JZ10</f>
        <v>3682.4850278443246</v>
      </c>
      <c r="KB11" s="181">
        <f>Supuestos!$B$9*KB10+Supuestos!$C$9*KA10</f>
        <v>2073.8181136050625</v>
      </c>
      <c r="KC11" s="181">
        <f>Supuestos!$B$9*KC10+Supuestos!$C$9*KB10</f>
        <v>2795.9675123752045</v>
      </c>
      <c r="KD11" s="181">
        <f>Supuestos!$B$9*KD10+Supuestos!$C$9*KC10</f>
        <v>3822.2382182593001</v>
      </c>
      <c r="KE11" s="181">
        <f>Supuestos!$B$9*KE10+Supuestos!$C$9*KD10</f>
        <v>4145.3448246927628</v>
      </c>
      <c r="KF11" s="181">
        <f>Supuestos!$B$9*KF10+Supuestos!$C$9*KE10</f>
        <v>3463.3853049275804</v>
      </c>
      <c r="KG11" s="181">
        <f>Supuestos!$B$9*KG10+Supuestos!$C$9*KF10</f>
        <v>1499.2503206813385</v>
      </c>
      <c r="KH11" s="181">
        <f>Supuestos!$B$9*KH10+Supuestos!$C$9*KG10</f>
        <v>1449.6779014563917</v>
      </c>
      <c r="KI11" s="181">
        <f>Supuestos!$B$9*KI10+Supuestos!$C$9*KH10</f>
        <v>1981.7877906619196</v>
      </c>
      <c r="KJ11" s="181">
        <f>Supuestos!$B$9*KJ10+Supuestos!$C$9*KI10</f>
        <v>2149.3149543674976</v>
      </c>
      <c r="KK11" s="181">
        <f>Supuestos!$B$9*KK10+Supuestos!$C$9*KJ10</f>
        <v>1795.7265664067404</v>
      </c>
      <c r="KL11" s="181">
        <f>Supuestos!$B$9*KL10+Supuestos!$C$9*KK10</f>
        <v>1691.3196096393447</v>
      </c>
      <c r="KM11" s="181">
        <f>Supuestos!$B$9*KM10+Supuestos!$C$9*KL10</f>
        <v>3141.8881874833187</v>
      </c>
      <c r="KN11" s="181">
        <f>Supuestos!$B$9*KN10+Supuestos!$C$9*KM10</f>
        <v>4295.1304171250431</v>
      </c>
      <c r="KO11" s="181">
        <f>Supuestos!$B$9*KO10+Supuestos!$C$9*KN10</f>
        <v>4658.212185978904</v>
      </c>
      <c r="KP11" s="181">
        <f>Supuestos!$B$9*KP10+Supuestos!$C$9*KO10</f>
        <v>3891.8797625839607</v>
      </c>
      <c r="KQ11" s="181">
        <f>Supuestos!$B$9*KQ10+Supuestos!$C$9*KP10</f>
        <v>2349.1320322880197</v>
      </c>
      <c r="KR11" s="181">
        <f>Supuestos!$B$9*KR10+Supuestos!$C$9*KQ10</f>
        <v>2526.7757067871175</v>
      </c>
      <c r="KS11" s="181">
        <f>Supuestos!$B$9*KS10+Supuestos!$C$9*KR10</f>
        <v>3373.5880675787712</v>
      </c>
      <c r="KT11" s="181">
        <f>Supuestos!$B$9*KT10+Supuestos!$C$9*KS10</f>
        <v>6056.3841712906833</v>
      </c>
      <c r="KU11" s="181">
        <f>Supuestos!$B$9*KU10+Supuestos!$C$9*KT10</f>
        <v>3222.1935669204559</v>
      </c>
      <c r="KV11" s="181">
        <f>Supuestos!$B$9*KV10+Supuestos!$C$9*KU10</f>
        <v>2852.5948572656753</v>
      </c>
      <c r="KW11" s="181">
        <f>Supuestos!$B$9*KW10+Supuestos!$C$9*KV10</f>
        <v>3899.6508494436434</v>
      </c>
      <c r="KX11" s="181">
        <f>Supuestos!$B$9*KX10+Supuestos!$C$9*KW10</f>
        <v>4229.3014050317061</v>
      </c>
      <c r="KY11" s="181">
        <f>Supuestos!$B$9*KY10+Supuestos!$C$9*KX10</f>
        <v>3533.5300091427284</v>
      </c>
      <c r="KZ11" s="181">
        <f>Supuestos!$B$9*KZ10+Supuestos!$C$9*KY10</f>
        <v>2019.2583545364846</v>
      </c>
      <c r="LA11" s="181">
        <f>Supuestos!$B$9*LA10+Supuestos!$C$9*KZ10</f>
        <v>2759.5639936915281</v>
      </c>
      <c r="LB11" s="181">
        <f>Supuestos!$B$9*LB10+Supuestos!$C$9*LA10</f>
        <v>3772.4726470300193</v>
      </c>
      <c r="LC11" s="181">
        <f>Supuestos!$B$9*LC10+Supuestos!$C$9*LB10</f>
        <v>4091.3724029432019</v>
      </c>
      <c r="LD11" s="181">
        <f>Supuestos!$B$9*LD10+Supuestos!$C$9*LC10</f>
        <v>3418.292001411477</v>
      </c>
      <c r="LE11" s="181">
        <f>Supuestos!$B$9*LE10+Supuestos!$C$9*LD10</f>
        <v>2127.3634297679951</v>
      </c>
      <c r="LF11" s="181">
        <f>Supuestos!$B$9*LF10+Supuestos!$C$9*LE10</f>
        <v>3124.507152892556</v>
      </c>
      <c r="LG11" s="181">
        <f>Supuestos!$B$9*LG10+Supuestos!$C$9*LF10</f>
        <v>4271.3696064605219</v>
      </c>
      <c r="LH11" s="181">
        <f>Supuestos!$B$9*LH10+Supuestos!$C$9*LG10</f>
        <v>4632.4427943569617</v>
      </c>
      <c r="LI11" s="181">
        <f>Supuestos!$B$9*LI10+Supuestos!$C$9*LH10</f>
        <v>3870.349748547801</v>
      </c>
      <c r="LJ11" s="181">
        <f>Supuestos!$B$9*LJ10+Supuestos!$C$9*LI10</f>
        <v>1984.4583278880677</v>
      </c>
      <c r="LK11" s="181">
        <f>Supuestos!$B$9*LK10+Supuestos!$C$9*LJ10</f>
        <v>2428.2268563262164</v>
      </c>
      <c r="LL11" s="181">
        <f>Supuestos!$B$9*LL10+Supuestos!$C$9*LK10</f>
        <v>3319.5169299264016</v>
      </c>
      <c r="LM11" s="181">
        <f>Supuestos!$B$9*LM10+Supuestos!$C$9*LL10</f>
        <v>3600.1268210376375</v>
      </c>
      <c r="LN11" s="181">
        <f>Supuestos!$B$9*LN10+Supuestos!$C$9*LM10</f>
        <v>3007.8622780872101</v>
      </c>
      <c r="LO11" s="181">
        <f>Supuestos!$B$9*LO10+Supuestos!$C$9*LN10</f>
        <v>2028.2527248646031</v>
      </c>
      <c r="LP11" s="181">
        <f>Supuestos!$B$9*LP10+Supuestos!$C$9*LO10</f>
        <v>3158.1603397380904</v>
      </c>
      <c r="LQ11" s="181">
        <f>Supuestos!$B$9*LQ10+Supuestos!$C$9*LP10</f>
        <v>4317.375325896779</v>
      </c>
      <c r="LR11" s="181">
        <f>Supuestos!$B$9*LR10+Supuestos!$C$9*LQ10</f>
        <v>4682.3375314406712</v>
      </c>
      <c r="LS11" s="181">
        <f>Supuestos!$B$9*LS10+Supuestos!$C$9*LR10</f>
        <v>3912.0361960007581</v>
      </c>
      <c r="LT11" s="181">
        <f>Supuestos!$B$9*LT10+Supuestos!$C$9*LS10</f>
        <v>2407.7866964509003</v>
      </c>
      <c r="LU11" s="181">
        <f>Supuestos!$B$9*LU10+Supuestos!$C$9*LT10</f>
        <v>3505.5798176415105</v>
      </c>
      <c r="LV11" s="181">
        <f>Supuestos!$B$9*LV10+Supuestos!$C$9*LU10</f>
        <v>4792.3164689296118</v>
      </c>
      <c r="LW11" s="181">
        <f>Supuestos!$B$9*LW10+Supuestos!$C$9*LV10</f>
        <v>5197.4270410111749</v>
      </c>
      <c r="LX11" s="181">
        <f>Supuestos!$B$9*LX10+Supuestos!$C$9*LW10</f>
        <v>4342.3872315870576</v>
      </c>
      <c r="LY11" s="181">
        <f>Supuestos!$B$9*LY10+Supuestos!$C$9*LX10</f>
        <v>2464.8103489331274</v>
      </c>
      <c r="LZ11" s="181">
        <f>Supuestos!$B$9*LZ10+Supuestos!$C$9*LY10</f>
        <v>3347.6454653365581</v>
      </c>
      <c r="MA11" s="181">
        <f>Supuestos!$B$9*MA10+Supuestos!$C$9*LZ10</f>
        <v>4576.4117008362227</v>
      </c>
      <c r="MB11" s="181">
        <f>Supuestos!$B$9*MB10+Supuestos!$C$9*MA10</f>
        <v>4963.2711192879033</v>
      </c>
      <c r="MC11" s="181">
        <f>Supuestos!$B$9*MC10+Supuestos!$C$9*MB10</f>
        <v>4146.752800036902</v>
      </c>
      <c r="MD11" s="181">
        <f>Supuestos!$B$9*MD10+Supuestos!$C$9*MC10</f>
        <v>2444.315647005446</v>
      </c>
      <c r="ME11" s="181">
        <f>Supuestos!$B$9*ME10+Supuestos!$C$9*MD10</f>
        <v>3433.636247071252</v>
      </c>
      <c r="MF11" s="181">
        <f>Supuestos!$B$9*MF10+Supuestos!$C$9*ME10</f>
        <v>4693.9657321007435</v>
      </c>
      <c r="MG11" s="181">
        <f>Supuestos!$B$9*MG10+Supuestos!$C$9*MF10</f>
        <v>5090.7623867856364</v>
      </c>
      <c r="MH11" s="181">
        <f>Supuestos!$B$9*MH10+Supuestos!$C$9*MG10</f>
        <v>4253.2702071601952</v>
      </c>
      <c r="MI11" s="181">
        <f>Supuestos!$B$9*MI10+Supuestos!$C$9*MH10</f>
        <v>2395.2599212138471</v>
      </c>
      <c r="MJ11" s="181">
        <f>Supuestos!$B$9*MJ10+Supuestos!$C$9*MI10</f>
        <v>3229.3424767933611</v>
      </c>
      <c r="MK11" s="181">
        <f>Supuestos!$B$9*MK10+Supuestos!$C$9*MJ10</f>
        <v>4414.6851420894918</v>
      </c>
      <c r="ML11" s="181">
        <f>Supuestos!$B$9*ML10+Supuestos!$C$9*MK10</f>
        <v>4787.8732725201407</v>
      </c>
      <c r="MM11" s="181">
        <f>Supuestos!$B$9*MM10+Supuestos!$C$9*ML10</f>
        <v>4000.2100271913559</v>
      </c>
      <c r="MN11" s="181">
        <f>Supuestos!$B$9*MN10+Supuestos!$C$9*MM10</f>
        <v>1731.6341203869461</v>
      </c>
      <c r="MO11" s="181">
        <f>Supuestos!$B$9*MO10+Supuestos!$C$9*MN10</f>
        <v>1674.3779761821329</v>
      </c>
      <c r="MP11" s="181">
        <f>Supuestos!$B$9*MP10+Supuestos!$C$9*MO10</f>
        <v>2288.9648982145172</v>
      </c>
      <c r="MQ11" s="181">
        <f>Supuestos!$B$9*MQ10+Supuestos!$C$9*MP10</f>
        <v>2482.4587722944598</v>
      </c>
      <c r="MR11" s="181">
        <f>Supuestos!$B$9*MR10+Supuestos!$C$9*MQ10</f>
        <v>2074.0641841997849</v>
      </c>
      <c r="MS11" s="181">
        <f>Supuestos!$B$9*MS10+Supuestos!$C$9*MR10</f>
        <v>1935.4533658052937</v>
      </c>
      <c r="MT11" s="181">
        <f>Supuestos!$B$9*MT10+Supuestos!$C$9*MS10</f>
        <v>3581.7525337309839</v>
      </c>
      <c r="MU11" s="181">
        <f>Supuestos!$B$9*MU10+Supuestos!$C$9*MT10</f>
        <v>4896.4486755225507</v>
      </c>
      <c r="MV11" s="181">
        <f>Supuestos!$B$9*MV10+Supuestos!$C$9*MU10</f>
        <v>5310.3618920159515</v>
      </c>
      <c r="MW11" s="181">
        <f>Supuestos!$B$9*MW10+Supuestos!$C$9*MV10</f>
        <v>4436.7429293457162</v>
      </c>
      <c r="MX11" s="181">
        <f>Supuestos!$B$9*MX10+Supuestos!$C$9*MW10</f>
        <v>2364.3297519818707</v>
      </c>
      <c r="MY11" s="181">
        <f>Supuestos!$B$9*MY10+Supuestos!$C$9*MX10</f>
        <v>3017.5419300749895</v>
      </c>
      <c r="MZ11" s="181">
        <f>Supuestos!$B$9*MZ10+Supuestos!$C$9*MY10</f>
        <v>4125.1423842670119</v>
      </c>
      <c r="NA11" s="181">
        <f>Supuestos!$B$9*NA10+Supuestos!$C$9*MZ10</f>
        <v>4473.8544950057203</v>
      </c>
      <c r="NB11" s="181">
        <f>Supuestos!$B$9*NB10+Supuestos!$C$9*NA10</f>
        <v>3737.8511486159468</v>
      </c>
      <c r="NC11" s="181">
        <f>Supuestos!$B$9*NC10+Supuestos!$C$9*NB10</f>
        <v>2263.284131200619</v>
      </c>
      <c r="ND11" s="181">
        <f>Supuestos!$B$9*ND10+Supuestos!$C$9*NC10</f>
        <v>3251.9581372828707</v>
      </c>
      <c r="NE11" s="181">
        <f>Supuestos!$B$9*NE10+Supuestos!$C$9*ND10</f>
        <v>4445.6019683657541</v>
      </c>
      <c r="NF11" s="181">
        <f>Supuestos!$B$9*NF10+Supuestos!$C$9*NE10</f>
        <v>4821.4036017361459</v>
      </c>
      <c r="NG11" s="181">
        <f>Supuestos!$B$9*NG10+Supuestos!$C$9*NF10</f>
        <v>4028.2242104227116</v>
      </c>
      <c r="NH11" s="181">
        <f>Supuestos!$B$9*NH10+Supuestos!$C$9*NG10</f>
        <v>2301.9545241715932</v>
      </c>
      <c r="NI11" s="181">
        <f>Supuestos!$B$9*NI10+Supuestos!$C$9*NH10</f>
        <v>3145.902952808342</v>
      </c>
      <c r="NJ11" s="181">
        <f>Supuestos!$B$9*NJ10+Supuestos!$C$9*NI10</f>
        <v>4300.6188176142223</v>
      </c>
      <c r="NK11" s="181">
        <f>Supuestos!$B$9*NK10+Supuestos!$C$9*NJ10</f>
        <v>4664.1645393552508</v>
      </c>
      <c r="NL11" s="181">
        <f>Supuestos!$B$9*NL10+Supuestos!$C$9*NK10</f>
        <v>3896.8528816090839</v>
      </c>
      <c r="NM11" s="181">
        <f>Supuestos!$B$9*NM10+Supuestos!$C$9*NL10</f>
        <v>2425.1943099355149</v>
      </c>
      <c r="NN11" s="181">
        <f>Supuestos!$B$9*NN10+Supuestos!$C$9*NM10</f>
        <v>3561.9381542975152</v>
      </c>
      <c r="NO11" s="181">
        <f>Supuestos!$B$9*NO10+Supuestos!$C$9*NN10</f>
        <v>4869.3613513649962</v>
      </c>
      <c r="NP11" s="181">
        <f>Supuestos!$B$9*NP10+Supuestos!$C$9*NO10</f>
        <v>5280.9847855669377</v>
      </c>
      <c r="NQ11" s="181">
        <f>Supuestos!$B$9*NQ10+Supuestos!$C$9*NP10</f>
        <v>4412.1987133444945</v>
      </c>
      <c r="NR11" s="181">
        <f>Supuestos!$B$9*NR10+Supuestos!$C$9*NQ10</f>
        <v>2262.2824937923979</v>
      </c>
      <c r="NS11" s="181">
        <f>Supuestos!$B$9*NS10+Supuestos!$C$9*NR10</f>
        <v>2768.1786162118874</v>
      </c>
      <c r="NT11" s="181">
        <f>Supuestos!$B$9*NT10+Supuestos!$C$9*NS10</f>
        <v>3784.2493001160992</v>
      </c>
      <c r="NU11" s="181">
        <f>Supuestos!$B$9*NU10+Supuestos!$C$9*NT10</f>
        <v>4104.1445759829076</v>
      </c>
      <c r="NV11" s="181">
        <f>Supuestos!$B$9*NV10+Supuestos!$C$9*NU10</f>
        <v>3428.962997019421</v>
      </c>
      <c r="NW11" s="181">
        <f>Supuestos!$B$9*NW10+Supuestos!$C$9*NV10</f>
        <v>2312.208106345648</v>
      </c>
      <c r="NX11" s="181">
        <f>Supuestos!$B$9*NX10+Supuestos!$C$9*NW10</f>
        <v>3600.3027873014239</v>
      </c>
      <c r="NY11" s="181">
        <f>Supuestos!$B$9*NY10+Supuestos!$C$9*NX10</f>
        <v>4921.8078715223282</v>
      </c>
      <c r="NZ11" s="181">
        <f>Supuestos!$B$9*NZ10+Supuestos!$C$9*NY10</f>
        <v>5337.8647858423656</v>
      </c>
      <c r="OA11" s="181">
        <f>Supuestos!$B$9*OA10+Supuestos!$C$9*NZ10</f>
        <v>4459.7212634408643</v>
      </c>
      <c r="OB11" s="181">
        <f>Supuestos!$B$9*OB10+Supuestos!$C$9*OA10</f>
        <v>2744.876833954027</v>
      </c>
      <c r="OC11" s="181">
        <f>Supuestos!$B$9*OC10+Supuestos!$C$9*OB10</f>
        <v>3996.360992111323</v>
      </c>
      <c r="OD11" s="181">
        <f>Supuestos!$B$9*OD10+Supuestos!$C$9*OC10</f>
        <v>5463.2407745797582</v>
      </c>
      <c r="OE11" s="181">
        <f>Supuestos!$B$9*OE10+Supuestos!$C$9*OD10</f>
        <v>5925.0668267527408</v>
      </c>
      <c r="OF11" s="181">
        <f>Supuestos!$B$9*OF10+Supuestos!$C$9*OE10</f>
        <v>4950.3214440092461</v>
      </c>
      <c r="OG11" s="181">
        <f>Supuestos!$B$9*OG10+Supuestos!$C$9*OF10</f>
        <v>2809.8837977837652</v>
      </c>
      <c r="OH11" s="181">
        <f>Supuestos!$B$9*OH10+Supuestos!$C$9*OG10</f>
        <v>3816.3158304836775</v>
      </c>
      <c r="OI11" s="181">
        <f>Supuestos!$B$9*OI10+Supuestos!$C$9*OH10</f>
        <v>5217.1093389532953</v>
      </c>
      <c r="OJ11" s="181">
        <f>Supuestos!$B$9*OJ10+Supuestos!$C$9*OI10</f>
        <v>5658.1290759882113</v>
      </c>
      <c r="OK11" s="181">
        <f>Supuestos!$B$9*OK10+Supuestos!$C$9*OJ10</f>
        <v>4727.2981920420689</v>
      </c>
      <c r="OL11" s="181">
        <f>Supuestos!$B$9*OL10+Supuestos!$C$9*OK10</f>
        <v>2786.5198375862092</v>
      </c>
      <c r="OM11" s="181">
        <f>Supuestos!$B$9*OM10+Supuestos!$C$9*OL10</f>
        <v>3914.3453216612284</v>
      </c>
      <c r="ON11" s="181">
        <f>Supuestos!$B$9*ON10+Supuestos!$C$9*OM10</f>
        <v>5351.12093459485</v>
      </c>
      <c r="OO11" s="181">
        <f>Supuestos!$B$9*OO10+Supuestos!$C$9*ON10</f>
        <v>5803.4691209356261</v>
      </c>
      <c r="OP11" s="181">
        <f>Supuestos!$B$9*OP10+Supuestos!$C$9*OO10</f>
        <v>4848.7280361626235</v>
      </c>
      <c r="OQ11" s="181">
        <f>Supuestos!$B$9*OQ10+Supuestos!$C$9*OP10</f>
        <v>2730.596310183786</v>
      </c>
      <c r="OR11" s="181">
        <f>Supuestos!$B$9*OR10+Supuestos!$C$9*OQ10</f>
        <v>3681.4504235444324</v>
      </c>
      <c r="OS11" s="181">
        <f>Supuestos!$B$9*OS10+Supuestos!$C$9*OR10</f>
        <v>5032.7410619820212</v>
      </c>
      <c r="OT11" s="181">
        <f>Supuestos!$B$9*OT10+Supuestos!$C$9*OS10</f>
        <v>5458.175530672961</v>
      </c>
      <c r="OU11" s="181">
        <f>Supuestos!$B$9*OU10+Supuestos!$C$9*OT10</f>
        <v>4560.2394309981464</v>
      </c>
      <c r="OV11" s="181">
        <f>Supuestos!$B$9*OV10+Supuestos!$C$9*OU10</f>
        <v>1974.0628972411191</v>
      </c>
      <c r="OW11" s="181">
        <f>Supuestos!$B$9*OW10+Supuestos!$C$9*OV10</f>
        <v>1908.7908928476318</v>
      </c>
      <c r="OX11" s="181">
        <f>Supuestos!$B$9*OX10+Supuestos!$C$9*OW10</f>
        <v>2609.4199839645503</v>
      </c>
      <c r="OY11" s="181">
        <f>Supuestos!$B$9*OY10+Supuestos!$C$9*OX10</f>
        <v>2830.0030004156847</v>
      </c>
      <c r="OZ11" s="181">
        <f>Supuestos!$B$9*OZ10+Supuestos!$C$9*OY10</f>
        <v>2364.4331699877557</v>
      </c>
      <c r="PA11" s="181">
        <f>Supuestos!$B$9*PA10+Supuestos!$C$9*OZ10</f>
        <v>2206.416837018035</v>
      </c>
      <c r="PB11" s="181">
        <f>Supuestos!$B$9*PB10+Supuestos!$C$9*PA10</f>
        <v>4083.1978884533223</v>
      </c>
      <c r="PC11" s="181">
        <f>Supuestos!$B$9*PC10+Supuestos!$C$9*PB10</f>
        <v>5581.9514900957083</v>
      </c>
      <c r="PD11" s="181">
        <f>Supuestos!$B$9*PD10+Supuestos!$C$9*PC10</f>
        <v>6053.812556898185</v>
      </c>
      <c r="PE11" s="181">
        <f>Supuestos!$B$9*PE10+Supuestos!$C$9*PD10</f>
        <v>5057.8869394541161</v>
      </c>
      <c r="PF11" s="181">
        <f>Supuestos!$B$9*PF10+Supuestos!$C$9*PE10</f>
        <v>3052.931989161511</v>
      </c>
      <c r="PG11" s="181">
        <f>Supuestos!$B$9*PG10+Supuestos!$C$9*PF10</f>
        <v>3283.7977085405391</v>
      </c>
      <c r="PH11" s="181">
        <f>Supuestos!$B$9*PH10+Supuestos!$C$9*PG10</f>
        <v>4384.315052625373</v>
      </c>
      <c r="PI11" s="181">
        <f>Supuestos!$B$9*PI10+Supuestos!$C$9*PH10</f>
        <v>7870.8768690093739</v>
      </c>
      <c r="PJ11" s="181">
        <f>Supuestos!$B$9*PJ10+Supuestos!$C$9*PI10</f>
        <v>4187.5627595698261</v>
      </c>
      <c r="PK11" s="181">
        <f>Supuestos!$B$9*PK10+Supuestos!$C$9*PJ10</f>
        <v>3707.2322765024728</v>
      </c>
      <c r="PL11" s="181">
        <f>Supuestos!$B$9*PL10+Supuestos!$C$9*PK10</f>
        <v>5067.9862439369608</v>
      </c>
      <c r="PM11" s="181">
        <f>Supuestos!$B$9*PM10+Supuestos!$C$9*PL10</f>
        <v>5496.4001059792063</v>
      </c>
      <c r="PN11" s="181">
        <f>Supuestos!$B$9*PN10+Supuestos!$C$9*PM10</f>
        <v>4592.1755998818917</v>
      </c>
      <c r="PO11" s="181">
        <f>Supuestos!$B$9*PO10+Supuestos!$C$9*PN10</f>
        <v>2624.2281575556167</v>
      </c>
      <c r="PP11" s="181">
        <f>Supuestos!$B$9*PP10+Supuestos!$C$9*PO10</f>
        <v>3586.3293662015108</v>
      </c>
      <c r="PQ11" s="181">
        <f>Supuestos!$B$9*PQ10+Supuestos!$C$9*PP10</f>
        <v>4902.7054520802139</v>
      </c>
      <c r="PR11" s="181">
        <f>Supuestos!$B$9*PR10+Supuestos!$C$9*PQ10</f>
        <v>5317.1475748649864</v>
      </c>
      <c r="PS11" s="181">
        <f>Supuestos!$B$9*PS10+Supuestos!$C$9*PR10</f>
        <v>4442.4122850343556</v>
      </c>
      <c r="PT11" s="181">
        <f>Supuestos!$B$9*PT10+Supuestos!$C$9*PS10</f>
        <v>2764.7215133264872</v>
      </c>
      <c r="PU11" s="181">
        <f>Supuestos!$B$9*PU10+Supuestos!$C$9*PT10</f>
        <v>4060.6094958991671</v>
      </c>
      <c r="PV11" s="181">
        <f>Supuestos!$B$9*PV10+Supuestos!$C$9*PU10</f>
        <v>5551.0719405560967</v>
      </c>
      <c r="PW11" s="181">
        <f>Supuestos!$B$9*PW10+Supuestos!$C$9*PV10</f>
        <v>6020.3226555463089</v>
      </c>
      <c r="PX11" s="181">
        <f>Supuestos!$B$9*PX10+Supuestos!$C$9*PW10</f>
        <v>5029.9065332127238</v>
      </c>
      <c r="PY11" s="181">
        <f>Supuestos!$B$9*PY10+Supuestos!$C$9*PX10</f>
        <v>2579.0020429233336</v>
      </c>
      <c r="PZ11" s="181">
        <f>Supuestos!$B$9*PZ10+Supuestos!$C$9*PY10</f>
        <v>3155.723622481551</v>
      </c>
      <c r="QA11" s="181">
        <f>Supuestos!$B$9*QA10+Supuestos!$C$9*PZ10</f>
        <v>4314.0442021323533</v>
      </c>
      <c r="QB11" s="181">
        <f>Supuestos!$B$9*QB10+Supuestos!$C$9*QA10</f>
        <v>4678.7248166205154</v>
      </c>
      <c r="QC11" s="181">
        <f>Supuestos!$B$9*QC10+Supuestos!$C$9*QB10</f>
        <v>3909.0178166021396</v>
      </c>
      <c r="QD11" s="181">
        <f>Supuestos!$B$9*QD10+Supuestos!$C$9*QC10</f>
        <v>2635.9172412340386</v>
      </c>
      <c r="QE11" s="181">
        <f>Supuestos!$B$9*QE10+Supuestos!$C$9*QD10</f>
        <v>4104.3451775236235</v>
      </c>
      <c r="QF11" s="181">
        <f>Supuestos!$B$9*QF10+Supuestos!$C$9*QE10</f>
        <v>5610.8609735354539</v>
      </c>
      <c r="QG11" s="181">
        <f>Supuestos!$B$9*QG10+Supuestos!$C$9*QF10</f>
        <v>6085.1658558602976</v>
      </c>
      <c r="QH11" s="181">
        <f>Supuestos!$B$9*QH10+Supuestos!$C$9*QG10</f>
        <v>5084.0822403225857</v>
      </c>
      <c r="QI11" s="181">
        <f>Supuestos!$B$9*QI10+Supuestos!$C$9*QH10</f>
        <v>3129.1595907075907</v>
      </c>
      <c r="QJ11" s="181">
        <f>Supuestos!$B$9*QJ10+Supuestos!$C$9*QI10</f>
        <v>4555.8515310069079</v>
      </c>
      <c r="QK11" s="181">
        <f>Supuestos!$B$9*QK10+Supuestos!$C$9*QJ10</f>
        <v>6228.0944830209246</v>
      </c>
      <c r="QL11" s="181">
        <f>Supuestos!$B$9*QL10+Supuestos!$C$9*QK10</f>
        <v>6754.5761824981237</v>
      </c>
      <c r="QM11" s="181">
        <f>Supuestos!$B$9*QM10+Supuestos!$C$9*QL10</f>
        <v>5643.3664461705412</v>
      </c>
      <c r="QN11" s="181">
        <f>Supuestos!$B$9*QN10+Supuestos!$C$9*QM10</f>
        <v>3203.2675294734936</v>
      </c>
      <c r="QO11" s="181">
        <f>Supuestos!$B$9*QO10+Supuestos!$C$9*QN10</f>
        <v>4350.6000467513923</v>
      </c>
      <c r="QP11" s="181">
        <f>Supuestos!$B$9*QP10+Supuestos!$C$9*QO10</f>
        <v>5947.5046464067573</v>
      </c>
      <c r="QQ11" s="181">
        <f>Supuestos!$B$9*QQ10+Supuestos!$C$9*QP10</f>
        <v>6450.267146626561</v>
      </c>
      <c r="QR11" s="181">
        <f>Supuestos!$B$9*QR10+Supuestos!$C$9*QQ10</f>
        <v>5389.1199389279582</v>
      </c>
      <c r="QS11" s="181">
        <f>Supuestos!$B$9*QS10+Supuestos!$C$9*QR10</f>
        <v>3176.6326148482785</v>
      </c>
      <c r="QT11" s="181">
        <f>Supuestos!$B$9*QT10+Supuestos!$C$9*QS10</f>
        <v>4462.3536666938007</v>
      </c>
      <c r="QU11" s="181">
        <f>Supuestos!$B$9*QU10+Supuestos!$C$9*QT10</f>
        <v>6100.2778654381282</v>
      </c>
      <c r="QV11" s="181">
        <f>Supuestos!$B$9*QV10+Supuestos!$C$9*QU10</f>
        <v>6615.9547978666142</v>
      </c>
      <c r="QW11" s="181">
        <f>Supuestos!$B$9*QW10+Supuestos!$C$9*QV10</f>
        <v>5527.5499612253916</v>
      </c>
      <c r="QX11" s="181">
        <f>Supuestos!$B$9*QX10+Supuestos!$C$9*QW10</f>
        <v>3112.8797936095166</v>
      </c>
      <c r="QY11" s="181">
        <f>Supuestos!$B$9*QY10+Supuestos!$C$9*QX10</f>
        <v>4196.8534828406537</v>
      </c>
      <c r="QZ11" s="181">
        <f>Supuestos!$B$9*QZ10+Supuestos!$C$9*QY10</f>
        <v>5737.3248106595047</v>
      </c>
      <c r="RA11" s="181">
        <f>Supuestos!$B$9*RA10+Supuestos!$C$9*QZ10</f>
        <v>6222.3201049671761</v>
      </c>
      <c r="RB11" s="181">
        <f>Supuestos!$B$9*RB10+Supuestos!$C$9*RA10</f>
        <v>5198.6729513378868</v>
      </c>
      <c r="RC11" s="181">
        <f>Supuestos!$B$9*RC10+Supuestos!$C$9*RB10</f>
        <v>2250.4317028548762</v>
      </c>
      <c r="RD11" s="181">
        <f>Supuestos!$B$9*RD10+Supuestos!$C$9*RC10</f>
        <v>2176.0216178463006</v>
      </c>
      <c r="RE11" s="181">
        <f>Supuestos!$B$9*RE10+Supuestos!$C$9*RD10</f>
        <v>2974.7387817195877</v>
      </c>
      <c r="RF11" s="181">
        <f>Supuestos!$B$9*RF10+Supuestos!$C$9*RE10</f>
        <v>3226.2034204738811</v>
      </c>
      <c r="RG11" s="181">
        <f>Supuestos!$B$9*RG10+Supuestos!$C$9*RF10</f>
        <v>2695.4538137860418</v>
      </c>
      <c r="RH11" s="181">
        <f>Supuestos!$B$9*RH10+Supuestos!$C$9*RG10</f>
        <v>2515.3151942005602</v>
      </c>
      <c r="RI11" s="181">
        <f>Supuestos!$B$9*RI10+Supuestos!$C$9*RH10</f>
        <v>4654.8455928367866</v>
      </c>
      <c r="RJ11" s="181">
        <f>Supuestos!$B$9*RJ10+Supuestos!$C$9*RI10</f>
        <v>6363.4246987091074</v>
      </c>
      <c r="RK11" s="181">
        <f>Supuestos!$B$9*RK10+Supuestos!$C$9*RJ10</f>
        <v>6901.3463148639312</v>
      </c>
      <c r="RL11" s="181">
        <f>Supuestos!$B$9*RL10+Supuestos!$C$9*RK10</f>
        <v>5765.9911109776922</v>
      </c>
      <c r="RM11" s="181">
        <f>Supuestos!$B$9*RM10+Supuestos!$C$9*RL10</f>
        <v>3480.3424676441227</v>
      </c>
      <c r="RN11" s="181">
        <f>Supuestos!$B$9*RN10+Supuestos!$C$9*RM10</f>
        <v>3743.5293877362151</v>
      </c>
      <c r="RO11" s="181">
        <f>Supuestos!$B$9*RO10+Supuestos!$C$9*RN10</f>
        <v>4998.1191599929252</v>
      </c>
      <c r="RP11" s="181">
        <f>Supuestos!$B$9*RP10+Supuestos!$C$9*RO10</f>
        <v>8972.7996306706864</v>
      </c>
      <c r="RQ11" s="181">
        <f>Supuestos!$B$9*RQ10+Supuestos!$C$9*RP10</f>
        <v>4773.8215459096009</v>
      </c>
      <c r="RR11" s="181">
        <f>Supuestos!$B$9*RR10+Supuestos!$C$9*RQ10</f>
        <v>4226.2447952128186</v>
      </c>
      <c r="RS11" s="181">
        <f>Supuestos!$B$9*RS10+Supuestos!$C$9*RR10</f>
        <v>5777.5043180881348</v>
      </c>
      <c r="RT11" s="181">
        <f>Supuestos!$B$9*RT10+Supuestos!$C$9*RS10</f>
        <v>6265.8961208162964</v>
      </c>
      <c r="RU11" s="181">
        <f>Supuestos!$B$9*RU10+Supuestos!$C$9*RT10</f>
        <v>5235.080183865357</v>
      </c>
      <c r="RV11" s="181">
        <f>Supuestos!$B$9*RV10+Supuestos!$C$9*RU10</f>
        <v>2991.620099613403</v>
      </c>
      <c r="RW11" s="181">
        <f>Supuestos!$B$9*RW10+Supuestos!$C$9*RV10</f>
        <v>4088.4154774697217</v>
      </c>
      <c r="RX11" s="181">
        <f>Supuestos!$B$9*RX10+Supuestos!$C$9*RW10</f>
        <v>5589.0842153714439</v>
      </c>
      <c r="RY11" s="181">
        <f>Supuestos!$B$9*RY10+Supuestos!$C$9*RX10</f>
        <v>6061.5482353460839</v>
      </c>
      <c r="RZ11" s="181">
        <f>Supuestos!$B$9*RZ10+Supuestos!$C$9*RY10</f>
        <v>5064.350004939166</v>
      </c>
      <c r="SA11" s="181">
        <f>Supuestos!$B$9*SA10+Supuestos!$C$9*RZ10</f>
        <v>3151.782525192195</v>
      </c>
      <c r="SB11" s="181">
        <f>Supuestos!$B$9*SB10+Supuestos!$C$9*SA10</f>
        <v>4629.0948253250499</v>
      </c>
      <c r="SC11" s="181">
        <f>Supuestos!$B$9*SC10+Supuestos!$C$9*SB10</f>
        <v>6328.2220122339495</v>
      </c>
      <c r="SD11" s="181">
        <f>Supuestos!$B$9*SD10+Supuestos!$C$9*SC10</f>
        <v>6863.1678273227917</v>
      </c>
      <c r="SE11" s="181">
        <f>Supuestos!$B$9*SE10+Supuestos!$C$9*SD10</f>
        <v>5734.093447862504</v>
      </c>
      <c r="SF11" s="181">
        <f>Supuestos!$B$9*SF10+Supuestos!$C$9*SE10</f>
        <v>2940.0623289326004</v>
      </c>
      <c r="SG11" s="181">
        <f>Supuestos!$B$9*SG10+Supuestos!$C$9*SF10</f>
        <v>3597.5249296289689</v>
      </c>
      <c r="SH11" s="181">
        <f>Supuestos!$B$9*SH10+Supuestos!$C$9*SG10</f>
        <v>4918.0103904308826</v>
      </c>
      <c r="SI11" s="181">
        <f>Supuestos!$B$9*SI10+Supuestos!$C$9*SH10</f>
        <v>5333.746290947387</v>
      </c>
      <c r="SJ11" s="181">
        <f>Supuestos!$B$9*SJ10+Supuestos!$C$9*SI10</f>
        <v>4456.2803109264396</v>
      </c>
      <c r="SK11" s="181">
        <f>Supuestos!$B$9*SK10+Supuestos!$C$9*SJ10</f>
        <v>3004.9456550068044</v>
      </c>
      <c r="SL11" s="181">
        <f>Supuestos!$B$9*SL10+Supuestos!$C$9*SK10</f>
        <v>4678.9535023769304</v>
      </c>
      <c r="SM11" s="181">
        <f>Supuestos!$B$9*SM10+Supuestos!$C$9*SL10</f>
        <v>6396.3815098304176</v>
      </c>
      <c r="SN11" s="181">
        <f>Supuestos!$B$9*SN10+Supuestos!$C$9*SM10</f>
        <v>6937.0890756807385</v>
      </c>
      <c r="SO11" s="181">
        <f>Supuestos!$B$9*SO10+Supuestos!$C$9*SN10</f>
        <v>5795.8537539677482</v>
      </c>
      <c r="SP11" s="181">
        <f>Supuestos!$B$9*SP10+Supuestos!$C$9*SO10</f>
        <v>3567.2419334066535</v>
      </c>
      <c r="SQ11" s="181">
        <f>Supuestos!$B$9*SQ10+Supuestos!$C$9*SP10</f>
        <v>5193.6707453478757</v>
      </c>
      <c r="SR11" s="181">
        <f>Supuestos!$B$9*SR10+Supuestos!$C$9*SQ10</f>
        <v>7100.0277106438543</v>
      </c>
      <c r="SS11" s="181">
        <f>Supuestos!$B$9*SS10+Supuestos!$C$9*SR10</f>
        <v>7700.2168480478631</v>
      </c>
      <c r="ST11" s="181">
        <f>Supuestos!$B$9*ST10+Supuestos!$C$9*SS10</f>
        <v>6433.4377486344183</v>
      </c>
      <c r="SU11" s="181">
        <f>Supuestos!$B$9*SU10+Supuestos!$C$9*ST10</f>
        <v>3651.7249835997823</v>
      </c>
      <c r="SV11" s="181">
        <f>Supuestos!$B$9*SV10+Supuestos!$C$9*SU10</f>
        <v>4959.684053296588</v>
      </c>
      <c r="SW11" s="181">
        <f>Supuestos!$B$9*SW10+Supuestos!$C$9*SV10</f>
        <v>6780.1552969037029</v>
      </c>
      <c r="SX11" s="181">
        <f>Supuestos!$B$9*SX10+Supuestos!$C$9*SW10</f>
        <v>7353.30454715428</v>
      </c>
      <c r="SY11" s="181">
        <f>Supuestos!$B$9*SY10+Supuestos!$C$9*SX10</f>
        <v>6143.5967303778725</v>
      </c>
      <c r="SZ11" s="181">
        <f>Supuestos!$B$9*SZ10+Supuestos!$C$9*SY10</f>
        <v>3621.3611809270378</v>
      </c>
      <c r="TA11" s="181">
        <f>Supuestos!$B$9*TA10+Supuestos!$C$9*SZ10</f>
        <v>5087.0831800309325</v>
      </c>
      <c r="TB11" s="181">
        <f>Supuestos!$B$9*TB10+Supuestos!$C$9*TA10</f>
        <v>6954.3167665994661</v>
      </c>
      <c r="TC11" s="181">
        <f>Supuestos!$B$9*TC10+Supuestos!$C$9*TB10</f>
        <v>7542.1884695679419</v>
      </c>
      <c r="TD11" s="181">
        <f>Supuestos!$B$9*TD10+Supuestos!$C$9*TC10</f>
        <v>6301.4069557969469</v>
      </c>
      <c r="TE11" s="181">
        <f>Supuestos!$B$9*TE10+Supuestos!$C$9*TD10</f>
        <v>3548.6829647148488</v>
      </c>
      <c r="TF11" s="181">
        <f>Supuestos!$B$9*TF10+Supuestos!$C$9*TE10</f>
        <v>4784.412970438344</v>
      </c>
      <c r="TG11" s="181">
        <f>Supuestos!$B$9*TG10+Supuestos!$C$9*TF10</f>
        <v>6540.5502841518346</v>
      </c>
      <c r="TH11" s="181">
        <f>Supuestos!$B$9*TH10+Supuestos!$C$9*TG10</f>
        <v>7093.4449196625801</v>
      </c>
      <c r="TI11" s="181">
        <f>Supuestos!$B$9*TI10+Supuestos!$C$9*TH10</f>
        <v>5926.4871645251915</v>
      </c>
      <c r="TJ11" s="181">
        <f>Supuestos!$B$9*TJ10+Supuestos!$C$9*TI10</f>
        <v>2565.4921412545586</v>
      </c>
      <c r="TK11" s="181">
        <f>Supuestos!$B$9*TK10+Supuestos!$C$9*TJ10</f>
        <v>2480.664644344783</v>
      </c>
      <c r="TL11" s="181">
        <f>Supuestos!$B$9*TL10+Supuestos!$C$9*TK10</f>
        <v>3391.202211160331</v>
      </c>
      <c r="TM11" s="181">
        <f>Supuestos!$B$9*TM10+Supuestos!$C$9*TL10</f>
        <v>3677.8718993402254</v>
      </c>
      <c r="TN11" s="181">
        <f>Supuestos!$B$9*TN10+Supuestos!$C$9*TM10</f>
        <v>3072.8173477160881</v>
      </c>
    </row>
    <row r="12" spans="1:534" x14ac:dyDescent="0.3">
      <c r="A12" s="178" t="s">
        <v>175</v>
      </c>
      <c r="B12" s="179">
        <v>272.61937</v>
      </c>
      <c r="C12" s="179">
        <v>1204.9516900000001</v>
      </c>
      <c r="D12" s="179">
        <v>698.87129000000095</v>
      </c>
      <c r="E12" s="179">
        <v>1232.35546152146</v>
      </c>
      <c r="F12" s="179">
        <v>871.65070000000003</v>
      </c>
      <c r="G12" s="179">
        <v>559.66435898804195</v>
      </c>
      <c r="H12" s="179">
        <v>672.08985000000098</v>
      </c>
      <c r="I12" s="179">
        <v>1071.59087</v>
      </c>
      <c r="J12" s="179">
        <v>2226.8696984737899</v>
      </c>
      <c r="K12" s="179">
        <v>507.36345999999998</v>
      </c>
      <c r="L12" s="179">
        <v>658.97304999999994</v>
      </c>
      <c r="M12" s="179">
        <v>1016.72825</v>
      </c>
      <c r="N12" s="179">
        <v>1427.9461899999999</v>
      </c>
      <c r="O12" s="179">
        <v>952.436139999999</v>
      </c>
      <c r="P12" s="179">
        <v>175.86104</v>
      </c>
      <c r="Q12" s="179">
        <v>725.39555999999902</v>
      </c>
      <c r="R12" s="179">
        <v>1117.6051399999999</v>
      </c>
      <c r="S12" s="179">
        <v>948.51913999999999</v>
      </c>
      <c r="T12" s="179">
        <v>1246.16264</v>
      </c>
      <c r="U12" s="179">
        <v>438.30412999999999</v>
      </c>
      <c r="V12" s="179">
        <v>754.74567000000195</v>
      </c>
      <c r="W12" s="179">
        <v>695.78917971979695</v>
      </c>
      <c r="X12" s="179">
        <v>2269.82565877464</v>
      </c>
      <c r="Y12" s="179">
        <v>1092.2016000000001</v>
      </c>
      <c r="Z12" s="179">
        <v>290.36129930203202</v>
      </c>
      <c r="AA12" s="179">
        <v>616.17708000000005</v>
      </c>
      <c r="AB12" s="179">
        <v>941.69852000000196</v>
      </c>
      <c r="AC12" s="179">
        <v>850.21006999999997</v>
      </c>
      <c r="AD12" s="179">
        <v>914.67196000000001</v>
      </c>
      <c r="AE12" s="179">
        <v>533.30956000000106</v>
      </c>
      <c r="AF12" s="179">
        <v>807.74182000000098</v>
      </c>
      <c r="AG12" s="179">
        <v>2533.3942945745398</v>
      </c>
      <c r="AH12" s="179">
        <v>607.92068999999901</v>
      </c>
      <c r="AI12" s="179">
        <v>1193.0087900000001</v>
      </c>
      <c r="AJ12" s="179">
        <v>340.18489</v>
      </c>
      <c r="AK12" s="179">
        <v>1399.61006</v>
      </c>
      <c r="AL12" s="179">
        <v>912.51463000000001</v>
      </c>
      <c r="AM12" s="179">
        <v>989.18199999999899</v>
      </c>
      <c r="AN12" s="179">
        <v>479.40669148241102</v>
      </c>
      <c r="AO12" s="179">
        <v>344.07024999999999</v>
      </c>
      <c r="AP12" s="179">
        <v>631.63968999999997</v>
      </c>
      <c r="AQ12" s="179">
        <v>1306.17338</v>
      </c>
      <c r="AR12" s="179">
        <f>$AS$4*Supuestos!I12*Supuestos!$B$6</f>
        <v>1166.1797478845285</v>
      </c>
      <c r="AS12" s="179">
        <f>$AS$4*Supuestos!J12*Supuestos!$B$6+80.7879094587811</f>
        <v>956.35867938236368</v>
      </c>
      <c r="AT12" s="179">
        <f>$AX$4*Supuestos!F12*Supuestos!$B$6</f>
        <v>435.46661792375585</v>
      </c>
      <c r="AU12" s="179">
        <f>$AX$4*Supuestos!G12*Supuestos!$B$6</f>
        <v>952.21269569116816</v>
      </c>
      <c r="AV12" s="179">
        <f>$AX$4*Supuestos!H12*Supuestos!$B$6</f>
        <v>1148.7661817807091</v>
      </c>
      <c r="AW12" s="179">
        <f>$AX$4*Supuestos!I12*Supuestos!$B$6</f>
        <v>1196.1353418093099</v>
      </c>
      <c r="AX12" s="179">
        <f>$AX$4*Supuestos!J12*Supuestos!$B$6</f>
        <v>898.06150729388708</v>
      </c>
      <c r="AY12" s="179">
        <f>$BC$4*Supuestos!F12*Supuestos!$B$6</f>
        <v>409.55731629587154</v>
      </c>
      <c r="AZ12" s="179">
        <f>$BC$4*Supuestos!G12*Supuestos!$B$6</f>
        <v>895.55814415701855</v>
      </c>
      <c r="BA12" s="179">
        <f>$BC$4*Supuestos!H12*Supuestos!$B$6</f>
        <v>1080.4171320979144</v>
      </c>
      <c r="BB12" s="179">
        <f>$BC$4*Supuestos!I12*Supuestos!$B$6</f>
        <v>1124.9679317642626</v>
      </c>
      <c r="BC12" s="179">
        <f>$BC$4*Supuestos!J12*Supuestos!$B$6</f>
        <v>844.62883182542316</v>
      </c>
      <c r="BD12" s="179">
        <f>$BH$4*Supuestos!F12*Supuestos!$B$6</f>
        <v>212.35089041128882</v>
      </c>
      <c r="BE12" s="179">
        <f>$BH$4*Supuestos!G12*Supuestos!$B$6</f>
        <v>464.33688707306635</v>
      </c>
      <c r="BF12" s="179">
        <f>$BH$4*Supuestos!H12*Supuestos!$B$6</f>
        <v>560.18420594117924</v>
      </c>
      <c r="BG12" s="179">
        <f>$BH$4*Supuestos!I12*Supuestos!$B$6</f>
        <v>583.28329757320273</v>
      </c>
      <c r="BH12" s="179">
        <f>$BH$4*Supuestos!J12*Supuestos!$B$6</f>
        <v>437.9306079240057</v>
      </c>
      <c r="BI12" s="179">
        <f>$BM$4*Supuestos!F12*Supuestos!$B$6</f>
        <v>484.13623319562021</v>
      </c>
      <c r="BJ12" s="179">
        <f>$BM$4*Supuestos!G12*Supuestos!$B$6</f>
        <v>1058.6360669641142</v>
      </c>
      <c r="BK12" s="179">
        <f>$BM$4*Supuestos!H12*Supuestos!$B$6</f>
        <v>1277.1572129260285</v>
      </c>
      <c r="BL12" s="179">
        <f>$BM$4*Supuestos!I12*Supuestos!$B$6</f>
        <v>1329.820553264788</v>
      </c>
      <c r="BM12" s="179">
        <f>$BM$4*Supuestos!J12*Supuestos!$B$6</f>
        <v>998.43270970398066</v>
      </c>
      <c r="BN12" s="179">
        <f>$BQ$4*Supuestos!F13*Supuestos!$B$6</f>
        <v>518.75717392140427</v>
      </c>
      <c r="BO12" s="179">
        <f>$BQ$4*Supuestos!G13*Supuestos!$B$6</f>
        <v>795.91952979856728</v>
      </c>
      <c r="BP12" s="179">
        <f>$BQ$4*Supuestos!H13*Supuestos!$B$6</f>
        <v>1018.3854348090011</v>
      </c>
      <c r="BQ12" s="179">
        <f>$BQ$4*Supuestos!I13*Supuestos!$B$6</f>
        <v>2004.1602809809265</v>
      </c>
      <c r="BR12" s="179">
        <f>$BV$4*Supuestos!F12*Supuestos!$B$6</f>
        <v>439.55877695826962</v>
      </c>
      <c r="BS12" s="179">
        <f>$BV$4*Supuestos!G12*Supuestos!$B$6</f>
        <v>961.16081163178796</v>
      </c>
      <c r="BT12" s="179">
        <f>$BV$4*Supuestos!H12*Supuestos!$B$6</f>
        <v>1159.5613465897391</v>
      </c>
      <c r="BU12" s="179">
        <f>$BV$4*Supuestos!I12*Supuestos!$B$6</f>
        <v>1207.3756432331568</v>
      </c>
      <c r="BV12" s="179">
        <f>$BV$4*Supuestos!J12*Supuestos!$B$6</f>
        <v>906.50075466523253</v>
      </c>
      <c r="BW12" s="179">
        <f>$CA$4*Supuestos!F12*Supuestos!$B$6</f>
        <v>425.22357176505085</v>
      </c>
      <c r="BX12" s="179">
        <f>$CA$4*Supuestos!G12*Supuestos!$B$6</f>
        <v>929.81474784990064</v>
      </c>
      <c r="BY12" s="179">
        <f>$CA$4*Supuestos!H12*Supuestos!$B$6</f>
        <v>1121.7449026717804</v>
      </c>
      <c r="BZ12" s="179">
        <f>$CA$4*Supuestos!I12*Supuestos!$B$6</f>
        <v>1167.9998452777336</v>
      </c>
      <c r="CA12" s="179">
        <f>$CA$4*Supuestos!J12*Supuestos!$B$6</f>
        <v>876.93730375234725</v>
      </c>
      <c r="CB12" s="179">
        <f>$CF$4*Supuestos!F12*Supuestos!$B$6</f>
        <v>481.45797473647542</v>
      </c>
      <c r="CC12" s="179">
        <f>$CF$4*Supuestos!G12*Supuestos!$B$6</f>
        <v>1052.7796554685574</v>
      </c>
      <c r="CD12" s="179">
        <f>$CF$4*Supuestos!H12*Supuestos!$B$6</f>
        <v>1270.0919348603918</v>
      </c>
      <c r="CE12" s="179">
        <f>$CF$4*Supuestos!I12*Supuestos!$B$6</f>
        <v>1322.4639397710671</v>
      </c>
      <c r="CF12" s="179">
        <f>$CF$4*Supuestos!J12*Supuestos!$B$6</f>
        <v>992.90934527202933</v>
      </c>
      <c r="CG12" s="179">
        <f>$CK$4*Supuestos!F12*Supuestos!$B$6</f>
        <v>374.1675493894254</v>
      </c>
      <c r="CH12" s="179">
        <f>$CK$4*Supuestos!G12*Supuestos!$B$6</f>
        <v>818.17314159002649</v>
      </c>
      <c r="CI12" s="179">
        <f>$CK$4*Supuestos!H12*Supuestos!$B$6</f>
        <v>987.05850085067277</v>
      </c>
      <c r="CJ12" s="179">
        <f>$CK$4*Supuestos!I12*Supuestos!$B$6</f>
        <v>1027.7596747065304</v>
      </c>
      <c r="CK12" s="179">
        <f>$CK$4*Supuestos!J12*Supuestos!$B$6</f>
        <v>771.64462109001602</v>
      </c>
      <c r="CL12" s="179">
        <f>$CP$4*Supuestos!F12*Supuestos!$B$6</f>
        <v>486.64362302890419</v>
      </c>
      <c r="CM12" s="179">
        <f>$CP$4*Supuestos!G12*Supuestos!$B$6</f>
        <v>1064.1188487297607</v>
      </c>
      <c r="CN12" s="179">
        <f>$CP$4*Supuestos!H12*Supuestos!$B$6</f>
        <v>1283.7717374991194</v>
      </c>
      <c r="CO12" s="179">
        <f>$CP$4*Supuestos!I12*Supuestos!$B$6</f>
        <v>1336.7078265294622</v>
      </c>
      <c r="CP12" s="179">
        <f>$CU$4*Supuestos!J12*Supuestos!$B$6</f>
        <v>1114.0070389376272</v>
      </c>
      <c r="CQ12" s="179">
        <f>$CU$4*Supuestos!F12*Supuestos!$B$6</f>
        <v>540.17778698834138</v>
      </c>
      <c r="CR12" s="179">
        <f>$CU$4*Supuestos!G12*Supuestos!$B$6</f>
        <v>1181.17928109639</v>
      </c>
      <c r="CS12" s="179">
        <f>$CU$4*Supuestos!H12*Supuestos!$B$6</f>
        <v>1424.9955066590151</v>
      </c>
      <c r="CT12" s="179">
        <f>$CU$4*Supuestos!I12*Supuestos!$B$6</f>
        <v>1483.7549315668189</v>
      </c>
      <c r="CU12" s="179">
        <f>$CU$4*Supuestos!J12*Supuestos!$B$6</f>
        <v>1114.0070389376272</v>
      </c>
      <c r="CV12" s="179">
        <f>CZ4*Supuestos!$F$12*Supuestos!$B$6</f>
        <v>515.84154780525444</v>
      </c>
      <c r="CW12" s="179">
        <f>CZ4*Supuestos!$G$12*Supuestos!$B$6</f>
        <v>1127.9644651685946</v>
      </c>
      <c r="CX12" s="179">
        <f>CZ4*Supuestos!$H$12*Supuestos!$B$6</f>
        <v>1360.7962146477232</v>
      </c>
      <c r="CY12" s="179">
        <f>CZ4*Supuestos!$I$12*Supuestos!$B$6</f>
        <v>1416.9083936797024</v>
      </c>
      <c r="CZ12" s="179">
        <f>CZ4*Supuestos!$J$12*Supuestos!$B$6</f>
        <v>1063.818485457153</v>
      </c>
      <c r="DA12" s="179">
        <f>DE4*Supuestos!$F$12*Supuestos!$B$6</f>
        <v>529.09194077736345</v>
      </c>
      <c r="DB12" s="179">
        <f>DE4*Supuestos!$G$12*Supuestos!$B$6</f>
        <v>1156.9384252647696</v>
      </c>
      <c r="DC12" s="179">
        <f>DE4*Supuestos!$H$12*Supuestos!$B$6</f>
        <v>1395.750910863562</v>
      </c>
      <c r="DD12" s="179">
        <f>DE4*Supuestos!$I$12*Supuestos!$B$6</f>
        <v>1453.3044402983119</v>
      </c>
      <c r="DE12" s="179">
        <f>DE4*Supuestos!$J$12*Supuestos!$B$6</f>
        <v>1091.1447313620731</v>
      </c>
      <c r="DF12" s="179">
        <f>DJ4*Supuestos!$F$12*Supuestos!$B$6</f>
        <v>497.61213929948406</v>
      </c>
      <c r="DG12" s="179">
        <f>DJ4*Supuestos!$G$12*Supuestos!$B$6</f>
        <v>1088.1031451507779</v>
      </c>
      <c r="DH12" s="179">
        <f>DJ4*Supuestos!$H$12*Supuestos!$B$6</f>
        <v>1312.7068154989665</v>
      </c>
      <c r="DI12" s="179">
        <f>DJ4*Supuestos!$I$12*Supuestos!$B$6</f>
        <v>1366.8360370935793</v>
      </c>
      <c r="DJ12" s="179">
        <f>DJ4*Supuestos!$J$12*Supuestos!$B$6</f>
        <v>1026.2240306678891</v>
      </c>
      <c r="DK12" s="179">
        <f>DO4*Supuestos!$F$12*Supuestos!$B$6</f>
        <v>258.00633184971593</v>
      </c>
      <c r="DL12" s="179">
        <f>DO4*Supuestos!$G$12*Supuestos!$B$6</f>
        <v>564.16931779377569</v>
      </c>
      <c r="DM12" s="179">
        <f>DO4*Supuestos!$H$12*Supuestos!$B$6</f>
        <v>680.62381021853287</v>
      </c>
      <c r="DN12" s="179">
        <f>DO4*Supuestos!$I$12*Supuestos!$B$6</f>
        <v>708.68920655144154</v>
      </c>
      <c r="DO12" s="179">
        <f>DO4*Supuestos!$J$12*Supuestos!$B$6</f>
        <v>532.08568862766697</v>
      </c>
      <c r="DP12" s="179">
        <f>DT4*Supuestos!$F$12*Supuestos!$B$6</f>
        <v>566.43939283887551</v>
      </c>
      <c r="DQ12" s="179">
        <f>DT4*Supuestos!$G$12*Supuestos!$B$6</f>
        <v>1238.6041983480136</v>
      </c>
      <c r="DR12" s="179">
        <f>DT4*Supuestos!$H$12*Supuestos!$B$6</f>
        <v>1494.2739391234529</v>
      </c>
      <c r="DS12" s="179">
        <f>DT4*Supuestos!$I$12*Supuestos!$B$6</f>
        <v>1555.8900473198014</v>
      </c>
      <c r="DT12" s="179">
        <f>DT4*Supuestos!$J$12*Supuestos!$B$6</f>
        <v>1168.1662703536572</v>
      </c>
      <c r="DU12" s="179">
        <f>DY4*Supuestos!$F$12*Supuestos!$B$6</f>
        <v>477.21181255285012</v>
      </c>
      <c r="DV12" s="179">
        <f>DY4*Supuestos!$G$12*Supuestos!$B$6</f>
        <v>1043.4947886778734</v>
      </c>
      <c r="DW12" s="179">
        <f>DY4*Supuestos!$H$12*Supuestos!$B$6</f>
        <v>1258.8905078895673</v>
      </c>
      <c r="DX12" s="179">
        <f>DY4*Supuestos!$I$12*Supuestos!$B$6</f>
        <v>1310.8006240406805</v>
      </c>
      <c r="DY12" s="179">
        <f>DY4*Supuestos!$J$12*Supuestos!$B$6</f>
        <v>984.15249766561078</v>
      </c>
      <c r="DZ12" s="179">
        <f>ED4*Supuestos!$F$12*Supuestos!$B$6</f>
        <v>514.28376904117533</v>
      </c>
      <c r="EA12" s="179">
        <f>ED4*Supuestos!$G$12*Supuestos!$B$6</f>
        <v>1124.5581496091916</v>
      </c>
      <c r="EB12" s="179">
        <f>ED4*Supuestos!$H$12*Supuestos!$B$6</f>
        <v>1356.6867755099945</v>
      </c>
      <c r="EC12" s="179">
        <f>ED4*Supuestos!$I$12*Supuestos!$B$6</f>
        <v>1412.6295025827931</v>
      </c>
      <c r="ED12" s="179">
        <f>ED4*Supuestos!$J$12*Supuestos!$B$6</f>
        <v>1060.6058829583219</v>
      </c>
      <c r="EE12" s="179">
        <f>EI4*Supuestos!$F$12*Supuestos!$B$6</f>
        <v>497.51157896510944</v>
      </c>
      <c r="EF12" s="179">
        <f>EI4*Supuestos!$G$12*Supuestos!$B$6</f>
        <v>1087.8832549843835</v>
      </c>
      <c r="EG12" s="179">
        <f>EI4*Supuestos!$H$12*Supuestos!$B$6</f>
        <v>1312.441536125983</v>
      </c>
      <c r="EH12" s="179">
        <f>EI4*Supuestos!$I$12*Supuestos!$B$6</f>
        <v>1366.5598189749483</v>
      </c>
      <c r="EI12" s="179">
        <f>EI4*Supuestos!$J$12*Supuestos!$B$6</f>
        <v>1026.0166453902461</v>
      </c>
      <c r="EJ12" s="179">
        <f>EN4*Supuestos!$F$12*Supuestos!$B$6</f>
        <v>563.30583044167611</v>
      </c>
      <c r="EK12" s="179">
        <f>EN4*Supuestos!$G$12*Supuestos!$B$6</f>
        <v>1231.7521968982119</v>
      </c>
      <c r="EL12" s="179">
        <f>EN4*Supuestos!$H$12*Supuestos!$B$6</f>
        <v>1486.007563786658</v>
      </c>
      <c r="EM12" s="179">
        <f>EN4*Supuestos!$I$12*Supuestos!$B$6</f>
        <v>1547.2828095321481</v>
      </c>
      <c r="EN12" s="179">
        <f>EN4*Supuestos!$J$12*Supuestos!$B$6</f>
        <v>1161.7039339682742</v>
      </c>
      <c r="EO12" s="179">
        <f>ES4*Supuestos!$F$12*Supuestos!$B$6</f>
        <v>437.77603278562765</v>
      </c>
      <c r="EP12" s="179">
        <f>ES4*Supuestos!$G$12*Supuestos!$B$6</f>
        <v>957.26257566033087</v>
      </c>
      <c r="EQ12" s="179">
        <f>ES4*Supuestos!$H$12*Supuestos!$B$6</f>
        <v>1154.8584459952872</v>
      </c>
      <c r="ER12" s="179">
        <f>ES4*Supuestos!$I$12*Supuestos!$B$6</f>
        <v>1202.4788194066402</v>
      </c>
      <c r="ES12" s="179">
        <f>ES4*Supuestos!$J$12*Supuestos!$B$6</f>
        <v>902.82420667531869</v>
      </c>
      <c r="ET12" s="179">
        <f>EX4*Supuestos!$F$12*Supuestos!$B$6</f>
        <v>569.37303894381785</v>
      </c>
      <c r="EU12" s="179">
        <f>EX4*Supuestos!$G$12*Supuestos!$B$6</f>
        <v>1245.0190530138195</v>
      </c>
      <c r="EV12" s="179">
        <f>EX4*Supuestos!$H$12*Supuestos!$B$6</f>
        <v>1502.0129328739692</v>
      </c>
      <c r="EW12" s="179">
        <f>EX4*Supuestos!$I$12*Supuestos!$B$6</f>
        <v>1563.9481570394703</v>
      </c>
      <c r="EX12" s="179">
        <f>EX4*Supuestos!$J$12*Supuestos!$B$6</f>
        <v>1174.2163199658012</v>
      </c>
      <c r="EY12" s="179">
        <f>FC4*Supuestos!$F$12*Supuestos!$B$6</f>
        <v>632.00801077635936</v>
      </c>
      <c r="EZ12" s="179">
        <f>FC4*Supuestos!$G$12*Supuestos!$B$6</f>
        <v>1381.9797588827762</v>
      </c>
      <c r="FA12" s="179">
        <f>FC4*Supuestos!$H$12*Supuestos!$B$6</f>
        <v>1667.2447427910479</v>
      </c>
      <c r="FB12" s="179">
        <f>FC4*Supuestos!$I$12*Supuestos!$B$6</f>
        <v>1735.993269933178</v>
      </c>
      <c r="FC12" s="179">
        <f>FC4*Supuestos!$J$12*Supuestos!$B$6</f>
        <v>1303.3882355570236</v>
      </c>
      <c r="FD12" s="179">
        <f>FH4*Supuestos!$F$12*Supuestos!$B$6</f>
        <v>603.53461093214764</v>
      </c>
      <c r="FE12" s="179">
        <f>FH4*Supuestos!$G$12*Supuestos!$B$6</f>
        <v>1319.7184242472556</v>
      </c>
      <c r="FF12" s="179">
        <f>FH4*Supuestos!$H$12*Supuestos!$B$6</f>
        <v>1592.1315711378361</v>
      </c>
      <c r="FG12" s="179">
        <f>FH4*Supuestos!$I$12*Supuestos!$B$6</f>
        <v>1657.7828206052516</v>
      </c>
      <c r="FH12" s="179">
        <f>FH4*Supuestos!$J$12*Supuestos!$B$6</f>
        <v>1244.6676279848689</v>
      </c>
      <c r="FI12" s="179">
        <f>FM4*Supuestos!$F$12*Supuestos!$B$6</f>
        <v>619.03757070951519</v>
      </c>
      <c r="FJ12" s="179">
        <f>FM4*Supuestos!$G$12*Supuestos!$B$6</f>
        <v>1353.6179575597805</v>
      </c>
      <c r="FK12" s="179">
        <f>FM4*Supuestos!$H$12*Supuestos!$B$6</f>
        <v>1633.0285657103675</v>
      </c>
      <c r="FL12" s="179">
        <f>FM4*Supuestos!$I$12*Supuestos!$B$6</f>
        <v>1700.3661951490251</v>
      </c>
      <c r="FM12" s="179">
        <f>FM4*Supuestos!$J$12*Supuestos!$B$6</f>
        <v>1276.6393356936255</v>
      </c>
      <c r="FN12" s="179">
        <f>FR4*Supuestos!$F$12*Supuestos!$B$6</f>
        <v>582.20620298039614</v>
      </c>
      <c r="FO12" s="179">
        <f>FR4*Supuestos!$G$12*Supuestos!$B$6</f>
        <v>1273.08067982641</v>
      </c>
      <c r="FP12" s="179">
        <f>FR4*Supuestos!$H$12*Supuestos!$B$6</f>
        <v>1535.8669741337906</v>
      </c>
      <c r="FQ12" s="179">
        <f>FR4*Supuestos!$I$12*Supuestos!$B$6</f>
        <v>1599.1981633994878</v>
      </c>
      <c r="FR12" s="179">
        <f>FR4*Supuestos!$J$12*Supuestos!$B$6</f>
        <v>1200.6821158814303</v>
      </c>
      <c r="FS12" s="179">
        <f>FW4*Supuestos!$F$12*Supuestos!$B$6</f>
        <v>301.86740826416758</v>
      </c>
      <c r="FT12" s="179">
        <f>FW4*Supuestos!$G$12*Supuestos!$B$6</f>
        <v>660.07810181871753</v>
      </c>
      <c r="FU12" s="179">
        <f>FW4*Supuestos!$H$12*Supuestos!$B$6</f>
        <v>796.32985795568345</v>
      </c>
      <c r="FV12" s="179">
        <f>FW4*Supuestos!$I$12*Supuestos!$B$6</f>
        <v>829.16637166518638</v>
      </c>
      <c r="FW12" s="179">
        <f>FW4*Supuestos!$J$12*Supuestos!$B$6</f>
        <v>622.54025569437022</v>
      </c>
      <c r="FX12" s="179">
        <f>GB4*Supuestos!$F$12*Supuestos!$B$6</f>
        <v>659.90189265729009</v>
      </c>
      <c r="FY12" s="179">
        <f>GB4*Supuestos!$G$12*Supuestos!$B$6</f>
        <v>1442.9738910754361</v>
      </c>
      <c r="FZ12" s="179">
        <f>GB4*Supuestos!$H$12*Supuestos!$B$6</f>
        <v>1740.8291390788229</v>
      </c>
      <c r="GA12" s="179">
        <f>GB4*Supuestos!$I$12*Supuestos!$B$6</f>
        <v>1812.6119051275689</v>
      </c>
      <c r="GB12" s="179">
        <f>GB4*Supuestos!$J$12*Supuestos!$B$6</f>
        <v>1360.9137049620108</v>
      </c>
      <c r="GC12" s="179">
        <f>GF4*Supuestos!$F$13*Supuestos!$B$6</f>
        <v>707.09196591356999</v>
      </c>
      <c r="GD12" s="179">
        <f>GF4*Supuestos!$G$13*Supuestos!$B$6</f>
        <v>1084.8781150919369</v>
      </c>
      <c r="GE12" s="179">
        <f>GF4*Supuestos!$H$13*Supuestos!$B$6</f>
        <v>1388.1102669164086</v>
      </c>
      <c r="GF12" s="179">
        <f>GF4*Supuestos!$I$13*Supuestos!$B$6</f>
        <v>2731.7706709910512</v>
      </c>
      <c r="GG12" s="179">
        <f>GK4*Supuestos!$F$12*Supuestos!$B$6</f>
        <v>599.14059093296919</v>
      </c>
      <c r="GH12" s="179">
        <f>GK4*Supuestos!$G$12*Supuestos!$B$6</f>
        <v>1310.1102442947083</v>
      </c>
      <c r="GI12" s="179">
        <f>GK4*Supuestos!$H$12*Supuestos!$B$6</f>
        <v>1580.5400934691436</v>
      </c>
      <c r="GJ12" s="179">
        <f>GK4*Supuestos!$I$12*Supuestos!$B$6</f>
        <v>1645.7133705089543</v>
      </c>
      <c r="GK12" s="179">
        <f>GK4*Supuestos!$J$12*Supuestos!$B$6</f>
        <v>1235.6058536464452</v>
      </c>
      <c r="GL12" s="179">
        <f>GP4*Supuestos!$F$12*Supuestos!$B$6</f>
        <v>579.60098949435246</v>
      </c>
      <c r="GM12" s="179">
        <f>GP4*Supuestos!$G$12*Supuestos!$B$6</f>
        <v>1267.3839920568068</v>
      </c>
      <c r="GN12" s="179">
        <f>GP4*Supuestos!$H$12*Supuestos!$B$6</f>
        <v>1528.9943895867702</v>
      </c>
      <c r="GO12" s="179">
        <f>GP4*Supuestos!$I$12*Supuestos!$B$6</f>
        <v>1592.0421891058147</v>
      </c>
      <c r="GP12" s="179">
        <f>GP4*Supuestos!$J$12*Supuestos!$B$6</f>
        <v>1195.3093918796367</v>
      </c>
      <c r="GQ12" s="179">
        <f>GU4*Supuestos!$F$12*Supuestos!$B$6</f>
        <v>656.25129246455276</v>
      </c>
      <c r="GR12" s="179">
        <f>GU4*Supuestos!$G$12*Supuestos!$B$6</f>
        <v>1434.991309386417</v>
      </c>
      <c r="GS12" s="179">
        <f>GU4*Supuestos!$H$12*Supuestos!$B$6</f>
        <v>1731.1988118114568</v>
      </c>
      <c r="GT12" s="179">
        <f>GU4*Supuestos!$I$12*Supuestos!$B$6</f>
        <v>1802.5844731049526</v>
      </c>
      <c r="GU12" s="179">
        <f>GU4*Supuestos!$J$12*Supuestos!$B$6</f>
        <v>1353.3850830730394</v>
      </c>
      <c r="GV12" s="179">
        <f>GZ4*Supuestos!$F$12*Supuestos!$B$6</f>
        <v>510.00907819525628</v>
      </c>
      <c r="GW12" s="179">
        <f>GZ4*Supuestos!$G$12*Supuestos!$B$6</f>
        <v>1115.2109006442856</v>
      </c>
      <c r="GX12" s="179">
        <f>GZ4*Supuestos!$H$12*Supuestos!$B$6</f>
        <v>1345.4100895845095</v>
      </c>
      <c r="GY12" s="179">
        <f>GZ4*Supuestos!$I$12*Supuestos!$B$6</f>
        <v>1400.8878246087359</v>
      </c>
      <c r="GZ12" s="179">
        <f>GZ4*Supuestos!$J$12*Supuestos!$B$6</f>
        <v>1051.7902007767464</v>
      </c>
      <c r="HA12" s="179">
        <f>HE4*Supuestos!$F$12*Supuestos!$B$6</f>
        <v>663.31959036954777</v>
      </c>
      <c r="HB12" s="179">
        <f>HE4*Supuestos!$G$12*Supuestos!$B$6</f>
        <v>1450.4471967610998</v>
      </c>
      <c r="HC12" s="179">
        <f>HE4*Supuestos!$H$12*Supuestos!$B$6</f>
        <v>1749.8450667981742</v>
      </c>
      <c r="HD12" s="179">
        <f>HE4*Supuestos!$I$12*Supuestos!$B$6</f>
        <v>1821.999602950983</v>
      </c>
      <c r="HE12" s="179">
        <f>HE4*Supuestos!$J$12*Supuestos!$B$6</f>
        <v>1367.9620127601584</v>
      </c>
      <c r="HF12" s="179">
        <f>HJ4*Supuestos!$F$12*Supuestos!$B$6</f>
        <v>736.28933255445861</v>
      </c>
      <c r="HG12" s="179">
        <f>HJ4*Supuestos!$G$12*Supuestos!$B$6</f>
        <v>1610.0064190984342</v>
      </c>
      <c r="HH12" s="179">
        <f>HJ4*Supuestos!$H$12*Supuestos!$B$6</f>
        <v>1942.3401253515704</v>
      </c>
      <c r="HI12" s="179">
        <f>HJ4*Supuestos!$I$12*Supuestos!$B$6</f>
        <v>2022.4321594721523</v>
      </c>
      <c r="HJ12" s="179">
        <f>HJ4*Supuestos!$J$12*Supuestos!$B$6</f>
        <v>1518.4472944239324</v>
      </c>
      <c r="HK12" s="179">
        <f>HO4*Supuestos!$F$12*Supuestos!$B$6</f>
        <v>703.11782173595202</v>
      </c>
      <c r="HL12" s="179">
        <f>HO4*Supuestos!$G$12*Supuestos!$B$6</f>
        <v>1537.4719642480529</v>
      </c>
      <c r="HM12" s="179">
        <f>HO4*Supuestos!$H$12*Supuestos!$B$6</f>
        <v>1854.8332803755791</v>
      </c>
      <c r="HN12" s="179">
        <f>HO4*Supuestos!$I$12*Supuestos!$B$6</f>
        <v>1931.3169860051182</v>
      </c>
      <c r="HO12" s="179">
        <f>HO4*Supuestos!$J$12*Supuestos!$B$6</f>
        <v>1450.0377866023721</v>
      </c>
      <c r="HP12" s="179">
        <f>HT4*Supuestos!$F$12*Supuestos!$B$6</f>
        <v>721.17876987658519</v>
      </c>
      <c r="HQ12" s="179">
        <f>HT4*Supuestos!$G$12*Supuestos!$B$6</f>
        <v>1576.9649205571441</v>
      </c>
      <c r="HR12" s="179">
        <f>HT4*Supuestos!$H$12*Supuestos!$B$6</f>
        <v>1902.478279052578</v>
      </c>
      <c r="HS12" s="179">
        <f>HT4*Supuestos!$I$12*Supuestos!$B$6</f>
        <v>1980.9266173486139</v>
      </c>
      <c r="HT12" s="179">
        <f>HT4*Supuestos!$J$12*Supuestos!$B$6</f>
        <v>1487.2848260830738</v>
      </c>
      <c r="HU12" s="179">
        <f>HY4*Supuestos!$F$12*Supuestos!$B$6</f>
        <v>678.27022647216165</v>
      </c>
      <c r="HV12" s="179">
        <f>HY4*Supuestos!$G$12*Supuestos!$B$6</f>
        <v>1483.1389919977676</v>
      </c>
      <c r="HW12" s="179">
        <f>HY4*Supuestos!$H$12*Supuestos!$B$6</f>
        <v>1789.285024865866</v>
      </c>
      <c r="HX12" s="179">
        <f>HY4*Supuestos!$I$12*Supuestos!$B$6</f>
        <v>1863.0658603604031</v>
      </c>
      <c r="HY12" s="179">
        <f>HY4*Supuestos!$J$12*Supuestos!$B$6</f>
        <v>1398.7946650018662</v>
      </c>
      <c r="HZ12" s="179">
        <f>ID4*Supuestos!$F$12*Supuestos!$B$6</f>
        <v>351.67553062775528</v>
      </c>
      <c r="IA12" s="179">
        <f>ID4*Supuestos!$G$12*Supuestos!$B$6</f>
        <v>768.990988618806</v>
      </c>
      <c r="IB12" s="179">
        <f>ID4*Supuestos!$H$12*Supuestos!$B$6</f>
        <v>927.72428451837118</v>
      </c>
      <c r="IC12" s="179">
        <f>ID4*Supuestos!$I$12*Supuestos!$B$6</f>
        <v>965.97882298994216</v>
      </c>
      <c r="ID12" s="179">
        <f>ID4*Supuestos!$J$12*Supuestos!$B$6</f>
        <v>725.25939788394135</v>
      </c>
      <c r="IE12" s="179">
        <f>II4*Supuestos!$F$12*Supuestos!$B$6</f>
        <v>765.48619548245654</v>
      </c>
      <c r="IF12" s="179">
        <f>II4*Supuestos!$G$12*Supuestos!$B$6</f>
        <v>1673.8497136475055</v>
      </c>
      <c r="IG12" s="179">
        <f>II4*Supuestos!$H$12*Supuestos!$B$6</f>
        <v>2019.3618013314344</v>
      </c>
      <c r="IH12" s="179">
        <f>II4*Supuestos!$I$12*Supuestos!$B$6</f>
        <v>2102.62980994798</v>
      </c>
      <c r="II12" s="179">
        <f>II4*Supuestos!$J$12*Supuestos!$B$6</f>
        <v>1578.6598977559322</v>
      </c>
      <c r="IJ12" s="179">
        <f>IM4*Supuestos!$F$13*Supuestos!$B$6</f>
        <v>820.22668045974126</v>
      </c>
      <c r="IK12" s="179">
        <f>IM4*Supuestos!$G$13*Supuestos!$B$6</f>
        <v>1258.4586135066468</v>
      </c>
      <c r="IL12" s="179">
        <f>IM4*Supuestos!$H$13*Supuestos!$B$6</f>
        <v>1610.2079096230341</v>
      </c>
      <c r="IM12" s="179">
        <f>IM4*Supuestos!$I$13*Supuestos!$B$6</f>
        <v>3168.8539783496194</v>
      </c>
      <c r="IN12" s="179">
        <f>IR4*Supuestos!$F$12*Supuestos!$B$6</f>
        <v>695.00308548224439</v>
      </c>
      <c r="IO12" s="179">
        <f>IR4*Supuestos!$G$12*Supuestos!$B$6</f>
        <v>1519.7278833818616</v>
      </c>
      <c r="IP12" s="179">
        <f>IR4*Supuestos!$H$12*Supuestos!$B$6</f>
        <v>1833.4265084242065</v>
      </c>
      <c r="IQ12" s="179">
        <f>IR4*Supuestos!$I$12*Supuestos!$B$6</f>
        <v>1909.0275097903868</v>
      </c>
      <c r="IR12" s="179">
        <f>IR4*Supuestos!$J$12*Supuestos!$B$6</f>
        <v>1433.3027902298763</v>
      </c>
      <c r="IS12" s="179">
        <f>IW4*Supuestos!$F$12*Supuestos!$B$6</f>
        <v>672.33714781344895</v>
      </c>
      <c r="IT12" s="179">
        <f>IW4*Supuestos!$G$12*Supuestos!$B$6</f>
        <v>1470.1654307858958</v>
      </c>
      <c r="IU12" s="179">
        <f>IW4*Supuestos!$H$12*Supuestos!$B$6</f>
        <v>1773.6334919206533</v>
      </c>
      <c r="IV12" s="179">
        <f>IW4*Supuestos!$I$12*Supuestos!$B$6</f>
        <v>1846.768939362745</v>
      </c>
      <c r="IW12" s="179">
        <f>IW4*Supuestos!$J$12*Supuestos!$B$6</f>
        <v>1386.5588945803788</v>
      </c>
      <c r="IX12" s="179">
        <f>JB4*Supuestos!$F$12*Supuestos!$B$6</f>
        <v>761.25149925888104</v>
      </c>
      <c r="IY12" s="179">
        <f>JB4*Supuestos!$G$12*Supuestos!$B$6</f>
        <v>1664.5899188882438</v>
      </c>
      <c r="IZ12" s="179">
        <f>JB4*Supuestos!$H$12*Supuestos!$B$6</f>
        <v>2008.1906217012897</v>
      </c>
      <c r="JA12" s="179">
        <f>JB4*Supuestos!$I$12*Supuestos!$B$6</f>
        <v>2090.9979888017447</v>
      </c>
      <c r="JB12" s="179">
        <f>JB4*Supuestos!$J$12*Supuestos!$B$6</f>
        <v>1569.9266963647256</v>
      </c>
      <c r="JC12" s="179">
        <f>JG4*Supuestos!$F$12*Supuestos!$B$6</f>
        <v>591.61053070649723</v>
      </c>
      <c r="JD12" s="179">
        <f>JG4*Supuestos!$G$12*Supuestos!$B$6</f>
        <v>1293.6446447473711</v>
      </c>
      <c r="JE12" s="179">
        <f>JG4*Supuestos!$H$12*Supuestos!$B$6</f>
        <v>1560.6757039180309</v>
      </c>
      <c r="JF12" s="179">
        <f>JG4*Supuestos!$I$12*Supuestos!$B$6</f>
        <v>1625.0298765461337</v>
      </c>
      <c r="JG12" s="179">
        <f>JG4*Supuestos!$J$12*Supuestos!$B$6</f>
        <v>1220.0766329010257</v>
      </c>
      <c r="JH12" s="179">
        <f>JL4*Supuestos!$F$12*Supuestos!$B$6</f>
        <v>769.45072482867533</v>
      </c>
      <c r="JI12" s="179">
        <f>JL4*Supuestos!$G$12*Supuestos!$B$6</f>
        <v>1682.5187482428755</v>
      </c>
      <c r="JJ12" s="179">
        <f>JL4*Supuestos!$H$12*Supuestos!$B$6</f>
        <v>2029.8202774858819</v>
      </c>
      <c r="JK12" s="179">
        <f>JL4*Supuestos!$I$12*Supuestos!$B$6</f>
        <v>2113.51953942314</v>
      </c>
      <c r="JL12" s="179">
        <f>JL4*Supuestos!$J$12*Supuestos!$B$6</f>
        <v>1586.8359348017837</v>
      </c>
      <c r="JM12" s="179">
        <f>JQ4*Supuestos!$F$12*Supuestos!$B$6</f>
        <v>854.09562576317205</v>
      </c>
      <c r="JN12" s="179">
        <f>JQ4*Supuestos!$G$12*Supuestos!$B$6</f>
        <v>1867.6074461541837</v>
      </c>
      <c r="JO12" s="179">
        <f>JQ4*Supuestos!$H$12*Supuestos!$B$6</f>
        <v>2253.1145454078214</v>
      </c>
      <c r="JP12" s="179">
        <f>JQ4*Supuestos!$I$12*Supuestos!$B$6</f>
        <v>2346.0213049876966</v>
      </c>
      <c r="JQ12" s="179">
        <f>JQ4*Supuestos!$J$12*Supuestos!$B$6</f>
        <v>1761.3988615317614</v>
      </c>
      <c r="JR12" s="179">
        <f>JV4*Supuestos!$F$12*Supuestos!$B$6</f>
        <v>815.6166732137043</v>
      </c>
      <c r="JS12" s="179">
        <f>JV4*Supuestos!$G$12*Supuestos!$B$6</f>
        <v>1783.4674785277409</v>
      </c>
      <c r="JT12" s="179">
        <f>JV4*Supuestos!$H$12*Supuestos!$B$6</f>
        <v>2151.6066052356719</v>
      </c>
      <c r="JU12" s="179">
        <f>JV4*Supuestos!$I$12*Supuestos!$B$6</f>
        <v>2240.3277037659368</v>
      </c>
      <c r="JV12" s="179">
        <f>JV4*Supuestos!$J$12*Supuestos!$B$6</f>
        <v>1682.0438324587517</v>
      </c>
      <c r="JW12" s="179">
        <f>KA4*Supuestos!$F$12*Supuestos!$B$6</f>
        <v>836.56737305683885</v>
      </c>
      <c r="JX12" s="179">
        <f>KA4*Supuestos!$G$12*Supuestos!$B$6</f>
        <v>1829.2793078462871</v>
      </c>
      <c r="JY12" s="179">
        <f>KA4*Supuestos!$H$12*Supuestos!$B$6</f>
        <v>2206.8748037009905</v>
      </c>
      <c r="JZ12" s="179">
        <f>KA4*Supuestos!$I$12*Supuestos!$B$6</f>
        <v>2297.8748761243919</v>
      </c>
      <c r="KA12" s="179">
        <f>KA4*Supuestos!$J$12*Supuestos!$B$6</f>
        <v>1725.2503982563655</v>
      </c>
      <c r="KB12" s="179">
        <f>KF4*Supuestos!$F$12*Supuestos!$B$6</f>
        <v>786.79346270770748</v>
      </c>
      <c r="KC12" s="179">
        <f>KF4*Supuestos!$G$12*Supuestos!$B$6</f>
        <v>1720.4412307174102</v>
      </c>
      <c r="KD12" s="179">
        <f>KF4*Supuestos!$H$12*Supuestos!$B$6</f>
        <v>2075.5706288444044</v>
      </c>
      <c r="KE12" s="179">
        <f>KF4*Supuestos!$I$12*Supuestos!$B$6</f>
        <v>2161.1563980180676</v>
      </c>
      <c r="KF12" s="179">
        <f>KF4*Supuestos!$J$12*Supuestos!$B$6</f>
        <v>1622.6018114021647</v>
      </c>
      <c r="KG12" s="179">
        <f>KK4*Supuestos!$F$12*Supuestos!$B$6</f>
        <v>407.94361552819606</v>
      </c>
      <c r="KH12" s="179">
        <f>KK4*Supuestos!$G$12*Supuestos!$B$6</f>
        <v>892.02954679781476</v>
      </c>
      <c r="KI12" s="179">
        <f>KK4*Supuestos!$H$12*Supuestos!$B$6</f>
        <v>1076.1601700413105</v>
      </c>
      <c r="KJ12" s="179">
        <f>KK4*Supuestos!$I$12*Supuestos!$B$6</f>
        <v>1120.5354346683328</v>
      </c>
      <c r="KK12" s="179">
        <f>KK4*Supuestos!$J$12*Supuestos!$B$6</f>
        <v>841.30090154537186</v>
      </c>
      <c r="KL12" s="179">
        <f>KP4*Supuestos!$F$12*Supuestos!$B$6</f>
        <v>884.13655578223722</v>
      </c>
      <c r="KM12" s="179">
        <f>KP4*Supuestos!$G$12*Supuestos!$B$6</f>
        <v>1933.296419262869</v>
      </c>
      <c r="KN12" s="179">
        <f>KP4*Supuestos!$H$12*Supuestos!$B$6</f>
        <v>2332.3628805378066</v>
      </c>
      <c r="KO12" s="179">
        <f>KP4*Supuestos!$I$12*Supuestos!$B$6</f>
        <v>2428.5374304899169</v>
      </c>
      <c r="KP12" s="179">
        <f>KP4*Supuestos!$J$12*Supuestos!$B$6</f>
        <v>1823.352181908102</v>
      </c>
      <c r="KQ12" s="179">
        <f>KT4*Supuestos!$F$13*Supuestos!$B$6</f>
        <v>947.36181593100116</v>
      </c>
      <c r="KR12" s="179">
        <f>KT4*Supuestos!$G$13*Supuestos!$B$6</f>
        <v>1453.5196986001772</v>
      </c>
      <c r="KS12" s="179">
        <f>KT4*Supuestos!$H$13*Supuestos!$B$6</f>
        <v>1859.7901356146044</v>
      </c>
      <c r="KT12" s="179">
        <f>KT4*Supuestos!$I$13*Supuestos!$B$6</f>
        <v>3660.0263449938111</v>
      </c>
      <c r="KU12" s="179">
        <f>KY4*Supuestos!$F$12*Supuestos!$B$6</f>
        <v>802.72856373199215</v>
      </c>
      <c r="KV12" s="179">
        <f>KY4*Supuestos!$G$12*Supuestos!$B$6</f>
        <v>1755.28570530605</v>
      </c>
      <c r="KW12" s="179">
        <f>KY4*Supuestos!$H$12*Supuestos!$B$6</f>
        <v>2117.6076172299586</v>
      </c>
      <c r="KX12" s="179">
        <f>KY4*Supuestos!$I$12*Supuestos!$B$6</f>
        <v>2204.9267738078966</v>
      </c>
      <c r="KY12" s="179">
        <f>KY4*Supuestos!$J$12*Supuestos!$B$6</f>
        <v>1655.4647227155072</v>
      </c>
      <c r="KZ12" s="179">
        <f>LD4*Supuestos!$F$12*Supuestos!$B$6</f>
        <v>776.54940572453347</v>
      </c>
      <c r="LA12" s="179">
        <f>LD4*Supuestos!$G$12*Supuestos!$B$6</f>
        <v>1698.0410725577101</v>
      </c>
      <c r="LB12" s="179">
        <f>LD4*Supuestos!$H$12*Supuestos!$B$6</f>
        <v>2048.5466831683548</v>
      </c>
      <c r="LC12" s="179">
        <f>LD4*Supuestos!$I$12*Supuestos!$B$6</f>
        <v>2133.0181249639709</v>
      </c>
      <c r="LD12" s="179">
        <f>LD4*Supuestos!$J$12*Supuestos!$B$6</f>
        <v>1601.4755232403377</v>
      </c>
      <c r="LE12" s="179">
        <f>LI4*Supuestos!$F$12*Supuestos!$B$6</f>
        <v>879.24548164400755</v>
      </c>
      <c r="LF12" s="179">
        <f>LI4*Supuestos!$G$12*Supuestos!$B$6</f>
        <v>1922.6013563159213</v>
      </c>
      <c r="LG12" s="179">
        <f>LI4*Supuestos!$H$12*Supuestos!$B$6</f>
        <v>2319.4601680649898</v>
      </c>
      <c r="LH12" s="179">
        <f>LI4*Supuestos!$I$12*Supuestos!$B$6</f>
        <v>2415.1026770660155</v>
      </c>
      <c r="LI12" s="179">
        <f>LI4*Supuestos!$J$12*Supuestos!$B$6</f>
        <v>1813.2653343012582</v>
      </c>
      <c r="LJ12" s="179">
        <f>LN4*Supuestos!$F$12*Supuestos!$B$6</f>
        <v>683.31016296600421</v>
      </c>
      <c r="LK12" s="179">
        <f>LN4*Supuestos!$G$12*Supuestos!$B$6</f>
        <v>1494.1595646832138</v>
      </c>
      <c r="LL12" s="179">
        <f>LN4*Supuestos!$H$12*Supuestos!$B$6</f>
        <v>1802.5804380253257</v>
      </c>
      <c r="LM12" s="179">
        <f>LN4*Supuestos!$I$12*Supuestos!$B$6</f>
        <v>1876.9095074107845</v>
      </c>
      <c r="LN12" s="179">
        <f>LN4*Supuestos!$J$12*Supuestos!$B$6</f>
        <v>1409.1885110006847</v>
      </c>
      <c r="LO12" s="179">
        <f>LS4*Supuestos!$F$12*Supuestos!$B$6</f>
        <v>888.71558717712014</v>
      </c>
      <c r="LP12" s="179">
        <f>LS4*Supuestos!$G$12*Supuestos!$B$6</f>
        <v>1943.3091542205218</v>
      </c>
      <c r="LQ12" s="179">
        <f>LS4*Supuestos!$H$12*Supuestos!$B$6</f>
        <v>2344.4424204961938</v>
      </c>
      <c r="LR12" s="179">
        <f>LS4*Supuestos!$I$12*Supuestos!$B$6</f>
        <v>2441.1150680337269</v>
      </c>
      <c r="LS12" s="179">
        <f>LS4*Supuestos!$J$12*Supuestos!$B$6</f>
        <v>1832.7955046960603</v>
      </c>
      <c r="LT12" s="179">
        <f>LX4*Supuestos!$F$12*Supuestos!$B$6</f>
        <v>986.48044775646372</v>
      </c>
      <c r="LU12" s="179">
        <f>LX4*Supuestos!$G$12*Supuestos!$B$6</f>
        <v>2157.0866003080819</v>
      </c>
      <c r="LV12" s="179">
        <f>LX4*Supuestos!$H$12*Supuestos!$B$6</f>
        <v>2602.3472999460341</v>
      </c>
      <c r="LW12" s="179">
        <f>LX4*Supuestos!$I$12*Supuestos!$B$6</f>
        <v>2709.6546072607894</v>
      </c>
      <c r="LX12" s="179">
        <f>LX4*Supuestos!$J$12*Supuestos!$B$6</f>
        <v>2034.4156850691847</v>
      </c>
      <c r="LY12" s="179">
        <f>MC4*Supuestos!$F$12*Supuestos!$B$6</f>
        <v>942.03725756182848</v>
      </c>
      <c r="LZ12" s="179">
        <f>MC4*Supuestos!$G$12*Supuestos!$B$6</f>
        <v>2059.9049376995408</v>
      </c>
      <c r="MA12" s="179">
        <f>MC4*Supuestos!$H$12*Supuestos!$B$6</f>
        <v>2485.1056290472011</v>
      </c>
      <c r="MB12" s="179">
        <f>MC4*Supuestos!$I$12*Supuestos!$B$6</f>
        <v>2587.5784978496572</v>
      </c>
      <c r="MC12" s="179">
        <f>MC4*Supuestos!$J$12*Supuestos!$B$6</f>
        <v>1942.7606264898584</v>
      </c>
      <c r="MD12" s="179">
        <f>MH4*Supuestos!$F$12*Supuestos!$B$6</f>
        <v>966.23531588064884</v>
      </c>
      <c r="ME12" s="179">
        <f>MH4*Supuestos!$G$12*Supuestos!$B$6</f>
        <v>2112.8176005624618</v>
      </c>
      <c r="MF12" s="179">
        <f>MH4*Supuestos!$H$12*Supuestos!$B$6</f>
        <v>2548.9403982746439</v>
      </c>
      <c r="MG12" s="179">
        <f>MH4*Supuestos!$I$12*Supuestos!$B$6</f>
        <v>2654.0454819236729</v>
      </c>
      <c r="MH12" s="179">
        <f>MH4*Supuestos!$J$12*Supuestos!$B$6</f>
        <v>1992.6642099861022</v>
      </c>
      <c r="MI12" s="179">
        <f>MM4*Supuestos!$F$12*Supuestos!$B$6</f>
        <v>908.74644942740213</v>
      </c>
      <c r="MJ12" s="179">
        <f>MM4*Supuestos!$G$12*Supuestos!$B$6</f>
        <v>1987.1096214786087</v>
      </c>
      <c r="MK12" s="179">
        <f>MM4*Supuestos!$H$12*Supuestos!$B$6</f>
        <v>2397.2840763152872</v>
      </c>
      <c r="ML12" s="179">
        <f>MM4*Supuestos!$I$12*Supuestos!$B$6</f>
        <v>2496.135639710868</v>
      </c>
      <c r="MM12" s="179">
        <f>MM4*Supuestos!$J$12*Supuestos!$B$6</f>
        <v>1874.1050921695003</v>
      </c>
      <c r="MN12" s="179">
        <f>MR4*Supuestos!$F$12*Supuestos!$B$6</f>
        <v>471.17487593506644</v>
      </c>
      <c r="MO12" s="179">
        <f>MR4*Supuestos!$G$12*Supuestos!$B$6</f>
        <v>1030.2941265514762</v>
      </c>
      <c r="MP12" s="179">
        <f>MR4*Supuestos!$H$12*Supuestos!$B$6</f>
        <v>1242.9649963977135</v>
      </c>
      <c r="MQ12" s="179">
        <f>MR4*Supuestos!$I$12*Supuestos!$B$6</f>
        <v>1294.2184270419243</v>
      </c>
      <c r="MR12" s="179">
        <f>MR4*Supuestos!$J$12*Supuestos!$B$6</f>
        <v>971.70254128490467</v>
      </c>
      <c r="MS12" s="179">
        <f>MW4*Supuestos!$F$12*Supuestos!$B$6</f>
        <v>1007.9156735917506</v>
      </c>
      <c r="MT12" s="179">
        <f>MW4*Supuestos!$G$12*Supuestos!$B$6</f>
        <v>2203.9579179596712</v>
      </c>
      <c r="MU12" s="179">
        <f>MW4*Supuestos!$H$12*Supuestos!$B$6</f>
        <v>2658.8936838131008</v>
      </c>
      <c r="MV12" s="179">
        <f>MW4*Supuestos!$I$12*Supuestos!$B$6</f>
        <v>2768.5326707585059</v>
      </c>
      <c r="MW12" s="179">
        <f>MW4*Supuestos!$J$12*Supuestos!$B$6</f>
        <v>2078.6214873752369</v>
      </c>
      <c r="MX12" s="179">
        <f>NB4*Supuestos!$F$12*Supuestos!$B$6</f>
        <v>849.1451540552797</v>
      </c>
      <c r="MY12" s="179">
        <f>NB4*Supuestos!$G$12*Supuestos!$B$6</f>
        <v>1856.7825015639637</v>
      </c>
      <c r="MZ12" s="179">
        <f>NB4*Supuestos!$H$12*Supuestos!$B$6</f>
        <v>2240.0551414309944</v>
      </c>
      <c r="NA12" s="179">
        <f>NB4*Supuestos!$I$12*Supuestos!$B$6</f>
        <v>2332.4233989147356</v>
      </c>
      <c r="NB12" s="179">
        <f>NB4*Supuestos!$J$12*Supuestos!$B$6</f>
        <v>1751.189518494165</v>
      </c>
      <c r="NC12" s="179">
        <f>NG4*Supuestos!$F$12*Supuestos!$B$6</f>
        <v>915.11056265447132</v>
      </c>
      <c r="ND12" s="179">
        <f>NG4*Supuestos!$G$12*Supuestos!$B$6</f>
        <v>2001.0257040488978</v>
      </c>
      <c r="NE12" s="179">
        <f>NG4*Supuestos!$H$12*Supuestos!$B$6</f>
        <v>2414.0726836421532</v>
      </c>
      <c r="NF12" s="179">
        <f>NG4*Supuestos!$I$12*Supuestos!$B$6</f>
        <v>2513.6165221410029</v>
      </c>
      <c r="NG12" s="179">
        <f>NG4*Supuestos!$J$12*Supuestos!$B$6</f>
        <v>1887.2297838956786</v>
      </c>
      <c r="NH12" s="179">
        <f>NL4*Supuestos!$F$12*Supuestos!$B$6</f>
        <v>885.26632252596835</v>
      </c>
      <c r="NI12" s="179">
        <f>NL4*Supuestos!$G$12*Supuestos!$B$6</f>
        <v>1935.7668227157894</v>
      </c>
      <c r="NJ12" s="179">
        <f>NL4*Supuestos!$H$12*Supuestos!$B$6</f>
        <v>2335.3432188119245</v>
      </c>
      <c r="NK12" s="179">
        <f>NL4*Supuestos!$I$12*Supuestos!$B$6</f>
        <v>2431.6406624589267</v>
      </c>
      <c r="NL12" s="179">
        <f>NL4*Supuestos!$J$12*Supuestos!$B$6</f>
        <v>1825.682096493985</v>
      </c>
      <c r="NM12" s="179">
        <f>NQ4*Supuestos!$F$12*Supuestos!$B$6</f>
        <v>1002.3398490741689</v>
      </c>
      <c r="NN12" s="179">
        <f>NQ4*Supuestos!$G$12*Supuestos!$B$6</f>
        <v>2191.7655462001508</v>
      </c>
      <c r="NO12" s="179">
        <f>NQ4*Supuestos!$H$12*Supuestos!$B$6</f>
        <v>2644.1845915940889</v>
      </c>
      <c r="NP12" s="179">
        <f>NQ4*Supuestos!$I$12*Supuestos!$B$6</f>
        <v>2753.2170518552584</v>
      </c>
      <c r="NQ12" s="179">
        <f>NQ4*Supuestos!$J$12*Supuestos!$B$6</f>
        <v>2067.1224811034349</v>
      </c>
      <c r="NR12" s="179">
        <f>NV4*Supuestos!$F$12*Supuestos!$B$6</f>
        <v>778.97358578124511</v>
      </c>
      <c r="NS12" s="179">
        <f>NV4*Supuestos!$G$12*Supuestos!$B$6</f>
        <v>1703.3419037388642</v>
      </c>
      <c r="NT12" s="179">
        <f>NV4*Supuestos!$H$12*Supuestos!$B$6</f>
        <v>2054.9416993488717</v>
      </c>
      <c r="NU12" s="179">
        <f>NV4*Supuestos!$I$12*Supuestos!$B$6</f>
        <v>2139.6768384482948</v>
      </c>
      <c r="NV12" s="179">
        <f>NV4*Supuestos!$J$12*Supuestos!$B$6</f>
        <v>1606.4749025407809</v>
      </c>
      <c r="NW12" s="179">
        <f>OA4*Supuestos!$F$12*Supuestos!$B$6</f>
        <v>1013.1357693819172</v>
      </c>
      <c r="NX12" s="179">
        <f>OA4*Supuestos!$G$12*Supuestos!$B$6</f>
        <v>2215.372435811395</v>
      </c>
      <c r="NY12" s="179">
        <f>OA4*Supuestos!$H$12*Supuestos!$B$6</f>
        <v>2672.6643593656613</v>
      </c>
      <c r="NZ12" s="179">
        <f>OA4*Supuestos!$I$12*Supuestos!$B$6</f>
        <v>2782.8711775584493</v>
      </c>
      <c r="OA12" s="179">
        <f>OA4*Supuestos!$J$12*Supuestos!$B$6</f>
        <v>2089.3868753535089</v>
      </c>
      <c r="OB12" s="179">
        <f>OF4*Supuestos!$F$12*Supuestos!$B$6</f>
        <v>1124.5877104423689</v>
      </c>
      <c r="OC12" s="179">
        <f>OF4*Supuestos!$G$12*Supuestos!$B$6</f>
        <v>2459.0787243512141</v>
      </c>
      <c r="OD12" s="179">
        <f>OF4*Supuestos!$H$12*Supuestos!$B$6</f>
        <v>2966.6759219384794</v>
      </c>
      <c r="OE12" s="179">
        <f>OF4*Supuestos!$I$12*Supuestos!$B$6</f>
        <v>3089.006252277301</v>
      </c>
      <c r="OF12" s="179">
        <f>OF4*Supuestos!$J$12*Supuestos!$B$6</f>
        <v>2319.2338809788707</v>
      </c>
      <c r="OG12" s="179">
        <f>OK4*Supuestos!$F$12*Supuestos!$B$6</f>
        <v>1073.9224736204847</v>
      </c>
      <c r="OH12" s="179">
        <f>OK4*Supuestos!$G$12*Supuestos!$B$6</f>
        <v>2348.2916289774771</v>
      </c>
      <c r="OI12" s="179">
        <f>OK4*Supuestos!$H$12*Supuestos!$B$6</f>
        <v>2833.0204171138098</v>
      </c>
      <c r="OJ12" s="179">
        <f>OK4*Supuestos!$I$12*Supuestos!$B$6</f>
        <v>2949.8394875486097</v>
      </c>
      <c r="OK12" s="179">
        <f>OK4*Supuestos!$J$12*Supuestos!$B$6</f>
        <v>2214.7471141984388</v>
      </c>
      <c r="OL12" s="179">
        <f>OP4*Supuestos!$F$12*Supuestos!$B$6</f>
        <v>1101.5082601039401</v>
      </c>
      <c r="OM12" s="179">
        <f>OP4*Supuestos!$G$12*Supuestos!$B$6</f>
        <v>2408.6120646412069</v>
      </c>
      <c r="ON12" s="179">
        <f>OP4*Supuestos!$H$12*Supuestos!$B$6</f>
        <v>2905.7920540330952</v>
      </c>
      <c r="OO12" s="179">
        <f>OP4*Supuestos!$I$12*Supuestos!$B$6</f>
        <v>3025.6118493929876</v>
      </c>
      <c r="OP12" s="179">
        <f>OP4*Supuestos!$J$12*Supuestos!$B$6</f>
        <v>2271.6371993841572</v>
      </c>
      <c r="OQ12" s="179">
        <f>OU4*Supuestos!$F$12*Supuestos!$B$6</f>
        <v>1035.9709523472386</v>
      </c>
      <c r="OR12" s="179">
        <f>OU4*Supuestos!$G$12*Supuestos!$B$6</f>
        <v>2265.3049684856146</v>
      </c>
      <c r="OS12" s="179">
        <f>OU4*Supuestos!$H$12*Supuestos!$B$6</f>
        <v>2732.903846999428</v>
      </c>
      <c r="OT12" s="179">
        <f>OU4*Supuestos!$I$12*Supuestos!$B$6</f>
        <v>2845.5946292703907</v>
      </c>
      <c r="OU12" s="179">
        <f>OU4*Supuestos!$J$12*Supuestos!$B$6</f>
        <v>2136.4798050732306</v>
      </c>
      <c r="OV12" s="179">
        <f>OZ4*Supuestos!$F$12*Supuestos!$B$6</f>
        <v>537.13935856597595</v>
      </c>
      <c r="OW12" s="179">
        <f>OZ4*Supuestos!$G$12*Supuestos!$B$6</f>
        <v>1174.5353042686831</v>
      </c>
      <c r="OX12" s="179">
        <f>OZ4*Supuestos!$H$12*Supuestos!$B$6</f>
        <v>1416.9800958933938</v>
      </c>
      <c r="OY12" s="179">
        <f>OZ4*Supuestos!$I$12*Supuestos!$B$6</f>
        <v>1475.4090068277942</v>
      </c>
      <c r="OZ12" s="179">
        <f>OZ4*Supuestos!$J$12*Supuestos!$B$6</f>
        <v>1107.7408970647914</v>
      </c>
      <c r="PA12" s="179">
        <f>PE4*Supuestos!$F$12*Supuestos!$B$6</f>
        <v>1149.0238678945959</v>
      </c>
      <c r="PB12" s="179">
        <f>PE4*Supuestos!$G$12*Supuestos!$B$6</f>
        <v>2512.5120264740253</v>
      </c>
      <c r="PC12" s="179">
        <f>PE4*Supuestos!$H$12*Supuestos!$B$6</f>
        <v>3031.1387995469345</v>
      </c>
      <c r="PD12" s="179">
        <f>PE4*Supuestos!$I$12*Supuestos!$B$6</f>
        <v>3156.1272446646967</v>
      </c>
      <c r="PE12" s="179">
        <f>PE4*Supuestos!$J$12*Supuestos!$B$6</f>
        <v>2369.6284956077698</v>
      </c>
      <c r="PF12" s="179">
        <f>PI4*Supuestos!$F$13*Supuestos!$B$6</f>
        <v>1231.1914159839296</v>
      </c>
      <c r="PG12" s="179">
        <f>PI4*Supuestos!$G$13*Supuestos!$B$6</f>
        <v>1888.9942003007909</v>
      </c>
      <c r="PH12" s="179">
        <f>PI4*Supuestos!$H$13*Supuestos!$B$6</f>
        <v>2416.9832602447409</v>
      </c>
      <c r="PI12" s="179">
        <f>PI4*Supuestos!$I$13*Supuestos!$B$6</f>
        <v>4756.5702379539589</v>
      </c>
      <c r="PJ12" s="179">
        <f>PN4*Supuestos!$F$12*Supuestos!$B$6</f>
        <v>1043.2260414260975</v>
      </c>
      <c r="PK12" s="179">
        <f>PN4*Supuestos!$G$12*Supuestos!$B$6</f>
        <v>2281.1693026157436</v>
      </c>
      <c r="PL12" s="179">
        <f>PN4*Supuestos!$H$12*Supuestos!$B$6</f>
        <v>2752.0428593520551</v>
      </c>
      <c r="PM12" s="179">
        <f>PN4*Supuestos!$I$12*Supuestos!$B$6</f>
        <v>2865.5228352407435</v>
      </c>
      <c r="PN12" s="179">
        <f>PN4*Supuestos!$J$12*Supuestos!$B$6</f>
        <v>2151.4419536410737</v>
      </c>
      <c r="PO12" s="179">
        <f>PS4*Supuestos!$F$12*Supuestos!$B$6</f>
        <v>1009.203607679604</v>
      </c>
      <c r="PP12" s="179">
        <f>PS4*Supuestos!$G$12*Supuestos!$B$6</f>
        <v>2206.7741778960003</v>
      </c>
      <c r="PQ12" s="179">
        <f>PS4*Supuestos!$H$12*Supuestos!$B$6</f>
        <v>2662.2912694455945</v>
      </c>
      <c r="PR12" s="179">
        <f>PS4*Supuestos!$I$12*Supuestos!$B$6</f>
        <v>2772.0703552031769</v>
      </c>
      <c r="PS12" s="179">
        <f>PS4*Supuestos!$J$12*Supuestos!$B$6</f>
        <v>2081.2775900031429</v>
      </c>
      <c r="PT12" s="179">
        <f>PX4*Supuestos!$F$12*Supuestos!$B$6</f>
        <v>1142.6674279445526</v>
      </c>
      <c r="PU12" s="179">
        <f>PX4*Supuestos!$G$12*Supuestos!$B$6</f>
        <v>2498.612722668172</v>
      </c>
      <c r="PV12" s="179">
        <f>PX4*Supuestos!$H$12*Supuestos!$B$6</f>
        <v>3014.3704344172615</v>
      </c>
      <c r="PW12" s="179">
        <f>PX4*Supuestos!$I$12*Supuestos!$B$6</f>
        <v>3138.6674391149945</v>
      </c>
      <c r="PX12" s="179">
        <f>PX4*Supuestos!$J$12*Supuestos!$B$6</f>
        <v>2356.519628457916</v>
      </c>
      <c r="PY12" s="179">
        <f>QC4*Supuestos!$F$12*Supuestos!$B$6</f>
        <v>888.02988779061945</v>
      </c>
      <c r="PZ12" s="179">
        <f>QC4*Supuestos!$G$12*Supuestos!$B$6</f>
        <v>1941.8097702623052</v>
      </c>
      <c r="QA12" s="179">
        <f>QC4*Supuestos!$H$12*Supuestos!$B$6</f>
        <v>2342.6335372577141</v>
      </c>
      <c r="QB12" s="179">
        <f>QC4*Supuestos!$I$12*Supuestos!$B$6</f>
        <v>2439.231595831056</v>
      </c>
      <c r="QC12" s="179">
        <f>QC4*Supuestos!$J$12*Supuestos!$B$6</f>
        <v>1831.3813888964901</v>
      </c>
      <c r="QD12" s="179">
        <f>QH4*Supuestos!$F$12*Supuestos!$B$6</f>
        <v>1154.9747770953857</v>
      </c>
      <c r="QE12" s="179">
        <f>QH4*Supuestos!$G$12*Supuestos!$B$6</f>
        <v>2525.5245768249906</v>
      </c>
      <c r="QF12" s="179">
        <f>QH4*Supuestos!$H$12*Supuestos!$B$6</f>
        <v>3046.837369676854</v>
      </c>
      <c r="QG12" s="179">
        <f>QH4*Supuestos!$I$12*Supuestos!$B$6</f>
        <v>3172.4731424166325</v>
      </c>
      <c r="QH12" s="179">
        <f>QH4*Supuestos!$J$12*Supuestos!$B$6</f>
        <v>2381.9010379030005</v>
      </c>
      <c r="QI12" s="179">
        <f>QM4*Supuestos!$F$12*Supuestos!$B$6</f>
        <v>1282.0299899043007</v>
      </c>
      <c r="QJ12" s="179">
        <f>QM4*Supuestos!$G$12*Supuestos!$B$6</f>
        <v>2803.3497457603839</v>
      </c>
      <c r="QK12" s="179">
        <f>QM4*Supuestos!$H$12*Supuestos!$B$6</f>
        <v>3382.010551009867</v>
      </c>
      <c r="QL12" s="179">
        <f>QM4*Supuestos!$I$12*Supuestos!$B$6</f>
        <v>3521.4671275961232</v>
      </c>
      <c r="QM12" s="179">
        <f>QM4*Supuestos!$J$12*Supuestos!$B$6</f>
        <v>2643.9266243159132</v>
      </c>
      <c r="QN12" s="179">
        <f>QR4*Supuestos!$F$12*Supuestos!$B$6</f>
        <v>1224.2716199273527</v>
      </c>
      <c r="QO12" s="179">
        <f>QR4*Supuestos!$G$12*Supuestos!$B$6</f>
        <v>2677.0524570343241</v>
      </c>
      <c r="QP12" s="179">
        <f>QR4*Supuestos!$H$12*Supuestos!$B$6</f>
        <v>3229.643275509743</v>
      </c>
      <c r="QQ12" s="179">
        <f>QR4*Supuestos!$I$12*Supuestos!$B$6</f>
        <v>3362.8170158054154</v>
      </c>
      <c r="QR12" s="179">
        <f>QR4*Supuestos!$J$12*Supuestos!$B$6</f>
        <v>2524.8117101862204</v>
      </c>
      <c r="QS12" s="179">
        <f>QW4*Supuestos!$F$12*Supuestos!$B$6</f>
        <v>1255.7194165184917</v>
      </c>
      <c r="QT12" s="179">
        <f>QW4*Supuestos!$G$12*Supuestos!$B$6</f>
        <v>2745.8177536909761</v>
      </c>
      <c r="QU12" s="179">
        <f>QW4*Supuestos!$H$12*Supuestos!$B$6</f>
        <v>3312.6029415977287</v>
      </c>
      <c r="QV12" s="179">
        <f>QW4*Supuestos!$I$12*Supuestos!$B$6</f>
        <v>3449.197508308006</v>
      </c>
      <c r="QW12" s="179">
        <f>QW4*Supuestos!$J$12*Supuestos!$B$6</f>
        <v>2589.6664072979393</v>
      </c>
      <c r="QX12" s="179">
        <f>RB4*Supuestos!$F$12*Supuestos!$B$6</f>
        <v>1181.0068856758521</v>
      </c>
      <c r="QY12" s="179">
        <f>RB4*Supuestos!$G$12*Supuestos!$B$6</f>
        <v>2582.4476640736011</v>
      </c>
      <c r="QZ12" s="179">
        <f>RB4*Supuestos!$H$12*Supuestos!$B$6</f>
        <v>3115.5103855793482</v>
      </c>
      <c r="RA12" s="179">
        <f>RB4*Supuestos!$I$12*Supuestos!$B$6</f>
        <v>3243.9778773682451</v>
      </c>
      <c r="RB12" s="179">
        <f>RB4*Supuestos!$J$12*Supuestos!$B$6</f>
        <v>2435.5869777834832</v>
      </c>
      <c r="RC12" s="179">
        <f>RG4*Supuestos!$F$12*Supuestos!$B$6</f>
        <v>612.33886876521262</v>
      </c>
      <c r="RD12" s="179">
        <f>RG4*Supuestos!$G$12*Supuestos!$B$6</f>
        <v>1338.9702468662988</v>
      </c>
      <c r="RE12" s="179">
        <f>RG4*Supuestos!$H$12*Supuestos!$B$6</f>
        <v>1615.3573093184693</v>
      </c>
      <c r="RF12" s="179">
        <f>RG4*Supuestos!$I$12*Supuestos!$B$6</f>
        <v>1681.9662677836855</v>
      </c>
      <c r="RG12" s="179">
        <f>RG4*Supuestos!$J$12*Supuestos!$B$6</f>
        <v>1262.8246226538624</v>
      </c>
      <c r="RH12" s="179">
        <f>RL4*Supuestos!$F$12*Supuestos!$B$6</f>
        <v>1309.8872093998393</v>
      </c>
      <c r="RI12" s="179">
        <f>RL4*Supuestos!$G$12*Supuestos!$B$6</f>
        <v>2864.2637101803889</v>
      </c>
      <c r="RJ12" s="179">
        <f>RL4*Supuestos!$H$12*Supuestos!$B$6</f>
        <v>3455.4982314835056</v>
      </c>
      <c r="RK12" s="179">
        <f>RL4*Supuestos!$I$12*Supuestos!$B$6</f>
        <v>3597.9850589177545</v>
      </c>
      <c r="RL12" s="179">
        <f>RL4*Supuestos!$J$12*Supuestos!$B$6</f>
        <v>2701.376484992858</v>
      </c>
      <c r="RM12" s="179">
        <f>RP4*Supuestos!$F$13*Supuestos!$B$6</f>
        <v>1403.5582142216795</v>
      </c>
      <c r="RN12" s="179">
        <f>RP4*Supuestos!$G$13*Supuestos!$B$6</f>
        <v>2153.4533883429017</v>
      </c>
      <c r="RO12" s="179">
        <f>RP4*Supuestos!$H$13*Supuestos!$B$6</f>
        <v>2755.3609166790047</v>
      </c>
      <c r="RP12" s="179">
        <f>RP4*Supuestos!$I$13*Supuestos!$B$6</f>
        <v>5422.4900712675126</v>
      </c>
      <c r="RQ12" s="179">
        <f>RU4*Supuestos!$F$12*Supuestos!$B$6</f>
        <v>1189.2776872257512</v>
      </c>
      <c r="RR12" s="179">
        <f>RU4*Supuestos!$G$12*Supuestos!$B$6</f>
        <v>2600.5330049819477</v>
      </c>
      <c r="RS12" s="179">
        <f>RU4*Supuestos!$H$12*Supuestos!$B$6</f>
        <v>3137.3288596613429</v>
      </c>
      <c r="RT12" s="179">
        <f>RU4*Supuestos!$I$12*Supuestos!$B$6</f>
        <v>3266.6960321744477</v>
      </c>
      <c r="RU12" s="179">
        <f>RU4*Supuestos!$J$12*Supuestos!$B$6</f>
        <v>2452.6438271508241</v>
      </c>
      <c r="RV12" s="179">
        <f>RZ4*Supuestos!$F$12*Supuestos!$B$6</f>
        <v>1150.4921127547486</v>
      </c>
      <c r="RW12" s="179">
        <f>RZ4*Supuestos!$G$12*Supuestos!$B$6</f>
        <v>2515.7225628014403</v>
      </c>
      <c r="RX12" s="179">
        <f>RZ4*Supuestos!$H$12*Supuestos!$B$6</f>
        <v>3035.0120471679775</v>
      </c>
      <c r="RY12" s="179">
        <f>RZ4*Supuestos!$I$12*Supuestos!$B$6</f>
        <v>3160.1602049316216</v>
      </c>
      <c r="RZ12" s="179">
        <f>RZ4*Supuestos!$J$12*Supuestos!$B$6</f>
        <v>2372.6564526035831</v>
      </c>
      <c r="SA12" s="179">
        <f>SE4*Supuestos!$F$12*Supuestos!$B$6</f>
        <v>1302.64086785679</v>
      </c>
      <c r="SB12" s="179">
        <f>SE4*Supuestos!$G$12*Supuestos!$B$6</f>
        <v>2848.4185038417158</v>
      </c>
      <c r="SC12" s="179">
        <f>SE4*Supuestos!$H$12*Supuestos!$B$6</f>
        <v>3436.3822952356782</v>
      </c>
      <c r="SD12" s="179">
        <f>SE4*Supuestos!$I$12*Supuestos!$B$6</f>
        <v>3578.0808805910938</v>
      </c>
      <c r="SE12" s="179">
        <f>SE4*Supuestos!$J$12*Supuestos!$B$6</f>
        <v>2686.4323764420237</v>
      </c>
      <c r="SF12" s="179">
        <f>SJ4*Supuestos!$F$12*Supuestos!$B$6</f>
        <v>1012.3540720813061</v>
      </c>
      <c r="SG12" s="179">
        <f>SJ4*Supuestos!$G$12*Supuestos!$B$6</f>
        <v>2213.6631380990279</v>
      </c>
      <c r="SH12" s="179">
        <f>SJ4*Supuestos!$H$12*Supuestos!$B$6</f>
        <v>2670.6022324737937</v>
      </c>
      <c r="SI12" s="179">
        <f>SJ4*Supuestos!$I$12*Supuestos!$B$6</f>
        <v>2780.7240192474042</v>
      </c>
      <c r="SJ12" s="179">
        <f>SJ4*Supuestos!$J$12*Supuestos!$B$6</f>
        <v>2087.774783341999</v>
      </c>
      <c r="SK12" s="179">
        <f>SO4*Supuestos!$F$12*Supuestos!$B$6</f>
        <v>1316.6712458887393</v>
      </c>
      <c r="SL12" s="179">
        <f>SO4*Supuestos!$G$12*Supuestos!$B$6</f>
        <v>2879.0980175804893</v>
      </c>
      <c r="SM12" s="179">
        <f>SO4*Supuestos!$H$12*Supuestos!$B$6</f>
        <v>3473.3946014316134</v>
      </c>
      <c r="SN12" s="179">
        <f>SO4*Supuestos!$I$12*Supuestos!$B$6</f>
        <v>3616.6193823549611</v>
      </c>
      <c r="SO12" s="179">
        <f>SO4*Supuestos!$J$12*Supuestos!$B$6</f>
        <v>2715.3671832094205</v>
      </c>
      <c r="SP12" s="179">
        <f>ST4*Supuestos!$F$12*Supuestos!$B$6</f>
        <v>1461.5141884909026</v>
      </c>
      <c r="SQ12" s="179">
        <f>ST4*Supuestos!$G$12*Supuestos!$B$6</f>
        <v>3195.8187101668382</v>
      </c>
      <c r="SR12" s="179">
        <f>ST4*Supuestos!$H$12*Supuestos!$B$6</f>
        <v>3855.4920281512482</v>
      </c>
      <c r="SS12" s="179">
        <f>ST4*Supuestos!$I$12*Supuestos!$B$6</f>
        <v>4014.4725254595805</v>
      </c>
      <c r="ST12" s="179">
        <f>ST4*Supuestos!$J$12*Supuestos!$B$6</f>
        <v>3014.0763517201412</v>
      </c>
      <c r="SU12" s="179">
        <f>SY4*Supuestos!$F$12*Supuestos!$B$6</f>
        <v>1395.6696467171821</v>
      </c>
      <c r="SV12" s="179">
        <f>SY4*Supuestos!$G$12*Supuestos!$B$6</f>
        <v>3051.8398010191295</v>
      </c>
      <c r="SW12" s="179">
        <f>SY4*Supuestos!$H$12*Supuestos!$B$6</f>
        <v>3681.7933340811073</v>
      </c>
      <c r="SX12" s="179">
        <f>SY4*Supuestos!$I$12*Supuestos!$B$6</f>
        <v>3833.6113980181735</v>
      </c>
      <c r="SY12" s="179">
        <f>SY4*Supuestos!$J$12*Supuestos!$B$6</f>
        <v>2878.2853496122916</v>
      </c>
      <c r="SZ12" s="179">
        <f>TD4*Supuestos!$F$12*Supuestos!$B$6</f>
        <v>1431.5201348310807</v>
      </c>
      <c r="TA12" s="179">
        <f>TD4*Supuestos!$G$12*Supuestos!$B$6</f>
        <v>3130.2322392077126</v>
      </c>
      <c r="TB12" s="179">
        <f>TD4*Supuestos!$H$12*Supuestos!$B$6</f>
        <v>3776.3673534214108</v>
      </c>
      <c r="TC12" s="179">
        <f>TD4*Supuestos!$I$12*Supuestos!$B$6</f>
        <v>3932.0851594711276</v>
      </c>
      <c r="TD12" s="179">
        <f>TD4*Supuestos!$J$12*Supuestos!$B$6</f>
        <v>2952.2197043196511</v>
      </c>
      <c r="TE12" s="179">
        <f>TI4*Supuestos!$F$12*Supuestos!$B$6</f>
        <v>1346.3478496704713</v>
      </c>
      <c r="TF12" s="179">
        <f>TI4*Supuestos!$G$12*Supuestos!$B$6</f>
        <v>2943.9903370439047</v>
      </c>
      <c r="TG12" s="179">
        <f>TI4*Supuestos!$H$12*Supuestos!$B$6</f>
        <v>3551.6818395604569</v>
      </c>
      <c r="TH12" s="179">
        <f>TI4*Supuestos!$I$12*Supuestos!$B$6</f>
        <v>3698.134780199799</v>
      </c>
      <c r="TI12" s="179">
        <f>TI4*Supuestos!$J$12*Supuestos!$B$6</f>
        <v>2776.5691546731705</v>
      </c>
      <c r="TJ12" s="179">
        <f>TN4*Supuestos!$F$12*Supuestos!$B$6</f>
        <v>698.06631039234242</v>
      </c>
      <c r="TK12" s="179">
        <f>TN4*Supuestos!$G$12*Supuestos!$B$6</f>
        <v>1526.426081427581</v>
      </c>
      <c r="TL12" s="179">
        <f>TN4*Supuestos!$H$12*Supuestos!$B$6</f>
        <v>1841.5073326230552</v>
      </c>
      <c r="TM12" s="179">
        <f>TN4*Supuestos!$I$12*Supuestos!$B$6</f>
        <v>1917.441545273402</v>
      </c>
      <c r="TN12" s="179">
        <f>TN4*Supuestos!$J$12*Supuestos!$B$6</f>
        <v>1439.6200698254033</v>
      </c>
    </row>
    <row r="13" spans="1:534" x14ac:dyDescent="0.3">
      <c r="A13" s="182" t="s">
        <v>190</v>
      </c>
      <c r="B13" s="183"/>
      <c r="C13" s="183">
        <f>B12*Supuestos!$B$12</f>
        <v>125.4049102</v>
      </c>
      <c r="D13" s="183">
        <f>C12*Supuestos!$B$12</f>
        <v>554.2777774000001</v>
      </c>
      <c r="E13" s="183">
        <f>D12*Supuestos!$B$12</f>
        <v>321.48079340000044</v>
      </c>
      <c r="F13" s="183">
        <f>E12*Supuestos!$B$12</f>
        <v>566.88351229987165</v>
      </c>
      <c r="G13" s="183">
        <f>F12*Supuestos!$B$12</f>
        <v>400.95932200000004</v>
      </c>
      <c r="H13" s="183">
        <f>G12*Supuestos!$B$12</f>
        <v>257.44560513449932</v>
      </c>
      <c r="I13" s="183">
        <f>H12*Supuestos!$B$12</f>
        <v>309.16133100000047</v>
      </c>
      <c r="J13" s="183">
        <f>I12*Supuestos!$B$12</f>
        <v>492.9318002</v>
      </c>
      <c r="K13" s="183">
        <f>J12*Supuestos!$B$12</f>
        <v>1024.3600612979433</v>
      </c>
      <c r="L13" s="183">
        <f>K12*Supuestos!$B$12</f>
        <v>233.38719159999999</v>
      </c>
      <c r="M13" s="183">
        <f>L12*Supuestos!$B$12</f>
        <v>303.12760299999997</v>
      </c>
      <c r="N13" s="183">
        <f>M12*Supuestos!$B$12</f>
        <v>467.69499500000001</v>
      </c>
      <c r="O13" s="183">
        <f>N12*Supuestos!$B$12</f>
        <v>656.85524739999994</v>
      </c>
      <c r="P13" s="183">
        <f>O12*Supuestos!$B$12</f>
        <v>438.12062439999954</v>
      </c>
      <c r="Q13" s="183">
        <f>P12*Supuestos!$B$12</f>
        <v>80.896078400000007</v>
      </c>
      <c r="R13" s="183">
        <f>Q12*Supuestos!$B$12</f>
        <v>333.68195759999958</v>
      </c>
      <c r="S13" s="183">
        <f>R12*Supuestos!$B$12</f>
        <v>514.09836439999992</v>
      </c>
      <c r="T13" s="183">
        <f>S12*Supuestos!$B$12</f>
        <v>436.31880440000003</v>
      </c>
      <c r="U13" s="183">
        <f>T12*Supuestos!$B$12</f>
        <v>573.2348144</v>
      </c>
      <c r="V13" s="183">
        <f>U12*Supuestos!$B$12</f>
        <v>201.61989980000001</v>
      </c>
      <c r="W13" s="183">
        <f>V12*Supuestos!$B$12</f>
        <v>347.18300820000093</v>
      </c>
      <c r="X13" s="183">
        <f>W12*Supuestos!$B$12</f>
        <v>320.06302267110664</v>
      </c>
      <c r="Y13" s="183">
        <f>X12*Supuestos!$B$12</f>
        <v>1044.1198030363344</v>
      </c>
      <c r="Z13" s="183">
        <f>Y12*Supuestos!$B$12</f>
        <v>502.41273600000005</v>
      </c>
      <c r="AA13" s="183">
        <f>Z12*Supuestos!$B$12</f>
        <v>133.56619767893474</v>
      </c>
      <c r="AB13" s="183">
        <f>AA12*Supuestos!$B$12</f>
        <v>283.44145680000003</v>
      </c>
      <c r="AC13" s="183">
        <f>AB12*Supuestos!$B$12</f>
        <v>433.18131920000093</v>
      </c>
      <c r="AD13" s="183">
        <f>AC12*Supuestos!$B$12</f>
        <v>391.09663219999999</v>
      </c>
      <c r="AE13" s="183">
        <f>AD12*Supuestos!$B$12</f>
        <v>420.74910160000002</v>
      </c>
      <c r="AF13" s="183">
        <f>AE12*Supuestos!$B$12</f>
        <v>245.3223976000005</v>
      </c>
      <c r="AG13" s="183">
        <f>AF12*Supuestos!$B$12</f>
        <v>371.56123720000045</v>
      </c>
      <c r="AH13" s="183">
        <f>AG12*Supuestos!$B$12</f>
        <v>1165.3613755042884</v>
      </c>
      <c r="AI13" s="183">
        <f>AH12*Supuestos!$B$12</f>
        <v>279.64351739999955</v>
      </c>
      <c r="AJ13" s="183">
        <f>AI12*Supuestos!$B$12</f>
        <v>548.78404340000009</v>
      </c>
      <c r="AK13" s="183">
        <f>AJ12*Supuestos!$B$12</f>
        <v>156.48504940000001</v>
      </c>
      <c r="AL13" s="183">
        <f>AK12*Supuestos!$B$12</f>
        <v>643.82062759999997</v>
      </c>
      <c r="AM13" s="183">
        <f>AL12*Supuestos!$B$12</f>
        <v>419.75672980000002</v>
      </c>
      <c r="AN13" s="183">
        <f>AM12*Supuestos!$B$12</f>
        <v>455.02371999999957</v>
      </c>
      <c r="AO13" s="183">
        <f>AN12*Supuestos!$B$12</f>
        <v>220.52707808190908</v>
      </c>
      <c r="AP13" s="183">
        <f>AO12*Supuestos!$B$12</f>
        <v>158.27231499999999</v>
      </c>
      <c r="AQ13" s="183">
        <f>AP12*Supuestos!$B$12</f>
        <v>290.55425739999998</v>
      </c>
      <c r="AR13" s="183">
        <f>AQ12*Supuestos!$B$12</f>
        <v>600.83975480000004</v>
      </c>
      <c r="AS13" s="183">
        <f>AR12*Supuestos!$B$12</f>
        <v>536.44268402688317</v>
      </c>
      <c r="AT13" s="183">
        <f>AS12*Supuestos!$B$12</f>
        <v>439.92499251588731</v>
      </c>
      <c r="AU13" s="183">
        <f>AT12*Supuestos!$B$12</f>
        <v>200.31464424492771</v>
      </c>
      <c r="AV13" s="183">
        <f>AU12*Supuestos!$B$12</f>
        <v>438.01784001793737</v>
      </c>
      <c r="AW13" s="183">
        <f>AV12*Supuestos!$B$12</f>
        <v>528.43244361912616</v>
      </c>
      <c r="AX13" s="183">
        <f>AW12*Supuestos!$B$12</f>
        <v>550.22225723228257</v>
      </c>
      <c r="AY13" s="183">
        <f>AX12*Supuestos!$B$12</f>
        <v>413.1082933551881</v>
      </c>
      <c r="AZ13" s="183">
        <f>AY12*Supuestos!$B$12</f>
        <v>188.39636549610091</v>
      </c>
      <c r="BA13" s="183">
        <f>AZ12*Supuestos!$B$12</f>
        <v>411.95674631222857</v>
      </c>
      <c r="BB13" s="183">
        <f>BA12*Supuestos!$B$12</f>
        <v>496.99188076504066</v>
      </c>
      <c r="BC13" s="183">
        <f>BB12*Supuestos!$B$12</f>
        <v>517.48524861156079</v>
      </c>
      <c r="BD13" s="183">
        <f>BC12*Supuestos!$B$12</f>
        <v>388.52926263969465</v>
      </c>
      <c r="BE13" s="183">
        <f>BD12*Supuestos!$B$12</f>
        <v>97.681409589192853</v>
      </c>
      <c r="BF13" s="183">
        <f>BE12*Supuestos!$B$12</f>
        <v>213.59496805361053</v>
      </c>
      <c r="BG13" s="183">
        <f>BF12*Supuestos!$B$12</f>
        <v>257.68473473294245</v>
      </c>
      <c r="BH13" s="183">
        <f>BG12*Supuestos!$B$12</f>
        <v>268.31031688367329</v>
      </c>
      <c r="BI13" s="183">
        <f>BH12*Supuestos!$B$12</f>
        <v>201.44807964504264</v>
      </c>
      <c r="BJ13" s="183">
        <f>BI12*Supuestos!$B$12</f>
        <v>222.70266726998531</v>
      </c>
      <c r="BK13" s="183">
        <f>BJ12*Supuestos!$B$12</f>
        <v>486.97259080349255</v>
      </c>
      <c r="BL13" s="183">
        <f>BK12*Supuestos!$B$12</f>
        <v>587.49231794597313</v>
      </c>
      <c r="BM13" s="183">
        <f>BL12*Supuestos!$B$12</f>
        <v>611.71745450180254</v>
      </c>
      <c r="BN13" s="183">
        <f>BM12*Supuestos!$B$12</f>
        <v>459.27904646383115</v>
      </c>
      <c r="BO13" s="183">
        <f>BN12*Supuestos!$B$12</f>
        <v>238.62830000384596</v>
      </c>
      <c r="BP13" s="183">
        <f>BO12*Supuestos!$B$12</f>
        <v>366.12298370734095</v>
      </c>
      <c r="BQ13" s="183">
        <f>BP12*Supuestos!$B$12</f>
        <v>468.45730001214054</v>
      </c>
      <c r="BR13" s="183">
        <f>BQ12*Supuestos!$B$12</f>
        <v>921.91372925122619</v>
      </c>
      <c r="BS13" s="183">
        <f>BR12*Supuestos!$B$12</f>
        <v>202.19703740080402</v>
      </c>
      <c r="BT13" s="183">
        <f>BS12*Supuestos!$B$12</f>
        <v>442.13397335062245</v>
      </c>
      <c r="BU13" s="183">
        <f>BT12*Supuestos!$B$12</f>
        <v>533.39821943128004</v>
      </c>
      <c r="BV13" s="183">
        <f>BU12*Supuestos!$B$12</f>
        <v>555.39279588725219</v>
      </c>
      <c r="BW13" s="183">
        <f>BV12*Supuestos!$B$12</f>
        <v>416.99034714600697</v>
      </c>
      <c r="BX13" s="183">
        <f>BW12*Supuestos!$B$12</f>
        <v>195.6028430119234</v>
      </c>
      <c r="BY13" s="183">
        <f>BX12*Supuestos!$B$12</f>
        <v>427.7147840109543</v>
      </c>
      <c r="BZ13" s="183">
        <f>BY12*Supuestos!$B$12</f>
        <v>516.00265522901907</v>
      </c>
      <c r="CA13" s="183">
        <f>BZ12*Supuestos!$B$12</f>
        <v>537.27992882775743</v>
      </c>
      <c r="CB13" s="183">
        <f>CA12*Supuestos!$B$12</f>
        <v>403.39115972607976</v>
      </c>
      <c r="CC13" s="183">
        <f>CB12*Supuestos!$B$12</f>
        <v>221.4706683787787</v>
      </c>
      <c r="CD13" s="183">
        <f>CC12*Supuestos!$B$12</f>
        <v>484.27864151553644</v>
      </c>
      <c r="CE13" s="183">
        <f>CD12*Supuestos!$B$12</f>
        <v>584.24229003578023</v>
      </c>
      <c r="CF13" s="183">
        <f>CE12*Supuestos!$B$12</f>
        <v>608.3334122946909</v>
      </c>
      <c r="CG13" s="183">
        <f>CF12*Supuestos!$B$12</f>
        <v>456.73829882513348</v>
      </c>
      <c r="CH13" s="183">
        <f>CG12*Supuestos!$B$12</f>
        <v>172.11707271913571</v>
      </c>
      <c r="CI13" s="183">
        <f>CH12*Supuestos!$B$12</f>
        <v>376.35964513141221</v>
      </c>
      <c r="CJ13" s="183">
        <f>CI12*Supuestos!$B$12</f>
        <v>454.0469103913095</v>
      </c>
      <c r="CK13" s="183">
        <f>CJ12*Supuestos!$B$12</f>
        <v>472.76945036500399</v>
      </c>
      <c r="CL13" s="183">
        <f>CK12*Supuestos!$B$12</f>
        <v>354.95652570140737</v>
      </c>
      <c r="CM13" s="183">
        <f>CL12*Supuestos!$B$12</f>
        <v>223.85606659329594</v>
      </c>
      <c r="CN13" s="183">
        <f>CM12*Supuestos!$B$12</f>
        <v>489.49467041568994</v>
      </c>
      <c r="CO13" s="183">
        <f>CN12*Supuestos!$B$12</f>
        <v>590.53499924959488</v>
      </c>
      <c r="CP13" s="183">
        <f>CO12*Supuestos!$B$12</f>
        <v>614.8856002035526</v>
      </c>
      <c r="CQ13" s="183">
        <f>CP12*Supuestos!$B$12</f>
        <v>512.44323791130853</v>
      </c>
      <c r="CR13" s="183">
        <f>CQ12*Supuestos!$B$12</f>
        <v>248.48178201463705</v>
      </c>
      <c r="CS13" s="183">
        <f>CR12*Supuestos!$B$12</f>
        <v>543.34246930433937</v>
      </c>
      <c r="CT13" s="183">
        <f>CS12*Supuestos!$B$12</f>
        <v>655.497933063147</v>
      </c>
      <c r="CU13" s="183">
        <f>CT12*Supuestos!$B$12</f>
        <v>682.5272685207367</v>
      </c>
      <c r="CV13" s="183">
        <f>CU12*Supuestos!$B$12</f>
        <v>512.44323791130853</v>
      </c>
      <c r="CW13" s="183">
        <f>CV12*Supuestos!$B$12</f>
        <v>237.28711199041706</v>
      </c>
      <c r="CX13" s="183">
        <f>CW12*Supuestos!$B$12</f>
        <v>518.86365397755355</v>
      </c>
      <c r="CY13" s="183">
        <f>CX12*Supuestos!$B$12</f>
        <v>625.96625873795267</v>
      </c>
      <c r="CZ13" s="183">
        <f>CY12*Supuestos!$B$12</f>
        <v>651.7778610926631</v>
      </c>
      <c r="DA13" s="183">
        <f>CZ12*Supuestos!$B$12</f>
        <v>489.35650331029041</v>
      </c>
      <c r="DB13" s="183">
        <f>DA12*Supuestos!$B$12</f>
        <v>243.38229275758721</v>
      </c>
      <c r="DC13" s="183">
        <f>DB12*Supuestos!$B$12</f>
        <v>532.19167562179405</v>
      </c>
      <c r="DD13" s="183">
        <f>DC12*Supuestos!$B$12</f>
        <v>642.04541899723858</v>
      </c>
      <c r="DE13" s="183">
        <f>DD12*Supuestos!$B$12</f>
        <v>668.5200425372235</v>
      </c>
      <c r="DF13" s="183">
        <f>DE12*Supuestos!$B$12</f>
        <v>501.92657642655365</v>
      </c>
      <c r="DG13" s="183">
        <f>DF12*Supuestos!$B$12</f>
        <v>228.90158407776266</v>
      </c>
      <c r="DH13" s="183">
        <f>DG12*Supuestos!$B$12</f>
        <v>500.52744676935788</v>
      </c>
      <c r="DI13" s="183">
        <f>DH12*Supuestos!$B$12</f>
        <v>603.84513512952458</v>
      </c>
      <c r="DJ13" s="183">
        <f>DI12*Supuestos!$B$12</f>
        <v>628.74457706304656</v>
      </c>
      <c r="DK13" s="183">
        <f>DJ12*Supuestos!$B$12</f>
        <v>472.06305410722899</v>
      </c>
      <c r="DL13" s="183">
        <f>DK12*Supuestos!$B$12</f>
        <v>118.68291265086934</v>
      </c>
      <c r="DM13" s="183">
        <f>DL12*Supuestos!$B$12</f>
        <v>259.51788618513683</v>
      </c>
      <c r="DN13" s="183">
        <f>DM12*Supuestos!$B$12</f>
        <v>313.08695270052516</v>
      </c>
      <c r="DO13" s="183">
        <f>DN12*Supuestos!$B$12</f>
        <v>325.99703501366315</v>
      </c>
      <c r="DP13" s="183">
        <f>DO12*Supuestos!$B$12</f>
        <v>244.75941676872682</v>
      </c>
      <c r="DQ13" s="183">
        <f>DP12*Supuestos!$B$12</f>
        <v>260.56212070588276</v>
      </c>
      <c r="DR13" s="183">
        <f>DQ12*Supuestos!$B$12</f>
        <v>569.75793124008624</v>
      </c>
      <c r="DS13" s="183">
        <f>DR12*Supuestos!$B$12</f>
        <v>687.36601199678842</v>
      </c>
      <c r="DT13" s="183">
        <f>DS12*Supuestos!$B$12</f>
        <v>715.70942176710867</v>
      </c>
      <c r="DU13" s="183">
        <f>DT12*Supuestos!$B$12</f>
        <v>537.35648436268229</v>
      </c>
      <c r="DV13" s="183">
        <f>DU12*Supuestos!$B$12</f>
        <v>219.51743377431106</v>
      </c>
      <c r="DW13" s="183">
        <f>DV12*Supuestos!$B$12</f>
        <v>480.0076027918218</v>
      </c>
      <c r="DX13" s="183">
        <f>DW12*Supuestos!$B$12</f>
        <v>579.08963362920099</v>
      </c>
      <c r="DY13" s="183">
        <f>DX12*Supuestos!$B$12</f>
        <v>602.96828705871303</v>
      </c>
      <c r="DZ13" s="183">
        <f>DY12*Supuestos!$B$12</f>
        <v>452.71014892618098</v>
      </c>
      <c r="EA13" s="183">
        <f>DZ12*Supuestos!$B$12</f>
        <v>236.57053375894066</v>
      </c>
      <c r="EB13" s="183">
        <f>EA12*Supuestos!$B$12</f>
        <v>517.29674882022812</v>
      </c>
      <c r="EC13" s="183">
        <f>EB12*Supuestos!$B$12</f>
        <v>624.07591673459751</v>
      </c>
      <c r="ED13" s="183">
        <f>EC12*Supuestos!$B$12</f>
        <v>649.80957118808487</v>
      </c>
      <c r="EE13" s="183">
        <f>ED12*Supuestos!$B$12</f>
        <v>487.87870616082807</v>
      </c>
      <c r="EF13" s="183">
        <f>EE12*Supuestos!$B$12</f>
        <v>228.85532632395035</v>
      </c>
      <c r="EG13" s="183">
        <f>EF12*Supuestos!$B$12</f>
        <v>500.4262972928164</v>
      </c>
      <c r="EH13" s="183">
        <f>EG12*Supuestos!$B$12</f>
        <v>603.72310661795223</v>
      </c>
      <c r="EI13" s="183">
        <f>EH12*Supuestos!$B$12</f>
        <v>628.61751672847618</v>
      </c>
      <c r="EJ13" s="183">
        <f>EI12*Supuestos!$B$12</f>
        <v>471.96765687951324</v>
      </c>
      <c r="EK13" s="183">
        <f>EJ12*Supuestos!$B$12</f>
        <v>259.120682003171</v>
      </c>
      <c r="EL13" s="183">
        <f>EK12*Supuestos!$B$12</f>
        <v>566.60601057317751</v>
      </c>
      <c r="EM13" s="183">
        <f>EL12*Supuestos!$B$12</f>
        <v>683.56347934186272</v>
      </c>
      <c r="EN13" s="183">
        <f>EM12*Supuestos!$B$12</f>
        <v>711.75009238478822</v>
      </c>
      <c r="EO13" s="183">
        <f>EN12*Supuestos!$B$12</f>
        <v>534.38380962540612</v>
      </c>
      <c r="EP13" s="183">
        <f>EO12*Supuestos!$B$12</f>
        <v>201.37697508138874</v>
      </c>
      <c r="EQ13" s="183">
        <f>EP12*Supuestos!$B$12</f>
        <v>440.34078480375223</v>
      </c>
      <c r="ER13" s="183">
        <f>EQ12*Supuestos!$B$12</f>
        <v>531.23488515783208</v>
      </c>
      <c r="ES13" s="183">
        <f>ER12*Supuestos!$B$12</f>
        <v>553.14025692705457</v>
      </c>
      <c r="ET13" s="183">
        <f>ES12*Supuestos!$B$12</f>
        <v>415.29913507064663</v>
      </c>
      <c r="EU13" s="183">
        <f>ET12*Supuestos!$B$12</f>
        <v>261.91159791415623</v>
      </c>
      <c r="EV13" s="183">
        <f>EU12*Supuestos!$B$12</f>
        <v>572.70876438635696</v>
      </c>
      <c r="EW13" s="183">
        <f>EV12*Supuestos!$B$12</f>
        <v>690.92594912202594</v>
      </c>
      <c r="EX13" s="183">
        <f>EW12*Supuestos!$B$12</f>
        <v>719.41615223815631</v>
      </c>
      <c r="EY13" s="183">
        <f>EX12*Supuestos!$B$12</f>
        <v>540.13950718426861</v>
      </c>
      <c r="EZ13" s="183">
        <f>EY12*Supuestos!$B$12</f>
        <v>290.72368495712533</v>
      </c>
      <c r="FA13" s="183">
        <f>EZ12*Supuestos!$B$12</f>
        <v>635.71068908607708</v>
      </c>
      <c r="FB13" s="183">
        <f>FA12*Supuestos!$B$12</f>
        <v>766.93258168388206</v>
      </c>
      <c r="FC13" s="183">
        <f>FB12*Supuestos!$B$12</f>
        <v>798.55690416926188</v>
      </c>
      <c r="FD13" s="183">
        <f>FC12*Supuestos!$B$12</f>
        <v>599.55858835623087</v>
      </c>
      <c r="FE13" s="183">
        <f>FD12*Supuestos!$B$12</f>
        <v>277.6259210287879</v>
      </c>
      <c r="FF13" s="183">
        <f>FE12*Supuestos!$B$12</f>
        <v>607.07047515373756</v>
      </c>
      <c r="FG13" s="183">
        <f>FF12*Supuestos!$B$12</f>
        <v>732.38052272340462</v>
      </c>
      <c r="FH13" s="183">
        <f>FG12*Supuestos!$B$12</f>
        <v>762.58009747841572</v>
      </c>
      <c r="FI13" s="183">
        <f>FH12*Supuestos!$B$12</f>
        <v>572.54710887303975</v>
      </c>
      <c r="FJ13" s="183">
        <f>FI12*Supuestos!$B$12</f>
        <v>284.75728252637703</v>
      </c>
      <c r="FK13" s="183">
        <f>FJ12*Supuestos!$B$12</f>
        <v>622.66426047749906</v>
      </c>
      <c r="FL13" s="183">
        <f>FK12*Supuestos!$B$12</f>
        <v>751.19314022676906</v>
      </c>
      <c r="FM13" s="183">
        <f>FL12*Supuestos!$B$12</f>
        <v>782.16844976855157</v>
      </c>
      <c r="FN13" s="183">
        <f>FM12*Supuestos!$B$12</f>
        <v>587.25409441906777</v>
      </c>
      <c r="FO13" s="183">
        <f>FN12*Supuestos!$B$12</f>
        <v>267.81485337098223</v>
      </c>
      <c r="FP13" s="183">
        <f>FO12*Supuestos!$B$12</f>
        <v>585.61711272014861</v>
      </c>
      <c r="FQ13" s="183">
        <f>FP12*Supuestos!$B$12</f>
        <v>706.49880810154366</v>
      </c>
      <c r="FR13" s="183">
        <f>FQ12*Supuestos!$B$12</f>
        <v>735.63115516376445</v>
      </c>
      <c r="FS13" s="183">
        <f>FR12*Supuestos!$B$12</f>
        <v>552.31377330545797</v>
      </c>
      <c r="FT13" s="183">
        <f>FS12*Supuestos!$B$12</f>
        <v>138.85900780151709</v>
      </c>
      <c r="FU13" s="183">
        <f>FT12*Supuestos!$B$12</f>
        <v>303.63592683661005</v>
      </c>
      <c r="FV13" s="183">
        <f>FU12*Supuestos!$B$12</f>
        <v>366.31173465961439</v>
      </c>
      <c r="FW13" s="183">
        <f>FV12*Supuestos!$B$12</f>
        <v>381.41653096598577</v>
      </c>
      <c r="FX13" s="183">
        <f>FW12*Supuestos!$B$12</f>
        <v>286.36851761941028</v>
      </c>
      <c r="FY13" s="183">
        <f>FX12*Supuestos!$B$12</f>
        <v>303.55487062235346</v>
      </c>
      <c r="FZ13" s="183">
        <f>FY12*Supuestos!$B$12</f>
        <v>663.76798989470058</v>
      </c>
      <c r="GA13" s="183">
        <f>FZ12*Supuestos!$B$12</f>
        <v>800.78140397625862</v>
      </c>
      <c r="GB13" s="183">
        <f>GA12*Supuestos!$B$12</f>
        <v>833.80147635868173</v>
      </c>
      <c r="GC13" s="183">
        <f>GB12*Supuestos!$B$12</f>
        <v>626.02030428252499</v>
      </c>
      <c r="GD13" s="183">
        <f>GC12*Supuestos!$B$12</f>
        <v>325.26230432024221</v>
      </c>
      <c r="GE13" s="183">
        <f>GD12*Supuestos!$B$12</f>
        <v>499.04393294229101</v>
      </c>
      <c r="GF13" s="183">
        <f>GE12*Supuestos!$B$12</f>
        <v>638.53072278154798</v>
      </c>
      <c r="GG13" s="183">
        <f>GF12*Supuestos!$B$12</f>
        <v>1256.6145086558836</v>
      </c>
      <c r="GH13" s="183">
        <f>GG12*Supuestos!$B$12</f>
        <v>275.60467182916585</v>
      </c>
      <c r="GI13" s="183">
        <f>GH12*Supuestos!$B$12</f>
        <v>602.65071237556583</v>
      </c>
      <c r="GJ13" s="183">
        <f>GI12*Supuestos!$B$12</f>
        <v>727.04844299580611</v>
      </c>
      <c r="GK13" s="183">
        <f>GJ12*Supuestos!$B$12</f>
        <v>757.02815043411897</v>
      </c>
      <c r="GL13" s="183">
        <f>GK12*Supuestos!$B$12</f>
        <v>568.37869267736482</v>
      </c>
      <c r="GM13" s="183">
        <f>GL12*Supuestos!$B$12</f>
        <v>266.61645516740214</v>
      </c>
      <c r="GN13" s="183">
        <f>GM12*Supuestos!$B$12</f>
        <v>582.99663634613114</v>
      </c>
      <c r="GO13" s="183">
        <f>GN12*Supuestos!$B$12</f>
        <v>703.33741920991429</v>
      </c>
      <c r="GP13" s="183">
        <f>GO12*Supuestos!$B$12</f>
        <v>732.3394069886748</v>
      </c>
      <c r="GQ13" s="183">
        <f>GP12*Supuestos!$B$12</f>
        <v>549.84232026463292</v>
      </c>
      <c r="GR13" s="183">
        <f>GQ12*Supuestos!$B$12</f>
        <v>301.87559453369431</v>
      </c>
      <c r="GS13" s="183">
        <f>GR12*Supuestos!$B$12</f>
        <v>660.09600231775187</v>
      </c>
      <c r="GT13" s="183">
        <f>GS12*Supuestos!$B$12</f>
        <v>796.35145343327019</v>
      </c>
      <c r="GU13" s="183">
        <f>GT12*Supuestos!$B$12</f>
        <v>829.18885762827824</v>
      </c>
      <c r="GV13" s="183">
        <f>GU12*Supuestos!$B$12</f>
        <v>622.55713821359814</v>
      </c>
      <c r="GW13" s="183">
        <f>GV12*Supuestos!$B$12</f>
        <v>234.6041759698179</v>
      </c>
      <c r="GX13" s="183">
        <f>GW12*Supuestos!$B$12</f>
        <v>512.99701429637139</v>
      </c>
      <c r="GY13" s="183">
        <f>GX12*Supuestos!$B$12</f>
        <v>618.88864120887433</v>
      </c>
      <c r="GZ13" s="183">
        <f>GY12*Supuestos!$B$12</f>
        <v>644.40839932001848</v>
      </c>
      <c r="HA13" s="183">
        <f>GZ12*Supuestos!$B$12</f>
        <v>483.82349235730334</v>
      </c>
      <c r="HB13" s="183">
        <f>HA12*Supuestos!$B$12</f>
        <v>305.12701156999196</v>
      </c>
      <c r="HC13" s="183">
        <f>HB12*Supuestos!$B$12</f>
        <v>667.20571051010597</v>
      </c>
      <c r="HD13" s="183">
        <f>HC12*Supuestos!$B$12</f>
        <v>804.9287307271602</v>
      </c>
      <c r="HE13" s="183">
        <f>HD12*Supuestos!$B$12</f>
        <v>838.11981735745223</v>
      </c>
      <c r="HF13" s="183">
        <f>HE12*Supuestos!$B$12</f>
        <v>629.26252586967291</v>
      </c>
      <c r="HG13" s="183">
        <f>HF12*Supuestos!$B$12</f>
        <v>338.693092975051</v>
      </c>
      <c r="HH13" s="183">
        <f>HG12*Supuestos!$B$12</f>
        <v>740.60295278527974</v>
      </c>
      <c r="HI13" s="183">
        <f>HH12*Supuestos!$B$12</f>
        <v>893.47645766172241</v>
      </c>
      <c r="HJ13" s="183">
        <f>HI12*Supuestos!$B$12</f>
        <v>930.31879335719009</v>
      </c>
      <c r="HK13" s="183">
        <f>HJ12*Supuestos!$B$12</f>
        <v>698.48575543500897</v>
      </c>
      <c r="HL13" s="183">
        <f>HK12*Supuestos!$B$12</f>
        <v>323.43419799853797</v>
      </c>
      <c r="HM13" s="183">
        <f>HL12*Supuestos!$B$12</f>
        <v>707.23710355410435</v>
      </c>
      <c r="HN13" s="183">
        <f>HM12*Supuestos!$B$12</f>
        <v>853.2233089727664</v>
      </c>
      <c r="HO13" s="183">
        <f>HN12*Supuestos!$B$12</f>
        <v>888.40581356235441</v>
      </c>
      <c r="HP13" s="183">
        <f>HO12*Supuestos!$B$12</f>
        <v>667.01738183709119</v>
      </c>
      <c r="HQ13" s="183">
        <f>HP12*Supuestos!$B$12</f>
        <v>331.74223414322921</v>
      </c>
      <c r="HR13" s="183">
        <f>HQ12*Supuestos!$B$12</f>
        <v>725.40386345628633</v>
      </c>
      <c r="HS13" s="183">
        <f>HR12*Supuestos!$B$12</f>
        <v>875.14000836418597</v>
      </c>
      <c r="HT13" s="183">
        <f>HS12*Supuestos!$B$12</f>
        <v>911.22624398036248</v>
      </c>
      <c r="HU13" s="183">
        <f>HT12*Supuestos!$B$12</f>
        <v>684.151019998214</v>
      </c>
      <c r="HV13" s="183">
        <f>HU12*Supuestos!$B$12</f>
        <v>312.0043041771944</v>
      </c>
      <c r="HW13" s="183">
        <f>HV12*Supuestos!$B$12</f>
        <v>682.24393631897306</v>
      </c>
      <c r="HX13" s="183">
        <f>HW12*Supuestos!$B$12</f>
        <v>823.07111143829843</v>
      </c>
      <c r="HY13" s="183">
        <f>HX12*Supuestos!$B$12</f>
        <v>857.01029576578549</v>
      </c>
      <c r="HZ13" s="183">
        <f>HY12*Supuestos!$B$12</f>
        <v>643.44554590085852</v>
      </c>
      <c r="IA13" s="183">
        <f>HZ12*Supuestos!$B$12</f>
        <v>161.77074408876743</v>
      </c>
      <c r="IB13" s="183">
        <f>IA12*Supuestos!$B$12</f>
        <v>353.73585476465075</v>
      </c>
      <c r="IC13" s="183">
        <f>IB12*Supuestos!$B$12</f>
        <v>426.75317087845076</v>
      </c>
      <c r="ID13" s="183">
        <f>IC12*Supuestos!$B$12</f>
        <v>444.3502585753734</v>
      </c>
      <c r="IE13" s="183">
        <f>ID12*Supuestos!$B$12</f>
        <v>333.61932302661302</v>
      </c>
      <c r="IF13" s="183">
        <f>IE12*Supuestos!$B$12</f>
        <v>352.12364992193</v>
      </c>
      <c r="IG13" s="183">
        <f>IF12*Supuestos!$B$12</f>
        <v>769.97086827785256</v>
      </c>
      <c r="IH13" s="183">
        <f>IG12*Supuestos!$B$12</f>
        <v>928.90642861245988</v>
      </c>
      <c r="II13" s="183">
        <f>IH12*Supuestos!$B$12</f>
        <v>967.20971257607084</v>
      </c>
      <c r="IJ13" s="183">
        <f>II12*Supuestos!$B$12</f>
        <v>726.18355296772882</v>
      </c>
      <c r="IK13" s="183">
        <f>IJ12*Supuestos!$B$12</f>
        <v>377.30427301148097</v>
      </c>
      <c r="IL13" s="183">
        <f>IK12*Supuestos!$B$12</f>
        <v>578.89096221305749</v>
      </c>
      <c r="IM13" s="183">
        <f>IL12*Supuestos!$B$12</f>
        <v>740.69563842659568</v>
      </c>
      <c r="IN13" s="183">
        <f>IM12*Supuestos!$B$12</f>
        <v>1457.6728300408249</v>
      </c>
      <c r="IO13" s="183">
        <f>IN12*Supuestos!$B$12</f>
        <v>319.70141932183242</v>
      </c>
      <c r="IP13" s="183">
        <f>IO12*Supuestos!$B$12</f>
        <v>699.07482635565634</v>
      </c>
      <c r="IQ13" s="183">
        <f>IP12*Supuestos!$B$12</f>
        <v>843.37619387513507</v>
      </c>
      <c r="IR13" s="183">
        <f>IQ12*Supuestos!$B$12</f>
        <v>878.15265450357799</v>
      </c>
      <c r="IS13" s="183">
        <f>IR12*Supuestos!$B$12</f>
        <v>659.3192835057431</v>
      </c>
      <c r="IT13" s="183">
        <f>IS12*Supuestos!$B$12</f>
        <v>309.27508799418655</v>
      </c>
      <c r="IU13" s="183">
        <f>IT12*Supuestos!$B$12</f>
        <v>676.2760981615121</v>
      </c>
      <c r="IV13" s="183">
        <f>IU12*Supuestos!$B$12</f>
        <v>815.87140628350062</v>
      </c>
      <c r="IW13" s="183">
        <f>IV12*Supuestos!$B$12</f>
        <v>849.51371210686273</v>
      </c>
      <c r="IX13" s="183">
        <f>IW12*Supuestos!$B$12</f>
        <v>637.81709150697429</v>
      </c>
      <c r="IY13" s="183">
        <f>IX12*Supuestos!$B$12</f>
        <v>350.17568965908532</v>
      </c>
      <c r="IZ13" s="183">
        <f>IY12*Supuestos!$B$12</f>
        <v>765.7113626885922</v>
      </c>
      <c r="JA13" s="183">
        <f>IZ12*Supuestos!$B$12</f>
        <v>923.76768598259332</v>
      </c>
      <c r="JB13" s="183">
        <f>JA12*Supuestos!$B$12</f>
        <v>961.85907484880261</v>
      </c>
      <c r="JC13" s="183">
        <f>JB12*Supuestos!$B$12</f>
        <v>722.16628032777373</v>
      </c>
      <c r="JD13" s="183">
        <f>JC12*Supuestos!$B$12</f>
        <v>272.14084412498875</v>
      </c>
      <c r="JE13" s="183">
        <f>JD12*Supuestos!$B$12</f>
        <v>595.0765365837907</v>
      </c>
      <c r="JF13" s="183">
        <f>JE12*Supuestos!$B$12</f>
        <v>717.9108238022942</v>
      </c>
      <c r="JG13" s="183">
        <f>JF12*Supuestos!$B$12</f>
        <v>747.51374321122148</v>
      </c>
      <c r="JH13" s="183">
        <f>JG12*Supuestos!$B$12</f>
        <v>561.23525113447181</v>
      </c>
      <c r="JI13" s="183">
        <f>JH12*Supuestos!$B$12</f>
        <v>353.94733342119065</v>
      </c>
      <c r="JJ13" s="183">
        <f>JI12*Supuestos!$B$12</f>
        <v>773.95862419172272</v>
      </c>
      <c r="JK13" s="183">
        <f>JJ12*Supuestos!$B$12</f>
        <v>933.71732764350566</v>
      </c>
      <c r="JL13" s="183">
        <f>JK12*Supuestos!$B$12</f>
        <v>972.21898813464441</v>
      </c>
      <c r="JM13" s="183">
        <f>JL12*Supuestos!$B$12</f>
        <v>729.94453000882049</v>
      </c>
      <c r="JN13" s="183">
        <f>JM12*Supuestos!$B$12</f>
        <v>392.88398785105915</v>
      </c>
      <c r="JO13" s="183">
        <f>JN12*Supuestos!$B$12</f>
        <v>859.09942523092457</v>
      </c>
      <c r="JP13" s="183">
        <f>JO12*Supuestos!$B$12</f>
        <v>1036.4326908875978</v>
      </c>
      <c r="JQ13" s="183">
        <f>JP12*Supuestos!$B$12</f>
        <v>1079.1698002943406</v>
      </c>
      <c r="JR13" s="183">
        <f>JQ12*Supuestos!$B$12</f>
        <v>810.24347630461034</v>
      </c>
      <c r="JS13" s="183">
        <f>JR12*Supuestos!$B$12</f>
        <v>375.183669678304</v>
      </c>
      <c r="JT13" s="183">
        <f>JS12*Supuestos!$B$12</f>
        <v>820.39504012276086</v>
      </c>
      <c r="JU13" s="183">
        <f>JT12*Supuestos!$B$12</f>
        <v>989.7390384084091</v>
      </c>
      <c r="JV13" s="183">
        <f>JU12*Supuestos!$B$12</f>
        <v>1030.5507437323311</v>
      </c>
      <c r="JW13" s="183">
        <f>JV12*Supuestos!$B$12</f>
        <v>773.74016293102579</v>
      </c>
      <c r="JX13" s="183">
        <f>JW12*Supuestos!$B$12</f>
        <v>384.82099160614587</v>
      </c>
      <c r="JY13" s="183">
        <f>JX12*Supuestos!$B$12</f>
        <v>841.4684816092921</v>
      </c>
      <c r="JZ13" s="183">
        <f>JY12*Supuestos!$B$12</f>
        <v>1015.1624097024556</v>
      </c>
      <c r="KA13" s="183">
        <f>JZ12*Supuestos!$B$12</f>
        <v>1057.0224430172202</v>
      </c>
      <c r="KB13" s="183">
        <f>KA12*Supuestos!$B$12</f>
        <v>793.61518319792822</v>
      </c>
      <c r="KC13" s="183">
        <f>KB12*Supuestos!$B$12</f>
        <v>361.92499284554543</v>
      </c>
      <c r="KD13" s="183">
        <f>KC12*Supuestos!$B$12</f>
        <v>791.40296613000874</v>
      </c>
      <c r="KE13" s="183">
        <f>KD12*Supuestos!$B$12</f>
        <v>954.76248926842607</v>
      </c>
      <c r="KF13" s="183">
        <f>KE12*Supuestos!$B$12</f>
        <v>994.13194308831112</v>
      </c>
      <c r="KG13" s="183">
        <f>KF12*Supuestos!$B$12</f>
        <v>746.39683324499583</v>
      </c>
      <c r="KH13" s="183">
        <f>KG12*Supuestos!$B$12</f>
        <v>187.65406314297019</v>
      </c>
      <c r="KI13" s="183">
        <f>KH12*Supuestos!$B$12</f>
        <v>410.33359152699478</v>
      </c>
      <c r="KJ13" s="183">
        <f>KI12*Supuestos!$B$12</f>
        <v>495.03367821900287</v>
      </c>
      <c r="KK13" s="183">
        <f>KJ12*Supuestos!$B$12</f>
        <v>515.44629994743309</v>
      </c>
      <c r="KL13" s="183">
        <f>KK12*Supuestos!$B$12</f>
        <v>386.99841471087109</v>
      </c>
      <c r="KM13" s="183">
        <f>KL12*Supuestos!$B$12</f>
        <v>406.70281565982913</v>
      </c>
      <c r="KN13" s="183">
        <f>KM12*Supuestos!$B$12</f>
        <v>889.31635286091978</v>
      </c>
      <c r="KO13" s="183">
        <f>KN12*Supuestos!$B$12</f>
        <v>1072.8869250473911</v>
      </c>
      <c r="KP13" s="183">
        <f>KO12*Supuestos!$B$12</f>
        <v>1117.1272180253618</v>
      </c>
      <c r="KQ13" s="183">
        <f>KP12*Supuestos!$B$12</f>
        <v>838.74200367772698</v>
      </c>
      <c r="KR13" s="183">
        <f>KQ12*Supuestos!$B$12</f>
        <v>435.78643532826055</v>
      </c>
      <c r="KS13" s="183">
        <f>KR12*Supuestos!$B$12</f>
        <v>668.61906135608149</v>
      </c>
      <c r="KT13" s="183">
        <f>KS12*Supuestos!$B$12</f>
        <v>855.50346238271811</v>
      </c>
      <c r="KU13" s="183">
        <f>KT12*Supuestos!$B$12</f>
        <v>1683.6121186971532</v>
      </c>
      <c r="KV13" s="183">
        <f>KU12*Supuestos!$B$12</f>
        <v>369.2551393167164</v>
      </c>
      <c r="KW13" s="183">
        <f>KV12*Supuestos!$B$12</f>
        <v>807.43142444078308</v>
      </c>
      <c r="KX13" s="183">
        <f>KW12*Supuestos!$B$12</f>
        <v>974.09950392578094</v>
      </c>
      <c r="KY13" s="183">
        <f>KX12*Supuestos!$B$12</f>
        <v>1014.2663159516325</v>
      </c>
      <c r="KZ13" s="183">
        <f>KY12*Supuestos!$B$12</f>
        <v>761.51377244913328</v>
      </c>
      <c r="LA13" s="183">
        <f>KZ12*Supuestos!$B$12</f>
        <v>357.2127266332854</v>
      </c>
      <c r="LB13" s="183">
        <f>LA12*Supuestos!$B$12</f>
        <v>781.0988933765467</v>
      </c>
      <c r="LC13" s="183">
        <f>LB12*Supuestos!$B$12</f>
        <v>942.33147425744323</v>
      </c>
      <c r="LD13" s="183">
        <f>LC12*Supuestos!$B$12</f>
        <v>981.18833748342661</v>
      </c>
      <c r="LE13" s="183">
        <f>LD12*Supuestos!$B$12</f>
        <v>736.6787406905554</v>
      </c>
      <c r="LF13" s="183">
        <f>LE12*Supuestos!$B$12</f>
        <v>404.4529215562435</v>
      </c>
      <c r="LG13" s="183">
        <f>LF12*Supuestos!$B$12</f>
        <v>884.39662390532385</v>
      </c>
      <c r="LH13" s="183">
        <f>LG12*Supuestos!$B$12</f>
        <v>1066.9516773098953</v>
      </c>
      <c r="LI13" s="183">
        <f>LH12*Supuestos!$B$12</f>
        <v>1110.9472314503671</v>
      </c>
      <c r="LJ13" s="183">
        <f>LI12*Supuestos!$B$12</f>
        <v>834.10205377857881</v>
      </c>
      <c r="LK13" s="183">
        <f>LJ12*Supuestos!$B$12</f>
        <v>314.32267496436197</v>
      </c>
      <c r="LL13" s="183">
        <f>LK12*Supuestos!$B$12</f>
        <v>687.31339975427841</v>
      </c>
      <c r="LM13" s="183">
        <f>LL12*Supuestos!$B$12</f>
        <v>829.18700149164988</v>
      </c>
      <c r="LN13" s="183">
        <f>LM12*Supuestos!$B$12</f>
        <v>863.3783734089609</v>
      </c>
      <c r="LO13" s="183">
        <f>LN12*Supuestos!$B$12</f>
        <v>648.22671506031497</v>
      </c>
      <c r="LP13" s="183">
        <f>LO12*Supuestos!$B$12</f>
        <v>408.80917010147527</v>
      </c>
      <c r="LQ13" s="183">
        <f>LP12*Supuestos!$B$12</f>
        <v>893.92221094144008</v>
      </c>
      <c r="LR13" s="183">
        <f>LQ12*Supuestos!$B$12</f>
        <v>1078.4435134282492</v>
      </c>
      <c r="LS13" s="183">
        <f>LR12*Supuestos!$B$12</f>
        <v>1122.9129312955145</v>
      </c>
      <c r="LT13" s="183">
        <f>LS12*Supuestos!$B$12</f>
        <v>843.08593216018778</v>
      </c>
      <c r="LU13" s="183">
        <f>LT12*Supuestos!$B$12</f>
        <v>453.78100596797333</v>
      </c>
      <c r="LV13" s="183">
        <f>LU12*Supuestos!$B$12</f>
        <v>992.25983614171776</v>
      </c>
      <c r="LW13" s="183">
        <f>LV12*Supuestos!$B$12</f>
        <v>1197.0797579751757</v>
      </c>
      <c r="LX13" s="183">
        <f>LW12*Supuestos!$B$12</f>
        <v>1246.4411193399631</v>
      </c>
      <c r="LY13" s="183">
        <f>LX12*Supuestos!$B$12</f>
        <v>935.83121513182505</v>
      </c>
      <c r="LZ13" s="183">
        <f>LY12*Supuestos!$B$12</f>
        <v>433.33713847844115</v>
      </c>
      <c r="MA13" s="183">
        <f>LZ12*Supuestos!$B$12</f>
        <v>947.55627134178883</v>
      </c>
      <c r="MB13" s="183">
        <f>MA12*Supuestos!$B$12</f>
        <v>1143.1485893617125</v>
      </c>
      <c r="MC13" s="183">
        <f>MB12*Supuestos!$B$12</f>
        <v>1190.2861090108424</v>
      </c>
      <c r="MD13" s="183">
        <f>MC12*Supuestos!$B$12</f>
        <v>893.66988818533491</v>
      </c>
      <c r="ME13" s="183">
        <f>MD12*Supuestos!$B$12</f>
        <v>444.46824530509849</v>
      </c>
      <c r="MF13" s="183">
        <f>ME12*Supuestos!$B$12</f>
        <v>971.89609625873254</v>
      </c>
      <c r="MG13" s="183">
        <f>MF12*Supuestos!$B$12</f>
        <v>1172.5125832063363</v>
      </c>
      <c r="MH13" s="183">
        <f>MG12*Supuestos!$B$12</f>
        <v>1220.8609216848895</v>
      </c>
      <c r="MI13" s="183">
        <f>MH12*Supuestos!$B$12</f>
        <v>916.62553659360708</v>
      </c>
      <c r="MJ13" s="183">
        <f>MI12*Supuestos!$B$12</f>
        <v>418.023366736605</v>
      </c>
      <c r="MK13" s="183">
        <f>MJ12*Supuestos!$B$12</f>
        <v>914.07042588016009</v>
      </c>
      <c r="ML13" s="183">
        <f>MK12*Supuestos!$B$12</f>
        <v>1102.7506751050321</v>
      </c>
      <c r="MM13" s="183">
        <f>ML12*Supuestos!$B$12</f>
        <v>1148.2223942669993</v>
      </c>
      <c r="MN13" s="183">
        <f>MM12*Supuestos!$B$12</f>
        <v>862.08834239797011</v>
      </c>
      <c r="MO13" s="183">
        <f>MN12*Supuestos!$B$12</f>
        <v>216.74044293013057</v>
      </c>
      <c r="MP13" s="183">
        <f>MO12*Supuestos!$B$12</f>
        <v>473.93529821367906</v>
      </c>
      <c r="MQ13" s="183">
        <f>MP12*Supuestos!$B$12</f>
        <v>571.76389834294821</v>
      </c>
      <c r="MR13" s="183">
        <f>MQ12*Supuestos!$B$12</f>
        <v>595.34047643928523</v>
      </c>
      <c r="MS13" s="183">
        <f>MR12*Supuestos!$B$12</f>
        <v>446.98316899105617</v>
      </c>
      <c r="MT13" s="183">
        <f>MS12*Supuestos!$B$12</f>
        <v>463.64120985220529</v>
      </c>
      <c r="MU13" s="183">
        <f>MT12*Supuestos!$B$12</f>
        <v>1013.8206422614488</v>
      </c>
      <c r="MV13" s="183">
        <f>MU12*Supuestos!$B$12</f>
        <v>1223.0910945540263</v>
      </c>
      <c r="MW13" s="183">
        <f>MV12*Supuestos!$B$12</f>
        <v>1273.5250285489128</v>
      </c>
      <c r="MX13" s="183">
        <f>MW12*Supuestos!$B$12</f>
        <v>956.16588419260904</v>
      </c>
      <c r="MY13" s="183">
        <f>MX12*Supuestos!$B$12</f>
        <v>390.6067708654287</v>
      </c>
      <c r="MZ13" s="183">
        <f>MY12*Supuestos!$B$12</f>
        <v>854.11995071942329</v>
      </c>
      <c r="NA13" s="183">
        <f>MZ12*Supuestos!$B$12</f>
        <v>1030.4253650582575</v>
      </c>
      <c r="NB13" s="183">
        <f>NA12*Supuestos!$B$12</f>
        <v>1072.9147635007785</v>
      </c>
      <c r="NC13" s="183">
        <f>NB12*Supuestos!$B$12</f>
        <v>805.54717850731595</v>
      </c>
      <c r="ND13" s="183">
        <f>NC12*Supuestos!$B$12</f>
        <v>420.95085882105684</v>
      </c>
      <c r="NE13" s="183">
        <f>ND12*Supuestos!$B$12</f>
        <v>920.47182386249301</v>
      </c>
      <c r="NF13" s="183">
        <f>NE12*Supuestos!$B$12</f>
        <v>1110.4734344753906</v>
      </c>
      <c r="NG13" s="183">
        <f>NF12*Supuestos!$B$12</f>
        <v>1156.2636001848614</v>
      </c>
      <c r="NH13" s="183">
        <f>NG12*Supuestos!$B$12</f>
        <v>868.12570059201221</v>
      </c>
      <c r="NI13" s="183">
        <f>NH12*Supuestos!$B$12</f>
        <v>407.22250836194547</v>
      </c>
      <c r="NJ13" s="183">
        <f>NI12*Supuestos!$B$12</f>
        <v>890.45273844926317</v>
      </c>
      <c r="NK13" s="183">
        <f>NJ12*Supuestos!$B$12</f>
        <v>1074.2578806534852</v>
      </c>
      <c r="NL13" s="183">
        <f>NK12*Supuestos!$B$12</f>
        <v>1118.5547047311063</v>
      </c>
      <c r="NM13" s="183">
        <f>NL12*Supuestos!$B$12</f>
        <v>839.81376438723316</v>
      </c>
      <c r="NN13" s="183">
        <f>NM12*Supuestos!$B$12</f>
        <v>461.07633057411772</v>
      </c>
      <c r="NO13" s="183">
        <f>NN12*Supuestos!$B$12</f>
        <v>1008.2121512520694</v>
      </c>
      <c r="NP13" s="183">
        <f>NO12*Supuestos!$B$12</f>
        <v>1216.324912133281</v>
      </c>
      <c r="NQ13" s="183">
        <f>NP12*Supuestos!$B$12</f>
        <v>1266.479843853419</v>
      </c>
      <c r="NR13" s="183">
        <f>NQ12*Supuestos!$B$12</f>
        <v>950.87634130758011</v>
      </c>
      <c r="NS13" s="183">
        <f>NR12*Supuestos!$B$12</f>
        <v>358.32784945937277</v>
      </c>
      <c r="NT13" s="183">
        <f>NS12*Supuestos!$B$12</f>
        <v>783.53727571987758</v>
      </c>
      <c r="NU13" s="183">
        <f>NT12*Supuestos!$B$12</f>
        <v>945.27318170048102</v>
      </c>
      <c r="NV13" s="183">
        <f>NU12*Supuestos!$B$12</f>
        <v>984.2513456862157</v>
      </c>
      <c r="NW13" s="183">
        <f>NV12*Supuestos!$B$12</f>
        <v>738.9784551687593</v>
      </c>
      <c r="NX13" s="183">
        <f>NW12*Supuestos!$B$12</f>
        <v>466.0424539156819</v>
      </c>
      <c r="NY13" s="183">
        <f>NX12*Supuestos!$B$12</f>
        <v>1019.0713204732417</v>
      </c>
      <c r="NZ13" s="183">
        <f>NY12*Supuestos!$B$12</f>
        <v>1229.4256053082042</v>
      </c>
      <c r="OA13" s="183">
        <f>NZ12*Supuestos!$B$12</f>
        <v>1280.1207416768868</v>
      </c>
      <c r="OB13" s="183">
        <f>OA12*Supuestos!$B$12</f>
        <v>961.1179626626141</v>
      </c>
      <c r="OC13" s="183">
        <f>OB12*Supuestos!$B$12</f>
        <v>517.31034680348978</v>
      </c>
      <c r="OD13" s="183">
        <f>OC12*Supuestos!$B$12</f>
        <v>1131.1762132015585</v>
      </c>
      <c r="OE13" s="183">
        <f>OD12*Supuestos!$B$12</f>
        <v>1364.6709240917005</v>
      </c>
      <c r="OF13" s="183">
        <f>OE12*Supuestos!$B$12</f>
        <v>1420.9428760475585</v>
      </c>
      <c r="OG13" s="183">
        <f>OF12*Supuestos!$B$12</f>
        <v>1066.8475852502806</v>
      </c>
      <c r="OH13" s="183">
        <f>OG12*Supuestos!$B$12</f>
        <v>494.00433786542294</v>
      </c>
      <c r="OI13" s="183">
        <f>OH12*Supuestos!$B$12</f>
        <v>1080.2141493296394</v>
      </c>
      <c r="OJ13" s="183">
        <f>OI12*Supuestos!$B$12</f>
        <v>1303.1893918723526</v>
      </c>
      <c r="OK13" s="183">
        <f>OJ12*Supuestos!$B$12</f>
        <v>1356.9261642723604</v>
      </c>
      <c r="OL13" s="183">
        <f>OK12*Supuestos!$B$12</f>
        <v>1018.7836725312819</v>
      </c>
      <c r="OM13" s="183">
        <f>OL12*Supuestos!$B$12</f>
        <v>506.69379964781245</v>
      </c>
      <c r="ON13" s="183">
        <f>OM12*Supuestos!$B$12</f>
        <v>1107.9615497349553</v>
      </c>
      <c r="OO13" s="183">
        <f>ON12*Supuestos!$B$12</f>
        <v>1336.6643448552238</v>
      </c>
      <c r="OP13" s="183">
        <f>OO12*Supuestos!$B$12</f>
        <v>1391.7814507207743</v>
      </c>
      <c r="OQ13" s="183">
        <f>OP12*Supuestos!$B$12</f>
        <v>1044.9531117167123</v>
      </c>
      <c r="OR13" s="183">
        <f>OQ12*Supuestos!$B$12</f>
        <v>476.5466380797298</v>
      </c>
      <c r="OS13" s="183">
        <f>OR12*Supuestos!$B$12</f>
        <v>1042.0402855033828</v>
      </c>
      <c r="OT13" s="183">
        <f>OS12*Supuestos!$B$12</f>
        <v>1257.1357696197369</v>
      </c>
      <c r="OU13" s="183">
        <f>OT12*Supuestos!$B$12</f>
        <v>1308.9735294643797</v>
      </c>
      <c r="OV13" s="183">
        <f>OU12*Supuestos!$B$12</f>
        <v>982.7807103336861</v>
      </c>
      <c r="OW13" s="183">
        <f>OV12*Supuestos!$B$12</f>
        <v>247.08410494034894</v>
      </c>
      <c r="OX13" s="183">
        <f>OW12*Supuestos!$B$12</f>
        <v>540.28623996359431</v>
      </c>
      <c r="OY13" s="183">
        <f>OX12*Supuestos!$B$12</f>
        <v>651.81084411096117</v>
      </c>
      <c r="OZ13" s="183">
        <f>OY12*Supuestos!$B$12</f>
        <v>678.68814314078531</v>
      </c>
      <c r="PA13" s="183">
        <f>OZ12*Supuestos!$B$12</f>
        <v>509.56081264980406</v>
      </c>
      <c r="PB13" s="183">
        <f>PA12*Supuestos!$B$12</f>
        <v>528.55097923151413</v>
      </c>
      <c r="PC13" s="183">
        <f>PB12*Supuestos!$B$12</f>
        <v>1155.7555321780517</v>
      </c>
      <c r="PD13" s="183">
        <f>PC12*Supuestos!$B$12</f>
        <v>1394.32384779159</v>
      </c>
      <c r="PE13" s="183">
        <f>PD12*Supuestos!$B$12</f>
        <v>1451.8185325457605</v>
      </c>
      <c r="PF13" s="183">
        <f>PE12*Supuestos!$B$12</f>
        <v>1090.0291079795741</v>
      </c>
      <c r="PG13" s="183">
        <f>PF12*Supuestos!$B$12</f>
        <v>566.34805135260763</v>
      </c>
      <c r="PH13" s="183">
        <f>PG12*Supuestos!$B$12</f>
        <v>868.9373321383639</v>
      </c>
      <c r="PI13" s="183">
        <f>PH12*Supuestos!$B$12</f>
        <v>1111.8122997125809</v>
      </c>
      <c r="PJ13" s="183">
        <f>PI12*Supuestos!$B$12</f>
        <v>2188.0223094588214</v>
      </c>
      <c r="PK13" s="183">
        <f>PJ12*Supuestos!$B$12</f>
        <v>479.88397905600488</v>
      </c>
      <c r="PL13" s="183">
        <f>PK12*Supuestos!$B$12</f>
        <v>1049.3378792032422</v>
      </c>
      <c r="PM13" s="183">
        <f>PL12*Supuestos!$B$12</f>
        <v>1265.9397153019454</v>
      </c>
      <c r="PN13" s="183">
        <f>PM12*Supuestos!$B$12</f>
        <v>1318.1405042107419</v>
      </c>
      <c r="PO13" s="183">
        <f>PN12*Supuestos!$B$12</f>
        <v>989.66329867489401</v>
      </c>
      <c r="PP13" s="183">
        <f>PO12*Supuestos!$B$12</f>
        <v>464.23365953261788</v>
      </c>
      <c r="PQ13" s="183">
        <f>PP12*Supuestos!$B$12</f>
        <v>1015.1161218321602</v>
      </c>
      <c r="PR13" s="183">
        <f>PQ12*Supuestos!$B$12</f>
        <v>1224.6539839449736</v>
      </c>
      <c r="PS13" s="183">
        <f>PR12*Supuestos!$B$12</f>
        <v>1275.1523633934614</v>
      </c>
      <c r="PT13" s="183">
        <f>PS12*Supuestos!$B$12</f>
        <v>957.38769140144575</v>
      </c>
      <c r="PU13" s="183">
        <f>PT12*Supuestos!$B$12</f>
        <v>525.62701685449429</v>
      </c>
      <c r="PV13" s="183">
        <f>PU12*Supuestos!$B$12</f>
        <v>1149.3618524273591</v>
      </c>
      <c r="PW13" s="183">
        <f>PV12*Supuestos!$B$12</f>
        <v>1386.6103998319404</v>
      </c>
      <c r="PX13" s="183">
        <f>PW12*Supuestos!$B$12</f>
        <v>1443.7870219928975</v>
      </c>
      <c r="PY13" s="183">
        <f>PX12*Supuestos!$B$12</f>
        <v>1083.9990290906414</v>
      </c>
      <c r="PZ13" s="183">
        <f>PY12*Supuestos!$B$12</f>
        <v>408.49374838368499</v>
      </c>
      <c r="QA13" s="183">
        <f>PZ12*Supuestos!$B$12</f>
        <v>893.23249432066041</v>
      </c>
      <c r="QB13" s="183">
        <f>QA12*Supuestos!$B$12</f>
        <v>1077.6114271385486</v>
      </c>
      <c r="QC13" s="183">
        <f>QB12*Supuestos!$B$12</f>
        <v>1122.0465340822857</v>
      </c>
      <c r="QD13" s="183">
        <f>QC12*Supuestos!$B$12</f>
        <v>842.43543889238549</v>
      </c>
      <c r="QE13" s="183">
        <f>QD12*Supuestos!$B$12</f>
        <v>531.28839746387746</v>
      </c>
      <c r="QF13" s="183">
        <f>QE12*Supuestos!$B$12</f>
        <v>1161.7413053394957</v>
      </c>
      <c r="QG13" s="183">
        <f>QF12*Supuestos!$B$12</f>
        <v>1401.5451900513528</v>
      </c>
      <c r="QH13" s="183">
        <f>QG12*Supuestos!$B$12</f>
        <v>1459.3376455116511</v>
      </c>
      <c r="QI13" s="183">
        <f>QH12*Supuestos!$B$12</f>
        <v>1095.6744774353804</v>
      </c>
      <c r="QJ13" s="183">
        <f>QI12*Supuestos!$B$12</f>
        <v>589.73379535597837</v>
      </c>
      <c r="QK13" s="183">
        <f>QJ12*Supuestos!$B$12</f>
        <v>1289.5408830497768</v>
      </c>
      <c r="QL13" s="183">
        <f>QK12*Supuestos!$B$12</f>
        <v>1555.7248534645389</v>
      </c>
      <c r="QM13" s="183">
        <f>QL12*Supuestos!$B$12</f>
        <v>1619.8748786942167</v>
      </c>
      <c r="QN13" s="183">
        <f>QM12*Supuestos!$B$12</f>
        <v>1216.2062471853201</v>
      </c>
      <c r="QO13" s="183">
        <f>QN12*Supuestos!$B$12</f>
        <v>563.16494516658224</v>
      </c>
      <c r="QP13" s="183">
        <f>QO12*Supuestos!$B$12</f>
        <v>1231.4441302357891</v>
      </c>
      <c r="QQ13" s="183">
        <f>QP12*Supuestos!$B$12</f>
        <v>1485.6359067344818</v>
      </c>
      <c r="QR13" s="183">
        <f>QQ12*Supuestos!$B$12</f>
        <v>1546.8958272704911</v>
      </c>
      <c r="QS13" s="183">
        <f>QR12*Supuestos!$B$12</f>
        <v>1161.4133866856614</v>
      </c>
      <c r="QT13" s="183">
        <f>QS12*Supuestos!$B$12</f>
        <v>577.63093159850621</v>
      </c>
      <c r="QU13" s="183">
        <f>QT12*Supuestos!$B$12</f>
        <v>1263.076166697849</v>
      </c>
      <c r="QV13" s="183">
        <f>QU12*Supuestos!$B$12</f>
        <v>1523.7973531349553</v>
      </c>
      <c r="QW13" s="183">
        <f>QV12*Supuestos!$B$12</f>
        <v>1586.6308538216829</v>
      </c>
      <c r="QX13" s="183">
        <f>QW12*Supuestos!$B$12</f>
        <v>1191.2465473570521</v>
      </c>
      <c r="QY13" s="183">
        <f>QX12*Supuestos!$B$12</f>
        <v>543.26316741089204</v>
      </c>
      <c r="QZ13" s="183">
        <f>QY12*Supuestos!$B$12</f>
        <v>1187.9259254738565</v>
      </c>
      <c r="RA13" s="183">
        <f>QZ12*Supuestos!$B$12</f>
        <v>1433.1347773665002</v>
      </c>
      <c r="RB13" s="183">
        <f>RA12*Supuestos!$B$12</f>
        <v>1492.2298235893927</v>
      </c>
      <c r="RC13" s="183">
        <f>RB12*Supuestos!$B$12</f>
        <v>1120.3700097804024</v>
      </c>
      <c r="RD13" s="183">
        <f>RC12*Supuestos!$B$12</f>
        <v>281.67587963199782</v>
      </c>
      <c r="RE13" s="183">
        <f>RD12*Supuestos!$B$12</f>
        <v>615.92631355849744</v>
      </c>
      <c r="RF13" s="183">
        <f>RE12*Supuestos!$B$12</f>
        <v>743.06436228649591</v>
      </c>
      <c r="RG13" s="183">
        <f>RF12*Supuestos!$B$12</f>
        <v>773.70448318049534</v>
      </c>
      <c r="RH13" s="183">
        <f>RG12*Supuestos!$B$12</f>
        <v>580.89932642077679</v>
      </c>
      <c r="RI13" s="183">
        <f>RH12*Supuestos!$B$12</f>
        <v>602.54811632392614</v>
      </c>
      <c r="RJ13" s="183">
        <f>RI12*Supuestos!$B$12</f>
        <v>1317.561306682979</v>
      </c>
      <c r="RK13" s="183">
        <f>RJ12*Supuestos!$B$12</f>
        <v>1589.5291864824126</v>
      </c>
      <c r="RL13" s="183">
        <f>RK12*Supuestos!$B$12</f>
        <v>1655.0731271021671</v>
      </c>
      <c r="RM13" s="183">
        <f>RL12*Supuestos!$B$12</f>
        <v>1242.6331830967147</v>
      </c>
      <c r="RN13" s="183">
        <f>RM12*Supuestos!$B$12</f>
        <v>645.6367785419726</v>
      </c>
      <c r="RO13" s="183">
        <f>RN12*Supuestos!$B$12</f>
        <v>990.58855863773476</v>
      </c>
      <c r="RP13" s="183">
        <f>RO12*Supuestos!$B$12</f>
        <v>1267.4660216723423</v>
      </c>
      <c r="RQ13" s="183">
        <f>RP12*Supuestos!$B$12</f>
        <v>2494.3454327830559</v>
      </c>
      <c r="RR13" s="183">
        <f>RQ12*Supuestos!$B$12</f>
        <v>547.06773612384552</v>
      </c>
      <c r="RS13" s="183">
        <f>RR12*Supuestos!$B$12</f>
        <v>1196.245182291696</v>
      </c>
      <c r="RT13" s="183">
        <f>RS12*Supuestos!$B$12</f>
        <v>1443.1712754442178</v>
      </c>
      <c r="RU13" s="183">
        <f>RT12*Supuestos!$B$12</f>
        <v>1502.680174800246</v>
      </c>
      <c r="RV13" s="183">
        <f>RU12*Supuestos!$B$12</f>
        <v>1128.216160489379</v>
      </c>
      <c r="RW13" s="183">
        <f>RV12*Supuestos!$B$12</f>
        <v>529.22637186718441</v>
      </c>
      <c r="RX13" s="183">
        <f>RW12*Supuestos!$B$12</f>
        <v>1157.2323788886627</v>
      </c>
      <c r="RY13" s="183">
        <f>RX12*Supuestos!$B$12</f>
        <v>1396.1055416972697</v>
      </c>
      <c r="RZ13" s="183">
        <f>RY12*Supuestos!$B$12</f>
        <v>1453.6736942685459</v>
      </c>
      <c r="SA13" s="183">
        <f>RZ12*Supuestos!$B$12</f>
        <v>1091.4219681976483</v>
      </c>
      <c r="SB13" s="183">
        <f>SA12*Supuestos!$B$12</f>
        <v>599.21479921412345</v>
      </c>
      <c r="SC13" s="183">
        <f>SB12*Supuestos!$B$12</f>
        <v>1310.2725117671894</v>
      </c>
      <c r="SD13" s="183">
        <f>SC12*Supuestos!$B$12</f>
        <v>1580.735855808412</v>
      </c>
      <c r="SE13" s="183">
        <f>SD12*Supuestos!$B$12</f>
        <v>1645.9172050719033</v>
      </c>
      <c r="SF13" s="183">
        <f>SE12*Supuestos!$B$12</f>
        <v>1235.7588931633309</v>
      </c>
      <c r="SG13" s="183">
        <f>SF12*Supuestos!$B$12</f>
        <v>465.68287315740082</v>
      </c>
      <c r="SH13" s="183">
        <f>SG12*Supuestos!$B$12</f>
        <v>1018.2850435255529</v>
      </c>
      <c r="SI13" s="183">
        <f>SH12*Supuestos!$B$12</f>
        <v>1228.4770269379451</v>
      </c>
      <c r="SJ13" s="183">
        <f>SI12*Supuestos!$B$12</f>
        <v>1279.133048853806</v>
      </c>
      <c r="SK13" s="183">
        <f>SJ12*Supuestos!$B$12</f>
        <v>960.37640033731952</v>
      </c>
      <c r="SL13" s="183">
        <f>SK12*Supuestos!$B$12</f>
        <v>605.66877310882012</v>
      </c>
      <c r="SM13" s="183">
        <f>SL12*Supuestos!$B$12</f>
        <v>1324.3850880870252</v>
      </c>
      <c r="SN13" s="183">
        <f>SM12*Supuestos!$B$12</f>
        <v>1597.7615166585422</v>
      </c>
      <c r="SO13" s="183">
        <f>SN12*Supuestos!$B$12</f>
        <v>1663.6449158832822</v>
      </c>
      <c r="SP13" s="183">
        <f>SO12*Supuestos!$B$12</f>
        <v>1249.0689042763336</v>
      </c>
      <c r="SQ13" s="183">
        <f>SP12*Supuestos!$B$12</f>
        <v>672.29652670581527</v>
      </c>
      <c r="SR13" s="183">
        <f>SQ12*Supuestos!$B$12</f>
        <v>1470.0766066767455</v>
      </c>
      <c r="SS13" s="183">
        <f>SR12*Supuestos!$B$12</f>
        <v>1773.5263329495742</v>
      </c>
      <c r="ST13" s="183">
        <f>SS12*Supuestos!$B$12</f>
        <v>1846.657361711407</v>
      </c>
      <c r="SU13" s="183">
        <f>ST12*Supuestos!$B$12</f>
        <v>1386.4751217912651</v>
      </c>
      <c r="SV13" s="183">
        <f>SU12*Supuestos!$B$12</f>
        <v>642.00803748990381</v>
      </c>
      <c r="SW13" s="183">
        <f>SV12*Supuestos!$B$12</f>
        <v>1403.8463084687996</v>
      </c>
      <c r="SX13" s="183">
        <f>SW12*Supuestos!$B$12</f>
        <v>1693.6249336773094</v>
      </c>
      <c r="SY13" s="183">
        <f>SX12*Supuestos!$B$12</f>
        <v>1763.4612430883599</v>
      </c>
      <c r="SZ13" s="183">
        <f>SY12*Supuestos!$B$12</f>
        <v>1324.0112608216541</v>
      </c>
      <c r="TA13" s="183">
        <f>SZ12*Supuestos!$B$12</f>
        <v>658.4992620222971</v>
      </c>
      <c r="TB13" s="183">
        <f>TA12*Supuestos!$B$12</f>
        <v>1439.906830035548</v>
      </c>
      <c r="TC13" s="183">
        <f>TB12*Supuestos!$B$12</f>
        <v>1737.128982573849</v>
      </c>
      <c r="TD13" s="183">
        <f>TC12*Supuestos!$B$12</f>
        <v>1808.7591733567187</v>
      </c>
      <c r="TE13" s="183">
        <f>TD12*Supuestos!$B$12</f>
        <v>1358.0210639870395</v>
      </c>
      <c r="TF13" s="183">
        <f>TE12*Supuestos!$B$12</f>
        <v>619.32001084841681</v>
      </c>
      <c r="TG13" s="183">
        <f>TF12*Supuestos!$B$12</f>
        <v>1354.2355550401962</v>
      </c>
      <c r="TH13" s="183">
        <f>TG12*Supuestos!$B$12</f>
        <v>1633.7736461978102</v>
      </c>
      <c r="TI13" s="183">
        <f>TH12*Supuestos!$B$12</f>
        <v>1701.1419988919076</v>
      </c>
      <c r="TJ13" s="183">
        <f>TI12*Supuestos!$B$12</f>
        <v>1277.2218111496584</v>
      </c>
      <c r="TK13" s="183">
        <f>TJ12*Supuestos!$B$12</f>
        <v>321.11050278047753</v>
      </c>
      <c r="TL13" s="183">
        <f>TK12*Supuestos!$B$12</f>
        <v>702.15599745668726</v>
      </c>
      <c r="TM13" s="183">
        <f>TL12*Supuestos!$B$12</f>
        <v>847.09337300660536</v>
      </c>
      <c r="TN13" s="183">
        <f>TM12*Supuestos!$B$12</f>
        <v>882.02311082576489</v>
      </c>
    </row>
    <row r="14" spans="1:534" x14ac:dyDescent="0.3">
      <c r="A14" s="182" t="s">
        <v>381</v>
      </c>
      <c r="B14" s="183"/>
      <c r="C14" s="183"/>
      <c r="D14" s="183"/>
      <c r="E14" s="183"/>
      <c r="F14" s="183">
        <f>(B12*Supuestos!$B$13)*Supuestos!$G$9</f>
        <v>29.442891960000004</v>
      </c>
      <c r="G14" s="183">
        <f>(C12*Supuestos!$B$13)*Supuestos!$G$9</f>
        <v>130.13478252000002</v>
      </c>
      <c r="H14" s="183">
        <f>(D12*Supuestos!$B$13)*Supuestos!$G$9+(B12*Supuestos!$B$13)*Supuestos!$H$9</f>
        <v>149.08532922000012</v>
      </c>
      <c r="I14" s="183">
        <f>(E12*Supuestos!$B$13)*Supuestos!$G$9+(C12*Supuestos!$B$13)*Supuestos!$H$9</f>
        <v>458.43134614431779</v>
      </c>
      <c r="J14" s="183">
        <f>(F12*Supuestos!$B$13)*Supuestos!$G$9+(D12*Supuestos!$B$13)*Supuestos!$H$9+(B12*Supuestos!$B$13)*Supuestos!$I$9</f>
        <v>326.99786184000027</v>
      </c>
      <c r="K14" s="183">
        <f>(G12*Supuestos!$B$13)*Supuestos!$G$9+(E12*Supuestos!$B$13)*Supuestos!$H$9+(C12*Supuestos!$B$13)*Supuestos!$I$9</f>
        <v>588.38189916150282</v>
      </c>
      <c r="L14" s="183">
        <f>(H12*Supuestos!$B$13)*Supuestos!$G$9+(F12*Supuestos!$B$13)*Supuestos!$H$9+(D12*Supuestos!$B$13)*Supuestos!$I$9</f>
        <v>421.1485417800003</v>
      </c>
      <c r="M14" s="183">
        <f>(I12*Supuestos!$B$13)*Supuestos!$G$9+(G12*Supuestos!$B$13)*Supuestos!$H$9+(E12*Supuestos!$B$13)*Supuestos!$I$9</f>
        <v>466.48277565324793</v>
      </c>
      <c r="N14" s="183">
        <f>(J12*Supuestos!$B$13)*Supuestos!$G$9+(H12*Supuestos!$B$13)*Supuestos!$H$9+(F12*Supuestos!$B$13)*Supuestos!$I$9</f>
        <v>563.17360033516957</v>
      </c>
      <c r="O14" s="183">
        <f>(K12*Supuestos!$B$13)*Supuestos!$G$9+(I12*Supuestos!$B$13)*Supuestos!$H$9+(G12*Supuestos!$B$13)*Supuestos!$I$9</f>
        <v>434.79041473606276</v>
      </c>
      <c r="P14" s="183">
        <f>(L12*Supuestos!$B$13)*Supuestos!$G$9+(J12*Supuestos!$B$13)*Supuestos!$H$9+(H12*Supuestos!$B$13)*Supuestos!$I$9</f>
        <v>781.30246368792336</v>
      </c>
      <c r="Q14" s="183">
        <f>(M12*Supuestos!$B$13)*Supuestos!$G$9+(K12*Supuestos!$B$13)*Supuestos!$H$9+(I12*Supuestos!$B$13)*Supuestos!$I$9</f>
        <v>420.39250614000002</v>
      </c>
      <c r="R14" s="183">
        <f>(N12*Supuestos!$B$13)*Supuestos!$G$9+(L12*Supuestos!$B$13)*Supuestos!$H$9+(J12*Supuestos!$B$13)*Supuestos!$I$9</f>
        <v>692.89380317275391</v>
      </c>
      <c r="S14" s="183">
        <f>(O12*Supuestos!$B$13)*Supuestos!$G$9+(M12*Supuestos!$B$13)*Supuestos!$H$9+(K12*Supuestos!$B$13)*Supuestos!$I$9</f>
        <v>459.57261113999994</v>
      </c>
      <c r="T14" s="183">
        <f>(P12*Supuestos!$B$13)*Supuestos!$G$9+(N12*Supuestos!$B$13)*Supuestos!$H$9+(L12*Supuestos!$B$13)*Supuestos!$I$9</f>
        <v>511.29209771999996</v>
      </c>
      <c r="U14" s="183">
        <f>(Q12*Supuestos!$B$13)*Supuestos!$G$9+(O12*Supuestos!$B$13)*Supuestos!$H$9+(M12*Supuestos!$B$13)*Supuestos!$I$9</f>
        <v>500.21045477999962</v>
      </c>
      <c r="V14" s="183">
        <f>(R12*Supuestos!$B$13)*Supuestos!$G$9+(P12*Supuestos!$B$13)*Supuestos!$H$9+(N12*Supuestos!$B$13)*Supuestos!$I$9</f>
        <v>399.5111187</v>
      </c>
      <c r="W14" s="183">
        <f>(S12*Supuestos!$B$13)*Supuestos!$G$9+(Q12*Supuestos!$B$13)*Supuestos!$H$9+(O12*Supuestos!$B$13)*Supuestos!$I$9</f>
        <v>452.5915229999996</v>
      </c>
      <c r="X14" s="183">
        <f>(T12*Supuestos!$B$13)*Supuestos!$G$9+(R12*Supuestos!$B$13)*Supuestos!$H$9+(P12*Supuestos!$B$13)*Supuestos!$I$9</f>
        <v>464.82844139999997</v>
      </c>
      <c r="Y14" s="183">
        <f>(U12*Supuestos!$B$13)*Supuestos!$G$9+(S12*Supuestos!$B$13)*Supuestos!$H$9+(Q12*Supuestos!$B$13)*Supuestos!$I$9</f>
        <v>420.95109455999989</v>
      </c>
      <c r="Z14" s="183">
        <f>(V12*Supuestos!$B$13)*Supuestos!$G$9+(T12*Supuestos!$B$13)*Supuestos!$H$9+(R12*Supuestos!$B$13)*Supuestos!$I$9</f>
        <v>599.02847784000028</v>
      </c>
      <c r="AA14" s="183">
        <f>(W12*Supuestos!$B$13)*Supuestos!$G$9+(U12*Supuestos!$B$13)*Supuestos!$H$9+(S12*Supuestos!$B$13)*Supuestos!$I$9</f>
        <v>347.14744718973805</v>
      </c>
      <c r="AB14" s="183">
        <f>(X12*Supuestos!$B$13)*Supuestos!$G$9+(V12*Supuestos!$B$13)*Supuestos!$H$9+(T12*Supuestos!$B$13)*Supuestos!$I$9</f>
        <v>650.80084972766167</v>
      </c>
      <c r="AC14" s="183">
        <f>(Y12*Supuestos!$B$13)*Supuestos!$G$9+(W12*Supuestos!$B$13)*Supuestos!$H$9+(U12*Supuestos!$B$13)*Supuestos!$I$9</f>
        <v>376.82612038434519</v>
      </c>
      <c r="AD14" s="183">
        <f>(Z12*Supuestos!$B$13)*Supuestos!$G$9+(X12*Supuestos!$B$13)*Supuestos!$H$9+(V12*Supuestos!$B$13)*Supuestos!$I$9</f>
        <v>766.48074673377255</v>
      </c>
      <c r="AE14" s="183">
        <f>(AA12*Supuestos!$B$13)*Supuestos!$G$9+(Y12*Supuestos!$B$13)*Supuestos!$H$9+(W12*Supuestos!$B$13)*Supuestos!$I$9</f>
        <v>474.15940375460718</v>
      </c>
      <c r="AF14" s="183">
        <f>(AB12*Supuestos!$B$13)*Supuestos!$G$9+(Z12*Supuestos!$B$13)*Supuestos!$H$9+(X12*Supuestos!$B$13)*Supuestos!$I$9</f>
        <v>547.81274769304059</v>
      </c>
      <c r="AG14" s="183">
        <f>(AC12*Supuestos!$B$13)*Supuestos!$G$9+(AA12*Supuestos!$B$13)*Supuestos!$H$9+(Y12*Supuestos!$B$13)*Supuestos!$I$9</f>
        <v>435.12715836000007</v>
      </c>
      <c r="AH14" s="183">
        <f>(AD12*Supuestos!$B$13)*Supuestos!$G$9+(AB12*Supuestos!$B$13)*Supuestos!$H$9+(Z12*Supuestos!$B$13)*Supuestos!$I$9</f>
        <v>400.08170256692972</v>
      </c>
      <c r="AI14" s="183">
        <f>(AE12*Supuestos!$B$13)*Supuestos!$G$9+(AC12*Supuestos!$B$13)*Supuestos!$H$9+(AA12*Supuestos!$B$13)*Supuestos!$I$9</f>
        <v>386.97483834000013</v>
      </c>
      <c r="AJ14" s="183">
        <f>(AF12*Supuestos!$B$13)*Supuestos!$G$9+(AD12*Supuestos!$B$13)*Supuestos!$H$9+(AB12*Supuestos!$B$13)*Supuestos!$I$9</f>
        <v>486.75270600000044</v>
      </c>
      <c r="AK14" s="183">
        <f>(AG12*Supuestos!$B$13)*Supuestos!$G$9+(AE12*Supuestos!$B$13)*Supuestos!$H$9+(AC12*Supuestos!$B$13)*Supuestos!$I$9</f>
        <v>555.33419635405062</v>
      </c>
      <c r="AL14" s="183">
        <f>(AH12*Supuestos!$B$13)*Supuestos!$G$9+(AF12*Supuestos!$B$13)*Supuestos!$H$9+(AD12*Supuestos!$B$13)*Supuestos!$I$9</f>
        <v>431.92258344000015</v>
      </c>
      <c r="AM14" s="183">
        <f>(AI12*Supuestos!$B$13)*Supuestos!$G$9+(AG12*Supuestos!$B$13)*Supuestos!$H$9+(AE12*Supuestos!$B$13)*Supuestos!$I$9</f>
        <v>899.25755757512604</v>
      </c>
      <c r="AN14" s="183">
        <f>(AJ12*Supuestos!$B$13)*Supuestos!$G$9+(AH12*Supuestos!$B$13)*Supuestos!$H$9+(AF12*Supuestos!$B$13)*Supuestos!$I$9</f>
        <v>331.73272925999993</v>
      </c>
      <c r="AO14" s="183">
        <f>(AK12*Supuestos!$B$13)*Supuestos!$G$9+(AI12*Supuestos!$B$13)*Supuestos!$H$9+(AG12*Supuestos!$B$13)*Supuestos!$I$9</f>
        <v>883.68013550107548</v>
      </c>
      <c r="AP14" s="183">
        <f>(AL12*Supuestos!$B$13)*Supuestos!$G$9+(AJ12*Supuestos!$B$13)*Supuestos!$H$9+(AH12*Supuestos!$B$13)*Supuestos!$I$9</f>
        <v>288.88465211999988</v>
      </c>
      <c r="AQ14" s="183">
        <f>(AM12*Supuestos!$B$13)*Supuestos!$G$9+(AK12*Supuestos!$B$13)*Supuestos!$H$9+(AI12*Supuestos!$B$13)*Supuestos!$I$9</f>
        <v>677.99379617999989</v>
      </c>
      <c r="AR14" s="183">
        <f>(AN12*Supuestos!$B$13)*Supuestos!$G$9+(AL12*Supuestos!$B$13)*Supuestos!$H$9+(AJ12*Supuestos!$B$13)*Supuestos!$I$9</f>
        <v>353.26482496010038</v>
      </c>
      <c r="AS14" s="183">
        <f>(AO12*Supuestos!$B$13)*Supuestos!$G$9+(AM12*Supuestos!$B$13)*Supuestos!$H$9+(AK12*Supuestos!$B$13)*Supuestos!$I$9</f>
        <v>530.97555671999976</v>
      </c>
      <c r="AT14" s="183">
        <f>(AP12*Supuestos!$B$13)*Supuestos!$G$9+(AN12*Supuestos!$B$13)*Supuestos!$H$9+(AL12*Supuestos!$B$13)*Supuestos!$I$9</f>
        <v>345.48426328025101</v>
      </c>
      <c r="AU14" s="183">
        <f>(AQ12*Supuestos!$B$13)*Supuestos!$G$9+(AO12*Supuestos!$B$13)*Supuestos!$H$9+(AM12*Supuestos!$B$13)*Supuestos!$I$9</f>
        <v>394.21317653999984</v>
      </c>
      <c r="AV14" s="183">
        <f>(AR12*Supuestos!$B$13)*Supuestos!$G$9+(AP12*Supuestos!$B$13)*Supuestos!$H$9+(AN12*Supuestos!$B$13)*Supuestos!$I$9</f>
        <v>374.1540130916797</v>
      </c>
      <c r="AW14" s="183">
        <f>(AS12*Supuestos!$B$13)*Supuestos!$G$9+(AQ12*Supuestos!$B$13)*Supuestos!$H$9+(AO12*Supuestos!$B$13)*Supuestos!$I$9</f>
        <v>511.69293047329529</v>
      </c>
      <c r="AX14" s="183">
        <f>(AT12*Supuestos!$B$13)*Supuestos!$G$9+(AR12*Supuestos!$B$13)*Supuestos!$H$9+(AP12*Supuestos!$B$13)*Supuestos!$I$9</f>
        <v>464.22455644458836</v>
      </c>
      <c r="AY14" s="183">
        <f>(AU12*Supuestos!$B$13)*Supuestos!$G$9+(AS12*Supuestos!$B$13)*Supuestos!$H$9+(AQ12*Supuestos!$B$13)*Supuestos!$I$9</f>
        <v>572.65590212788436</v>
      </c>
      <c r="AZ14" s="183">
        <f>(AV12*Supuestos!$B$13)*Supuestos!$G$9+(AT12*Supuestos!$B$13)*Supuestos!$H$9+(AR12*Supuestos!$B$13)*Supuestos!$I$9</f>
        <v>430.56385362902432</v>
      </c>
      <c r="BA14" s="183">
        <f>(AW12*Supuestos!$B$13)*Supuestos!$G$9+(AU12*Supuestos!$B$13)*Supuestos!$H$9+(AS12*Supuestos!$B$13)*Supuestos!$I$9</f>
        <v>541.21015081196379</v>
      </c>
      <c r="BB14" s="183">
        <f>(AX12*Supuestos!$B$13)*Supuestos!$G$9+(AV12*Supuestos!$B$13)*Supuestos!$H$9+(AT12*Supuestos!$B$13)*Supuestos!$I$9</f>
        <v>477.70310397217975</v>
      </c>
      <c r="BC14" s="183">
        <f>(AY12*Supuestos!$B$13)*Supuestos!$G$9+(AW12*Supuestos!$B$13)*Supuestos!$H$9+(AU12*Supuestos!$B$13)*Supuestos!$I$9</f>
        <v>521.447189150437</v>
      </c>
      <c r="BD14" s="183">
        <f>(AZ12*Supuestos!$B$13)*Supuestos!$G$9+(AX12*Supuestos!$B$13)*Supuestos!$H$9+(AV12*Supuestos!$B$13)*Supuestos!$I$9</f>
        <v>525.29700798678243</v>
      </c>
      <c r="BE14" s="183">
        <f>(BA12*Supuestos!$B$13)*Supuestos!$G$9+(AY12*Supuestos!$B$13)*Supuestos!$H$9+(AW12*Supuestos!$B$13)*Supuestos!$I$9</f>
        <v>421.03945103956829</v>
      </c>
      <c r="BF14" s="183">
        <f>(BB12*Supuestos!$B$13)*Supuestos!$G$9+(AZ12*Supuestos!$B$13)*Supuestos!$H$9+(AX12*Supuestos!$B$13)*Supuestos!$I$9</f>
        <v>508.78319973454506</v>
      </c>
      <c r="BG14" s="183">
        <f>(BC12*Supuestos!$B$13)*Supuestos!$G$9+(BA12*Supuestos!$B$13)*Supuestos!$H$9+(AY12*Supuestos!$B$13)*Supuestos!$I$9</f>
        <v>449.28082474351385</v>
      </c>
      <c r="BH14" s="183">
        <f>(BD12*Supuestos!$B$13)*Supuestos!$G$9+(BB12*Supuestos!$B$13)*Supuestos!$H$9+(AZ12*Supuestos!$B$13)*Supuestos!$I$9</f>
        <v>471.75565709420709</v>
      </c>
      <c r="BI14" s="183">
        <f>(BE12*Supuestos!$B$13)*Supuestos!$G$9+(BC12*Supuestos!$B$13)*Supuestos!$H$9+(BA12*Supuestos!$B$13)*Supuestos!$I$9</f>
        <v>453.22574379661756</v>
      </c>
      <c r="BJ14" s="183">
        <f>(BF12*Supuestos!$B$13)*Supuestos!$G$9+(BD12*Supuestos!$B$13)*Supuestos!$H$9+(BB12*Supuestos!$B$13)*Supuestos!$I$9</f>
        <v>300.07943959850593</v>
      </c>
      <c r="BK14" s="183">
        <f>(BG12*Supuestos!$B$13)*Supuestos!$G$9+(BE12*Supuestos!$B$13)*Supuestos!$H$9+(BC12*Supuestos!$B$13)*Supuestos!$I$9</f>
        <v>325.19542640335237</v>
      </c>
      <c r="BL14" s="183">
        <f>(BH12*Supuestos!$B$13)*Supuestos!$G$9+(BF12*Supuestos!$B$13)*Supuestos!$H$9+(BD12*Supuestos!$B$13)*Supuestos!$I$9</f>
        <v>232.94708550653982</v>
      </c>
      <c r="BM14" s="183">
        <f>(BI12*Supuestos!$B$13)*Supuestos!$G$9+(BG12*Supuestos!$B$13)*Supuestos!$H$9+(BE12*Supuestos!$B$13)*Supuestos!$I$9</f>
        <v>284.99577923572849</v>
      </c>
      <c r="BN14" s="183">
        <f>(BJ12*Supuestos!$B$13)*Supuestos!$G$9+(BH12*Supuestos!$B$13)*Supuestos!$H$9+(BF12*Supuestos!$B$13)*Supuestos!$I$9</f>
        <v>323.32380073407694</v>
      </c>
      <c r="BO14" s="183">
        <f>(BK12*Supuestos!$B$13)*Supuestos!$G$9+(BI12*Supuestos!$B$13)*Supuestos!$H$9+(BG12*Supuestos!$B$13)*Supuestos!$I$9</f>
        <v>363.14165616568738</v>
      </c>
      <c r="BP14" s="183">
        <f>(BL12*Supuestos!$B$13)*Supuestos!$G$9+(BJ12*Supuestos!$B$13)*Supuestos!$H$9+(BH12*Supuestos!$B$13)*Supuestos!$I$9</f>
        <v>500.39711631659691</v>
      </c>
      <c r="BQ14" s="183">
        <f>(BM12*Supuestos!$B$13)*Supuestos!$G$9+(BK12*Supuestos!$B$13)*Supuestos!$H$9+(BI12*Supuestos!$B$13)*Supuestos!$I$9</f>
        <v>531.09324991574817</v>
      </c>
      <c r="BR14" s="183">
        <f>(BN12*Supuestos!$B$13)*Supuestos!$G$9+(BL12*Supuestos!$B$13)*Supuestos!$H$9+(BJ12*Supuestos!$B$13)*Supuestos!$I$9</f>
        <v>586.57636701319097</v>
      </c>
      <c r="BS14" s="183">
        <f>(BO12*Supuestos!$B$13)*Supuestos!$G$9+(BM12*Supuestos!$B$13)*Supuestos!$H$9+(BK12*Supuestos!$B$13)*Supuestos!$I$9</f>
        <v>562.43560933233675</v>
      </c>
      <c r="BT14" s="183">
        <f>(BP12*Supuestos!$B$13)*Supuestos!$G$9+(BN12*Supuestos!$B$13)*Supuestos!$H$9+(BL12*Supuestos!$B$13)*Supuestos!$I$9</f>
        <v>465.48099354704698</v>
      </c>
      <c r="BU14" s="183">
        <f>(BQ12*Supuestos!$B$13)*Supuestos!$G$9+(BO12*Supuestos!$B$13)*Supuestos!$H$9+(BM12*Supuestos!$B$13)*Supuestos!$I$9</f>
        <v>593.09368236359819</v>
      </c>
      <c r="BV14" s="183">
        <f>(BR12*Supuestos!$B$13)*Supuestos!$G$9+(BP12*Supuestos!$B$13)*Supuestos!$H$9+(BN12*Supuestos!$B$13)*Supuestos!$I$9</f>
        <v>406.47507748519092</v>
      </c>
      <c r="BW14" s="183">
        <f>(BS12*Supuestos!$B$13)*Supuestos!$G$9+(BQ12*Supuestos!$B$13)*Supuestos!$H$9+(BO12*Supuestos!$B$13)*Supuestos!$I$9</f>
        <v>773.8676073484512</v>
      </c>
      <c r="BX14" s="183">
        <f>(BT12*Supuestos!$B$13)*Supuestos!$G$9+(BR12*Supuestos!$B$13)*Supuestos!$H$9+(BP12*Supuestos!$B$13)*Supuestos!$I$9</f>
        <v>408.89193564948278</v>
      </c>
      <c r="BY14" s="183">
        <f>(BU12*Supuestos!$B$13)*Supuestos!$G$9+(BS12*Supuestos!$B$13)*Supuestos!$H$9+(BQ12*Supuestos!$B$13)*Supuestos!$I$9</f>
        <v>714.58395412867367</v>
      </c>
      <c r="BZ14" s="183">
        <f>(BV12*Supuestos!$B$13)*Supuestos!$G$9+(BT12*Supuestos!$B$13)*Supuestos!$H$9+(BR12*Supuestos!$B$13)*Supuestos!$I$9</f>
        <v>482.19216695031434</v>
      </c>
      <c r="CA14" s="183">
        <f>(BW12*Supuestos!$B$13)*Supuestos!$G$9+(BU12*Supuestos!$B$13)*Supuestos!$H$9+(BS12*Supuestos!$B$13)*Supuestos!$I$9</f>
        <v>527.62362090792749</v>
      </c>
      <c r="CB14" s="183">
        <f>(BX12*Supuestos!$B$13)*Supuestos!$G$9+(BV12*Supuestos!$B$13)*Supuestos!$H$9+(BT12*Supuestos!$B$13)*Supuestos!$I$9</f>
        <v>533.02413467493977</v>
      </c>
      <c r="CC14" s="183">
        <f>(BY12*Supuestos!$B$13)*Supuestos!$G$9+(BW12*Supuestos!$B$13)*Supuestos!$H$9+(BU12*Supuestos!$B$13)*Supuestos!$I$9</f>
        <v>431.55366806888742</v>
      </c>
      <c r="CD14" s="183">
        <f>(BZ12*Supuestos!$B$13)*Supuestos!$G$9+(BX12*Supuestos!$B$13)*Supuestos!$H$9+(BV12*Supuestos!$B$13)*Supuestos!$I$9</f>
        <v>524.04708746523613</v>
      </c>
      <c r="CE14" s="183">
        <f>(CA12*Supuestos!$B$13)*Supuestos!$G$9+(BY12*Supuestos!$B$13)*Supuestos!$H$9+(BW12*Supuestos!$B$13)*Supuestos!$I$9</f>
        <v>466.4665711525725</v>
      </c>
      <c r="CF14" s="183">
        <f>(CB12*Supuestos!$B$13)*Supuestos!$G$9+(BZ12*Supuestos!$B$13)*Supuestos!$H$9+(BX12*Supuestos!$B$13)*Supuestos!$I$9</f>
        <v>517.98740864821139</v>
      </c>
      <c r="CG14" s="183">
        <f>(CC12*Supuestos!$B$13)*Supuestos!$G$9+(CA12*Supuestos!$B$13)*Supuestos!$H$9+(BY12*Supuestos!$B$13)*Supuestos!$I$9</f>
        <v>532.19594903656639</v>
      </c>
      <c r="CH14" s="183">
        <f>(CD12*Supuestos!$B$13)*Supuestos!$G$9+(CB12*Supuestos!$B$13)*Supuestos!$H$9+(BZ12*Supuestos!$B$13)*Supuestos!$I$9</f>
        <v>456.37955707876347</v>
      </c>
      <c r="CI14" s="183">
        <f>(CE12*Supuestos!$B$13)*Supuestos!$G$9+(CC12*Supuestos!$B$13)*Supuestos!$H$9+(CA12*Supuestos!$B$13)*Supuestos!$I$9</f>
        <v>569.14045567966605</v>
      </c>
      <c r="CJ14" s="183">
        <f>(CF12*Supuestos!$B$13)*Supuestos!$G$9+(CD12*Supuestos!$B$13)*Supuestos!$H$9+(CB12*Supuestos!$B$13)*Supuestos!$I$9</f>
        <v>528.15522360899399</v>
      </c>
      <c r="CK14" s="183">
        <f>(CG12*Supuestos!$B$13)*Supuestos!$G$9+(CE12*Supuestos!$B$13)*Supuestos!$H$9+(CC12*Supuestos!$B$13)*Supuestos!$I$9</f>
        <v>568.02566325815235</v>
      </c>
      <c r="CL14" s="183">
        <f>(CH12*Supuestos!$B$13)*Supuestos!$G$9+(CF12*Supuestos!$B$13)*Supuestos!$H$9+(CD12*Supuestos!$B$13)*Supuestos!$I$9</f>
        <v>562.20311596255431</v>
      </c>
      <c r="CM14" s="183">
        <f>(CI12*Supuestos!$B$13)*Supuestos!$G$9+(CG12*Supuestos!$B$13)*Supuestos!$H$9+(CE12*Supuestos!$B$13)*Supuestos!$I$9</f>
        <v>421.86671466993039</v>
      </c>
      <c r="CN14" s="183">
        <f>(CJ12*Supuestos!$B$13)*Supuestos!$G$9+(CH12*Supuestos!$B$13)*Supuestos!$H$9+(CF12*Supuestos!$B$13)*Supuestos!$I$9</f>
        <v>492.75610703168121</v>
      </c>
      <c r="CO14" s="183">
        <f>(CK12*Supuestos!$B$13)*Supuestos!$G$9+(CI12*Supuestos!$B$13)*Supuestos!$H$9+(CG12*Supuestos!$B$13)*Supuestos!$I$9</f>
        <v>410.4585573084903</v>
      </c>
      <c r="CP14" s="183">
        <f>(CL12*Supuestos!$B$13)*Supuestos!$G$9+(CJ12*Supuestos!$B$13)*Supuestos!$H$9+(CH12*Supuestos!$B$13)*Supuestos!$I$9</f>
        <v>462.59667239546917</v>
      </c>
      <c r="CQ14" s="183">
        <f>(CM12*Supuestos!$B$13)*Supuestos!$G$9+(CK12*Supuestos!$B$13)*Supuestos!$H$9+(CI12*Supuestos!$B$13)*Supuestos!$I$9</f>
        <v>483.17236049492749</v>
      </c>
      <c r="CR14" s="183">
        <f>(CN12*Supuestos!$B$13)*Supuestos!$G$9+(CL12*Supuestos!$B$13)*Supuestos!$H$9+(CJ12*Supuestos!$B$13)*Supuestos!$I$9</f>
        <v>436.53819317016701</v>
      </c>
      <c r="CS14" s="183">
        <f>(CO12*Supuestos!$B$13)*Supuestos!$G$9+(CM12*Supuestos!$B$13)*Supuestos!$H$9+(CK12*Supuestos!$B$13)*Supuestos!$I$9</f>
        <v>556.68296303879993</v>
      </c>
      <c r="CT14" s="183">
        <f>(CP12*Supuestos!$B$13)*Supuestos!$G$9+(CN12*Supuestos!$B$13)*Supuestos!$H$9+(CL12*Supuestos!$B$13)*Supuestos!$I$9</f>
        <v>545.76739626070844</v>
      </c>
      <c r="CU14" s="183">
        <f>(CQ12*Supuestos!$B$13)*Supuestos!$G$9+(CO12*Supuestos!$B$13)*Supuestos!$H$9+(CM12*Supuestos!$B$13)*Supuestos!$I$9</f>
        <v>591.63756765191692</v>
      </c>
      <c r="CV14" s="183">
        <f>(CR12*Supuestos!$B$13)*Supuestos!$G$9+(CP12*Supuestos!$B$13)*Supuestos!$H$9+(CN12*Supuestos!$B$13)*Supuestos!$I$9</f>
        <v>636.32028434642689</v>
      </c>
      <c r="CW14" s="183">
        <f>(CS12*Supuestos!$B$13)*Supuestos!$G$9+(CQ12*Supuestos!$B$13)*Supuestos!$H$9+(CO12*Supuestos!$B$13)*Supuestos!$I$9</f>
        <v>516.29418510379867</v>
      </c>
      <c r="CX14" s="183">
        <f>(CT12*Supuestos!$B$13)*Supuestos!$G$9+(CR12*Supuestos!$B$13)*Supuestos!$H$9+(CP12*Supuestos!$B$13)*Supuestos!$I$9</f>
        <v>659.63307881313744</v>
      </c>
      <c r="CY14" s="183">
        <f>(CU12*Supuestos!$B$13)*Supuestos!$G$9+(CS12*Supuestos!$B$13)*Supuestos!$H$9+(CQ12*Supuestos!$B$13)*Supuestos!$I$9</f>
        <v>592.57034849530919</v>
      </c>
      <c r="CZ14" s="183">
        <f>(CV12*Supuestos!$B$13)*Supuestos!$G$9+(CT12*Supuestos!$B$13)*Supuestos!$H$9+(CR12*Supuestos!$B$13)*Supuestos!$I$9</f>
        <v>647.67576222362379</v>
      </c>
      <c r="DA14" s="183">
        <f>(CW12*Supuestos!$B$13)*Supuestos!$G$9+(CU12*Supuestos!$B$13)*Supuestos!$H$9+(CS12*Supuestos!$B$13)*Supuestos!$I$9</f>
        <v>653.45133483012808</v>
      </c>
      <c r="DB14" s="183">
        <f>(CX12*Supuestos!$B$13)*Supuestos!$G$9+(CV12*Supuestos!$B$13)*Supuestos!$H$9+(CT12*Supuestos!$B$13)*Supuestos!$I$9</f>
        <v>526.61150800319751</v>
      </c>
      <c r="DC14" s="183">
        <f>(CY12*Supuestos!$B$13)*Supuestos!$G$9+(CW12*Supuestos!$B$13)*Supuestos!$H$9+(CU12*Supuestos!$B$13)*Supuestos!$I$9</f>
        <v>638.04565242082413</v>
      </c>
      <c r="DD14" s="183">
        <f>(CZ12*Supuestos!$B$13)*Supuestos!$G$9+(CX12*Supuestos!$B$13)*Supuestos!$H$9+(CV12*Supuestos!$B$13)*Supuestos!$I$9</f>
        <v>565.87370512870905</v>
      </c>
      <c r="DE14" s="183">
        <f>(DA12*Supuestos!$B$13)*Supuestos!$G$9+(CY12*Supuestos!$B$13)*Supuestos!$H$9+(CW12*Supuestos!$B$13)*Supuestos!$I$9</f>
        <v>622.43743925478725</v>
      </c>
      <c r="DF14" s="183">
        <f>(DB12*Supuestos!$B$13)*Supuestos!$G$9+(CZ12*Supuestos!$B$13)*Supuestos!$H$9+(CX12*Supuestos!$B$13)*Supuestos!$I$9</f>
        <v>632.62932777495757</v>
      </c>
      <c r="DG14" s="183">
        <f>(DC12*Supuestos!$B$13)*Supuestos!$G$9+(DA12*Supuestos!$B$13)*Supuestos!$H$9+(CY12*Supuestos!$B$13)*Supuestos!$I$9</f>
        <v>523.13508215926458</v>
      </c>
      <c r="DH14" s="183">
        <f>(DD12*Supuestos!$B$13)*Supuestos!$G$9+(DB12*Supuestos!$B$13)*Supuestos!$H$9+(CZ12*Supuestos!$B$13)*Supuestos!$I$9</f>
        <v>641.66884901776439</v>
      </c>
      <c r="DI14" s="183">
        <f>(DE12*Supuestos!$B$13)*Supuestos!$G$9+(DC12*Supuestos!$B$13)*Supuestos!$H$9+(DA12*Supuestos!$B$13)*Supuestos!$I$9</f>
        <v>580.40927132619856</v>
      </c>
      <c r="DJ14" s="183">
        <f>(DF12*Supuestos!$B$13)*Supuestos!$G$9+(DD12*Supuestos!$B$13)*Supuestos!$H$9+(DB12*Supuestos!$B$13)*Supuestos!$I$9</f>
        <v>633.5583348177812</v>
      </c>
      <c r="DK14" s="183">
        <f>(DG12*Supuestos!$B$13)*Supuestos!$G$9+(DE12*Supuestos!$B$13)*Supuestos!$H$9+(DC12*Supuestos!$B$13)*Supuestos!$I$9</f>
        <v>638.23586470394093</v>
      </c>
      <c r="DL14" s="183">
        <f>(DH12*Supuestos!$B$13)*Supuestos!$G$9+(DF12*Supuestos!$B$13)*Supuestos!$H$9+(DD12*Supuestos!$B$13)*Supuestos!$I$9</f>
        <v>511.56293301307562</v>
      </c>
      <c r="DM14" s="183">
        <f>(DI12*Supuestos!$B$13)*Supuestos!$G$9+(DG12*Supuestos!$B$13)*Supuestos!$H$9+(DE12*Supuestos!$B$13)*Supuestos!$I$9</f>
        <v>618.17158767747253</v>
      </c>
      <c r="DN14" s="183">
        <f>(DJ12*Supuestos!$B$13)*Supuestos!$G$9+(DH12*Supuestos!$B$13)*Supuestos!$H$9+(DF12*Supuestos!$B$13)*Supuestos!$I$9</f>
        <v>545.87620206336942</v>
      </c>
      <c r="DO14" s="183">
        <f>(DK12*Supuestos!$B$13)*Supuestos!$G$9+(DI12*Supuestos!$B$13)*Supuestos!$H$9+(DG12*Supuestos!$B$13)*Supuestos!$I$9</f>
        <v>573.18312336946178</v>
      </c>
      <c r="DP14" s="183">
        <f>(DL12*Supuestos!$B$13)*Supuestos!$G$9+(DJ12*Supuestos!$B$13)*Supuestos!$H$9+(DH12*Supuestos!$B$13)*Supuestos!$I$9</f>
        <v>550.66927871289045</v>
      </c>
      <c r="DQ14" s="183">
        <f>(DM12*Supuestos!$B$13)*Supuestos!$G$9+(DK12*Supuestos!$B$13)*Supuestos!$H$9+(DI12*Supuestos!$B$13)*Supuestos!$I$9</f>
        <v>364.59651911218475</v>
      </c>
      <c r="DR14" s="183">
        <f>(DN12*Supuestos!$B$13)*Supuestos!$G$9+(DL12*Supuestos!$B$13)*Supuestos!$H$9+(DJ12*Supuestos!$B$13)*Supuestos!$I$9</f>
        <v>395.11244308007321</v>
      </c>
      <c r="DS14" s="183">
        <f>(DO12*Supuestos!$B$13)*Supuestos!$G$9+(DM12*Supuestos!$B$13)*Supuestos!$H$9+(DK12*Supuestos!$B$13)*Supuestos!$I$9</f>
        <v>283.03070889044591</v>
      </c>
      <c r="DT14" s="183">
        <f>(DP12*Supuestos!$B$13)*Supuestos!$G$9+(DN12*Supuestos!$B$13)*Supuestos!$H$9+(DL12*Supuestos!$B$13)*Supuestos!$I$9</f>
        <v>343.91696967807945</v>
      </c>
      <c r="DU14" s="183">
        <f>(DQ12*Supuestos!$B$13)*Supuestos!$G$9+(DO12*Supuestos!$B$13)*Supuestos!$H$9+(DM12*Supuestos!$B$13)*Supuestos!$I$9</f>
        <v>387.69344660645788</v>
      </c>
      <c r="DV14" s="183">
        <f>(DR12*Supuestos!$B$13)*Supuestos!$G$9+(DP12*Supuestos!$B$13)*Supuestos!$H$9+(DN12*Supuestos!$B$13)*Supuestos!$I$9</f>
        <v>429.12787295316286</v>
      </c>
      <c r="DW14" s="183">
        <f>(DS12*Supuestos!$B$13)*Supuestos!$G$9+(DQ12*Supuestos!$B$13)*Supuestos!$H$9+(DO12*Supuestos!$B$13)*Supuestos!$I$9</f>
        <v>588.65714022218435</v>
      </c>
      <c r="DX14" s="183">
        <f>(DT12*Supuestos!$B$13)*Supuestos!$G$9+(DR12*Supuestos!$B$13)*Supuestos!$H$9+(DP12*Supuestos!$B$13)*Supuestos!$I$9</f>
        <v>621.37910240142514</v>
      </c>
      <c r="DY14" s="183">
        <f>(DU12*Supuestos!$B$13)*Supuestos!$G$9+(DS12*Supuestos!$B$13)*Supuestos!$H$9+(DQ12*Supuestos!$B$13)*Supuestos!$I$9</f>
        <v>672.28306866443245</v>
      </c>
      <c r="DZ14" s="183">
        <f>(DV12*Supuestos!$B$13)*Supuestos!$G$9+(DT12*Supuestos!$B$13)*Supuestos!$H$9+(DR12*Supuestos!$B$13)*Supuestos!$I$9</f>
        <v>670.17470831069716</v>
      </c>
      <c r="EA14" s="183">
        <f>(DW12*Supuestos!$B$13)*Supuestos!$G$9+(DU12*Supuestos!$B$13)*Supuestos!$H$9+(DS12*Supuestos!$B$13)*Supuestos!$I$9</f>
        <v>516.86155190715067</v>
      </c>
      <c r="EB14" s="183">
        <f>(DX12*Supuestos!$B$13)*Supuestos!$G$9+(DV12*Supuestos!$B$13)*Supuestos!$H$9+(DT12*Supuestos!$B$13)*Supuestos!$I$9</f>
        <v>612.55299613671184</v>
      </c>
      <c r="EC14" s="183">
        <f>(DY12*Supuestos!$B$13)*Supuestos!$G$9+(DW12*Supuestos!$B$13)*Supuestos!$H$9+(DU12*Supuestos!$B$13)*Supuestos!$I$9</f>
        <v>523.49722051163087</v>
      </c>
      <c r="ED14" s="183">
        <f>(DZ12*Supuestos!$B$13)*Supuestos!$G$9+(DX12*Supuestos!$B$13)*Supuestos!$H$9+(DV12*Supuestos!$B$13)*Supuestos!$I$9</f>
        <v>578.50497131324619</v>
      </c>
      <c r="EE14" s="183">
        <f>(EA12*Supuestos!$B$13)*Supuestos!$G$9+(DY12*Supuestos!$B$13)*Supuestos!$H$9+(DW12*Supuestos!$B$13)*Supuestos!$I$9</f>
        <v>591.11371680561751</v>
      </c>
      <c r="EF14" s="183">
        <f>(EB12*Supuestos!$B$13)*Supuestos!$G$9+(DZ12*Supuestos!$B$13)*Supuestos!$H$9+(DX12*Supuestos!$B$13)*Supuestos!$I$9</f>
        <v>497.72849049078707</v>
      </c>
      <c r="EG14" s="183">
        <f>(EC12*Supuestos!$B$13)*Supuestos!$G$9+(EA12*Supuestos!$B$13)*Supuestos!$H$9+(DY12*Supuestos!$B$13)*Supuestos!$I$9</f>
        <v>615.62739129525232</v>
      </c>
      <c r="EH14" s="183">
        <f>(ED12*Supuestos!$B$13)*Supuestos!$G$9+(EB12*Supuestos!$B$13)*Supuestos!$H$9+(DZ12*Supuestos!$B$13)*Supuestos!$I$9</f>
        <v>564.16483533186772</v>
      </c>
      <c r="EI14" s="183">
        <f>(EE12*Supuestos!$B$13)*Supuestos!$G$9+(EC12*Supuestos!$B$13)*Supuestos!$H$9+(EA12*Supuestos!$B$13)*Supuestos!$I$9</f>
        <v>617.31963646227496</v>
      </c>
      <c r="EJ14" s="183">
        <f>(EF12*Supuestos!$B$13)*Supuestos!$G$9+(ED12*Supuestos!$B$13)*Supuestos!$H$9+(EB12*Supuestos!$B$13)*Supuestos!$I$9</f>
        <v>623.63823756967952</v>
      </c>
      <c r="EK14" s="183">
        <f>(EG12*Supuestos!$B$13)*Supuestos!$G$9+(EE12*Supuestos!$B$13)*Supuestos!$H$9+(EC12*Supuestos!$B$13)*Supuestos!$I$9</f>
        <v>504.91779164059824</v>
      </c>
      <c r="EL14" s="183">
        <f>(EH12*Supuestos!$B$13)*Supuestos!$G$9+(EF12*Supuestos!$B$13)*Supuestos!$H$9+(ED12*Supuestos!$B$13)*Supuestos!$I$9</f>
        <v>613.13509233432615</v>
      </c>
      <c r="EM14" s="183">
        <f>(EI12*Supuestos!$B$13)*Supuestos!$G$9+(EG12*Supuestos!$B$13)*Supuestos!$H$9+(EE12*Supuestos!$B$13)*Supuestos!$I$9</f>
        <v>545.76588824850978</v>
      </c>
      <c r="EN14" s="183">
        <f>(EJ12*Supuestos!$B$13)*Supuestos!$G$9+(EH12*Supuestos!$B$13)*Supuestos!$H$9+(EF12*Supuestos!$B$13)*Supuestos!$I$9</f>
        <v>606.04526811840719</v>
      </c>
      <c r="EO14" s="183">
        <f>(EK12*Supuestos!$B$13)*Supuestos!$G$9+(EI12*Supuestos!$B$13)*Supuestos!$H$9+(EG12*Supuestos!$B$13)*Supuestos!$I$9</f>
        <v>622.66926037278267</v>
      </c>
      <c r="EP14" s="183">
        <f>(EL12*Supuestos!$B$13)*Supuestos!$G$9+(EJ12*Supuestos!$B$13)*Supuestos!$H$9+(EH12*Supuestos!$B$13)*Supuestos!$I$9</f>
        <v>533.96408178215324</v>
      </c>
      <c r="EQ14" s="183">
        <f>(EM12*Supuestos!$B$13)*Supuestos!$G$9+(EK12*Supuestos!$B$13)*Supuestos!$H$9+(EI12*Supuestos!$B$13)*Supuestos!$I$9</f>
        <v>665.89433314520909</v>
      </c>
      <c r="ER14" s="183">
        <f>(EN12*Supuestos!$B$13)*Supuestos!$G$9+(EL12*Supuestos!$B$13)*Supuestos!$H$9+(EJ12*Supuestos!$B$13)*Supuestos!$I$9</f>
        <v>617.94161162252294</v>
      </c>
      <c r="ES14" s="183">
        <f>(EO12*Supuestos!$B$13)*Supuestos!$G$9+(EM12*Supuestos!$B$13)*Supuestos!$H$9+(EK12*Supuestos!$B$13)*Supuestos!$I$9</f>
        <v>664.59002601203815</v>
      </c>
      <c r="ET14" s="183">
        <f>(EP12*Supuestos!$B$13)*Supuestos!$G$9+(EN12*Supuestos!$B$13)*Supuestos!$H$9+(EL12*Supuestos!$B$13)*Supuestos!$I$9</f>
        <v>657.7776456761884</v>
      </c>
      <c r="EU14" s="183">
        <f>(EQ12*Supuestos!$B$13)*Supuestos!$G$9+(EO12*Supuestos!$B$13)*Supuestos!$H$9+(EM12*Supuestos!$B$13)*Supuestos!$I$9</f>
        <v>493.58405616381845</v>
      </c>
      <c r="EV14" s="183">
        <f>(ER12*Supuestos!$B$13)*Supuestos!$G$9+(EP12*Supuestos!$B$13)*Supuestos!$H$9+(EN12*Supuestos!$B$13)*Supuestos!$I$9</f>
        <v>576.52464522706691</v>
      </c>
      <c r="EW14" s="183">
        <f>(ES12*Supuestos!$B$13)*Supuestos!$G$9+(EQ12*Supuestos!$B$13)*Supuestos!$H$9+(EO12*Supuestos!$B$13)*Supuestos!$I$9</f>
        <v>480.2365120509337</v>
      </c>
      <c r="EX14" s="183">
        <f>(ET12*Supuestos!$B$13)*Supuestos!$G$9+(ER12*Supuestos!$B$13)*Supuestos!$H$9+(EP12*Supuestos!$B$13)*Supuestos!$I$9</f>
        <v>541.23810670269881</v>
      </c>
      <c r="EY14" s="183">
        <f>(EU12*Supuestos!$B$13)*Supuestos!$G$9+(ES12*Supuestos!$B$13)*Supuestos!$H$9+(EQ12*Supuestos!$B$13)*Supuestos!$I$9</f>
        <v>565.31166177906516</v>
      </c>
      <c r="EZ14" s="183">
        <f>(EV12*Supuestos!$B$13)*Supuestos!$G$9+(ET12*Supuestos!$B$13)*Supuestos!$H$9+(ER12*Supuestos!$B$13)*Supuestos!$I$9</f>
        <v>510.74968600909529</v>
      </c>
      <c r="FA14" s="183">
        <f>(EW12*Supuestos!$B$13)*Supuestos!$G$9+(EU12*Supuestos!$B$13)*Supuestos!$H$9+(ES12*Supuestos!$B$13)*Supuestos!$I$9</f>
        <v>651.31906675539562</v>
      </c>
      <c r="FB14" s="183">
        <f>(EX12*Supuestos!$B$13)*Supuestos!$G$9+(EV12*Supuestos!$B$13)*Supuestos!$H$9+(ET12*Supuestos!$B$13)*Supuestos!$I$9</f>
        <v>624.59728674117673</v>
      </c>
      <c r="FC14" s="183">
        <f>(EY12*Supuestos!$B$13)*Supuestos!$G$9+(EW12*Supuestos!$B$13)*Supuestos!$H$9+(EU12*Supuestos!$B$13)*Supuestos!$I$9</f>
        <v>692.2159541527426</v>
      </c>
      <c r="FD14" s="183">
        <f>(EZ12*Supuestos!$B$13)*Supuestos!$G$9+(EX12*Supuestos!$B$13)*Supuestos!$H$9+(EV12*Supuestos!$B$13)*Supuestos!$I$9</f>
        <v>709.6183154756892</v>
      </c>
      <c r="FE14" s="183">
        <f>(FA12*Supuestos!$B$13)*Supuestos!$G$9+(EY12*Supuestos!$B$13)*Supuestos!$H$9+(EW12*Supuestos!$B$13)*Supuestos!$I$9</f>
        <v>604.06419657144443</v>
      </c>
      <c r="FF14" s="183">
        <f>(FB12*Supuestos!$B$13)*Supuestos!$G$9+(EZ12*Supuestos!$B$13)*Supuestos!$H$9+(EX12*Supuestos!$B$13)*Supuestos!$I$9</f>
        <v>750.84485188559256</v>
      </c>
      <c r="FG14" s="183">
        <f>(FC12*Supuestos!$B$13)*Supuestos!$G$9+(FA12*Supuestos!$B$13)*Supuestos!$H$9+(EY12*Supuestos!$B$13)*Supuestos!$I$9</f>
        <v>693.30730773951177</v>
      </c>
      <c r="FH14" s="183">
        <f>(FD12*Supuestos!$B$13)*Supuestos!$G$9+(FB12*Supuestos!$B$13)*Supuestos!$H$9+(EZ12*Supuestos!$B$13)*Supuestos!$I$9</f>
        <v>757.78064180163983</v>
      </c>
      <c r="FI14" s="183">
        <f>(FE12*Supuestos!$B$13)*Supuestos!$G$9+(FC12*Supuestos!$B$13)*Supuestos!$H$9+(FA12*Supuestos!$B$13)*Supuestos!$I$9</f>
        <v>764.53806175124976</v>
      </c>
      <c r="FJ14" s="183">
        <f>(FF12*Supuestos!$B$13)*Supuestos!$G$9+(FD12*Supuestos!$B$13)*Supuestos!$H$9+(FB12*Supuestos!$B$13)*Supuestos!$I$9</f>
        <v>616.13546436374111</v>
      </c>
      <c r="FK14" s="183">
        <f>(FG12*Supuestos!$B$13)*Supuestos!$G$9+(FE12*Supuestos!$B$13)*Supuestos!$H$9+(FC12*Supuestos!$B$13)*Supuestos!$I$9</f>
        <v>746.51341333236405</v>
      </c>
      <c r="FL14" s="183">
        <f>(FH12*Supuestos!$B$13)*Supuestos!$G$9+(FF12*Supuestos!$B$13)*Supuestos!$H$9+(FD12*Supuestos!$B$13)*Supuestos!$I$9</f>
        <v>662.07223500058956</v>
      </c>
      <c r="FM14" s="183">
        <f>(FI12*Supuestos!$B$13)*Supuestos!$G$9+(FG12*Supuestos!$B$13)*Supuestos!$H$9+(FE12*Supuestos!$B$13)*Supuestos!$I$9</f>
        <v>728.25180392810103</v>
      </c>
      <c r="FN14" s="183">
        <f>(FJ12*Supuestos!$B$13)*Supuestos!$G$9+(FH12*Supuestos!$B$13)*Supuestos!$H$9+(FF12*Supuestos!$B$13)*Supuestos!$I$9</f>
        <v>740.17631349670046</v>
      </c>
      <c r="FO14" s="183">
        <f>(FK12*Supuestos!$B$13)*Supuestos!$G$9+(FI12*Supuestos!$B$13)*Supuestos!$H$9+(FG12*Supuestos!$B$13)*Supuestos!$I$9</f>
        <v>612.0680461263396</v>
      </c>
      <c r="FP14" s="183">
        <f>(FL12*Supuestos!$B$13)*Supuestos!$G$9+(FJ12*Supuestos!$B$13)*Supuestos!$H$9+(FH12*Supuestos!$B$13)*Supuestos!$I$9</f>
        <v>750.7525533507843</v>
      </c>
      <c r="FQ14" s="183">
        <f>(FM12*Supuestos!$B$13)*Supuestos!$G$9+(FK12*Supuestos!$B$13)*Supuestos!$H$9+(FI12*Supuestos!$B$13)*Supuestos!$I$9</f>
        <v>679.07884745165234</v>
      </c>
      <c r="FR14" s="183">
        <f>(FN12*Supuestos!$B$13)*Supuestos!$G$9+(FL12*Supuestos!$B$13)*Supuestos!$H$9+(FJ12*Supuestos!$B$13)*Supuestos!$I$9</f>
        <v>741.26325173680402</v>
      </c>
      <c r="FS14" s="183">
        <f>(FO12*Supuestos!$B$13)*Supuestos!$G$9+(FM12*Supuestos!$B$13)*Supuestos!$H$9+(FK12*Supuestos!$B$13)*Supuestos!$I$9</f>
        <v>746.73596170361077</v>
      </c>
      <c r="FT14" s="183">
        <f>(FP12*Supuestos!$B$13)*Supuestos!$G$9+(FN12*Supuestos!$B$13)*Supuestos!$H$9+(FL12*Supuestos!$B$13)*Supuestos!$I$9</f>
        <v>598.52863162529843</v>
      </c>
      <c r="FU14" s="183">
        <f>(FQ12*Supuestos!$B$13)*Supuestos!$G$9+(FO12*Supuestos!$B$13)*Supuestos!$H$9+(FM12*Supuestos!$B$13)*Supuestos!$I$9</f>
        <v>723.26075758264278</v>
      </c>
      <c r="FV14" s="183">
        <f>(FR12*Supuestos!$B$13)*Supuestos!$G$9+(FP12*Supuestos!$B$13)*Supuestos!$H$9+(FN12*Supuestos!$B$13)*Supuestos!$I$9</f>
        <v>638.67515641414218</v>
      </c>
      <c r="FW14" s="183">
        <f>(FS12*Supuestos!$B$13)*Supuestos!$G$9+(FQ12*Supuestos!$B$13)*Supuestos!$H$9+(FO12*Supuestos!$B$13)*Supuestos!$I$9</f>
        <v>670.62425434227021</v>
      </c>
      <c r="FX14" s="183">
        <f>(FT12*Supuestos!$B$13)*Supuestos!$G$9+(FR12*Supuestos!$B$13)*Supuestos!$H$9+(FP12*Supuestos!$B$13)*Supuestos!$I$9</f>
        <v>644.28305609408176</v>
      </c>
      <c r="FY14" s="183">
        <f>(FU12*Supuestos!$B$13)*Supuestos!$G$9+(FS12*Supuestos!$B$13)*Supuestos!$H$9+(FQ12*Supuestos!$B$13)*Supuestos!$I$9</f>
        <v>426.57792736125612</v>
      </c>
      <c r="FZ14" s="183">
        <f>(FV12*Supuestos!$B$13)*Supuestos!$G$9+(FT12*Supuestos!$B$13)*Supuestos!$H$9+(FR12*Supuestos!$B$13)*Supuestos!$I$9</f>
        <v>462.28155840368561</v>
      </c>
      <c r="GA14" s="183">
        <f>(FW12*Supuestos!$B$13)*Supuestos!$G$9+(FU12*Supuestos!$B$13)*Supuestos!$H$9+(FS12*Supuestos!$B$13)*Supuestos!$I$9</f>
        <v>331.14592940182172</v>
      </c>
      <c r="GB14" s="183">
        <f>(FX12*Supuestos!$B$13)*Supuestos!$G$9+(FV12*Supuestos!$B$13)*Supuestos!$H$9+(FT12*Supuestos!$B$13)*Supuestos!$I$9</f>
        <v>402.07697725121989</v>
      </c>
      <c r="GC14" s="183">
        <f>(FY12*Supuestos!$B$13)*Supuestos!$G$9+(FW12*Supuestos!$B$13)*Supuestos!$H$9+(FU12*Supuestos!$B$13)*Supuestos!$I$9</f>
        <v>452.93248626244781</v>
      </c>
      <c r="GD14" s="183">
        <f>(FZ12*Supuestos!$B$13)*Supuestos!$G$9+(FX12*Supuestos!$B$13)*Supuestos!$H$9+(FV12*Supuestos!$B$13)*Supuestos!$I$9</f>
        <v>500.50801024774148</v>
      </c>
      <c r="GE14" s="183">
        <f>(GA12*Supuestos!$B$13)*Supuestos!$G$9+(FY12*Supuestos!$B$13)*Supuestos!$H$9+(FW12*Supuestos!$B$13)*Supuestos!$I$9</f>
        <v>686.21655776663317</v>
      </c>
      <c r="GF14" s="183">
        <f>(GB12*Supuestos!$B$13)*Supuestos!$G$9+(FZ12*Supuestos!$B$13)*Supuestos!$H$9+(FX12*Supuestos!$B$13)*Supuestos!$I$9</f>
        <v>723.90665429766034</v>
      </c>
      <c r="GG14" s="183">
        <f>(GC12*Supuestos!$B$13)*Supuestos!$G$9+(GA12*Supuestos!$B$13)*Supuestos!$H$9+(FY12*Supuestos!$B$13)*Supuestos!$I$9</f>
        <v>799.53291705732988</v>
      </c>
      <c r="GH14" s="183">
        <f>(GD12*Supuestos!$B$13)*Supuestos!$G$9+(GB12*Supuestos!$B$13)*Supuestos!$H$9+(FZ12*Supuestos!$B$13)*Supuestos!$I$9</f>
        <v>766.62785730044141</v>
      </c>
      <c r="GI14" s="183">
        <f>(GE12*Supuestos!$B$13)*Supuestos!$G$9+(GC12*Supuestos!$B$13)*Supuestos!$H$9+(GA12*Supuestos!$B$13)*Supuestos!$I$9</f>
        <v>634.47386825430226</v>
      </c>
      <c r="GJ14" s="183">
        <f>(GF12*Supuestos!$B$13)*Supuestos!$G$9+(GD12*Supuestos!$B$13)*Supuestos!$H$9+(GB12*Supuestos!$B$13)*Supuestos!$I$9</f>
        <v>808.41634374570231</v>
      </c>
      <c r="GK14" s="183">
        <f>(GG12*Supuestos!$B$13)*Supuestos!$G$9+(GE12*Supuestos!$B$13)*Supuestos!$H$9+(GC12*Supuestos!$B$13)*Supuestos!$I$9</f>
        <v>554.04585436618936</v>
      </c>
      <c r="GL14" s="183">
        <f>(GH12*Supuestos!$B$13)*Supuestos!$G$9+(GF12*Supuestos!$B$13)*Supuestos!$H$9+(GD12*Supuestos!$B$13)*Supuestos!$I$9</f>
        <v>1054.8202421963063</v>
      </c>
      <c r="GM14" s="183">
        <f>(GI12*Supuestos!$B$13)*Supuestos!$G$9+(GG12*Supuestos!$B$13)*Supuestos!$H$9+(GE12*Supuestos!$B$13)*Supuestos!$I$9</f>
        <v>557.34015288702744</v>
      </c>
      <c r="GN14" s="183">
        <f>(GJ12*Supuestos!$B$13)*Supuestos!$G$9+(GH12*Supuestos!$B$13)*Supuestos!$H$9+(GF12*Supuestos!$B$13)*Supuestos!$I$9</f>
        <v>974.01365867508866</v>
      </c>
      <c r="GO14" s="183">
        <f>(GK12*Supuestos!$B$13)*Supuestos!$G$9+(GI12*Supuestos!$B$13)*Supuestos!$H$9+(GG12*Supuestos!$B$13)*Supuestos!$I$9</f>
        <v>657.25203316162595</v>
      </c>
      <c r="GP14" s="183">
        <f>(GL12*Supuestos!$B$13)*Supuestos!$G$9+(GJ12*Supuestos!$B$13)*Supuestos!$H$9+(GH12*Supuestos!$B$13)*Supuestos!$I$9</f>
        <v>719.17737647855051</v>
      </c>
      <c r="GQ14" s="183">
        <f>(GM12*Supuestos!$B$13)*Supuestos!$G$9+(GK12*Supuestos!$B$13)*Supuestos!$H$9+(GI12*Supuestos!$B$13)*Supuestos!$I$9</f>
        <v>726.53854676867661</v>
      </c>
      <c r="GR14" s="183">
        <f>(GN12*Supuestos!$B$13)*Supuestos!$G$9+(GL12*Supuestos!$B$13)*Supuestos!$H$9+(GJ12*Supuestos!$B$13)*Supuestos!$I$9</f>
        <v>588.22922726129696</v>
      </c>
      <c r="GS14" s="183">
        <f>(GO12*Supuestos!$B$13)*Supuestos!$G$9+(GM12*Supuestos!$B$13)*Supuestos!$H$9+(GK12*Supuestos!$B$13)*Supuestos!$I$9</f>
        <v>714.30238256949008</v>
      </c>
      <c r="GT14" s="183">
        <f>(GP12*Supuestos!$B$13)*Supuestos!$G$9+(GN12*Supuestos!$B$13)*Supuestos!$H$9+(GL12*Supuestos!$B$13)*Supuestos!$I$9</f>
        <v>635.81725980951387</v>
      </c>
      <c r="GU14" s="183">
        <f>(GQ12*Supuestos!$B$13)*Supuestos!$G$9+(GO12*Supuestos!$B$13)*Supuestos!$H$9+(GM12*Supuestos!$B$13)*Supuestos!$I$9</f>
        <v>706.04273735794447</v>
      </c>
      <c r="GV14" s="183">
        <f>(GR12*Supuestos!$B$13)*Supuestos!$G$9+(GP12*Supuestos!$B$13)*Supuestos!$H$9+(GN12*Supuestos!$B$13)*Supuestos!$I$9</f>
        <v>725.40968833429179</v>
      </c>
      <c r="GW14" s="183">
        <f>(GS12*Supuestos!$B$13)*Supuestos!$G$9+(GQ12*Supuestos!$B$13)*Supuestos!$H$9+(GO12*Supuestos!$B$13)*Supuestos!$I$9</f>
        <v>622.06815527620859</v>
      </c>
      <c r="GX14" s="183">
        <f>(GT12*Supuestos!$B$13)*Supuestos!$G$9+(GR12*Supuestos!$B$13)*Supuestos!$H$9+(GP12*Supuestos!$B$13)*Supuestos!$I$9</f>
        <v>775.76689811416873</v>
      </c>
      <c r="GY14" s="183">
        <f>(GU12*Supuestos!$B$13)*Supuestos!$G$9+(GS12*Supuestos!$B$13)*Supuestos!$H$9+(GQ12*Supuestos!$B$13)*Supuestos!$I$9</f>
        <v>719.90197754023916</v>
      </c>
      <c r="GZ14" s="183">
        <f>(GV12*Supuestos!$B$13)*Supuestos!$G$9+(GT12*Supuestos!$B$13)*Supuestos!$H$9+(GR12*Supuestos!$B$13)*Supuestos!$I$9</f>
        <v>774.24738030402455</v>
      </c>
      <c r="HA14" s="183">
        <f>(GW12*Supuestos!$B$13)*Supuestos!$G$9+(GU12*Supuestos!$B$13)*Supuestos!$H$9+(GS12*Supuestos!$B$13)*Supuestos!$I$9</f>
        <v>766.3109572127596</v>
      </c>
      <c r="HB14" s="183">
        <f>(GX12*Supuestos!$B$13)*Supuestos!$G$9+(GV12*Supuestos!$B$13)*Supuestos!$H$9+(GT12*Supuestos!$B$13)*Supuestos!$I$9</f>
        <v>575.0254254308486</v>
      </c>
      <c r="HC14" s="183">
        <f>(GY12*Supuestos!$B$13)*Supuestos!$G$9+(GW12*Supuestos!$B$13)*Supuestos!$H$9+(GU12*Supuestos!$B$13)*Supuestos!$I$9</f>
        <v>671.65121168953306</v>
      </c>
      <c r="HD14" s="183">
        <f>(GZ12*Supuestos!$B$13)*Supuestos!$G$9+(GX12*Supuestos!$B$13)*Supuestos!$H$9+(GV12*Supuestos!$B$13)*Supuestos!$I$9</f>
        <v>559.47553653933778</v>
      </c>
      <c r="HE14" s="183">
        <f>(HA12*Supuestos!$B$13)*Supuestos!$G$9+(GY12*Supuestos!$B$13)*Supuestos!$H$9+(GW12*Supuestos!$B$13)*Supuestos!$I$9</f>
        <v>630.54239430864413</v>
      </c>
      <c r="HF14" s="183">
        <f>(HB12*Supuestos!$B$13)*Supuestos!$G$9+(GZ12*Supuestos!$B$13)*Supuestos!$H$9+(GX12*Supuestos!$B$13)*Supuestos!$I$9</f>
        <v>658.58808597261088</v>
      </c>
      <c r="HG14" s="183">
        <f>(HC12*Supuestos!$B$13)*Supuestos!$G$9+(HA12*Supuestos!$B$13)*Supuestos!$H$9+(GY12*Supuestos!$B$13)*Supuestos!$I$9</f>
        <v>595.02338420059596</v>
      </c>
      <c r="HH14" s="183">
        <f>(HD12*Supuestos!$B$13)*Supuestos!$G$9+(HB12*Supuestos!$B$13)*Supuestos!$H$9+(GZ12*Supuestos!$B$13)*Supuestos!$I$9</f>
        <v>758.78671277003616</v>
      </c>
      <c r="HI14" s="183">
        <f>(HE12*Supuestos!$B$13)*Supuestos!$G$9+(HC12*Supuestos!$B$13)*Supuestos!$H$9+(HA12*Supuestos!$B$13)*Supuestos!$I$9</f>
        <v>727.65583905347091</v>
      </c>
      <c r="HJ14" s="183">
        <f>(HF12*Supuestos!$B$13)*Supuestos!$G$9+(HD12*Supuestos!$B$13)*Supuestos!$H$9+(HB12*Supuestos!$B$13)*Supuestos!$I$9</f>
        <v>806.43158658794516</v>
      </c>
      <c r="HK14" s="183">
        <f>(HG12*Supuestos!$B$13)*Supuestos!$G$9+(HE12*Supuestos!$B$13)*Supuestos!$H$9+(HC12*Supuestos!$B$13)*Supuestos!$I$9</f>
        <v>826.70533752917788</v>
      </c>
      <c r="HL14" s="183">
        <f>(HH12*Supuestos!$B$13)*Supuestos!$G$9+(HF12*Supuestos!$B$13)*Supuestos!$H$9+(HD12*Supuestos!$B$13)*Supuestos!$I$9</f>
        <v>703.73478900573275</v>
      </c>
      <c r="HM14" s="183">
        <f>(HI12*Supuestos!$B$13)*Supuestos!$G$9+(HG12*Supuestos!$B$13)*Supuestos!$H$9+(HE12*Supuestos!$B$13)*Supuestos!$I$9</f>
        <v>874.73425244671546</v>
      </c>
      <c r="HN14" s="183">
        <f>(HJ12*Supuestos!$B$13)*Supuestos!$G$9+(HH12*Supuestos!$B$13)*Supuestos!$H$9+(HF12*Supuestos!$B$13)*Supuestos!$I$9</f>
        <v>807.70301351653109</v>
      </c>
      <c r="HO14" s="183">
        <f>(HK12*Supuestos!$B$13)*Supuestos!$G$9+(HI12*Supuestos!$B$13)*Supuestos!$H$9+(HG12*Supuestos!$B$13)*Supuestos!$I$9</f>
        <v>882.81444769891027</v>
      </c>
      <c r="HP14" s="183">
        <f>(HL12*Supuestos!$B$13)*Supuestos!$G$9+(HJ12*Supuestos!$B$13)*Supuestos!$H$9+(HH12*Supuestos!$B$13)*Supuestos!$I$9</f>
        <v>890.68684194020591</v>
      </c>
      <c r="HQ14" s="183">
        <f>(HM12*Supuestos!$B$13)*Supuestos!$G$9+(HK12*Supuestos!$B$13)*Supuestos!$H$9+(HI12*Supuestos!$B$13)*Supuestos!$I$9</f>
        <v>717.79781598375826</v>
      </c>
      <c r="HR14" s="183">
        <f>(HN12*Supuestos!$B$13)*Supuestos!$G$9+(HL12*Supuestos!$B$13)*Supuestos!$H$9+(HJ12*Supuestos!$B$13)*Supuestos!$I$9</f>
        <v>869.68812653220414</v>
      </c>
      <c r="HS14" s="183">
        <f>(HO12*Supuestos!$B$13)*Supuestos!$G$9+(HM12*Supuestos!$B$13)*Supuestos!$H$9+(HK12*Supuestos!$B$13)*Supuestos!$I$9</f>
        <v>771.3141537756868</v>
      </c>
      <c r="HT14" s="183">
        <f>(HP12*Supuestos!$B$13)*Supuestos!$G$9+(HN12*Supuestos!$B$13)*Supuestos!$H$9+(HL12*Supuestos!$B$13)*Supuestos!$I$9</f>
        <v>848.4133515762378</v>
      </c>
      <c r="HU14" s="183">
        <f>(HQ12*Supuestos!$B$13)*Supuestos!$G$9+(HO12*Supuestos!$B$13)*Supuestos!$H$9+(HM12*Supuestos!$B$13)*Supuestos!$I$9</f>
        <v>862.30540522365595</v>
      </c>
      <c r="HV14" s="183">
        <f>(HR12*Supuestos!$B$13)*Supuestos!$G$9+(HP12*Supuestos!$B$13)*Supuestos!$H$9+(HN12*Supuestos!$B$13)*Supuestos!$I$9</f>
        <v>713.05927373718566</v>
      </c>
      <c r="HW14" s="183">
        <f>(HS12*Supuestos!$B$13)*Supuestos!$G$9+(HQ12*Supuestos!$B$13)*Supuestos!$H$9+(HO12*Supuestos!$B$13)*Supuestos!$I$9</f>
        <v>874.62672465366359</v>
      </c>
      <c r="HX14" s="183">
        <f>(HT12*Supuestos!$B$13)*Supuestos!$G$9+(HR12*Supuestos!$B$13)*Supuestos!$H$9+(HP12*Supuestos!$B$13)*Supuestos!$I$9</f>
        <v>791.12685728117492</v>
      </c>
      <c r="HY14" s="183">
        <f>(HU12*Supuestos!$B$13)*Supuestos!$G$9+(HS12*Supuestos!$B$13)*Supuestos!$H$9+(HQ12*Supuestos!$B$13)*Supuestos!$I$9</f>
        <v>863.57168827337659</v>
      </c>
      <c r="HZ14" s="183">
        <f>(HV12*Supuestos!$B$13)*Supuestos!$G$9+(HT12*Supuestos!$B$13)*Supuestos!$H$9+(HR12*Supuestos!$B$13)*Supuestos!$I$9</f>
        <v>869.94739538470651</v>
      </c>
      <c r="IA14" s="183">
        <f>(HW12*Supuestos!$B$13)*Supuestos!$G$9+(HU12*Supuestos!$B$13)*Supuestos!$H$9+(HS12*Supuestos!$B$13)*Supuestos!$I$9</f>
        <v>697.28585584347275</v>
      </c>
      <c r="IB14" s="183">
        <f>(HX12*Supuestos!$B$13)*Supuestos!$G$9+(HV12*Supuestos!$B$13)*Supuestos!$H$9+(HT12*Supuestos!$B$13)*Supuestos!$I$9</f>
        <v>842.59878258377876</v>
      </c>
      <c r="IC14" s="183">
        <f>(HY12*Supuestos!$B$13)*Supuestos!$G$9+(HW12*Supuestos!$B$13)*Supuestos!$H$9+(HU12*Supuestos!$B$13)*Supuestos!$I$9</f>
        <v>744.05655722247559</v>
      </c>
      <c r="ID14" s="183">
        <f>(HZ12*Supuestos!$B$13)*Supuestos!$G$9+(HX12*Supuestos!$B$13)*Supuestos!$H$9+(HV12*Supuestos!$B$13)*Supuestos!$I$9</f>
        <v>781.27725630874488</v>
      </c>
      <c r="IE14" s="183">
        <f>(IA12*Supuestos!$B$13)*Supuestos!$G$9+(HY12*Supuestos!$B$13)*Supuestos!$H$9+(HW12*Supuestos!$B$13)*Supuestos!$I$9</f>
        <v>750.58976034960529</v>
      </c>
      <c r="IF14" s="183">
        <f>(IB12*Supuestos!$B$13)*Supuestos!$G$9+(HZ12*Supuestos!$B$13)*Supuestos!$H$9+(HX12*Supuestos!$B$13)*Supuestos!$I$9</f>
        <v>496.96328537586334</v>
      </c>
      <c r="IG14" s="183">
        <f>(IC12*Supuestos!$B$13)*Supuestos!$G$9+(IA12*Supuestos!$B$13)*Supuestos!$H$9+(HY12*Supuestos!$B$13)*Supuestos!$I$9</f>
        <v>538.5580155402937</v>
      </c>
      <c r="IH14" s="183">
        <f>(ID12*Supuestos!$B$13)*Supuestos!$G$9+(IB12*Supuestos!$B$13)*Supuestos!$H$9+(HZ12*Supuestos!$B$13)*Supuestos!$I$9</f>
        <v>385.78500775312227</v>
      </c>
      <c r="II14" s="183">
        <f>(IE12*Supuestos!$B$13)*Supuestos!$G$9+(IC12*Supuestos!$B$13)*Supuestos!$H$9+(IA12*Supuestos!$B$13)*Supuestos!$I$9</f>
        <v>468.06333147563629</v>
      </c>
      <c r="IJ14" s="183">
        <f>(IF12*Supuestos!$B$13)*Supuestos!$G$9+(ID12*Supuestos!$B$13)*Supuestos!$H$9+(IB12*Supuestos!$B$13)*Supuestos!$I$9</f>
        <v>526.88714059457084</v>
      </c>
      <c r="IK14" s="183">
        <f>(IG12*Supuestos!$B$13)*Supuestos!$G$9+(IE12*Supuestos!$B$13)*Supuestos!$H$9+(IC12*Supuestos!$B$13)*Supuestos!$I$9</f>
        <v>581.26091664842875</v>
      </c>
      <c r="IL14" s="183">
        <f>(IH12*Supuestos!$B$13)*Supuestos!$G$9+(IF12*Supuestos!$B$13)*Supuestos!$H$9+(ID12*Supuestos!$B$13)*Supuestos!$I$9</f>
        <v>796.5154646164068</v>
      </c>
      <c r="IM14" s="183">
        <f>(II12*Supuestos!$B$13)*Supuestos!$G$9+(IG12*Supuestos!$B$13)*Supuestos!$H$9+(IE12*Supuestos!$B$13)*Supuestos!$I$9</f>
        <v>839.73171898528597</v>
      </c>
      <c r="IN14" s="183">
        <f>(IJ12*Supuestos!$B$13)*Supuestos!$G$9+(IH12*Supuestos!$B$13)*Supuestos!$H$9+(IF12*Supuestos!$B$13)*Supuestos!$I$9</f>
        <v>927.45818378650256</v>
      </c>
      <c r="IO14" s="183">
        <f>(IK12*Supuestos!$B$13)*Supuestos!$G$9+(II12*Supuestos!$B$13)*Supuestos!$H$9+(IG12*Supuestos!$B$13)*Supuestos!$I$9</f>
        <v>889.28831446851177</v>
      </c>
      <c r="IP14" s="183">
        <f>(IL12*Supuestos!$B$13)*Supuestos!$G$9+(IJ12*Supuestos!$B$13)*Supuestos!$H$9+(IH12*Supuestos!$B$13)*Supuestos!$I$9</f>
        <v>735.98968717499065</v>
      </c>
      <c r="IQ14" s="183">
        <f>(IM12*Supuestos!$B$13)*Supuestos!$G$9+(IK12*Supuestos!$B$13)*Supuestos!$H$9+(II12*Supuestos!$B$13)*Supuestos!$I$9</f>
        <v>937.76295874501454</v>
      </c>
      <c r="IR14" s="183">
        <f>(IN12*Supuestos!$B$13)*Supuestos!$G$9+(IL12*Supuestos!$B$13)*Supuestos!$H$9+(IJ12*Supuestos!$B$13)*Supuestos!$I$9</f>
        <v>642.69319106477974</v>
      </c>
      <c r="IS14" s="183">
        <f>(IO12*Supuestos!$B$13)*Supuestos!$G$9+(IM12*Supuestos!$B$13)*Supuestos!$H$9+(IK12*Supuestos!$B$13)*Supuestos!$I$9</f>
        <v>1223.5914809477151</v>
      </c>
      <c r="IT14" s="183">
        <f>(IP12*Supuestos!$B$13)*Supuestos!$G$9+(IN12*Supuestos!$B$13)*Supuestos!$H$9+(IL12*Supuestos!$B$13)*Supuestos!$I$9</f>
        <v>646.51457734895189</v>
      </c>
      <c r="IU14" s="183">
        <f>(IQ12*Supuestos!$B$13)*Supuestos!$G$9+(IO12*Supuestos!$B$13)*Supuestos!$H$9+(IM12*Supuestos!$B$13)*Supuestos!$I$9</f>
        <v>1129.8558440631027</v>
      </c>
      <c r="IV14" s="183">
        <f>(IR12*Supuestos!$B$13)*Supuestos!$G$9+(IP12*Supuestos!$B$13)*Supuestos!$H$9+(IN12*Supuestos!$B$13)*Supuestos!$I$9</f>
        <v>762.41235846748611</v>
      </c>
      <c r="IW14" s="183">
        <f>(IS12*Supuestos!$B$13)*Supuestos!$G$9+(IQ12*Supuestos!$B$13)*Supuestos!$H$9+(IO12*Supuestos!$B$13)*Supuestos!$I$9</f>
        <v>834.24575671511866</v>
      </c>
      <c r="IX14" s="183">
        <f>(IT12*Supuestos!$B$13)*Supuestos!$G$9+(IR12*Supuestos!$B$13)*Supuestos!$H$9+(IP12*Supuestos!$B$13)*Supuestos!$I$9</f>
        <v>842.78471425166481</v>
      </c>
      <c r="IY14" s="183">
        <f>(IU12*Supuestos!$B$13)*Supuestos!$G$9+(IS12*Supuestos!$B$13)*Supuestos!$H$9+(IQ12*Supuestos!$B$13)*Supuestos!$I$9</f>
        <v>682.3459036231045</v>
      </c>
      <c r="IZ14" s="183">
        <f>(IV12*Supuestos!$B$13)*Supuestos!$G$9+(IT12*Supuestos!$B$13)*Supuestos!$H$9+(IR12*Supuestos!$B$13)*Supuestos!$I$9</f>
        <v>828.59076378060831</v>
      </c>
      <c r="JA14" s="183">
        <f>(IW12*Supuestos!$B$13)*Supuestos!$G$9+(IU12*Supuestos!$B$13)*Supuestos!$H$9+(IS12*Supuestos!$B$13)*Supuestos!$I$9</f>
        <v>737.54802137903607</v>
      </c>
      <c r="JB14" s="183">
        <f>(IX12*Supuestos!$B$13)*Supuestos!$G$9+(IV12*Supuestos!$B$13)*Supuestos!$H$9+(IT12*Supuestos!$B$13)*Supuestos!$I$9</f>
        <v>819.00957533521546</v>
      </c>
      <c r="JC14" s="183">
        <f>(IY12*Supuestos!$B$13)*Supuestos!$G$9+(IW12*Supuestos!$B$13)*Supuestos!$H$9+(IU12*Supuestos!$B$13)*Supuestos!$I$9</f>
        <v>841.47523846777847</v>
      </c>
      <c r="JD14" s="183">
        <f>(IZ12*Supuestos!$B$13)*Supuestos!$G$9+(IX12*Supuestos!$B$13)*Supuestos!$H$9+(IV12*Supuestos!$B$13)*Supuestos!$I$9</f>
        <v>721.59906012040187</v>
      </c>
      <c r="JE14" s="183">
        <f>(JA12*Supuestos!$B$13)*Supuestos!$G$9+(IY12*Supuestos!$B$13)*Supuestos!$H$9+(IW12*Supuestos!$B$13)*Supuestos!$I$9</f>
        <v>899.88960181243567</v>
      </c>
      <c r="JF14" s="183">
        <f>(JB12*Supuestos!$B$13)*Supuestos!$G$9+(IZ12*Supuestos!$B$13)*Supuestos!$H$9+(IX12*Supuestos!$B$13)*Supuestos!$I$9</f>
        <v>835.08629394667742</v>
      </c>
      <c r="JG14" s="183">
        <f>(JC12*Supuestos!$B$13)*Supuestos!$G$9+(JA12*Supuestos!$B$13)*Supuestos!$H$9+(IY12*Supuestos!$B$13)*Supuestos!$I$9</f>
        <v>898.1269611526684</v>
      </c>
      <c r="JH14" s="183">
        <f>(JD12*Supuestos!$B$13)*Supuestos!$G$9+(JB12*Supuestos!$B$13)*Supuestos!$H$9+(IZ12*Supuestos!$B$13)*Supuestos!$I$9</f>
        <v>888.9207103668009</v>
      </c>
      <c r="JI14" s="183">
        <f>(JE12*Supuestos!$B$13)*Supuestos!$G$9+(JC12*Supuestos!$B$13)*Supuestos!$H$9+(JA12*Supuestos!$B$13)*Supuestos!$I$9</f>
        <v>667.02949349978428</v>
      </c>
      <c r="JJ14" s="183">
        <f>(JF12*Supuestos!$B$13)*Supuestos!$G$9+(JD12*Supuestos!$B$13)*Supuestos!$H$9+(JB12*Supuestos!$B$13)*Supuestos!$I$9</f>
        <v>779.11540555985823</v>
      </c>
      <c r="JK14" s="183">
        <f>(JG12*Supuestos!$B$13)*Supuestos!$G$9+(JE12*Supuestos!$B$13)*Supuestos!$H$9+(JC12*Supuestos!$B$13)*Supuestos!$I$9</f>
        <v>648.99162238563167</v>
      </c>
      <c r="JL14" s="183">
        <f>(JH12*Supuestos!$B$13)*Supuestos!$G$9+(JF12*Supuestos!$B$13)*Supuestos!$H$9+(JD12*Supuestos!$B$13)*Supuestos!$I$9</f>
        <v>731.42917739802715</v>
      </c>
      <c r="JM14" s="183">
        <f>(JI12*Supuestos!$B$13)*Supuestos!$G$9+(JG12*Supuestos!$B$13)*Supuestos!$H$9+(JE12*Supuestos!$B$13)*Supuestos!$I$9</f>
        <v>763.96217972822853</v>
      </c>
      <c r="JN14" s="183">
        <f>(JJ12*Supuestos!$B$13)*Supuestos!$G$9+(JH12*Supuestos!$B$13)*Supuestos!$H$9+(JF12*Supuestos!$B$13)*Supuestos!$I$9</f>
        <v>690.22712567269127</v>
      </c>
      <c r="JO14" s="183">
        <f>(JK12*Supuestos!$B$13)*Supuestos!$G$9+(JI12*Supuestos!$B$13)*Supuestos!$H$9+(JG12*Supuestos!$B$13)*Supuestos!$I$9</f>
        <v>880.19258681324163</v>
      </c>
      <c r="JP14" s="183">
        <f>(JL12*Supuestos!$B$13)*Supuestos!$G$9+(JJ12*Supuestos!$B$13)*Supuestos!$H$9+(JH12*Supuestos!$B$13)*Supuestos!$I$9</f>
        <v>844.08077330202627</v>
      </c>
      <c r="JQ14" s="183">
        <f>(JM12*Supuestos!$B$13)*Supuestos!$G$9+(JK12*Supuestos!$B$13)*Supuestos!$H$9+(JI12*Supuestos!$B$13)*Supuestos!$I$9</f>
        <v>935.46064044201626</v>
      </c>
      <c r="JR14" s="183">
        <f>(JN12*Supuestos!$B$13)*Supuestos!$G$9+(JL12*Supuestos!$B$13)*Supuestos!$H$9+(JJ12*Supuestos!$B$13)*Supuestos!$I$9</f>
        <v>958.97819153384648</v>
      </c>
      <c r="JS14" s="183">
        <f>(JO12*Supuestos!$B$13)*Supuestos!$G$9+(JM12*Supuestos!$B$13)*Supuestos!$H$9+(JK12*Supuestos!$B$13)*Supuestos!$I$9</f>
        <v>816.33235524664997</v>
      </c>
      <c r="JT14" s="183">
        <f>(JP12*Supuestos!$B$13)*Supuestos!$G$9+(JN12*Supuestos!$B$13)*Supuestos!$H$9+(JL12*Supuestos!$B$13)*Supuestos!$I$9</f>
        <v>1014.6917328381899</v>
      </c>
      <c r="JU14" s="183">
        <f>(JQ12*Supuestos!$B$13)*Supuestos!$G$9+(JO12*Supuestos!$B$13)*Supuestos!$H$9+(JM12*Supuestos!$B$13)*Supuestos!$I$9</f>
        <v>936.93549567917603</v>
      </c>
      <c r="JV14" s="183">
        <f>(JR12*Supuestos!$B$13)*Supuestos!$G$9+(JP12*Supuestos!$B$13)*Supuestos!$H$9+(JN12*Supuestos!$B$13)*Supuestos!$I$9</f>
        <v>1024.0647593307358</v>
      </c>
      <c r="JW14" s="183">
        <f>(JS12*Supuestos!$B$13)*Supuestos!$G$9+(JQ12*Supuestos!$B$13)*Supuestos!$H$9+(JO12*Supuestos!$B$13)*Supuestos!$I$9</f>
        <v>1033.1967366506387</v>
      </c>
      <c r="JX14" s="183">
        <f>(JT12*Supuestos!$B$13)*Supuestos!$G$9+(JR12*Supuestos!$B$13)*Supuestos!$H$9+(JP12*Supuestos!$B$13)*Supuestos!$I$9</f>
        <v>832.64546654115952</v>
      </c>
      <c r="JY14" s="183">
        <f>(JU12*Supuestos!$B$13)*Supuestos!$G$9+(JS12*Supuestos!$B$13)*Supuestos!$H$9+(JQ12*Supuestos!$B$13)*Supuestos!$I$9</f>
        <v>1008.8382267773567</v>
      </c>
      <c r="JZ14" s="183">
        <f>(JV12*Supuestos!$B$13)*Supuestos!$G$9+(JT12*Supuestos!$B$13)*Supuestos!$H$9+(JR12*Supuestos!$B$13)*Supuestos!$I$9</f>
        <v>894.72441837979682</v>
      </c>
      <c r="KA14" s="183">
        <f>(JW12*Supuestos!$B$13)*Supuestos!$G$9+(JU12*Supuestos!$B$13)*Supuestos!$H$9+(JS12*Supuestos!$B$13)*Supuestos!$I$9</f>
        <v>984.15948782843566</v>
      </c>
      <c r="KB14" s="183">
        <f>(JX12*Supuestos!$B$13)*Supuestos!$G$9+(JV12*Supuestos!$B$13)*Supuestos!$H$9+(JT12*Supuestos!$B$13)*Supuestos!$I$9</f>
        <v>1000.2742700594408</v>
      </c>
      <c r="KC14" s="183">
        <f>(JY12*Supuestos!$B$13)*Supuestos!$G$9+(JW12*Supuestos!$B$13)*Supuestos!$H$9+(JU12*Supuestos!$B$13)*Supuestos!$I$9</f>
        <v>827.14875753513525</v>
      </c>
      <c r="KD14" s="183">
        <f>(JZ12*Supuestos!$B$13)*Supuestos!$G$9+(JX12*Supuestos!$B$13)*Supuestos!$H$9+(JV12*Supuestos!$B$13)*Supuestos!$I$9</f>
        <v>1014.5670005982497</v>
      </c>
      <c r="KE14" s="183">
        <f>(KA12*Supuestos!$B$13)*Supuestos!$G$9+(JY12*Supuestos!$B$13)*Supuestos!$H$9+(JW12*Supuestos!$B$13)*Supuestos!$I$9</f>
        <v>917.7071544461628</v>
      </c>
      <c r="KF14" s="183">
        <f>(KB12*Supuestos!$B$13)*Supuestos!$G$9+(JZ12*Supuestos!$B$13)*Supuestos!$H$9+(JX12*Supuestos!$B$13)*Supuestos!$I$9</f>
        <v>1001.7431583971168</v>
      </c>
      <c r="KG14" s="183">
        <f>(KC12*Supuestos!$B$13)*Supuestos!$G$9+(KA12*Supuestos!$B$13)*Supuestos!$H$9+(JY12*Supuestos!$B$13)*Supuestos!$I$9</f>
        <v>1009.1389786462595</v>
      </c>
      <c r="KH14" s="183">
        <f>(KD12*Supuestos!$B$13)*Supuestos!$G$9+(KB12*Supuestos!$B$13)*Supuestos!$H$9+(JZ12*Supuestos!$B$13)*Supuestos!$I$9</f>
        <v>808.85159277842831</v>
      </c>
      <c r="KI14" s="183">
        <f>(KE12*Supuestos!$B$13)*Supuestos!$G$9+(KC12*Supuestos!$B$13)*Supuestos!$H$9+(KA12*Supuestos!$B$13)*Supuestos!$I$9</f>
        <v>977.41458779718334</v>
      </c>
      <c r="KJ14" s="183">
        <f>(KF12*Supuestos!$B$13)*Supuestos!$G$9+(KD12*Supuestos!$B$13)*Supuestos!$H$9+(KB12*Supuestos!$B$13)*Supuestos!$I$9</f>
        <v>863.10560637807157</v>
      </c>
      <c r="KK14" s="183">
        <f>(KG12*Supuestos!$B$13)*Supuestos!$G$9+(KE12*Supuestos!$B$13)*Supuestos!$H$9+(KC12*Supuestos!$B$13)*Supuestos!$I$9</f>
        <v>906.28161731814396</v>
      </c>
      <c r="KL14" s="183">
        <f>(KH12*Supuestos!$B$13)*Supuestos!$G$9+(KF12*Supuestos!$B$13)*Supuestos!$H$9+(KD12*Supuestos!$B$13)*Supuestos!$I$9</f>
        <v>870.68412200554201</v>
      </c>
      <c r="KM14" s="183">
        <f>(KI12*Supuestos!$B$13)*Supuestos!$G$9+(KG12*Supuestos!$B$13)*Supuestos!$H$9+(KE12*Supuestos!$B$13)*Supuestos!$I$9</f>
        <v>576.4774110360014</v>
      </c>
      <c r="KN14" s="183">
        <f>(KJ12*Supuestos!$B$13)*Supuestos!$G$9+(KH12*Supuestos!$B$13)*Supuestos!$H$9+(KF12*Supuestos!$B$13)*Supuestos!$I$9</f>
        <v>624.72729802674064</v>
      </c>
      <c r="KO14" s="183">
        <f>(KK12*Supuestos!$B$13)*Supuestos!$G$9+(KI12*Supuestos!$B$13)*Supuestos!$H$9+(KG12*Supuestos!$B$13)*Supuestos!$I$9</f>
        <v>447.51060899362176</v>
      </c>
      <c r="KP14" s="183">
        <f>(KL12*Supuestos!$B$13)*Supuestos!$G$9+(KJ12*Supuestos!$B$13)*Supuestos!$H$9+(KH12*Supuestos!$B$13)*Supuestos!$I$9</f>
        <v>542.54010196617753</v>
      </c>
      <c r="KQ14" s="183">
        <f>(KM12*Supuestos!$B$13)*Supuestos!$G$9+(KK12*Supuestos!$B$13)*Supuestos!$H$9+(KI12*Supuestos!$B$13)*Supuestos!$I$9</f>
        <v>610.28520424433259</v>
      </c>
      <c r="KR14" s="183">
        <f>(KN12*Supuestos!$B$13)*Supuestos!$G$9+(KL12*Supuestos!$B$13)*Supuestos!$H$9+(KJ12*Supuestos!$B$13)*Supuestos!$I$9</f>
        <v>672.13880157555718</v>
      </c>
      <c r="KS14" s="183">
        <f>(KO12*Supuestos!$B$13)*Supuestos!$G$9+(KM12*Supuestos!$B$13)*Supuestos!$H$9+(KK12*Supuestos!$B$13)*Supuestos!$I$9</f>
        <v>920.56282174423586</v>
      </c>
      <c r="KT14" s="183">
        <f>(KP12*Supuestos!$B$13)*Supuestos!$G$9+(KN12*Supuestos!$B$13)*Supuestos!$H$9+(KL12*Supuestos!$B$13)*Supuestos!$I$9</f>
        <v>969.89013542800535</v>
      </c>
      <c r="KU14" s="183">
        <f>(KQ12*Supuestos!$B$13)*Supuestos!$G$9+(KO12*Supuestos!$B$13)*Supuestos!$H$9+(KM12*Supuestos!$B$13)*Supuestos!$I$9</f>
        <v>1071.2142022734106</v>
      </c>
      <c r="KV14" s="183">
        <f>(KR12*Supuestos!$B$13)*Supuestos!$G$9+(KP12*Supuestos!$B$13)*Supuestos!$H$9+(KN12*Supuestos!$B$13)*Supuestos!$I$9</f>
        <v>1027.1280032111315</v>
      </c>
      <c r="KW14" s="183">
        <f>(KS12*Supuestos!$B$13)*Supuestos!$G$9+(KQ12*Supuestos!$B$13)*Supuestos!$H$9+(KO12*Supuestos!$B$13)*Supuestos!$I$9</f>
        <v>850.06808868711414</v>
      </c>
      <c r="KX14" s="183">
        <f>(KT12*Supuestos!$B$13)*Supuestos!$G$9+(KR12*Supuestos!$B$13)*Supuestos!$H$9+(KP12*Supuestos!$B$13)*Supuestos!$I$9</f>
        <v>1083.1162173504922</v>
      </c>
      <c r="KY14" s="183">
        <f>(KU12*Supuestos!$B$13)*Supuestos!$G$9+(KS12*Supuestos!$B$13)*Supuestos!$H$9+(KQ12*Supuestos!$B$13)*Supuestos!$I$9</f>
        <v>742.31063567982062</v>
      </c>
      <c r="KZ14" s="183">
        <f>(KV12*Supuestos!$B$13)*Supuestos!$G$9+(KT12*Supuestos!$B$13)*Supuestos!$H$9+(KR12*Supuestos!$B$13)*Supuestos!$I$9</f>
        <v>1413.2481604946111</v>
      </c>
      <c r="LA14" s="183">
        <f>(KW12*Supuestos!$B$13)*Supuestos!$G$9+(KU12*Supuestos!$B$13)*Supuestos!$H$9+(KS12*Supuestos!$B$13)*Supuestos!$I$9</f>
        <v>746.72433683803933</v>
      </c>
      <c r="LB14" s="183">
        <f>(KX12*Supuestos!$B$13)*Supuestos!$G$9+(KV12*Supuestos!$B$13)*Supuestos!$H$9+(KT12*Supuestos!$B$13)*Supuestos!$I$9</f>
        <v>1304.9834998928836</v>
      </c>
      <c r="LC14" s="183">
        <f>(KY12*Supuestos!$B$13)*Supuestos!$G$9+(KW12*Supuestos!$B$13)*Supuestos!$H$9+(KU12*Supuestos!$B$13)*Supuestos!$I$9</f>
        <v>880.58627402994625</v>
      </c>
      <c r="LD14" s="183">
        <f>(KZ12*Supuestos!$B$13)*Supuestos!$G$9+(KX12*Supuestos!$B$13)*Supuestos!$H$9+(KV12*Supuestos!$B$13)*Supuestos!$I$9</f>
        <v>963.55384900596187</v>
      </c>
      <c r="LE14" s="183">
        <f>(LA12*Supuestos!$B$13)*Supuestos!$G$9+(KY12*Supuestos!$B$13)*Supuestos!$H$9+(KW12*Supuestos!$B$13)*Supuestos!$I$9</f>
        <v>973.41634496067286</v>
      </c>
      <c r="LF14" s="183">
        <f>(LB12*Supuestos!$B$13)*Supuestos!$G$9+(KZ12*Supuestos!$B$13)*Supuestos!$H$9+(KX12*Supuestos!$B$13)*Supuestos!$I$9</f>
        <v>788.10951868468567</v>
      </c>
      <c r="LG14" s="183">
        <f>(LC12*Supuestos!$B$13)*Supuestos!$G$9+(LA12*Supuestos!$B$13)*Supuestos!$H$9+(KY12*Supuestos!$B$13)*Supuestos!$I$9</f>
        <v>957.02233216660284</v>
      </c>
      <c r="LH14" s="183">
        <f>(LD12*Supuestos!$B$13)*Supuestos!$G$9+(LB12*Supuestos!$B$13)*Supuestos!$H$9+(KZ12*Supuestos!$B$13)*Supuestos!$I$9</f>
        <v>851.8679646927867</v>
      </c>
      <c r="LI14" s="183">
        <f>(LE12*Supuestos!$B$13)*Supuestos!$G$9+(LC12*Supuestos!$B$13)*Supuestos!$H$9+(LA12*Supuestos!$B$13)*Supuestos!$I$9</f>
        <v>945.95605951217408</v>
      </c>
      <c r="LJ14" s="183">
        <f>(LF12*Supuestos!$B$13)*Supuestos!$G$9+(LD12*Supuestos!$B$13)*Supuestos!$H$9+(LB12*Supuestos!$B$13)*Supuestos!$I$9</f>
        <v>971.90390043028424</v>
      </c>
      <c r="LK14" s="183">
        <f>(LG12*Supuestos!$B$13)*Supuestos!$G$9+(LE12*Supuestos!$B$13)*Supuestos!$H$9+(LC12*Supuestos!$B$13)*Supuestos!$I$9</f>
        <v>833.44691443906424</v>
      </c>
      <c r="LL14" s="183">
        <f>(LH12*Supuestos!$B$13)*Supuestos!$G$9+(LF12*Supuestos!$B$13)*Supuestos!$H$9+(LD12*Supuestos!$B$13)*Supuestos!$I$9</f>
        <v>1039.3724900933632</v>
      </c>
      <c r="LM14" s="183">
        <f>(LI12*Supuestos!$B$13)*Supuestos!$G$9+(LG12*Supuestos!$B$13)*Supuestos!$H$9+(LE12*Supuestos!$B$13)*Supuestos!$I$9</f>
        <v>964.52466950841233</v>
      </c>
      <c r="LN14" s="183">
        <f>(LJ12*Supuestos!$B$13)*Supuestos!$G$9+(LH12*Supuestos!$B$13)*Supuestos!$H$9+(LF12*Supuestos!$B$13)*Supuestos!$I$9</f>
        <v>1037.3366401313319</v>
      </c>
      <c r="LO14" s="183">
        <f>(LK12*Supuestos!$B$13)*Supuestos!$G$9+(LI12*Supuestos!$B$13)*Supuestos!$H$9+(LG12*Supuestos!$B$13)*Supuestos!$I$9</f>
        <v>1026.7034204736551</v>
      </c>
      <c r="LP14" s="183">
        <f>(LL12*Supuestos!$B$13)*Supuestos!$G$9+(LJ12*Supuestos!$B$13)*Supuestos!$H$9+(LH12*Supuestos!$B$13)*Supuestos!$I$9</f>
        <v>770.41906499225092</v>
      </c>
      <c r="LQ14" s="183">
        <f>(LM12*Supuestos!$B$13)*Supuestos!$G$9+(LK12*Supuestos!$B$13)*Supuestos!$H$9+(LI12*Supuestos!$B$13)*Supuestos!$I$9</f>
        <v>899.87829342163627</v>
      </c>
      <c r="LR14" s="183">
        <f>(LN12*Supuestos!$B$13)*Supuestos!$G$9+(LL12*Supuestos!$B$13)*Supuestos!$H$9+(LJ12*Supuestos!$B$13)*Supuestos!$I$9</f>
        <v>749.58532385540468</v>
      </c>
      <c r="LS14" s="183">
        <f>(LO12*Supuestos!$B$13)*Supuestos!$G$9+(LM12*Supuestos!$B$13)*Supuestos!$H$9+(LK12*Supuestos!$B$13)*Supuestos!$I$9</f>
        <v>844.80069989472145</v>
      </c>
      <c r="LT14" s="183">
        <f>(LP12*Supuestos!$B$13)*Supuestos!$G$9+(LN12*Supuestos!$B$13)*Supuestos!$H$9+(LL12*Supuestos!$B$13)*Supuestos!$I$9</f>
        <v>882.37631758610405</v>
      </c>
      <c r="LU14" s="183">
        <f>(LQ12*Supuestos!$B$13)*Supuestos!$G$9+(LO12*Supuestos!$B$13)*Supuestos!$H$9+(LM12*Supuestos!$B$13)*Supuestos!$I$9</f>
        <v>797.21233015195855</v>
      </c>
      <c r="LV14" s="183">
        <f>(LR12*Supuestos!$B$13)*Supuestos!$G$9+(LP12*Supuestos!$B$13)*Supuestos!$H$9+(LN12*Supuestos!$B$13)*Supuestos!$I$9</f>
        <v>1016.6224377692943</v>
      </c>
      <c r="LW14" s="183">
        <f>(LS12*Supuestos!$B$13)*Supuestos!$G$9+(LQ12*Supuestos!$B$13)*Supuestos!$H$9+(LO12*Supuestos!$B$13)*Supuestos!$I$9</f>
        <v>974.91329316384042</v>
      </c>
      <c r="LX14" s="183">
        <f>(LT12*Supuestos!$B$13)*Supuestos!$G$9+(LR12*Supuestos!$B$13)*Supuestos!$H$9+(LP12*Supuestos!$B$13)*Supuestos!$I$9</f>
        <v>1080.457039710529</v>
      </c>
      <c r="LY14" s="183">
        <f>(LU12*Supuestos!$B$13)*Supuestos!$G$9+(LS12*Supuestos!$B$13)*Supuestos!$H$9+(LQ12*Supuestos!$B$13)*Supuestos!$I$9</f>
        <v>1107.6198112215925</v>
      </c>
      <c r="LZ14" s="183">
        <f>(LV12*Supuestos!$B$13)*Supuestos!$G$9+(LT12*Supuestos!$B$13)*Supuestos!$H$9+(LR12*Supuestos!$B$13)*Supuestos!$I$9</f>
        <v>942.86387030988067</v>
      </c>
      <c r="MA14" s="183">
        <f>(LW12*Supuestos!$B$13)*Supuestos!$G$9+(LU12*Supuestos!$B$13)*Supuestos!$H$9+(LS12*Supuestos!$B$13)*Supuestos!$I$9</f>
        <v>1171.9689514281092</v>
      </c>
      <c r="MB14" s="183">
        <f>(LX12*Supuestos!$B$13)*Supuestos!$G$9+(LV12*Supuestos!$B$13)*Supuestos!$H$9+(LT12*Supuestos!$B$13)*Supuestos!$I$9</f>
        <v>1082.1604975094483</v>
      </c>
      <c r="MC14" s="183">
        <f>(LY12*Supuestos!$B$13)*Supuestos!$G$9+(LW12*Supuestos!$B$13)*Supuestos!$H$9+(LU12*Supuestos!$B$13)*Supuestos!$I$9</f>
        <v>1182.794797027</v>
      </c>
      <c r="MD14" s="183">
        <f>(LZ12*Supuestos!$B$13)*Supuestos!$G$9+(LX12*Supuestos!$B$13)*Supuestos!$H$9+(LV12*Supuestos!$B$13)*Supuestos!$I$9</f>
        <v>1193.342230831488</v>
      </c>
      <c r="ME14" s="183">
        <f>(MA12*Supuestos!$B$13)*Supuestos!$G$9+(LY12*Supuestos!$B$13)*Supuestos!$H$9+(LW12*Supuestos!$B$13)*Supuestos!$I$9</f>
        <v>961.70551385503938</v>
      </c>
      <c r="MF14" s="183">
        <f>(MB12*Supuestos!$B$13)*Supuestos!$G$9+(LZ12*Supuestos!$B$13)*Supuestos!$H$9+(LX12*Supuestos!$B$13)*Supuestos!$I$9</f>
        <v>1165.208151927847</v>
      </c>
      <c r="MG14" s="183">
        <f>(MC12*Supuestos!$B$13)*Supuestos!$G$9+(MA12*Supuestos!$B$13)*Supuestos!$H$9+(LY12*Supuestos!$B$13)*Supuestos!$I$9</f>
        <v>1033.4067032286653</v>
      </c>
      <c r="MH14" s="183">
        <f>(MD12*Supuestos!$B$13)*Supuestos!$G$9+(MB12*Supuestos!$B$13)*Supuestos!$H$9+(LZ12*Supuestos!$B$13)*Supuestos!$I$9</f>
        <v>1136.7042084418433</v>
      </c>
      <c r="MI14" s="183">
        <f>(ME12*Supuestos!$B$13)*Supuestos!$G$9+(MC12*Supuestos!$B$13)*Supuestos!$H$9+(MA12*Supuestos!$B$13)*Supuestos!$I$9</f>
        <v>1155.3167819186544</v>
      </c>
      <c r="MJ14" s="183">
        <f>(MF12*Supuestos!$B$13)*Supuestos!$G$9+(MD12*Supuestos!$B$13)*Supuestos!$H$9+(MB12*Supuestos!$B$13)*Supuestos!$I$9</f>
        <v>955.35681495308131</v>
      </c>
      <c r="MK14" s="183">
        <f>(MG12*Supuestos!$B$13)*Supuestos!$G$9+(ME12*Supuestos!$B$13)*Supuestos!$H$9+(MC12*Supuestos!$B$13)*Supuestos!$I$9</f>
        <v>1171.8248856909786</v>
      </c>
      <c r="ML14" s="183">
        <f>(MH12*Supuestos!$B$13)*Supuestos!$G$9+(MF12*Supuestos!$B$13)*Supuestos!$H$9+(MD12*Supuestos!$B$13)*Supuestos!$I$9</f>
        <v>1059.9517633853181</v>
      </c>
      <c r="MM14" s="183">
        <f>(MI12*Supuestos!$B$13)*Supuestos!$G$9+(MG12*Supuestos!$B$13)*Supuestos!$H$9+(ME12*Supuestos!$B$13)*Supuestos!$I$9</f>
        <v>1157.0133479486699</v>
      </c>
      <c r="MN14" s="183">
        <f>(MJ12*Supuestos!$B$13)*Supuestos!$G$9+(MH12*Supuestos!$B$13)*Supuestos!$H$9+(MF12*Supuestos!$B$13)*Supuestos!$I$9</f>
        <v>1165.5555203364297</v>
      </c>
      <c r="MO14" s="183">
        <f>(MK12*Supuestos!$B$13)*Supuestos!$G$9+(MI12*Supuestos!$B$13)*Supuestos!$H$9+(MG12*Supuestos!$B$13)*Supuestos!$I$9</f>
        <v>934.22358965908461</v>
      </c>
      <c r="MP14" s="183">
        <f>(ML12*Supuestos!$B$13)*Supuestos!$G$9+(MJ12*Supuestos!$B$13)*Supuestos!$H$9+(MH12*Supuestos!$B$13)*Supuestos!$I$9</f>
        <v>1128.9138489057468</v>
      </c>
      <c r="MQ14" s="183">
        <f>(MM12*Supuestos!$B$13)*Supuestos!$G$9+(MK12*Supuestos!$B$13)*Supuestos!$H$9+(MI12*Supuestos!$B$13)*Supuestos!$I$9</f>
        <v>996.88697536667269</v>
      </c>
      <c r="MR14" s="183">
        <f>(MN12*Supuestos!$B$13)*Supuestos!$G$9+(ML12*Supuestos!$B$13)*Supuestos!$H$9+(MJ12*Supuestos!$B$13)*Supuestos!$I$9</f>
        <v>1046.7552680024562</v>
      </c>
      <c r="MS14" s="183">
        <f>(MO12*Supuestos!$B$13)*Supuestos!$G$9+(MM12*Supuestos!$B$13)*Supuestos!$H$9+(MK12*Supuestos!$B$13)*Supuestos!$I$9</f>
        <v>1005.640160916401</v>
      </c>
      <c r="MT14" s="183">
        <f>(MP12*Supuestos!$B$13)*Supuestos!$G$9+(MN12*Supuestos!$B$13)*Supuestos!$H$9+(ML12*Supuestos!$B$13)*Supuestos!$I$9</f>
        <v>665.83140974658158</v>
      </c>
      <c r="MU14" s="183">
        <f>(MQ12*Supuestos!$B$13)*Supuestos!$G$9+(MO12*Supuestos!$B$13)*Supuestos!$H$9+(MM12*Supuestos!$B$13)*Supuestos!$I$9</f>
        <v>721.56002922088544</v>
      </c>
      <c r="MV14" s="183">
        <f>(MR12*Supuestos!$B$13)*Supuestos!$G$9+(MP12*Supuestos!$B$13)*Supuestos!$H$9+(MN12*Supuestos!$B$13)*Supuestos!$I$9</f>
        <v>516.87475338763318</v>
      </c>
      <c r="MW14" s="183">
        <f>(MS12*Supuestos!$B$13)*Supuestos!$G$9+(MQ12*Supuestos!$B$13)*Supuestos!$H$9+(MO12*Supuestos!$B$13)*Supuestos!$I$9</f>
        <v>625.20151655056782</v>
      </c>
      <c r="MX14" s="183">
        <f>(MT12*Supuestos!$B$13)*Supuestos!$G$9+(MR12*Supuestos!$B$13)*Supuestos!$H$9+(MP12*Supuestos!$B$13)*Supuestos!$I$9</f>
        <v>701.74747070299838</v>
      </c>
      <c r="MY14" s="183">
        <f>(MU12*Supuestos!$B$13)*Supuestos!$G$9+(MS12*Supuestos!$B$13)*Supuestos!$H$9+(MQ12*Supuestos!$B$13)*Supuestos!$I$9</f>
        <v>768.9611349023794</v>
      </c>
      <c r="MZ14" s="183">
        <f>(MV12*Supuestos!$B$13)*Supuestos!$G$9+(MT12*Supuestos!$B$13)*Supuestos!$H$9+(MR12*Supuestos!$B$13)*Supuestos!$I$9</f>
        <v>1051.4859779791843</v>
      </c>
      <c r="NA14" s="183">
        <f>(MW12*Supuestos!$B$13)*Supuestos!$G$9+(MU12*Supuestos!$B$13)*Supuestos!$H$9+(MS12*Supuestos!$B$13)*Supuestos!$I$9</f>
        <v>1105.6747543879264</v>
      </c>
      <c r="NB14" s="183">
        <f>(MX12*Supuestos!$B$13)*Supuestos!$G$9+(MV12*Supuestos!$B$13)*Supuestos!$H$9+(MT12*Supuestos!$B$13)*Supuestos!$I$9</f>
        <v>1196.2526804522336</v>
      </c>
      <c r="NC14" s="183">
        <f>(MY12*Supuestos!$B$13)*Supuestos!$G$9+(MW12*Supuestos!$B$13)*Supuestos!$H$9+(MU12*Supuestos!$B$13)*Supuestos!$I$9</f>
        <v>1192.5010885379443</v>
      </c>
      <c r="ND14" s="183">
        <f>(MZ12*Supuestos!$B$13)*Supuestos!$G$9+(MX12*Supuestos!$B$13)*Supuestos!$H$9+(MV12*Supuestos!$B$13)*Supuestos!$I$9</f>
        <v>919.69743953235093</v>
      </c>
      <c r="NE14" s="183">
        <f>(NA12*Supuestos!$B$13)*Supuestos!$G$9+(MY12*Supuestos!$B$13)*Supuestos!$H$9+(MW12*Supuestos!$B$13)*Supuestos!$I$9</f>
        <v>1089.9696834598501</v>
      </c>
      <c r="NF14" s="183">
        <f>(NB12*Supuestos!$B$13)*Supuestos!$G$9+(MZ12*Supuestos!$B$13)*Supuestos!$H$9+(MX12*Supuestos!$B$13)*Supuestos!$I$9</f>
        <v>931.50487114069369</v>
      </c>
      <c r="NG14" s="183">
        <f>(NC12*Supuestos!$B$13)*Supuestos!$G$9+(NA12*Supuestos!$B$13)*Supuestos!$H$9+(MY12*Supuestos!$B$13)*Supuestos!$I$9</f>
        <v>1029.3850237270237</v>
      </c>
      <c r="NH14" s="183">
        <f>(ND12*Supuestos!$B$13)*Supuestos!$G$9+(NB12*Supuestos!$B$13)*Supuestos!$H$9+(MZ12*Supuestos!$B$13)*Supuestos!$I$9</f>
        <v>1051.8208789425266</v>
      </c>
      <c r="NI14" s="183">
        <f>(NE12*Supuestos!$B$13)*Supuestos!$G$9+(NC12*Supuestos!$B$13)*Supuestos!$H$9+(NA12*Supuestos!$B$13)*Supuestos!$I$9</f>
        <v>885.65229237424705</v>
      </c>
      <c r="NJ14" s="183">
        <f>(NF12*Supuestos!$B$13)*Supuestos!$G$9+(ND12*Supuestos!$B$13)*Supuestos!$H$9+(NB12*Supuestos!$B$13)*Supuestos!$I$9</f>
        <v>1095.4402264804855</v>
      </c>
      <c r="NK14" s="183">
        <f>(NG12*Supuestos!$B$13)*Supuestos!$G$9+(NE12*Supuestos!$B$13)*Supuestos!$H$9+(NC12*Supuestos!$B$13)*Supuestos!$I$9</f>
        <v>1003.868352394139</v>
      </c>
      <c r="NL14" s="183">
        <f>(NH12*Supuestos!$B$13)*Supuestos!$G$9+(NF12*Supuestos!$B$13)*Supuestos!$H$9+(ND12*Supuestos!$B$13)*Supuestos!$I$9</f>
        <v>1098.4513878667969</v>
      </c>
      <c r="NM14" s="183">
        <f>(NI12*Supuestos!$B$13)*Supuestos!$G$9+(NG12*Supuestos!$B$13)*Supuestos!$H$9+(NE12*Supuestos!$B$13)*Supuestos!$I$9</f>
        <v>1109.6946332551674</v>
      </c>
      <c r="NN14" s="183">
        <f>(NJ12*Supuestos!$B$13)*Supuestos!$G$9+(NH12*Supuestos!$B$13)*Supuestos!$H$9+(NF12*Supuestos!$B$13)*Supuestos!$I$9</f>
        <v>898.44485130054181</v>
      </c>
      <c r="NO14" s="183">
        <f>(NK12*Supuestos!$B$13)*Supuestos!$G$9+(NI12*Supuestos!$B$13)*Supuestos!$H$9+(NG12*Supuestos!$B$13)*Supuestos!$I$9</f>
        <v>1091.0054586699271</v>
      </c>
      <c r="NP14" s="183">
        <f>(NL12*Supuestos!$B$13)*Supuestos!$G$9+(NJ12*Supuestos!$B$13)*Supuestos!$H$9+(NH12*Supuestos!$B$13)*Supuestos!$I$9</f>
        <v>971.12947974977692</v>
      </c>
      <c r="NQ14" s="183">
        <f>(NM12*Supuestos!$B$13)*Supuestos!$G$9+(NK12*Supuestos!$B$13)*Supuestos!$H$9+(NI12*Supuestos!$B$13)*Supuestos!$I$9</f>
        <v>1078.3899078438783</v>
      </c>
      <c r="NR14" s="183">
        <f>(NN12*Supuestos!$B$13)*Supuestos!$G$9+(NL12*Supuestos!$B$13)*Supuestos!$H$9+(NJ12*Supuestos!$B$13)*Supuestos!$I$9</f>
        <v>1107.970446490524</v>
      </c>
      <c r="NS14" s="183">
        <f>(NO12*Supuestos!$B$13)*Supuestos!$G$9+(NM12*Supuestos!$B$13)*Supuestos!$H$9+(NK12*Supuestos!$B$13)*Supuestos!$I$9</f>
        <v>950.12948246053338</v>
      </c>
      <c r="NT14" s="183">
        <f>(NP12*Supuestos!$B$13)*Supuestos!$G$9+(NN12*Supuestos!$B$13)*Supuestos!$H$9+(NL12*Supuestos!$B$13)*Supuestos!$I$9</f>
        <v>1184.8846387064343</v>
      </c>
      <c r="NU14" s="183">
        <f>(NQ12*Supuestos!$B$13)*Supuestos!$G$9+(NO12*Supuestos!$B$13)*Supuestos!$H$9+(NM12*Supuestos!$B$13)*Supuestos!$I$9</f>
        <v>1099.5581232395905</v>
      </c>
      <c r="NV14" s="183">
        <f>(NR12*Supuestos!$B$13)*Supuestos!$G$9+(NP12*Supuestos!$B$13)*Supuestos!$H$9+(NN12*Supuestos!$B$13)*Supuestos!$I$9</f>
        <v>1182.5637697497189</v>
      </c>
      <c r="NW14" s="183">
        <f>(NS12*Supuestos!$B$13)*Supuestos!$G$9+(NQ12*Supuestos!$B$13)*Supuestos!$H$9+(NO12*Supuestos!$B$13)*Supuestos!$I$9</f>
        <v>1170.4418993399672</v>
      </c>
      <c r="NX14" s="183">
        <f>(NT12*Supuestos!$B$13)*Supuestos!$G$9+(NR12*Supuestos!$B$13)*Supuestos!$H$9+(NP12*Supuestos!$B$13)*Supuestos!$I$9</f>
        <v>878.27773409116617</v>
      </c>
      <c r="NY14" s="183">
        <f>(NU12*Supuestos!$B$13)*Supuestos!$G$9+(NS12*Supuestos!$B$13)*Supuestos!$H$9+(NQ12*Supuestos!$B$13)*Supuestos!$I$9</f>
        <v>1025.8612545006656</v>
      </c>
      <c r="NZ14" s="183">
        <f>(NV12*Supuestos!$B$13)*Supuestos!$G$9+(NT12*Supuestos!$B$13)*Supuestos!$H$9+(NR12*Supuestos!$B$13)*Supuestos!$I$9</f>
        <v>854.52726919516147</v>
      </c>
      <c r="OA14" s="183">
        <f>(NW12*Supuestos!$B$13)*Supuestos!$G$9+(NU12*Supuestos!$B$13)*Supuestos!$H$9+(NS12*Supuestos!$B$13)*Supuestos!$I$9</f>
        <v>963.07279787998277</v>
      </c>
      <c r="OB14" s="183">
        <f>(NX12*Supuestos!$B$13)*Supuestos!$G$9+(NV12*Supuestos!$B$13)*Supuestos!$H$9+(NT12*Supuestos!$B$13)*Supuestos!$I$9</f>
        <v>1005.9090020481588</v>
      </c>
      <c r="OC14" s="183">
        <f>(NY12*Supuestos!$B$13)*Supuestos!$G$9+(NW12*Supuestos!$B$13)*Supuestos!$H$9+(NU12*Supuestos!$B$13)*Supuestos!$I$9</f>
        <v>908.82205637323295</v>
      </c>
      <c r="OD14" s="183">
        <f>(NZ12*Supuestos!$B$13)*Supuestos!$G$9+(NX12*Supuestos!$B$13)*Supuestos!$H$9+(NV12*Supuestos!$B$13)*Supuestos!$I$9</f>
        <v>1158.9495790569958</v>
      </c>
      <c r="OE14" s="183">
        <f>(OA12*Supuestos!$B$13)*Supuestos!$G$9+(NY12*Supuestos!$B$13)*Supuestos!$H$9+(NW12*Supuestos!$B$13)*Supuestos!$I$9</f>
        <v>1111.4011542067783</v>
      </c>
      <c r="OF14" s="183">
        <f>(OB12*Supuestos!$B$13)*Supuestos!$G$9+(NZ12*Supuestos!$B$13)*Supuestos!$H$9+(NX12*Supuestos!$B$13)*Supuestos!$I$9</f>
        <v>1231.7210252700031</v>
      </c>
      <c r="OG14" s="183">
        <f>(OC12*Supuestos!$B$13)*Supuestos!$G$9+(OA12*Supuestos!$B$13)*Supuestos!$H$9+(NY12*Supuestos!$B$13)*Supuestos!$I$9</f>
        <v>1262.6865847926158</v>
      </c>
      <c r="OH14" s="183">
        <f>(OD12*Supuestos!$B$13)*Supuestos!$G$9+(OB12*Supuestos!$B$13)*Supuestos!$H$9+(NZ12*Supuestos!$B$13)*Supuestos!$I$9</f>
        <v>1074.8648121532642</v>
      </c>
      <c r="OI14" s="183">
        <f>(OE12*Supuestos!$B$13)*Supuestos!$G$9+(OC12*Supuestos!$B$13)*Supuestos!$H$9+(OA12*Supuestos!$B$13)*Supuestos!$I$9</f>
        <v>1336.0446046280449</v>
      </c>
      <c r="OJ14" s="183">
        <f>(OF12*Supuestos!$B$13)*Supuestos!$G$9+(OD12*Supuestos!$B$13)*Supuestos!$H$9+(OB12*Supuestos!$B$13)*Supuestos!$I$9</f>
        <v>1233.6629671607711</v>
      </c>
      <c r="OK14" s="183">
        <f>(OG12*Supuestos!$B$13)*Supuestos!$G$9+(OE12*Supuestos!$B$13)*Supuestos!$H$9+(OC12*Supuestos!$B$13)*Supuestos!$I$9</f>
        <v>1348.3860686107805</v>
      </c>
      <c r="OL14" s="183">
        <f>(OH12*Supuestos!$B$13)*Supuestos!$G$9+(OF12*Supuestos!$B$13)*Supuestos!$H$9+(OD12*Supuestos!$B$13)*Supuestos!$I$9</f>
        <v>1360.4101431478964</v>
      </c>
      <c r="OM14" s="183">
        <f>(OI12*Supuestos!$B$13)*Supuestos!$G$9+(OG12*Supuestos!$B$13)*Supuestos!$H$9+(OE12*Supuestos!$B$13)*Supuestos!$I$9</f>
        <v>1096.3442857947452</v>
      </c>
      <c r="ON14" s="183">
        <f>(OJ12*Supuestos!$B$13)*Supuestos!$G$9+(OH12*Supuestos!$B$13)*Supuestos!$H$9+(OF12*Supuestos!$B$13)*Supuestos!$I$9</f>
        <v>1328.3372931977458</v>
      </c>
      <c r="OO14" s="183">
        <f>(OK12*Supuestos!$B$13)*Supuestos!$G$9+(OI12*Supuestos!$B$13)*Supuestos!$H$9+(OG12*Supuestos!$B$13)*Supuestos!$I$9</f>
        <v>1178.0836416806787</v>
      </c>
      <c r="OP14" s="183">
        <f>(OL12*Supuestos!$B$13)*Supuestos!$G$9+(OJ12*Supuestos!$B$13)*Supuestos!$H$9+(OH12*Supuestos!$B$13)*Supuestos!$I$9</f>
        <v>1295.8427976237015</v>
      </c>
      <c r="OQ14" s="183">
        <f>(OM12*Supuestos!$B$13)*Supuestos!$G$9+(OK12*Supuestos!$B$13)*Supuestos!$H$9+(OI12*Supuestos!$B$13)*Supuestos!$I$9</f>
        <v>1317.061131387266</v>
      </c>
      <c r="OR14" s="183">
        <f>(ON12*Supuestos!$B$13)*Supuestos!$G$9+(OL12*Supuestos!$B$13)*Supuestos!$H$9+(OJ12*Supuestos!$B$13)*Supuestos!$I$9</f>
        <v>1089.1067690465129</v>
      </c>
      <c r="OS14" s="183">
        <f>(OO12*Supuestos!$B$13)*Supuestos!$G$9+(OM12*Supuestos!$B$13)*Supuestos!$H$9+(OK12*Supuestos!$B$13)*Supuestos!$I$9</f>
        <v>1335.8803696877158</v>
      </c>
      <c r="OT14" s="183">
        <f>(OP12*Supuestos!$B$13)*Supuestos!$G$9+(ON12*Supuestos!$B$13)*Supuestos!$H$9+(OL12*Supuestos!$B$13)*Supuestos!$I$9</f>
        <v>1208.3450102592631</v>
      </c>
      <c r="OU14" s="183">
        <f>(OQ12*Supuestos!$B$13)*Supuestos!$G$9+(OO12*Supuestos!$B$13)*Supuestos!$H$9+(OM12*Supuestos!$B$13)*Supuestos!$I$9</f>
        <v>1318.9952166614839</v>
      </c>
      <c r="OV14" s="183">
        <f>(OR12*Supuestos!$B$13)*Supuestos!$G$9+(OP12*Supuestos!$B$13)*Supuestos!$H$9+(ON12*Supuestos!$B$13)*Supuestos!$I$9</f>
        <v>1328.7332931835303</v>
      </c>
      <c r="OW14" s="183">
        <f>(OS12*Supuestos!$B$13)*Supuestos!$G$9+(OQ12*Supuestos!$B$13)*Supuestos!$H$9+(OO12*Supuestos!$B$13)*Supuestos!$I$9</f>
        <v>1065.0148922113567</v>
      </c>
      <c r="OX14" s="183">
        <f>(OT12*Supuestos!$B$13)*Supuestos!$G$9+(OR12*Supuestos!$B$13)*Supuestos!$H$9+(OP12*Supuestos!$B$13)*Supuestos!$I$9</f>
        <v>1286.9617877525518</v>
      </c>
      <c r="OY14" s="183">
        <f>(OU12*Supuestos!$B$13)*Supuestos!$G$9+(OS12*Supuestos!$B$13)*Supuestos!$H$9+(OQ12*Supuestos!$B$13)*Supuestos!$I$9</f>
        <v>1136.4511519180073</v>
      </c>
      <c r="OZ14" s="183">
        <f>(OV12*Supuestos!$B$13)*Supuestos!$G$9+(OT12*Supuestos!$B$13)*Supuestos!$H$9+(OR12*Supuestos!$B$13)*Supuestos!$I$9</f>
        <v>1193.3010055228006</v>
      </c>
      <c r="PA14" s="183">
        <f>(OW12*Supuestos!$B$13)*Supuestos!$G$9+(OU12*Supuestos!$B$13)*Supuestos!$H$9+(OS12*Supuestos!$B$13)*Supuestos!$I$9</f>
        <v>1146.4297834446975</v>
      </c>
      <c r="PB14" s="183">
        <f>(OX12*Supuestos!$B$13)*Supuestos!$G$9+(OV12*Supuestos!$B$13)*Supuestos!$H$9+(OT12*Supuestos!$B$13)*Supuestos!$I$9</f>
        <v>759.04780711110334</v>
      </c>
      <c r="PC14" s="183">
        <f>(OY12*Supuestos!$B$13)*Supuestos!$G$9+(OW12*Supuestos!$B$13)*Supuestos!$H$9+(OU12*Supuestos!$B$13)*Supuestos!$I$9</f>
        <v>822.57843331180959</v>
      </c>
      <c r="PD14" s="183">
        <f>(OZ12*Supuestos!$B$13)*Supuestos!$G$9+(OX12*Supuestos!$B$13)*Supuestos!$H$9+(OV12*Supuestos!$B$13)*Supuestos!$I$9</f>
        <v>589.23721886190197</v>
      </c>
      <c r="PE14" s="183">
        <f>(PA12*Supuestos!$B$13)*Supuestos!$G$9+(OY12*Supuestos!$B$13)*Supuestos!$H$9+(OW12*Supuestos!$B$13)*Supuestos!$I$9</f>
        <v>712.72972886764751</v>
      </c>
      <c r="PF14" s="183">
        <f>(PB12*Supuestos!$B$13)*Supuestos!$G$9+(OZ12*Supuestos!$B$13)*Supuestos!$H$9+(OX12*Supuestos!$B$13)*Supuestos!$I$9</f>
        <v>799.99211660141827</v>
      </c>
      <c r="PG14" s="183">
        <f>(PC12*Supuestos!$B$13)*Supuestos!$G$9+(PA12*Supuestos!$B$13)*Supuestos!$H$9+(OY12*Supuestos!$B$13)*Supuestos!$I$9</f>
        <v>876.61569378871252</v>
      </c>
      <c r="PH14" s="183">
        <f>(PD12*Supuestos!$B$13)*Supuestos!$G$9+(PB12*Supuestos!$B$13)*Supuestos!$H$9+(OZ12*Supuestos!$B$13)*Supuestos!$I$9</f>
        <v>1198.6940148962703</v>
      </c>
      <c r="PI14" s="183">
        <f>(PE12*Supuestos!$B$13)*Supuestos!$G$9+(PC12*Supuestos!$B$13)*Supuestos!$H$9+(PA12*Supuestos!$B$13)*Supuestos!$I$9</f>
        <v>1260.4692200022359</v>
      </c>
      <c r="PJ14" s="183">
        <f>(PF12*Supuestos!$B$13)*Supuestos!$G$9+(PD12*Supuestos!$B$13)*Supuestos!$H$9+(PB12*Supuestos!$B$13)*Supuestos!$I$9</f>
        <v>1392.1499772745246</v>
      </c>
      <c r="PK14" s="183">
        <f>(PG12*Supuestos!$B$13)*Supuestos!$G$9+(PE12*Supuestos!$B$13)*Supuestos!$H$9+(PC12*Supuestos!$B$13)*Supuestos!$I$9</f>
        <v>1334.8555529731866</v>
      </c>
      <c r="PL14" s="183">
        <f>(PH12*Supuestos!$B$13)*Supuestos!$G$9+(PF12*Supuestos!$B$13)*Supuestos!$H$9+(PD12*Supuestos!$B$13)*Supuestos!$I$9</f>
        <v>1104.748488057774</v>
      </c>
      <c r="PM14" s="183">
        <f>(PI12*Supuestos!$B$13)*Supuestos!$G$9+(PG12*Supuestos!$B$13)*Supuestos!$H$9+(PE12*Supuestos!$B$13)*Supuestos!$I$9</f>
        <v>1407.6178360686997</v>
      </c>
      <c r="PN14" s="183">
        <f>(PJ12*Supuestos!$B$13)*Supuestos!$G$9+(PH12*Supuestos!$B$13)*Supuestos!$H$9+(PF12*Supuestos!$B$13)*Supuestos!$I$9</f>
        <v>964.70690212949523</v>
      </c>
      <c r="PO14" s="183">
        <f>(PK12*Supuestos!$B$13)*Supuestos!$G$9+(PI12*Supuestos!$B$13)*Supuestos!$H$9+(PG12*Supuestos!$B$13)*Supuestos!$I$9</f>
        <v>1836.6573093787974</v>
      </c>
      <c r="PP14" s="183">
        <f>(PL12*Supuestos!$B$13)*Supuestos!$G$9+(PJ12*Supuestos!$B$13)*Supuestos!$H$9+(PH12*Supuestos!$B$13)*Supuestos!$I$9</f>
        <v>970.4429481547163</v>
      </c>
      <c r="PQ14" s="183">
        <f>(PM12*Supuestos!$B$13)*Supuestos!$G$9+(PK12*Supuestos!$B$13)*Supuestos!$H$9+(PI12*Supuestos!$B$13)*Supuestos!$I$9</f>
        <v>1695.9565564607924</v>
      </c>
      <c r="PR14" s="183">
        <f>(PN12*Supuestos!$B$13)*Supuestos!$G$9+(PL12*Supuestos!$B$13)*Supuestos!$H$9+(PJ12*Supuestos!$B$13)*Supuestos!$I$9</f>
        <v>1144.4099217293187</v>
      </c>
      <c r="PS14" s="183">
        <f>(PO12*Supuestos!$B$13)*Supuestos!$G$9+(PM12*Supuestos!$B$13)*Supuestos!$H$9+(PK12*Supuestos!$B$13)*Supuestos!$I$9</f>
        <v>1252.2345821681483</v>
      </c>
      <c r="PT14" s="183">
        <f>(PP12*Supuestos!$B$13)*Supuestos!$G$9+(PN12*Supuestos!$B$13)*Supuestos!$H$9+(PL12*Supuestos!$B$13)*Supuestos!$I$9</f>
        <v>1265.0518819108909</v>
      </c>
      <c r="PU14" s="183">
        <f>(PQ12*Supuestos!$B$13)*Supuestos!$G$9+(PO12*Supuestos!$B$13)*Supuestos!$H$9+(PM12*Supuestos!$B$13)*Supuestos!$I$9</f>
        <v>1024.2271304826179</v>
      </c>
      <c r="PV14" s="183">
        <f>(PR12*Supuestos!$B$13)*Supuestos!$G$9+(PP12*Supuestos!$B$13)*Supuestos!$H$9+(PN12*Supuestos!$B$13)*Supuestos!$I$9</f>
        <v>1243.7462228837171</v>
      </c>
      <c r="PW14" s="183">
        <f>(PS12*Supuestos!$B$13)*Supuestos!$G$9+(PQ12*Supuestos!$B$13)*Supuestos!$H$9+(PO12*Supuestos!$B$13)*Supuestos!$I$9</f>
        <v>1107.0876069147459</v>
      </c>
      <c r="PX14" s="183">
        <f>(PT12*Supuestos!$B$13)*Supuestos!$G$9+(PR12*Supuestos!$B$13)*Supuestos!$H$9+(PP12*Supuestos!$B$13)*Supuestos!$I$9</f>
        <v>1229.3644949420216</v>
      </c>
      <c r="PY14" s="183">
        <f>(PU12*Supuestos!$B$13)*Supuestos!$G$9+(PS12*Supuestos!$B$13)*Supuestos!$H$9+(PQ12*Supuestos!$B$13)*Supuestos!$I$9</f>
        <v>1263.0863089991976</v>
      </c>
      <c r="PZ14" s="183">
        <f>(PV12*Supuestos!$B$13)*Supuestos!$G$9+(PT12*Supuestos!$B$13)*Supuestos!$H$9+(PR12*Supuestos!$B$13)*Supuestos!$I$9</f>
        <v>1083.1476100050083</v>
      </c>
      <c r="QA14" s="183">
        <f>(PW12*Supuestos!$B$13)*Supuestos!$G$9+(PU12*Supuestos!$B$13)*Supuestos!$H$9+(PS12*Supuestos!$B$13)*Supuestos!$I$9</f>
        <v>1350.7684881253351</v>
      </c>
      <c r="QB14" s="183">
        <f>(PX12*Supuestos!$B$13)*Supuestos!$G$9+(PV12*Supuestos!$B$13)*Supuestos!$H$9+(PT12*Supuestos!$B$13)*Supuestos!$I$9</f>
        <v>1253.4962604931331</v>
      </c>
      <c r="QC14" s="183">
        <f>(PY12*Supuestos!$B$13)*Supuestos!$G$9+(PW12*Supuestos!$B$13)*Supuestos!$H$9+(PU12*Supuestos!$B$13)*Supuestos!$I$9</f>
        <v>1348.1226975146794</v>
      </c>
      <c r="QD14" s="183">
        <f>(PZ12*Supuestos!$B$13)*Supuestos!$G$9+(PX12*Supuestos!$B$13)*Supuestos!$H$9+(PV12*Supuestos!$B$13)*Supuestos!$I$9</f>
        <v>1334.3037652475628</v>
      </c>
      <c r="QE14" s="183">
        <f>(QA12*Supuestos!$B$13)*Supuestos!$G$9+(PY12*Supuestos!$B$13)*Supuestos!$H$9+(PW12*Supuestos!$B$13)*Supuestos!$I$9</f>
        <v>1001.2366168639296</v>
      </c>
      <c r="QF14" s="183">
        <f>(QB12*Supuestos!$B$13)*Supuestos!$G$9+(PZ12*Supuestos!$B$13)*Supuestos!$H$9+(PX12*Supuestos!$B$13)*Supuestos!$I$9</f>
        <v>1169.4818301307589</v>
      </c>
      <c r="QG14" s="183">
        <f>(QC12*Supuestos!$B$13)*Supuestos!$G$9+(QA12*Supuestos!$B$13)*Supuestos!$H$9+(PY12*Supuestos!$B$13)*Supuestos!$I$9</f>
        <v>974.16108688248414</v>
      </c>
      <c r="QH14" s="183">
        <f>(QD12*Supuestos!$B$13)*Supuestos!$G$9+(QB12*Supuestos!$B$13)*Supuestos!$H$9+(PZ12*Supuestos!$B$13)*Supuestos!$I$9</f>
        <v>1097.9029895831802</v>
      </c>
      <c r="QI14" s="183">
        <f>(QE12*Supuestos!$B$13)*Supuestos!$G$9+(QC12*Supuestos!$B$13)*Supuestos!$H$9+(QA12*Supuestos!$B$13)*Supuestos!$I$9</f>
        <v>1146.7362623349011</v>
      </c>
      <c r="QJ14" s="183">
        <f>(QF12*Supuestos!$B$13)*Supuestos!$G$9+(QD12*Supuestos!$B$13)*Supuestos!$H$9+(QB12*Supuestos!$B$13)*Supuestos!$I$9</f>
        <v>1036.0571442654855</v>
      </c>
      <c r="QK14" s="183">
        <f>(QG12*Supuestos!$B$13)*Supuestos!$G$9+(QE12*Supuestos!$B$13)*Supuestos!$H$9+(QC12*Supuestos!$B$13)*Supuestos!$I$9</f>
        <v>1321.2025201249753</v>
      </c>
      <c r="QL14" s="183">
        <f>(QH12*Supuestos!$B$13)*Supuestos!$G$9+(QF12*Supuestos!$B$13)*Supuestos!$H$9+(QD12*Supuestos!$B$13)*Supuestos!$I$9</f>
        <v>1266.9973157957272</v>
      </c>
      <c r="QM14" s="183">
        <f>(QI12*Supuestos!$B$13)*Supuestos!$G$9+(QG12*Supuestos!$B$13)*Supuestos!$H$9+(QE12*Supuestos!$B$13)*Supuestos!$I$9</f>
        <v>1404.1619688078038</v>
      </c>
      <c r="QN14" s="183">
        <f>(QJ12*Supuestos!$B$13)*Supuestos!$G$9+(QH12*Supuestos!$B$13)*Supuestos!$H$9+(QF12*Supuestos!$B$13)*Supuestos!$I$9</f>
        <v>1439.4627066635821</v>
      </c>
      <c r="QO14" s="183">
        <f>(QK12*Supuestos!$B$13)*Supuestos!$G$9+(QI12*Supuestos!$B$13)*Supuestos!$H$9+(QG12*Supuestos!$B$13)*Supuestos!$I$9</f>
        <v>1225.3458858547215</v>
      </c>
      <c r="QP14" s="183">
        <f>(QL12*Supuestos!$B$13)*Supuestos!$G$9+(QJ12*Supuestos!$B$13)*Supuestos!$H$9+(QH12*Supuestos!$B$13)*Supuestos!$I$9</f>
        <v>1523.0908492759711</v>
      </c>
      <c r="QQ14" s="183">
        <f>(QM12*Supuestos!$B$13)*Supuestos!$G$9+(QK12*Supuestos!$B$13)*Supuestos!$H$9+(QI12*Supuestos!$B$13)*Supuestos!$I$9</f>
        <v>1406.3757825632797</v>
      </c>
      <c r="QR14" s="183">
        <f>(QN12*Supuestos!$B$13)*Supuestos!$G$9+(QL12*Supuestos!$B$13)*Supuestos!$H$9+(QJ12*Supuestos!$B$13)*Supuestos!$I$9</f>
        <v>1537.1601182162897</v>
      </c>
      <c r="QS14" s="183">
        <f>(QO12*Supuestos!$B$13)*Supuestos!$G$9+(QM12*Supuestos!$B$13)*Supuestos!$H$9+(QK12*Supuestos!$B$13)*Supuestos!$I$9</f>
        <v>1550.8675631886022</v>
      </c>
      <c r="QT14" s="183">
        <f>(QP12*Supuestos!$B$13)*Supuestos!$G$9+(QN12*Supuestos!$B$13)*Supuestos!$H$9+(QL12*Supuestos!$B$13)*Supuestos!$I$9</f>
        <v>1249.8324858060096</v>
      </c>
      <c r="QU14" s="183">
        <f>(QQ12*Supuestos!$B$13)*Supuestos!$G$9+(QO12*Supuestos!$B$13)*Supuestos!$H$9+(QM12*Supuestos!$B$13)*Supuestos!$I$9</f>
        <v>1514.3045142454305</v>
      </c>
      <c r="QV14" s="183">
        <f>(QR12*Supuestos!$B$13)*Supuestos!$G$9+(QP12*Supuestos!$B$13)*Supuestos!$H$9+(QN12*Supuestos!$B$13)*Supuestos!$I$9</f>
        <v>1343.0153515159736</v>
      </c>
      <c r="QW14" s="183">
        <f>(QS12*Supuestos!$B$13)*Supuestos!$G$9+(QQ12*Supuestos!$B$13)*Supuestos!$H$9+(QO12*Supuestos!$B$13)*Supuestos!$I$9</f>
        <v>1477.2607892910196</v>
      </c>
      <c r="QX14" s="183">
        <f>(QT12*Supuestos!$B$13)*Supuestos!$G$9+(QR12*Supuestos!$B$13)*Supuestos!$H$9+(QP12*Supuestos!$B$13)*Supuestos!$I$9</f>
        <v>1501.4496897814834</v>
      </c>
      <c r="QY14" s="183">
        <f>(QU12*Supuestos!$B$13)*Supuestos!$G$9+(QS12*Supuestos!$B$13)*Supuestos!$H$9+(QQ12*Supuestos!$B$13)*Supuestos!$I$9</f>
        <v>1241.5817167130249</v>
      </c>
      <c r="QZ14" s="183">
        <f>(QV12*Supuestos!$B$13)*Supuestos!$G$9+(QT12*Supuestos!$B$13)*Supuestos!$H$9+(QR12*Supuestos!$B$13)*Supuestos!$I$9</f>
        <v>1522.9036214439959</v>
      </c>
      <c r="RA14" s="183">
        <f>(QW12*Supuestos!$B$13)*Supuestos!$G$9+(QU12*Supuestos!$B$13)*Supuestos!$H$9+(QS12*Supuestos!$B$13)*Supuestos!$I$9</f>
        <v>1377.5133116955599</v>
      </c>
      <c r="RB14" s="183">
        <f>(QX12*Supuestos!$B$13)*Supuestos!$G$9+(QV12*Supuestos!$B$13)*Supuestos!$H$9+(QT12*Supuestos!$B$13)*Supuestos!$I$9</f>
        <v>1503.6545469940918</v>
      </c>
      <c r="RC14" s="183">
        <f>(QY12*Supuestos!$B$13)*Supuestos!$G$9+(QW12*Supuestos!$B$13)*Supuestos!$H$9+(QU12*Supuestos!$B$13)*Supuestos!$I$9</f>
        <v>1514.7559542292247</v>
      </c>
      <c r="RD14" s="183">
        <f>(QZ12*Supuestos!$B$13)*Supuestos!$G$9+(QX12*Supuestos!$B$13)*Supuestos!$H$9+(QV12*Supuestos!$B$13)*Supuestos!$I$9</f>
        <v>1214.1169771209468</v>
      </c>
      <c r="RE14" s="183">
        <f>(RA12*Supuestos!$B$13)*Supuestos!$G$9+(QY12*Supuestos!$B$13)*Supuestos!$H$9+(QW12*Supuestos!$B$13)*Supuestos!$I$9</f>
        <v>1467.1364380379089</v>
      </c>
      <c r="RF14" s="183">
        <f>(RB12*Supuestos!$B$13)*Supuestos!$G$9+(QZ12*Supuestos!$B$13)*Supuestos!$H$9+(QX12*Supuestos!$B$13)*Supuestos!$I$9</f>
        <v>1295.5543131865284</v>
      </c>
      <c r="RG14" s="183">
        <f>(RC12*Supuestos!$B$13)*Supuestos!$G$9+(RA12*Supuestos!$B$13)*Supuestos!$H$9+(QY12*Supuestos!$B$13)*Supuestos!$I$9</f>
        <v>1360.3631462959925</v>
      </c>
      <c r="RH14" s="183">
        <f>(RD12*Supuestos!$B$13)*Supuestos!$G$9+(RB12*Supuestos!$B$13)*Supuestos!$H$9+(QZ12*Supuestos!$B$13)*Supuestos!$I$9</f>
        <v>1306.9299531269553</v>
      </c>
      <c r="RI14" s="183">
        <f>(RE12*Supuestos!$B$13)*Supuestos!$G$9+(RC12*Supuestos!$B$13)*Supuestos!$H$9+(RA12*Supuestos!$B$13)*Supuestos!$I$9</f>
        <v>865.31450010665776</v>
      </c>
      <c r="RJ14" s="183">
        <f>(RF12*Supuestos!$B$13)*Supuestos!$G$9+(RD12*Supuestos!$B$13)*Supuestos!$H$9+(RB12*Supuestos!$B$13)*Supuestos!$I$9</f>
        <v>937.73941397546298</v>
      </c>
      <c r="RK14" s="183">
        <f>(RG12*Supuestos!$B$13)*Supuestos!$G$9+(RE12*Supuestos!$B$13)*Supuestos!$H$9+(RC12*Supuestos!$B$13)*Supuestos!$I$9</f>
        <v>671.73042950256831</v>
      </c>
      <c r="RL14" s="183">
        <f>(RH12*Supuestos!$B$13)*Supuestos!$G$9+(RF12*Supuestos!$B$13)*Supuestos!$H$9+(RD12*Supuestos!$B$13)*Supuestos!$I$9</f>
        <v>812.51189090911816</v>
      </c>
      <c r="RM14" s="183">
        <f>(RI12*Supuestos!$B$13)*Supuestos!$G$9+(RG12*Supuestos!$B$13)*Supuestos!$H$9+(RE12*Supuestos!$B$13)*Supuestos!$I$9</f>
        <v>911.99101292561704</v>
      </c>
      <c r="RN14" s="183">
        <f>(RJ12*Supuestos!$B$13)*Supuestos!$G$9+(RH12*Supuestos!$B$13)*Supuestos!$H$9+(RF12*Supuestos!$B$13)*Supuestos!$I$9</f>
        <v>999.34189091913231</v>
      </c>
      <c r="RO14" s="183">
        <f>(RK12*Supuestos!$B$13)*Supuestos!$G$9+(RI12*Supuestos!$B$13)*Supuestos!$H$9+(RG12*Supuestos!$B$13)*Supuestos!$I$9</f>
        <v>1366.5111769817483</v>
      </c>
      <c r="RP14" s="183">
        <f>(RL12*Supuestos!$B$13)*Supuestos!$G$9+(RJ12*Supuestos!$B$13)*Supuestos!$H$9+(RH12*Supuestos!$B$13)*Supuestos!$I$9</f>
        <v>1436.934910802549</v>
      </c>
      <c r="RQ14" s="183">
        <f>(RM12*Supuestos!$B$13)*Supuestos!$G$9+(RK12*Supuestos!$B$13)*Supuestos!$H$9+(RI12*Supuestos!$B$13)*Supuestos!$I$9</f>
        <v>1587.0509740929583</v>
      </c>
      <c r="RR14" s="183">
        <f>(RN12*Supuestos!$B$13)*Supuestos!$G$9+(RL12*Supuestos!$B$13)*Supuestos!$H$9+(RJ12*Supuestos!$B$13)*Supuestos!$I$9</f>
        <v>1521.7353303894329</v>
      </c>
      <c r="RS14" s="183">
        <f>(RO12*Supuestos!$B$13)*Supuestos!$G$9+(RM12*Supuestos!$B$13)*Supuestos!$H$9+(RK12*Supuestos!$B$13)*Supuestos!$I$9</f>
        <v>1259.4132763858624</v>
      </c>
      <c r="RT14" s="183">
        <f>(RP12*Supuestos!$B$13)*Supuestos!$G$9+(RN12*Supuestos!$B$13)*Supuestos!$H$9+(RL12*Supuestos!$B$13)*Supuestos!$I$9</f>
        <v>1604.6843331183177</v>
      </c>
      <c r="RU14" s="183">
        <f>(RQ12*Supuestos!$B$13)*Supuestos!$G$9+(RO12*Supuestos!$B$13)*Supuestos!$H$9+(RM12*Supuestos!$B$13)*Supuestos!$I$9</f>
        <v>1099.7658684276246</v>
      </c>
      <c r="RV14" s="183">
        <f>(RR12*Supuestos!$B$13)*Supuestos!$G$9+(RP12*Supuestos!$B$13)*Supuestos!$H$9+(RN12*Supuestos!$B$13)*Supuestos!$I$9</f>
        <v>2093.7893326918293</v>
      </c>
      <c r="RW14" s="183">
        <f>(RS12*Supuestos!$B$13)*Supuestos!$G$9+(RQ12*Supuestos!$B$13)*Supuestos!$H$9+(RO12*Supuestos!$B$13)*Supuestos!$I$9</f>
        <v>1106.3049608963765</v>
      </c>
      <c r="RX14" s="183">
        <f>(RT12*Supuestos!$B$13)*Supuestos!$G$9+(RR12*Supuestos!$B$13)*Supuestos!$H$9+(RP12*Supuestos!$B$13)*Supuestos!$I$9</f>
        <v>1933.3904743653036</v>
      </c>
      <c r="RY14" s="183">
        <f>(RU12*Supuestos!$B$13)*Supuestos!$G$9+(RS12*Supuestos!$B$13)*Supuestos!$H$9+(RQ12*Supuestos!$B$13)*Supuestos!$I$9</f>
        <v>1304.6273107714233</v>
      </c>
      <c r="RZ14" s="183">
        <f>(RV12*Supuestos!$B$13)*Supuestos!$G$9+(RT12*Supuestos!$B$13)*Supuestos!$H$9+(RR12*Supuestos!$B$13)*Supuestos!$I$9</f>
        <v>1427.5474236716896</v>
      </c>
      <c r="SA14" s="183">
        <f>(RW12*Supuestos!$B$13)*Supuestos!$G$9+(RU12*Supuestos!$B$13)*Supuestos!$H$9+(RS12*Supuestos!$B$13)*Supuestos!$I$9</f>
        <v>1442.1591453784158</v>
      </c>
      <c r="SB14" s="183">
        <f>(RX12*Supuestos!$B$13)*Supuestos!$G$9+(RV12*Supuestos!$B$13)*Supuestos!$H$9+(RT12*Supuestos!$B$13)*Supuestos!$I$9</f>
        <v>1167.6189287501843</v>
      </c>
      <c r="SC14" s="183">
        <f>(RY12*Supuestos!$B$13)*Supuestos!$G$9+(RW12*Supuestos!$B$13)*Supuestos!$H$9+(RU12*Supuestos!$B$13)*Supuestos!$I$9</f>
        <v>1417.8706940874376</v>
      </c>
      <c r="SD14" s="183">
        <f>(RZ12*Supuestos!$B$13)*Supuestos!$G$9+(RX12*Supuestos!$B$13)*Supuestos!$H$9+(RV12*Supuestos!$B$13)*Supuestos!$I$9</f>
        <v>1262.0798718828103</v>
      </c>
      <c r="SE14" s="183">
        <f>(SA12*Supuestos!$B$13)*Supuestos!$G$9+(RY12*Supuestos!$B$13)*Supuestos!$H$9+(RW12*Supuestos!$B$13)*Supuestos!$I$9</f>
        <v>1401.4755242339045</v>
      </c>
      <c r="SF14" s="183">
        <f>(SB12*Supuestos!$B$13)*Supuestos!$G$9+(RZ12*Supuestos!$B$13)*Supuestos!$H$9+(RX12*Supuestos!$B$13)*Supuestos!$I$9</f>
        <v>1439.9183922590853</v>
      </c>
      <c r="SG14" s="183">
        <f>(SC12*Supuestos!$B$13)*Supuestos!$G$9+(SA12*Supuestos!$B$13)*Supuestos!$H$9+(RY12*Supuestos!$B$13)*Supuestos!$I$9</f>
        <v>1234.7882754057093</v>
      </c>
      <c r="SH14" s="183">
        <f>(SD12*Supuestos!$B$13)*Supuestos!$G$9+(SB12*Supuestos!$B$13)*Supuestos!$H$9+(RZ12*Supuestos!$B$13)*Supuestos!$I$9</f>
        <v>1539.8760764628819</v>
      </c>
      <c r="SI14" s="183">
        <f>(SE12*Supuestos!$B$13)*Supuestos!$G$9+(SC12*Supuestos!$B$13)*Supuestos!$H$9+(SA12*Supuestos!$B$13)*Supuestos!$I$9</f>
        <v>1428.9857369621718</v>
      </c>
      <c r="SJ14" s="183">
        <f>(SF12*Supuestos!$B$13)*Supuestos!$G$9+(SD12*Supuestos!$B$13)*Supuestos!$H$9+(SB12*Supuestos!$B$13)*Supuestos!$I$9</f>
        <v>1536.8598751667346</v>
      </c>
      <c r="SK14" s="183">
        <f>(SG12*Supuestos!$B$13)*Supuestos!$G$9+(SE12*Supuestos!$B$13)*Supuestos!$H$9+(SC12*Supuestos!$B$13)*Supuestos!$I$9</f>
        <v>1521.1062923822215</v>
      </c>
      <c r="SL14" s="183">
        <f>(SH12*Supuestos!$B$13)*Supuestos!$G$9+(SF12*Supuestos!$B$13)*Supuestos!$H$9+(SD12*Supuestos!$B$13)*Supuestos!$I$9</f>
        <v>1141.4097432248795</v>
      </c>
      <c r="SM14" s="183">
        <f>(SI12*Supuestos!$B$13)*Supuestos!$G$9+(SG12*Supuestos!$B$13)*Supuestos!$H$9+(SE12*Supuestos!$B$13)*Supuestos!$I$9</f>
        <v>1333.2092863490652</v>
      </c>
      <c r="SN14" s="183">
        <f>(SJ12*Supuestos!$B$13)*Supuestos!$G$9+(SH12*Supuestos!$B$13)*Supuestos!$H$9+(SF12*Supuestos!$B$13)*Supuestos!$I$9</f>
        <v>1110.5436390460318</v>
      </c>
      <c r="SO14" s="183">
        <f>(SK12*Supuestos!$B$13)*Supuestos!$G$9+(SI12*Supuestos!$B$13)*Supuestos!$H$9+(SG12*Supuestos!$B$13)*Supuestos!$I$9</f>
        <v>1251.6094081248257</v>
      </c>
      <c r="SP14" s="183">
        <f>(SL12*Supuestos!$B$13)*Supuestos!$G$9+(SJ12*Supuestos!$B$13)*Supuestos!$H$9+(SH12*Supuestos!$B$13)*Supuestos!$I$9</f>
        <v>1307.2793390617871</v>
      </c>
      <c r="SQ14" s="183">
        <f>(SM12*Supuestos!$B$13)*Supuestos!$G$9+(SK12*Supuestos!$B$13)*Supuestos!$H$9+(SI12*Supuestos!$B$13)*Supuestos!$I$9</f>
        <v>1181.1051444626535</v>
      </c>
      <c r="SR14" s="183">
        <f>(SN12*Supuestos!$B$13)*Supuestos!$G$9+(SL12*Supuestos!$B$13)*Supuestos!$H$9+(SJ12*Supuestos!$B$13)*Supuestos!$I$9</f>
        <v>1506.1708729424718</v>
      </c>
      <c r="SS14" s="183">
        <f>(SO12*Supuestos!$B$13)*Supuestos!$G$9+(SM12*Supuestos!$B$13)*Supuestos!$H$9+(SK12*Supuestos!$B$13)*Supuestos!$I$9</f>
        <v>1444.376940007129</v>
      </c>
      <c r="ST14" s="183">
        <f>(SP12*Supuestos!$B$13)*Supuestos!$G$9+(SN12*Supuestos!$B$13)*Supuestos!$H$9+(SL12*Supuestos!$B$13)*Supuestos!$I$9</f>
        <v>1600.7446444408963</v>
      </c>
      <c r="SU14" s="183">
        <f>(SQ12*Supuestos!$B$13)*Supuestos!$G$9+(SO12*Supuestos!$B$13)*Supuestos!$H$9+(SM12*Supuestos!$B$13)*Supuestos!$I$9</f>
        <v>1640.9874855964836</v>
      </c>
      <c r="SV14" s="183">
        <f>(SR12*Supuestos!$B$13)*Supuestos!$G$9+(SP12*Supuestos!$B$13)*Supuestos!$H$9+(SN12*Supuestos!$B$13)*Supuestos!$I$9</f>
        <v>1396.8943098743821</v>
      </c>
      <c r="SW14" s="183">
        <f>(SS12*Supuestos!$B$13)*Supuestos!$G$9+(SQ12*Supuestos!$B$13)*Supuestos!$H$9+(SO12*Supuestos!$B$13)*Supuestos!$I$9</f>
        <v>1736.3235681746071</v>
      </c>
      <c r="SX14" s="183">
        <f>(ST12*Supuestos!$B$13)*Supuestos!$G$9+(SR12*Supuestos!$B$13)*Supuestos!$H$9+(SP12*Supuestos!$B$13)*Supuestos!$I$9</f>
        <v>1603.2683921221385</v>
      </c>
      <c r="SY14" s="183">
        <f>(SU12*Supuestos!$B$13)*Supuestos!$G$9+(SS12*Supuestos!$B$13)*Supuestos!$H$9+(SQ12*Supuestos!$B$13)*Supuestos!$I$9</f>
        <v>1752.3625347665704</v>
      </c>
      <c r="SZ14" s="183">
        <f>(SV12*Supuestos!$B$13)*Supuestos!$G$9+(ST12*Supuestos!$B$13)*Supuestos!$H$9+(SR12*Supuestos!$B$13)*Supuestos!$I$9</f>
        <v>1767.9890220350062</v>
      </c>
      <c r="TA14" s="183">
        <f>(SW12*Supuestos!$B$13)*Supuestos!$G$9+(SU12*Supuestos!$B$13)*Supuestos!$H$9+(SS12*Supuestos!$B$13)*Supuestos!$I$9</f>
        <v>1424.8090338188508</v>
      </c>
      <c r="TB14" s="183">
        <f>(SX12*Supuestos!$B$13)*Supuestos!$G$9+(SV12*Supuestos!$B$13)*Supuestos!$H$9+(ST12*Supuestos!$B$13)*Supuestos!$I$9</f>
        <v>1726.3071462397907</v>
      </c>
      <c r="TC14" s="183">
        <f>(SY12*Supuestos!$B$13)*Supuestos!$G$9+(SW12*Supuestos!$B$13)*Supuestos!$H$9+(SU12*Supuestos!$B$13)*Supuestos!$I$9</f>
        <v>1531.03750072821</v>
      </c>
      <c r="TD14" s="183">
        <f>(SZ12*Supuestos!$B$13)*Supuestos!$G$9+(SX12*Supuestos!$B$13)*Supuestos!$H$9+(SV12*Supuestos!$B$13)*Supuestos!$I$9</f>
        <v>1684.0772997917625</v>
      </c>
      <c r="TE14" s="183">
        <f>(TA12*Supuestos!$B$13)*Supuestos!$G$9+(SY12*Supuestos!$B$13)*Supuestos!$H$9+(SW12*Supuestos!$B$13)*Supuestos!$I$9</f>
        <v>1711.6526463508912</v>
      </c>
      <c r="TF14" s="183">
        <f>(TB12*Supuestos!$B$13)*Supuestos!$G$9+(SZ12*Supuestos!$B$13)*Supuestos!$H$9+(SX12*Supuestos!$B$13)*Supuestos!$I$9</f>
        <v>1415.4031570528482</v>
      </c>
      <c r="TG14" s="183">
        <f>(TC12*Supuestos!$B$13)*Supuestos!$G$9+(TA12*Supuestos!$B$13)*Supuestos!$H$9+(SY12*Supuestos!$B$13)*Supuestos!$I$9</f>
        <v>1736.1101284461556</v>
      </c>
      <c r="TH14" s="183">
        <f>(TD12*Supuestos!$B$13)*Supuestos!$G$9+(TB12*Supuestos!$B$13)*Supuestos!$H$9+(SZ12*Supuestos!$B$13)*Supuestos!$I$9</f>
        <v>1570.3651753329384</v>
      </c>
      <c r="TI14" s="183">
        <f>(TE12*Supuestos!$B$13)*Supuestos!$G$9+(TC12*Supuestos!$B$13)*Supuestos!$H$9+(TA12*Supuestos!$B$13)*Supuestos!$I$9</f>
        <v>1714.1661835732648</v>
      </c>
      <c r="TJ14" s="183">
        <f>(TF12*Supuestos!$B$13)*Supuestos!$G$9+(TD12*Supuestos!$B$13)*Supuestos!$H$9+(TB12*Supuestos!$B$13)*Supuestos!$I$9</f>
        <v>1726.8217878213163</v>
      </c>
      <c r="TK14" s="183">
        <f>(TG12*Supuestos!$B$13)*Supuestos!$G$9+(TE12*Supuestos!$B$13)*Supuestos!$H$9+(TC12*Supuestos!$B$13)*Supuestos!$I$9</f>
        <v>1384.0933539178791</v>
      </c>
      <c r="TL14" s="183">
        <f>(TH12*Supuestos!$B$13)*Supuestos!$G$9+(TF12*Supuestos!$B$13)*Supuestos!$H$9+(TD12*Supuestos!$B$13)*Supuestos!$I$9</f>
        <v>1672.5355393632162</v>
      </c>
      <c r="TM14" s="183">
        <f>(TI12*Supuestos!$B$13)*Supuestos!$G$9+(TG12*Supuestos!$B$13)*Supuestos!$H$9+(TE12*Supuestos!$B$13)*Supuestos!$I$9</f>
        <v>1476.9319170326421</v>
      </c>
      <c r="TN14" s="183">
        <f>(TJ12*Supuestos!$B$13)*Supuestos!$G$9+(TH12*Supuestos!$B$13)*Supuestos!$H$9+(TF12*Supuestos!$B$13)*Supuestos!$I$9</f>
        <v>1550.8139867774314</v>
      </c>
    </row>
    <row r="15" spans="1:534" s="53" customFormat="1" x14ac:dyDescent="0.3">
      <c r="A15" s="180" t="s">
        <v>382</v>
      </c>
      <c r="B15" s="181">
        <f t="shared" ref="B15:BM15" si="34">SUM(B13:B14)</f>
        <v>0</v>
      </c>
      <c r="C15" s="181">
        <f t="shared" si="34"/>
        <v>125.4049102</v>
      </c>
      <c r="D15" s="181">
        <f t="shared" si="34"/>
        <v>554.2777774000001</v>
      </c>
      <c r="E15" s="181">
        <f t="shared" si="34"/>
        <v>321.48079340000044</v>
      </c>
      <c r="F15" s="181">
        <f t="shared" si="34"/>
        <v>596.32640425987165</v>
      </c>
      <c r="G15" s="181">
        <f t="shared" si="34"/>
        <v>531.09410452000009</v>
      </c>
      <c r="H15" s="181">
        <f t="shared" si="34"/>
        <v>406.53093435449944</v>
      </c>
      <c r="I15" s="181">
        <f t="shared" si="34"/>
        <v>767.59267714431826</v>
      </c>
      <c r="J15" s="181">
        <f t="shared" si="34"/>
        <v>819.92966204000027</v>
      </c>
      <c r="K15" s="181">
        <f t="shared" si="34"/>
        <v>1612.7419604594461</v>
      </c>
      <c r="L15" s="181">
        <f t="shared" si="34"/>
        <v>654.53573338000024</v>
      </c>
      <c r="M15" s="181">
        <f t="shared" si="34"/>
        <v>769.61037865324784</v>
      </c>
      <c r="N15" s="181">
        <f t="shared" si="34"/>
        <v>1030.8685953351696</v>
      </c>
      <c r="O15" s="181">
        <f t="shared" si="34"/>
        <v>1091.6456621360626</v>
      </c>
      <c r="P15" s="181">
        <f t="shared" si="34"/>
        <v>1219.4230880879229</v>
      </c>
      <c r="Q15" s="181">
        <f t="shared" si="34"/>
        <v>501.28858454000004</v>
      </c>
      <c r="R15" s="181">
        <f t="shared" si="34"/>
        <v>1026.5757607727535</v>
      </c>
      <c r="S15" s="181">
        <f t="shared" si="34"/>
        <v>973.67097553999986</v>
      </c>
      <c r="T15" s="181">
        <f t="shared" si="34"/>
        <v>947.61090211999999</v>
      </c>
      <c r="U15" s="181">
        <f t="shared" si="34"/>
        <v>1073.4452691799997</v>
      </c>
      <c r="V15" s="181">
        <f t="shared" si="34"/>
        <v>601.13101849999998</v>
      </c>
      <c r="W15" s="181">
        <f t="shared" si="34"/>
        <v>799.77453120000052</v>
      </c>
      <c r="X15" s="181">
        <f t="shared" si="34"/>
        <v>784.89146407110661</v>
      </c>
      <c r="Y15" s="181">
        <f t="shared" si="34"/>
        <v>1465.0708975963344</v>
      </c>
      <c r="Z15" s="181">
        <f t="shared" si="34"/>
        <v>1101.4412138400003</v>
      </c>
      <c r="AA15" s="181">
        <f t="shared" si="34"/>
        <v>480.71364486867276</v>
      </c>
      <c r="AB15" s="181">
        <f t="shared" si="34"/>
        <v>934.24230652766164</v>
      </c>
      <c r="AC15" s="181">
        <f t="shared" si="34"/>
        <v>810.00743958434612</v>
      </c>
      <c r="AD15" s="181">
        <f t="shared" si="34"/>
        <v>1157.5773789337725</v>
      </c>
      <c r="AE15" s="181">
        <f t="shared" si="34"/>
        <v>894.9085053546072</v>
      </c>
      <c r="AF15" s="181">
        <f t="shared" si="34"/>
        <v>793.13514529304109</v>
      </c>
      <c r="AG15" s="181">
        <f t="shared" si="34"/>
        <v>806.68839556000057</v>
      </c>
      <c r="AH15" s="181">
        <f t="shared" si="34"/>
        <v>1565.4430780712182</v>
      </c>
      <c r="AI15" s="181">
        <f t="shared" si="34"/>
        <v>666.61835573999974</v>
      </c>
      <c r="AJ15" s="181">
        <f t="shared" si="34"/>
        <v>1035.5367494000006</v>
      </c>
      <c r="AK15" s="181">
        <f t="shared" si="34"/>
        <v>711.8192457540506</v>
      </c>
      <c r="AL15" s="181">
        <f t="shared" si="34"/>
        <v>1075.74321104</v>
      </c>
      <c r="AM15" s="181">
        <f t="shared" si="34"/>
        <v>1319.0142873751261</v>
      </c>
      <c r="AN15" s="181">
        <f t="shared" si="34"/>
        <v>786.7564492599995</v>
      </c>
      <c r="AO15" s="181">
        <f t="shared" si="34"/>
        <v>1104.2072135829847</v>
      </c>
      <c r="AP15" s="181">
        <f t="shared" si="34"/>
        <v>447.15696711999988</v>
      </c>
      <c r="AQ15" s="181">
        <f t="shared" si="34"/>
        <v>968.54805357999987</v>
      </c>
      <c r="AR15" s="181">
        <f t="shared" si="34"/>
        <v>954.10457976010048</v>
      </c>
      <c r="AS15" s="181">
        <f t="shared" si="34"/>
        <v>1067.4182407468829</v>
      </c>
      <c r="AT15" s="181">
        <f t="shared" si="34"/>
        <v>785.40925579613827</v>
      </c>
      <c r="AU15" s="181">
        <f t="shared" si="34"/>
        <v>594.5278207849276</v>
      </c>
      <c r="AV15" s="181">
        <f t="shared" si="34"/>
        <v>812.17185310961713</v>
      </c>
      <c r="AW15" s="181">
        <f t="shared" si="34"/>
        <v>1040.1253740924215</v>
      </c>
      <c r="AX15" s="181">
        <f t="shared" si="34"/>
        <v>1014.446813676871</v>
      </c>
      <c r="AY15" s="181">
        <f t="shared" si="34"/>
        <v>985.7641954830724</v>
      </c>
      <c r="AZ15" s="181">
        <f t="shared" si="34"/>
        <v>618.96021912512526</v>
      </c>
      <c r="BA15" s="181">
        <f t="shared" si="34"/>
        <v>953.16689712419236</v>
      </c>
      <c r="BB15" s="181">
        <f t="shared" si="34"/>
        <v>974.69498473722047</v>
      </c>
      <c r="BC15" s="181">
        <f t="shared" si="34"/>
        <v>1038.9324377619978</v>
      </c>
      <c r="BD15" s="181">
        <f t="shared" si="34"/>
        <v>913.82627062647703</v>
      </c>
      <c r="BE15" s="181">
        <f t="shared" si="34"/>
        <v>518.7208606287611</v>
      </c>
      <c r="BF15" s="181">
        <f t="shared" si="34"/>
        <v>722.37816778815557</v>
      </c>
      <c r="BG15" s="181">
        <f t="shared" si="34"/>
        <v>706.96555947645629</v>
      </c>
      <c r="BH15" s="181">
        <f t="shared" si="34"/>
        <v>740.06597397788039</v>
      </c>
      <c r="BI15" s="181">
        <f t="shared" si="34"/>
        <v>654.67382344166026</v>
      </c>
      <c r="BJ15" s="181">
        <f t="shared" si="34"/>
        <v>522.78210686849127</v>
      </c>
      <c r="BK15" s="181">
        <f t="shared" si="34"/>
        <v>812.16801720684498</v>
      </c>
      <c r="BL15" s="181">
        <f t="shared" si="34"/>
        <v>820.43940345251292</v>
      </c>
      <c r="BM15" s="181">
        <f t="shared" si="34"/>
        <v>896.71323373753103</v>
      </c>
      <c r="BN15" s="181">
        <f t="shared" ref="BN15:DY15" si="35">SUM(BN13:BN14)</f>
        <v>782.60284719790809</v>
      </c>
      <c r="BO15" s="181">
        <f t="shared" si="35"/>
        <v>601.76995616953332</v>
      </c>
      <c r="BP15" s="181">
        <f t="shared" si="35"/>
        <v>866.52010002393786</v>
      </c>
      <c r="BQ15" s="181">
        <f t="shared" si="35"/>
        <v>999.55054992788871</v>
      </c>
      <c r="BR15" s="181">
        <f t="shared" si="35"/>
        <v>1508.4900962644172</v>
      </c>
      <c r="BS15" s="181">
        <f t="shared" si="35"/>
        <v>764.63264673314075</v>
      </c>
      <c r="BT15" s="181">
        <f t="shared" si="35"/>
        <v>907.61496689766943</v>
      </c>
      <c r="BU15" s="181">
        <f t="shared" si="35"/>
        <v>1126.4919017948782</v>
      </c>
      <c r="BV15" s="181">
        <f t="shared" si="35"/>
        <v>961.86787337244311</v>
      </c>
      <c r="BW15" s="181">
        <f t="shared" si="35"/>
        <v>1190.8579544944582</v>
      </c>
      <c r="BX15" s="181">
        <f t="shared" si="35"/>
        <v>604.49477866140614</v>
      </c>
      <c r="BY15" s="181">
        <f t="shared" si="35"/>
        <v>1142.2987381396279</v>
      </c>
      <c r="BZ15" s="181">
        <f t="shared" si="35"/>
        <v>998.19482217933341</v>
      </c>
      <c r="CA15" s="181">
        <f t="shared" si="35"/>
        <v>1064.9035497356849</v>
      </c>
      <c r="CB15" s="181">
        <f t="shared" si="35"/>
        <v>936.41529440101954</v>
      </c>
      <c r="CC15" s="181">
        <f t="shared" si="35"/>
        <v>653.02433644766609</v>
      </c>
      <c r="CD15" s="181">
        <f t="shared" si="35"/>
        <v>1008.3257289807725</v>
      </c>
      <c r="CE15" s="181">
        <f t="shared" si="35"/>
        <v>1050.7088611883528</v>
      </c>
      <c r="CF15" s="181">
        <f t="shared" si="35"/>
        <v>1126.3208209429022</v>
      </c>
      <c r="CG15" s="181">
        <f t="shared" si="35"/>
        <v>988.93424786169987</v>
      </c>
      <c r="CH15" s="181">
        <f t="shared" si="35"/>
        <v>628.49662979789923</v>
      </c>
      <c r="CI15" s="181">
        <f t="shared" si="35"/>
        <v>945.50010081107825</v>
      </c>
      <c r="CJ15" s="181">
        <f t="shared" si="35"/>
        <v>982.20213400030343</v>
      </c>
      <c r="CK15" s="181">
        <f t="shared" si="35"/>
        <v>1040.7951136231563</v>
      </c>
      <c r="CL15" s="181">
        <f t="shared" si="35"/>
        <v>917.15964166396168</v>
      </c>
      <c r="CM15" s="181">
        <f t="shared" si="35"/>
        <v>645.72278126322635</v>
      </c>
      <c r="CN15" s="181">
        <f t="shared" si="35"/>
        <v>982.25077744737109</v>
      </c>
      <c r="CO15" s="181">
        <f t="shared" si="35"/>
        <v>1000.9935565580852</v>
      </c>
      <c r="CP15" s="181">
        <f t="shared" si="35"/>
        <v>1077.4822725990218</v>
      </c>
      <c r="CQ15" s="181">
        <f t="shared" si="35"/>
        <v>995.61559840623602</v>
      </c>
      <c r="CR15" s="181">
        <f t="shared" si="35"/>
        <v>685.01997518480403</v>
      </c>
      <c r="CS15" s="181">
        <f t="shared" si="35"/>
        <v>1100.0254323431393</v>
      </c>
      <c r="CT15" s="181">
        <f t="shared" si="35"/>
        <v>1201.2653293238554</v>
      </c>
      <c r="CU15" s="181">
        <f t="shared" si="35"/>
        <v>1274.1648361726536</v>
      </c>
      <c r="CV15" s="181">
        <f t="shared" si="35"/>
        <v>1148.7635222577355</v>
      </c>
      <c r="CW15" s="181">
        <f t="shared" si="35"/>
        <v>753.58129709421576</v>
      </c>
      <c r="CX15" s="181">
        <f t="shared" si="35"/>
        <v>1178.4967327906911</v>
      </c>
      <c r="CY15" s="181">
        <f t="shared" si="35"/>
        <v>1218.5366072332617</v>
      </c>
      <c r="CZ15" s="181">
        <f t="shared" si="35"/>
        <v>1299.4536233162869</v>
      </c>
      <c r="DA15" s="181">
        <f t="shared" si="35"/>
        <v>1142.8078381404184</v>
      </c>
      <c r="DB15" s="181">
        <f t="shared" si="35"/>
        <v>769.99380076078478</v>
      </c>
      <c r="DC15" s="181">
        <f t="shared" si="35"/>
        <v>1170.2373280426182</v>
      </c>
      <c r="DD15" s="181">
        <f t="shared" si="35"/>
        <v>1207.9191241259477</v>
      </c>
      <c r="DE15" s="181">
        <f t="shared" si="35"/>
        <v>1290.9574817920106</v>
      </c>
      <c r="DF15" s="181">
        <f t="shared" si="35"/>
        <v>1134.5559042015111</v>
      </c>
      <c r="DG15" s="181">
        <f t="shared" si="35"/>
        <v>752.03666623702725</v>
      </c>
      <c r="DH15" s="181">
        <f t="shared" si="35"/>
        <v>1142.1962957871224</v>
      </c>
      <c r="DI15" s="181">
        <f t="shared" si="35"/>
        <v>1184.2544064557233</v>
      </c>
      <c r="DJ15" s="181">
        <f t="shared" si="35"/>
        <v>1262.3029118808277</v>
      </c>
      <c r="DK15" s="181">
        <f t="shared" si="35"/>
        <v>1110.2989188111699</v>
      </c>
      <c r="DL15" s="181">
        <f t="shared" si="35"/>
        <v>630.24584566394492</v>
      </c>
      <c r="DM15" s="181">
        <f t="shared" si="35"/>
        <v>877.68947386260936</v>
      </c>
      <c r="DN15" s="181">
        <f t="shared" si="35"/>
        <v>858.96315476389464</v>
      </c>
      <c r="DO15" s="181">
        <f t="shared" si="35"/>
        <v>899.18015838312499</v>
      </c>
      <c r="DP15" s="181">
        <f t="shared" si="35"/>
        <v>795.4286954816173</v>
      </c>
      <c r="DQ15" s="181">
        <f t="shared" si="35"/>
        <v>625.15863981806751</v>
      </c>
      <c r="DR15" s="181">
        <f t="shared" si="35"/>
        <v>964.8703743201595</v>
      </c>
      <c r="DS15" s="181">
        <f t="shared" si="35"/>
        <v>970.39672088723432</v>
      </c>
      <c r="DT15" s="181">
        <f t="shared" si="35"/>
        <v>1059.6263914451881</v>
      </c>
      <c r="DU15" s="181">
        <f t="shared" si="35"/>
        <v>925.04993096914018</v>
      </c>
      <c r="DV15" s="181">
        <f t="shared" si="35"/>
        <v>648.64530672747389</v>
      </c>
      <c r="DW15" s="181">
        <f t="shared" si="35"/>
        <v>1068.664743014006</v>
      </c>
      <c r="DX15" s="181">
        <f t="shared" si="35"/>
        <v>1200.4687360306261</v>
      </c>
      <c r="DY15" s="181">
        <f t="shared" si="35"/>
        <v>1275.2513557231455</v>
      </c>
      <c r="DZ15" s="181">
        <f t="shared" ref="DZ15:GK15" si="36">SUM(DZ13:DZ14)</f>
        <v>1122.8848572368781</v>
      </c>
      <c r="EA15" s="181">
        <f t="shared" si="36"/>
        <v>753.43208566609133</v>
      </c>
      <c r="EB15" s="181">
        <f t="shared" si="36"/>
        <v>1129.84974495694</v>
      </c>
      <c r="EC15" s="181">
        <f t="shared" si="36"/>
        <v>1147.5731372462283</v>
      </c>
      <c r="ED15" s="181">
        <f t="shared" si="36"/>
        <v>1228.3145425013311</v>
      </c>
      <c r="EE15" s="181">
        <f t="shared" si="36"/>
        <v>1078.9924229664457</v>
      </c>
      <c r="EF15" s="181">
        <f t="shared" si="36"/>
        <v>726.58381681473747</v>
      </c>
      <c r="EG15" s="181">
        <f t="shared" si="36"/>
        <v>1116.0536885880688</v>
      </c>
      <c r="EH15" s="181">
        <f t="shared" si="36"/>
        <v>1167.8879419498198</v>
      </c>
      <c r="EI15" s="181">
        <f t="shared" si="36"/>
        <v>1245.9371531907511</v>
      </c>
      <c r="EJ15" s="181">
        <f t="shared" si="36"/>
        <v>1095.6058944491929</v>
      </c>
      <c r="EK15" s="181">
        <f t="shared" si="36"/>
        <v>764.03847364376929</v>
      </c>
      <c r="EL15" s="181">
        <f t="shared" si="36"/>
        <v>1179.7411029075038</v>
      </c>
      <c r="EM15" s="181">
        <f t="shared" si="36"/>
        <v>1229.3293675903724</v>
      </c>
      <c r="EN15" s="181">
        <f t="shared" si="36"/>
        <v>1317.7953605031953</v>
      </c>
      <c r="EO15" s="181">
        <f t="shared" si="36"/>
        <v>1157.0530699981887</v>
      </c>
      <c r="EP15" s="181">
        <f t="shared" si="36"/>
        <v>735.34105686354201</v>
      </c>
      <c r="EQ15" s="181">
        <f t="shared" si="36"/>
        <v>1106.2351179489613</v>
      </c>
      <c r="ER15" s="181">
        <f t="shared" si="36"/>
        <v>1149.1764967803551</v>
      </c>
      <c r="ES15" s="181">
        <f t="shared" si="36"/>
        <v>1217.7302829390928</v>
      </c>
      <c r="ET15" s="181">
        <f t="shared" si="36"/>
        <v>1073.0767807468351</v>
      </c>
      <c r="EU15" s="181">
        <f t="shared" si="36"/>
        <v>755.49565407797468</v>
      </c>
      <c r="EV15" s="181">
        <f t="shared" si="36"/>
        <v>1149.2334096134239</v>
      </c>
      <c r="EW15" s="181">
        <f t="shared" si="36"/>
        <v>1171.1624611729596</v>
      </c>
      <c r="EX15" s="181">
        <f t="shared" si="36"/>
        <v>1260.654258940855</v>
      </c>
      <c r="EY15" s="181">
        <f t="shared" si="36"/>
        <v>1105.4511689633337</v>
      </c>
      <c r="EZ15" s="181">
        <f t="shared" si="36"/>
        <v>801.47337096622061</v>
      </c>
      <c r="FA15" s="181">
        <f t="shared" si="36"/>
        <v>1287.0297558414727</v>
      </c>
      <c r="FB15" s="181">
        <f t="shared" si="36"/>
        <v>1391.5298684250588</v>
      </c>
      <c r="FC15" s="181">
        <f t="shared" si="36"/>
        <v>1490.7728583220046</v>
      </c>
      <c r="FD15" s="181">
        <f t="shared" si="36"/>
        <v>1309.1769038319201</v>
      </c>
      <c r="FE15" s="181">
        <f t="shared" si="36"/>
        <v>881.69011760023227</v>
      </c>
      <c r="FF15" s="181">
        <f t="shared" si="36"/>
        <v>1357.9153270393301</v>
      </c>
      <c r="FG15" s="181">
        <f t="shared" si="36"/>
        <v>1425.6878304629163</v>
      </c>
      <c r="FH15" s="181">
        <f t="shared" si="36"/>
        <v>1520.3607392800554</v>
      </c>
      <c r="FI15" s="181">
        <f t="shared" si="36"/>
        <v>1337.0851706242895</v>
      </c>
      <c r="FJ15" s="181">
        <f t="shared" si="36"/>
        <v>900.89274689011813</v>
      </c>
      <c r="FK15" s="181">
        <f t="shared" si="36"/>
        <v>1369.1776738098631</v>
      </c>
      <c r="FL15" s="181">
        <f t="shared" si="36"/>
        <v>1413.2653752273586</v>
      </c>
      <c r="FM15" s="181">
        <f t="shared" si="36"/>
        <v>1510.4202536966527</v>
      </c>
      <c r="FN15" s="181">
        <f t="shared" si="36"/>
        <v>1327.4304079157682</v>
      </c>
      <c r="FO15" s="181">
        <f t="shared" si="36"/>
        <v>879.88289949732189</v>
      </c>
      <c r="FP15" s="181">
        <f t="shared" si="36"/>
        <v>1336.3696660709329</v>
      </c>
      <c r="FQ15" s="181">
        <f t="shared" si="36"/>
        <v>1385.5776555531961</v>
      </c>
      <c r="FR15" s="181">
        <f t="shared" si="36"/>
        <v>1476.8944069005684</v>
      </c>
      <c r="FS15" s="181">
        <f t="shared" si="36"/>
        <v>1299.0497350090686</v>
      </c>
      <c r="FT15" s="181">
        <f t="shared" si="36"/>
        <v>737.38763942681555</v>
      </c>
      <c r="FU15" s="181">
        <f t="shared" si="36"/>
        <v>1026.8966844192528</v>
      </c>
      <c r="FV15" s="181">
        <f t="shared" si="36"/>
        <v>1004.9868910737566</v>
      </c>
      <c r="FW15" s="181">
        <f t="shared" si="36"/>
        <v>1052.0407853082561</v>
      </c>
      <c r="FX15" s="181">
        <f t="shared" si="36"/>
        <v>930.6515737134921</v>
      </c>
      <c r="FY15" s="181">
        <f t="shared" si="36"/>
        <v>730.13279798360963</v>
      </c>
      <c r="FZ15" s="181">
        <f t="shared" si="36"/>
        <v>1126.0495482983861</v>
      </c>
      <c r="GA15" s="181">
        <f t="shared" si="36"/>
        <v>1131.9273333780802</v>
      </c>
      <c r="GB15" s="181">
        <f t="shared" si="36"/>
        <v>1235.8784536099015</v>
      </c>
      <c r="GC15" s="181">
        <f t="shared" si="36"/>
        <v>1078.9527905449727</v>
      </c>
      <c r="GD15" s="181">
        <f t="shared" si="36"/>
        <v>825.77031456798363</v>
      </c>
      <c r="GE15" s="181">
        <f t="shared" si="36"/>
        <v>1185.2604907089242</v>
      </c>
      <c r="GF15" s="181">
        <f t="shared" si="36"/>
        <v>1362.4373770792083</v>
      </c>
      <c r="GG15" s="181">
        <f t="shared" si="36"/>
        <v>2056.1474257132136</v>
      </c>
      <c r="GH15" s="181">
        <f t="shared" si="36"/>
        <v>1042.2325291296072</v>
      </c>
      <c r="GI15" s="181">
        <f t="shared" si="36"/>
        <v>1237.124580629868</v>
      </c>
      <c r="GJ15" s="181">
        <f t="shared" si="36"/>
        <v>1535.4647867415083</v>
      </c>
      <c r="GK15" s="181">
        <f t="shared" si="36"/>
        <v>1311.0740048003083</v>
      </c>
      <c r="GL15" s="181">
        <f t="shared" ref="GL15:IW15" si="37">SUM(GL13:GL14)</f>
        <v>1623.1989348736711</v>
      </c>
      <c r="GM15" s="181">
        <f t="shared" si="37"/>
        <v>823.95660805442958</v>
      </c>
      <c r="GN15" s="181">
        <f t="shared" si="37"/>
        <v>1557.0102950212199</v>
      </c>
      <c r="GO15" s="181">
        <f t="shared" si="37"/>
        <v>1360.5894523715401</v>
      </c>
      <c r="GP15" s="181">
        <f t="shared" si="37"/>
        <v>1451.5167834672252</v>
      </c>
      <c r="GQ15" s="181">
        <f t="shared" si="37"/>
        <v>1276.3808670333096</v>
      </c>
      <c r="GR15" s="181">
        <f t="shared" si="37"/>
        <v>890.10482179499127</v>
      </c>
      <c r="GS15" s="181">
        <f t="shared" si="37"/>
        <v>1374.3983848872419</v>
      </c>
      <c r="GT15" s="181">
        <f t="shared" si="37"/>
        <v>1432.1687132427842</v>
      </c>
      <c r="GU15" s="181">
        <f t="shared" si="37"/>
        <v>1535.2315949862227</v>
      </c>
      <c r="GV15" s="181">
        <f t="shared" si="37"/>
        <v>1347.9668265478899</v>
      </c>
      <c r="GW15" s="181">
        <f t="shared" si="37"/>
        <v>856.67233124602649</v>
      </c>
      <c r="GX15" s="181">
        <f t="shared" si="37"/>
        <v>1288.7639124105401</v>
      </c>
      <c r="GY15" s="181">
        <f t="shared" si="37"/>
        <v>1338.7906187491135</v>
      </c>
      <c r="GZ15" s="181">
        <f t="shared" si="37"/>
        <v>1418.6557796240431</v>
      </c>
      <c r="HA15" s="181">
        <f t="shared" si="37"/>
        <v>1250.134449570063</v>
      </c>
      <c r="HB15" s="181">
        <f t="shared" si="37"/>
        <v>880.15243700084056</v>
      </c>
      <c r="HC15" s="181">
        <f t="shared" si="37"/>
        <v>1338.856922199639</v>
      </c>
      <c r="HD15" s="181">
        <f t="shared" si="37"/>
        <v>1364.404267266498</v>
      </c>
      <c r="HE15" s="181">
        <f t="shared" si="37"/>
        <v>1468.6622116660965</v>
      </c>
      <c r="HF15" s="181">
        <f t="shared" si="37"/>
        <v>1287.8506118422838</v>
      </c>
      <c r="HG15" s="181">
        <f t="shared" si="37"/>
        <v>933.71647717564701</v>
      </c>
      <c r="HH15" s="181">
        <f t="shared" si="37"/>
        <v>1499.3896655553158</v>
      </c>
      <c r="HI15" s="181">
        <f t="shared" si="37"/>
        <v>1621.1322967151932</v>
      </c>
      <c r="HJ15" s="181">
        <f t="shared" si="37"/>
        <v>1736.7503799451351</v>
      </c>
      <c r="HK15" s="181">
        <f t="shared" si="37"/>
        <v>1525.1910929641867</v>
      </c>
      <c r="HL15" s="181">
        <f t="shared" si="37"/>
        <v>1027.1689870042708</v>
      </c>
      <c r="HM15" s="181">
        <f t="shared" si="37"/>
        <v>1581.9713560008199</v>
      </c>
      <c r="HN15" s="181">
        <f t="shared" si="37"/>
        <v>1660.9263224892975</v>
      </c>
      <c r="HO15" s="181">
        <f t="shared" si="37"/>
        <v>1771.2202612612646</v>
      </c>
      <c r="HP15" s="181">
        <f t="shared" si="37"/>
        <v>1557.7042237772971</v>
      </c>
      <c r="HQ15" s="181">
        <f t="shared" si="37"/>
        <v>1049.5400501269874</v>
      </c>
      <c r="HR15" s="181">
        <f t="shared" si="37"/>
        <v>1595.0919899884905</v>
      </c>
      <c r="HS15" s="181">
        <f t="shared" si="37"/>
        <v>1646.4541621398728</v>
      </c>
      <c r="HT15" s="181">
        <f t="shared" si="37"/>
        <v>1759.6395955566004</v>
      </c>
      <c r="HU15" s="181">
        <f t="shared" si="37"/>
        <v>1546.4564252218699</v>
      </c>
      <c r="HV15" s="181">
        <f t="shared" si="37"/>
        <v>1025.0635779143799</v>
      </c>
      <c r="HW15" s="181">
        <f t="shared" si="37"/>
        <v>1556.8706609726366</v>
      </c>
      <c r="HX15" s="181">
        <f t="shared" si="37"/>
        <v>1614.1979687194735</v>
      </c>
      <c r="HY15" s="181">
        <f t="shared" si="37"/>
        <v>1720.5819840391621</v>
      </c>
      <c r="HZ15" s="181">
        <f t="shared" si="37"/>
        <v>1513.392941285565</v>
      </c>
      <c r="IA15" s="181">
        <f t="shared" si="37"/>
        <v>859.05659993224015</v>
      </c>
      <c r="IB15" s="181">
        <f t="shared" si="37"/>
        <v>1196.3346373484296</v>
      </c>
      <c r="IC15" s="181">
        <f t="shared" si="37"/>
        <v>1170.8097281009263</v>
      </c>
      <c r="ID15" s="181">
        <f t="shared" si="37"/>
        <v>1225.6275148841182</v>
      </c>
      <c r="IE15" s="181">
        <f t="shared" si="37"/>
        <v>1084.2090833762184</v>
      </c>
      <c r="IF15" s="181">
        <f t="shared" si="37"/>
        <v>849.08693529779339</v>
      </c>
      <c r="IG15" s="181">
        <f t="shared" si="37"/>
        <v>1308.5288838181464</v>
      </c>
      <c r="IH15" s="181">
        <f t="shared" si="37"/>
        <v>1314.6914363655821</v>
      </c>
      <c r="II15" s="181">
        <f t="shared" si="37"/>
        <v>1435.2730440517071</v>
      </c>
      <c r="IJ15" s="181">
        <f t="shared" si="37"/>
        <v>1253.0706935622998</v>
      </c>
      <c r="IK15" s="181">
        <f t="shared" si="37"/>
        <v>958.56518965990972</v>
      </c>
      <c r="IL15" s="181">
        <f t="shared" si="37"/>
        <v>1375.4064268294642</v>
      </c>
      <c r="IM15" s="181">
        <f t="shared" si="37"/>
        <v>1580.4273574118815</v>
      </c>
      <c r="IN15" s="181">
        <f t="shared" si="37"/>
        <v>2385.1310138273275</v>
      </c>
      <c r="IO15" s="181">
        <f t="shared" si="37"/>
        <v>1208.9897337903442</v>
      </c>
      <c r="IP15" s="181">
        <f t="shared" si="37"/>
        <v>1435.064513530647</v>
      </c>
      <c r="IQ15" s="181">
        <f t="shared" si="37"/>
        <v>1781.1391526201496</v>
      </c>
      <c r="IR15" s="181">
        <f t="shared" si="37"/>
        <v>1520.8458455683576</v>
      </c>
      <c r="IS15" s="181">
        <f t="shared" si="37"/>
        <v>1882.9107644534583</v>
      </c>
      <c r="IT15" s="181">
        <f t="shared" si="37"/>
        <v>955.78966534313849</v>
      </c>
      <c r="IU15" s="181">
        <f t="shared" si="37"/>
        <v>1806.1319422246147</v>
      </c>
      <c r="IV15" s="181">
        <f t="shared" si="37"/>
        <v>1578.2837647509868</v>
      </c>
      <c r="IW15" s="181">
        <f t="shared" si="37"/>
        <v>1683.7594688219815</v>
      </c>
      <c r="IX15" s="181">
        <f t="shared" ref="IX15:LI15" si="38">SUM(IX13:IX14)</f>
        <v>1480.6018057586391</v>
      </c>
      <c r="IY15" s="181">
        <f t="shared" si="38"/>
        <v>1032.5215932821898</v>
      </c>
      <c r="IZ15" s="181">
        <f t="shared" si="38"/>
        <v>1594.3021264692006</v>
      </c>
      <c r="JA15" s="181">
        <f t="shared" si="38"/>
        <v>1661.3157073616294</v>
      </c>
      <c r="JB15" s="181">
        <f t="shared" si="38"/>
        <v>1780.868650184018</v>
      </c>
      <c r="JC15" s="181">
        <f t="shared" si="38"/>
        <v>1563.6415187955522</v>
      </c>
      <c r="JD15" s="181">
        <f t="shared" si="38"/>
        <v>993.73990424539056</v>
      </c>
      <c r="JE15" s="181">
        <f t="shared" si="38"/>
        <v>1494.9661383962264</v>
      </c>
      <c r="JF15" s="181">
        <f t="shared" si="38"/>
        <v>1552.9971177489715</v>
      </c>
      <c r="JG15" s="181">
        <f t="shared" si="38"/>
        <v>1645.6407043638899</v>
      </c>
      <c r="JH15" s="181">
        <f t="shared" si="38"/>
        <v>1450.1559615012727</v>
      </c>
      <c r="JI15" s="181">
        <f t="shared" si="38"/>
        <v>1020.9768269209749</v>
      </c>
      <c r="JJ15" s="181">
        <f t="shared" si="38"/>
        <v>1553.0740297515808</v>
      </c>
      <c r="JK15" s="181">
        <f t="shared" si="38"/>
        <v>1582.7089500291372</v>
      </c>
      <c r="JL15" s="181">
        <f t="shared" si="38"/>
        <v>1703.6481655326716</v>
      </c>
      <c r="JM15" s="181">
        <f t="shared" si="38"/>
        <v>1493.9067097370489</v>
      </c>
      <c r="JN15" s="181">
        <f t="shared" si="38"/>
        <v>1083.1111135237504</v>
      </c>
      <c r="JO15" s="181">
        <f t="shared" si="38"/>
        <v>1739.2920120441663</v>
      </c>
      <c r="JP15" s="181">
        <f t="shared" si="38"/>
        <v>1880.5134641896241</v>
      </c>
      <c r="JQ15" s="181">
        <f t="shared" si="38"/>
        <v>2014.6304407363568</v>
      </c>
      <c r="JR15" s="181">
        <f t="shared" si="38"/>
        <v>1769.2216678384568</v>
      </c>
      <c r="JS15" s="181">
        <f t="shared" si="38"/>
        <v>1191.5160249249539</v>
      </c>
      <c r="JT15" s="181">
        <f t="shared" si="38"/>
        <v>1835.0867729609508</v>
      </c>
      <c r="JU15" s="181">
        <f t="shared" si="38"/>
        <v>1926.674534087585</v>
      </c>
      <c r="JV15" s="181">
        <f t="shared" si="38"/>
        <v>2054.6155030630671</v>
      </c>
      <c r="JW15" s="181">
        <f t="shared" si="38"/>
        <v>1806.9368995816644</v>
      </c>
      <c r="JX15" s="181">
        <f t="shared" si="38"/>
        <v>1217.4664581473053</v>
      </c>
      <c r="JY15" s="181">
        <f t="shared" si="38"/>
        <v>1850.3067083866488</v>
      </c>
      <c r="JZ15" s="181">
        <f t="shared" si="38"/>
        <v>1909.8868280822526</v>
      </c>
      <c r="KA15" s="181">
        <f t="shared" si="38"/>
        <v>2041.1819308456559</v>
      </c>
      <c r="KB15" s="181">
        <f t="shared" si="38"/>
        <v>1793.889453257369</v>
      </c>
      <c r="KC15" s="181">
        <f t="shared" si="38"/>
        <v>1189.0737503806806</v>
      </c>
      <c r="KD15" s="181">
        <f t="shared" si="38"/>
        <v>1805.9699667282584</v>
      </c>
      <c r="KE15" s="181">
        <f t="shared" si="38"/>
        <v>1872.469643714589</v>
      </c>
      <c r="KF15" s="181">
        <f t="shared" si="38"/>
        <v>1995.8751014854279</v>
      </c>
      <c r="KG15" s="181">
        <f t="shared" si="38"/>
        <v>1755.5358118912554</v>
      </c>
      <c r="KH15" s="181">
        <f t="shared" si="38"/>
        <v>996.50565592139856</v>
      </c>
      <c r="KI15" s="181">
        <f t="shared" si="38"/>
        <v>1387.7481793241782</v>
      </c>
      <c r="KJ15" s="181">
        <f t="shared" si="38"/>
        <v>1358.1392845970745</v>
      </c>
      <c r="KK15" s="181">
        <f t="shared" si="38"/>
        <v>1421.7279172655772</v>
      </c>
      <c r="KL15" s="181">
        <f t="shared" si="38"/>
        <v>1257.6825367164131</v>
      </c>
      <c r="KM15" s="181">
        <f t="shared" si="38"/>
        <v>983.18022669583047</v>
      </c>
      <c r="KN15" s="181">
        <f t="shared" si="38"/>
        <v>1514.0436508876605</v>
      </c>
      <c r="KO15" s="181">
        <f t="shared" si="38"/>
        <v>1520.3975340410129</v>
      </c>
      <c r="KP15" s="181">
        <f t="shared" si="38"/>
        <v>1659.6673199915394</v>
      </c>
      <c r="KQ15" s="181">
        <f t="shared" si="38"/>
        <v>1449.0272079220595</v>
      </c>
      <c r="KR15" s="181">
        <f t="shared" si="38"/>
        <v>1107.9252369038177</v>
      </c>
      <c r="KS15" s="181">
        <f t="shared" si="38"/>
        <v>1589.1818831003175</v>
      </c>
      <c r="KT15" s="181">
        <f t="shared" si="38"/>
        <v>1825.3935978107233</v>
      </c>
      <c r="KU15" s="181">
        <f t="shared" si="38"/>
        <v>2754.8263209705638</v>
      </c>
      <c r="KV15" s="181">
        <f t="shared" si="38"/>
        <v>1396.3831425278479</v>
      </c>
      <c r="KW15" s="181">
        <f t="shared" si="38"/>
        <v>1657.4995131278972</v>
      </c>
      <c r="KX15" s="181">
        <f t="shared" si="38"/>
        <v>2057.2157212762731</v>
      </c>
      <c r="KY15" s="181">
        <f t="shared" si="38"/>
        <v>1756.5769516314531</v>
      </c>
      <c r="KZ15" s="181">
        <f t="shared" si="38"/>
        <v>2174.7619329437443</v>
      </c>
      <c r="LA15" s="181">
        <f t="shared" si="38"/>
        <v>1103.9370634713248</v>
      </c>
      <c r="LB15" s="181">
        <f t="shared" si="38"/>
        <v>2086.0823932694302</v>
      </c>
      <c r="LC15" s="181">
        <f t="shared" si="38"/>
        <v>1822.9177482873895</v>
      </c>
      <c r="LD15" s="181">
        <f t="shared" si="38"/>
        <v>1944.7421864893886</v>
      </c>
      <c r="LE15" s="181">
        <f t="shared" si="38"/>
        <v>1710.0950856512281</v>
      </c>
      <c r="LF15" s="181">
        <f t="shared" si="38"/>
        <v>1192.5624402409292</v>
      </c>
      <c r="LG15" s="181">
        <f t="shared" si="38"/>
        <v>1841.4189560719267</v>
      </c>
      <c r="LH15" s="181">
        <f t="shared" si="38"/>
        <v>1918.819642002682</v>
      </c>
      <c r="LI15" s="181">
        <f t="shared" si="38"/>
        <v>2056.9032909625412</v>
      </c>
      <c r="LJ15" s="181">
        <f t="shared" ref="LJ15:NU15" si="39">SUM(LJ13:LJ14)</f>
        <v>1806.0059542088629</v>
      </c>
      <c r="LK15" s="181">
        <f t="shared" si="39"/>
        <v>1147.7695894034262</v>
      </c>
      <c r="LL15" s="181">
        <f t="shared" si="39"/>
        <v>1726.6858898476416</v>
      </c>
      <c r="LM15" s="181">
        <f t="shared" si="39"/>
        <v>1793.7116710000623</v>
      </c>
      <c r="LN15" s="181">
        <f t="shared" si="39"/>
        <v>1900.7150135402928</v>
      </c>
      <c r="LO15" s="181">
        <f t="shared" si="39"/>
        <v>1674.9301355339701</v>
      </c>
      <c r="LP15" s="181">
        <f t="shared" si="39"/>
        <v>1179.2282350937262</v>
      </c>
      <c r="LQ15" s="181">
        <f t="shared" si="39"/>
        <v>1793.8005043630765</v>
      </c>
      <c r="LR15" s="181">
        <f t="shared" si="39"/>
        <v>1828.028837283654</v>
      </c>
      <c r="LS15" s="181">
        <f t="shared" si="39"/>
        <v>1967.7136311902359</v>
      </c>
      <c r="LT15" s="181">
        <f t="shared" si="39"/>
        <v>1725.4622497462919</v>
      </c>
      <c r="LU15" s="181">
        <f t="shared" si="39"/>
        <v>1250.9933361199319</v>
      </c>
      <c r="LV15" s="181">
        <f t="shared" si="39"/>
        <v>2008.8822739110119</v>
      </c>
      <c r="LW15" s="181">
        <f t="shared" si="39"/>
        <v>2171.9930511390162</v>
      </c>
      <c r="LX15" s="181">
        <f t="shared" si="39"/>
        <v>2326.8981590504918</v>
      </c>
      <c r="LY15" s="181">
        <f t="shared" si="39"/>
        <v>2043.4510263534175</v>
      </c>
      <c r="LZ15" s="181">
        <f t="shared" si="39"/>
        <v>1376.2010087883218</v>
      </c>
      <c r="MA15" s="181">
        <f t="shared" si="39"/>
        <v>2119.5252227698979</v>
      </c>
      <c r="MB15" s="181">
        <f t="shared" si="39"/>
        <v>2225.3090868711606</v>
      </c>
      <c r="MC15" s="181">
        <f t="shared" si="39"/>
        <v>2373.0809060378424</v>
      </c>
      <c r="MD15" s="181">
        <f t="shared" si="39"/>
        <v>2087.0121190168229</v>
      </c>
      <c r="ME15" s="181">
        <f t="shared" si="39"/>
        <v>1406.1737591601379</v>
      </c>
      <c r="MF15" s="181">
        <f t="shared" si="39"/>
        <v>2137.1042481865798</v>
      </c>
      <c r="MG15" s="181">
        <f t="shared" si="39"/>
        <v>2205.9192864350016</v>
      </c>
      <c r="MH15" s="181">
        <f t="shared" si="39"/>
        <v>2357.5651301267326</v>
      </c>
      <c r="MI15" s="181">
        <f t="shared" si="39"/>
        <v>2071.9423185122614</v>
      </c>
      <c r="MJ15" s="181">
        <f t="shared" si="39"/>
        <v>1373.3801816896862</v>
      </c>
      <c r="MK15" s="181">
        <f t="shared" si="39"/>
        <v>2085.8953115711388</v>
      </c>
      <c r="ML15" s="181">
        <f t="shared" si="39"/>
        <v>2162.7024384903502</v>
      </c>
      <c r="MM15" s="181">
        <f t="shared" si="39"/>
        <v>2305.2357422156692</v>
      </c>
      <c r="MN15" s="181">
        <f t="shared" si="39"/>
        <v>2027.6438627343998</v>
      </c>
      <c r="MO15" s="181">
        <f t="shared" si="39"/>
        <v>1150.9640325892151</v>
      </c>
      <c r="MP15" s="181">
        <f t="shared" si="39"/>
        <v>1602.8491471194259</v>
      </c>
      <c r="MQ15" s="181">
        <f t="shared" si="39"/>
        <v>1568.650873709621</v>
      </c>
      <c r="MR15" s="181">
        <f t="shared" si="39"/>
        <v>1642.0957444417413</v>
      </c>
      <c r="MS15" s="181">
        <f t="shared" si="39"/>
        <v>1452.6233299074572</v>
      </c>
      <c r="MT15" s="181">
        <f t="shared" si="39"/>
        <v>1129.4726195987869</v>
      </c>
      <c r="MU15" s="181">
        <f t="shared" si="39"/>
        <v>1735.3806714823343</v>
      </c>
      <c r="MV15" s="181">
        <f t="shared" si="39"/>
        <v>1739.9658479416594</v>
      </c>
      <c r="MW15" s="181">
        <f t="shared" si="39"/>
        <v>1898.7265450994805</v>
      </c>
      <c r="MX15" s="181">
        <f t="shared" si="39"/>
        <v>1657.9133548956074</v>
      </c>
      <c r="MY15" s="181">
        <f t="shared" si="39"/>
        <v>1159.567905767808</v>
      </c>
      <c r="MZ15" s="181">
        <f t="shared" si="39"/>
        <v>1905.6059286986076</v>
      </c>
      <c r="NA15" s="181">
        <f t="shared" si="39"/>
        <v>2136.1001194461842</v>
      </c>
      <c r="NB15" s="181">
        <f t="shared" si="39"/>
        <v>2269.167443953012</v>
      </c>
      <c r="NC15" s="181">
        <f t="shared" si="39"/>
        <v>1998.0482670452602</v>
      </c>
      <c r="ND15" s="181">
        <f t="shared" si="39"/>
        <v>1340.6482983534079</v>
      </c>
      <c r="NE15" s="181">
        <f t="shared" si="39"/>
        <v>2010.4415073223431</v>
      </c>
      <c r="NF15" s="181">
        <f t="shared" si="39"/>
        <v>2041.9783056160843</v>
      </c>
      <c r="NG15" s="181">
        <f t="shared" si="39"/>
        <v>2185.6486239118849</v>
      </c>
      <c r="NH15" s="181">
        <f t="shared" si="39"/>
        <v>1919.9465795345388</v>
      </c>
      <c r="NI15" s="181">
        <f t="shared" si="39"/>
        <v>1292.8748007361926</v>
      </c>
      <c r="NJ15" s="181">
        <f t="shared" si="39"/>
        <v>1985.8929649297488</v>
      </c>
      <c r="NK15" s="181">
        <f t="shared" si="39"/>
        <v>2078.1262330476243</v>
      </c>
      <c r="NL15" s="181">
        <f t="shared" si="39"/>
        <v>2217.0060925979033</v>
      </c>
      <c r="NM15" s="181">
        <f t="shared" si="39"/>
        <v>1949.5083976424007</v>
      </c>
      <c r="NN15" s="181">
        <f t="shared" si="39"/>
        <v>1359.5211818746595</v>
      </c>
      <c r="NO15" s="181">
        <f t="shared" si="39"/>
        <v>2099.2176099219964</v>
      </c>
      <c r="NP15" s="181">
        <f t="shared" si="39"/>
        <v>2187.4543918830577</v>
      </c>
      <c r="NQ15" s="181">
        <f t="shared" si="39"/>
        <v>2344.869751697297</v>
      </c>
      <c r="NR15" s="181">
        <f t="shared" si="39"/>
        <v>2058.8467877981038</v>
      </c>
      <c r="NS15" s="181">
        <f t="shared" si="39"/>
        <v>1308.4573319199062</v>
      </c>
      <c r="NT15" s="181">
        <f t="shared" si="39"/>
        <v>1968.421914426312</v>
      </c>
      <c r="NU15" s="181">
        <f t="shared" si="39"/>
        <v>2044.8313049400715</v>
      </c>
      <c r="NV15" s="181">
        <f t="shared" ref="NV15:QG15" si="40">SUM(NV13:NV14)</f>
        <v>2166.8151154359348</v>
      </c>
      <c r="NW15" s="181">
        <f t="shared" si="40"/>
        <v>1909.4203545087266</v>
      </c>
      <c r="NX15" s="181">
        <f t="shared" si="40"/>
        <v>1344.3201880068482</v>
      </c>
      <c r="NY15" s="181">
        <f t="shared" si="40"/>
        <v>2044.9325749739073</v>
      </c>
      <c r="NZ15" s="181">
        <f t="shared" si="40"/>
        <v>2083.9528745033658</v>
      </c>
      <c r="OA15" s="181">
        <f t="shared" si="40"/>
        <v>2243.1935395568698</v>
      </c>
      <c r="OB15" s="181">
        <f t="shared" si="40"/>
        <v>1967.026964710773</v>
      </c>
      <c r="OC15" s="181">
        <f t="shared" si="40"/>
        <v>1426.1324031767226</v>
      </c>
      <c r="OD15" s="181">
        <f t="shared" si="40"/>
        <v>2290.1257922585546</v>
      </c>
      <c r="OE15" s="181">
        <f t="shared" si="40"/>
        <v>2476.072078298479</v>
      </c>
      <c r="OF15" s="181">
        <f t="shared" si="40"/>
        <v>2652.6639013175618</v>
      </c>
      <c r="OG15" s="181">
        <f t="shared" si="40"/>
        <v>2329.5341700428962</v>
      </c>
      <c r="OH15" s="181">
        <f t="shared" si="40"/>
        <v>1568.8691500186872</v>
      </c>
      <c r="OI15" s="181">
        <f t="shared" si="40"/>
        <v>2416.2587539576843</v>
      </c>
      <c r="OJ15" s="181">
        <f t="shared" si="40"/>
        <v>2536.8523590331238</v>
      </c>
      <c r="OK15" s="181">
        <f t="shared" si="40"/>
        <v>2705.312232883141</v>
      </c>
      <c r="OL15" s="181">
        <f t="shared" si="40"/>
        <v>2379.1938156791784</v>
      </c>
      <c r="OM15" s="181">
        <f t="shared" si="40"/>
        <v>1603.0380854425578</v>
      </c>
      <c r="ON15" s="181">
        <f t="shared" si="40"/>
        <v>2436.2988429327011</v>
      </c>
      <c r="OO15" s="181">
        <f t="shared" si="40"/>
        <v>2514.7479865359028</v>
      </c>
      <c r="OP15" s="181">
        <f t="shared" si="40"/>
        <v>2687.6242483444757</v>
      </c>
      <c r="OQ15" s="181">
        <f t="shared" si="40"/>
        <v>2362.0142431039785</v>
      </c>
      <c r="OR15" s="181">
        <f t="shared" si="40"/>
        <v>1565.6534071262427</v>
      </c>
      <c r="OS15" s="181">
        <f t="shared" si="40"/>
        <v>2377.9206551910984</v>
      </c>
      <c r="OT15" s="181">
        <f t="shared" si="40"/>
        <v>2465.4807798789998</v>
      </c>
      <c r="OU15" s="181">
        <f t="shared" si="40"/>
        <v>2627.9687461258636</v>
      </c>
      <c r="OV15" s="181">
        <f t="shared" si="40"/>
        <v>2311.5140035172162</v>
      </c>
      <c r="OW15" s="181">
        <f t="shared" si="40"/>
        <v>1312.0989971517056</v>
      </c>
      <c r="OX15" s="181">
        <f t="shared" si="40"/>
        <v>1827.2480277161462</v>
      </c>
      <c r="OY15" s="181">
        <f t="shared" si="40"/>
        <v>1788.2619960289685</v>
      </c>
      <c r="OZ15" s="181">
        <f t="shared" si="40"/>
        <v>1871.9891486635859</v>
      </c>
      <c r="PA15" s="181">
        <f t="shared" si="40"/>
        <v>1655.9905960945016</v>
      </c>
      <c r="PB15" s="181">
        <f t="shared" si="40"/>
        <v>1287.5987863426176</v>
      </c>
      <c r="PC15" s="181">
        <f t="shared" si="40"/>
        <v>1978.3339654898614</v>
      </c>
      <c r="PD15" s="181">
        <f t="shared" si="40"/>
        <v>1983.5610666534919</v>
      </c>
      <c r="PE15" s="181">
        <f t="shared" si="40"/>
        <v>2164.548261413408</v>
      </c>
      <c r="PF15" s="181">
        <f t="shared" si="40"/>
        <v>1890.0212245809923</v>
      </c>
      <c r="PG15" s="181">
        <f t="shared" si="40"/>
        <v>1442.96374514132</v>
      </c>
      <c r="PH15" s="181">
        <f t="shared" si="40"/>
        <v>2067.631347034634</v>
      </c>
      <c r="PI15" s="181">
        <f t="shared" si="40"/>
        <v>2372.2815197148166</v>
      </c>
      <c r="PJ15" s="181">
        <f t="shared" si="40"/>
        <v>3580.172286733346</v>
      </c>
      <c r="PK15" s="181">
        <f t="shared" si="40"/>
        <v>1814.7395320291914</v>
      </c>
      <c r="PL15" s="181">
        <f t="shared" si="40"/>
        <v>2154.0863672610162</v>
      </c>
      <c r="PM15" s="181">
        <f t="shared" si="40"/>
        <v>2673.5575513706453</v>
      </c>
      <c r="PN15" s="181">
        <f t="shared" si="40"/>
        <v>2282.8474063402373</v>
      </c>
      <c r="PO15" s="181">
        <f t="shared" si="40"/>
        <v>2826.3206080536916</v>
      </c>
      <c r="PP15" s="181">
        <f t="shared" si="40"/>
        <v>1434.6766076873341</v>
      </c>
      <c r="PQ15" s="181">
        <f t="shared" si="40"/>
        <v>2711.0726782929523</v>
      </c>
      <c r="PR15" s="181">
        <f t="shared" si="40"/>
        <v>2369.0639056742921</v>
      </c>
      <c r="PS15" s="181">
        <f t="shared" si="40"/>
        <v>2527.3869455616095</v>
      </c>
      <c r="PT15" s="181">
        <f t="shared" si="40"/>
        <v>2222.4395733123365</v>
      </c>
      <c r="PU15" s="181">
        <f t="shared" si="40"/>
        <v>1549.8541473371122</v>
      </c>
      <c r="PV15" s="181">
        <f t="shared" si="40"/>
        <v>2393.1080753110764</v>
      </c>
      <c r="PW15" s="181">
        <f t="shared" si="40"/>
        <v>2493.6980067466866</v>
      </c>
      <c r="PX15" s="181">
        <f t="shared" si="40"/>
        <v>2673.1515169349191</v>
      </c>
      <c r="PY15" s="181">
        <f t="shared" si="40"/>
        <v>2347.0853380898388</v>
      </c>
      <c r="PZ15" s="181">
        <f t="shared" si="40"/>
        <v>1491.6413583886933</v>
      </c>
      <c r="QA15" s="181">
        <f t="shared" si="40"/>
        <v>2244.0009824459958</v>
      </c>
      <c r="QB15" s="181">
        <f t="shared" si="40"/>
        <v>2331.107687631682</v>
      </c>
      <c r="QC15" s="181">
        <f t="shared" si="40"/>
        <v>2470.1692315969649</v>
      </c>
      <c r="QD15" s="181">
        <f t="shared" si="40"/>
        <v>2176.739204139948</v>
      </c>
      <c r="QE15" s="181">
        <f t="shared" si="40"/>
        <v>1532.5250143278072</v>
      </c>
      <c r="QF15" s="181">
        <f t="shared" si="40"/>
        <v>2331.2231354702544</v>
      </c>
      <c r="QG15" s="181">
        <f t="shared" si="40"/>
        <v>2375.7062769338372</v>
      </c>
      <c r="QH15" s="181">
        <f t="shared" ref="QH15:SS15" si="41">SUM(QH13:QH14)</f>
        <v>2557.2406350948313</v>
      </c>
      <c r="QI15" s="181">
        <f t="shared" si="41"/>
        <v>2242.4107397702815</v>
      </c>
      <c r="QJ15" s="181">
        <f t="shared" si="41"/>
        <v>1625.7909396214638</v>
      </c>
      <c r="QK15" s="181">
        <f t="shared" si="41"/>
        <v>2610.7434031747521</v>
      </c>
      <c r="QL15" s="181">
        <f t="shared" si="41"/>
        <v>2822.7221692602661</v>
      </c>
      <c r="QM15" s="181">
        <f t="shared" si="41"/>
        <v>3024.0368475020205</v>
      </c>
      <c r="QN15" s="181">
        <f t="shared" si="41"/>
        <v>2655.6689538489022</v>
      </c>
      <c r="QO15" s="181">
        <f t="shared" si="41"/>
        <v>1788.5108310213036</v>
      </c>
      <c r="QP15" s="181">
        <f t="shared" si="41"/>
        <v>2754.53497951176</v>
      </c>
      <c r="QQ15" s="181">
        <f t="shared" si="41"/>
        <v>2892.0116892977612</v>
      </c>
      <c r="QR15" s="181">
        <f t="shared" si="41"/>
        <v>3084.0559454867807</v>
      </c>
      <c r="QS15" s="181">
        <f t="shared" si="41"/>
        <v>2712.2809498742636</v>
      </c>
      <c r="QT15" s="181">
        <f t="shared" si="41"/>
        <v>1827.4634174045159</v>
      </c>
      <c r="QU15" s="181">
        <f t="shared" si="41"/>
        <v>2777.3806809432795</v>
      </c>
      <c r="QV15" s="181">
        <f t="shared" si="41"/>
        <v>2866.8127046509289</v>
      </c>
      <c r="QW15" s="181">
        <f t="shared" si="41"/>
        <v>3063.8916431127027</v>
      </c>
      <c r="QX15" s="181">
        <f t="shared" si="41"/>
        <v>2692.6962371385353</v>
      </c>
      <c r="QY15" s="181">
        <f t="shared" si="41"/>
        <v>1784.8448841239169</v>
      </c>
      <c r="QZ15" s="181">
        <f t="shared" si="41"/>
        <v>2710.8295469178524</v>
      </c>
      <c r="RA15" s="181">
        <f t="shared" si="41"/>
        <v>2810.6480890620601</v>
      </c>
      <c r="RB15" s="181">
        <f t="shared" si="41"/>
        <v>2995.8843705834843</v>
      </c>
      <c r="RC15" s="181">
        <f t="shared" si="41"/>
        <v>2635.1259640096268</v>
      </c>
      <c r="RD15" s="181">
        <f t="shared" si="41"/>
        <v>1495.7928567529445</v>
      </c>
      <c r="RE15" s="181">
        <f t="shared" si="41"/>
        <v>2083.0627515964061</v>
      </c>
      <c r="RF15" s="181">
        <f t="shared" si="41"/>
        <v>2038.6186754730243</v>
      </c>
      <c r="RG15" s="181">
        <f t="shared" si="41"/>
        <v>2134.067629476488</v>
      </c>
      <c r="RH15" s="181">
        <f t="shared" si="41"/>
        <v>1887.8292795477321</v>
      </c>
      <c r="RI15" s="181">
        <f t="shared" si="41"/>
        <v>1467.8626164305838</v>
      </c>
      <c r="RJ15" s="181">
        <f t="shared" si="41"/>
        <v>2255.3007206584421</v>
      </c>
      <c r="RK15" s="181">
        <f t="shared" si="41"/>
        <v>2261.2596159849809</v>
      </c>
      <c r="RL15" s="181">
        <f t="shared" si="41"/>
        <v>2467.5850180112852</v>
      </c>
      <c r="RM15" s="181">
        <f t="shared" si="41"/>
        <v>2154.6241960223315</v>
      </c>
      <c r="RN15" s="181">
        <f t="shared" si="41"/>
        <v>1644.9786694611048</v>
      </c>
      <c r="RO15" s="181">
        <f t="shared" si="41"/>
        <v>2357.099735619483</v>
      </c>
      <c r="RP15" s="181">
        <f t="shared" si="41"/>
        <v>2704.4009324748913</v>
      </c>
      <c r="RQ15" s="181">
        <f t="shared" si="41"/>
        <v>4081.3964068760142</v>
      </c>
      <c r="RR15" s="181">
        <f t="shared" si="41"/>
        <v>2068.8030665132783</v>
      </c>
      <c r="RS15" s="181">
        <f t="shared" si="41"/>
        <v>2455.6584586775584</v>
      </c>
      <c r="RT15" s="181">
        <f t="shared" si="41"/>
        <v>3047.8556085625355</v>
      </c>
      <c r="RU15" s="181">
        <f t="shared" si="41"/>
        <v>2602.4460432278706</v>
      </c>
      <c r="RV15" s="181">
        <f t="shared" si="41"/>
        <v>3222.0054931812083</v>
      </c>
      <c r="RW15" s="181">
        <f t="shared" si="41"/>
        <v>1635.5313327635608</v>
      </c>
      <c r="RX15" s="181">
        <f t="shared" si="41"/>
        <v>3090.6228532539662</v>
      </c>
      <c r="RY15" s="181">
        <f t="shared" si="41"/>
        <v>2700.7328524686927</v>
      </c>
      <c r="RZ15" s="181">
        <f t="shared" si="41"/>
        <v>2881.2211179402357</v>
      </c>
      <c r="SA15" s="181">
        <f t="shared" si="41"/>
        <v>2533.5811135760641</v>
      </c>
      <c r="SB15" s="181">
        <f t="shared" si="41"/>
        <v>1766.8337279643079</v>
      </c>
      <c r="SC15" s="181">
        <f t="shared" si="41"/>
        <v>2728.143205854627</v>
      </c>
      <c r="SD15" s="181">
        <f t="shared" si="41"/>
        <v>2842.8157276912225</v>
      </c>
      <c r="SE15" s="181">
        <f t="shared" si="41"/>
        <v>3047.3927293058077</v>
      </c>
      <c r="SF15" s="181">
        <f t="shared" si="41"/>
        <v>2675.6772854224164</v>
      </c>
      <c r="SG15" s="181">
        <f t="shared" si="41"/>
        <v>1700.4711485631101</v>
      </c>
      <c r="SH15" s="181">
        <f t="shared" si="41"/>
        <v>2558.1611199884346</v>
      </c>
      <c r="SI15" s="181">
        <f t="shared" si="41"/>
        <v>2657.4627639001169</v>
      </c>
      <c r="SJ15" s="181">
        <f t="shared" si="41"/>
        <v>2815.9929240205406</v>
      </c>
      <c r="SK15" s="181">
        <f t="shared" si="41"/>
        <v>2481.4826927195409</v>
      </c>
      <c r="SL15" s="181">
        <f t="shared" si="41"/>
        <v>1747.0785163336996</v>
      </c>
      <c r="SM15" s="181">
        <f t="shared" si="41"/>
        <v>2657.5943744360902</v>
      </c>
      <c r="SN15" s="181">
        <f t="shared" si="41"/>
        <v>2708.3051557045737</v>
      </c>
      <c r="SO15" s="181">
        <f t="shared" si="41"/>
        <v>2915.2543240081077</v>
      </c>
      <c r="SP15" s="181">
        <f t="shared" si="41"/>
        <v>2556.3482433381205</v>
      </c>
      <c r="SQ15" s="181">
        <f t="shared" si="41"/>
        <v>1853.4016711684687</v>
      </c>
      <c r="SR15" s="181">
        <f t="shared" si="41"/>
        <v>2976.2474796192173</v>
      </c>
      <c r="SS15" s="181">
        <f t="shared" si="41"/>
        <v>3217.9032729567034</v>
      </c>
      <c r="ST15" s="181">
        <f t="shared" ref="ST15:VE15" si="42">SUM(ST13:ST14)</f>
        <v>3447.4020061523033</v>
      </c>
      <c r="SU15" s="181">
        <f t="shared" si="42"/>
        <v>3027.4626073877489</v>
      </c>
      <c r="SV15" s="181">
        <f t="shared" si="42"/>
        <v>2038.902347364286</v>
      </c>
      <c r="SW15" s="181">
        <f t="shared" si="42"/>
        <v>3140.1698766434065</v>
      </c>
      <c r="SX15" s="181">
        <f t="shared" si="42"/>
        <v>3296.8933257994477</v>
      </c>
      <c r="SY15" s="181">
        <f t="shared" si="42"/>
        <v>3515.8237778549301</v>
      </c>
      <c r="SZ15" s="181">
        <f t="shared" si="42"/>
        <v>3092.0002828566603</v>
      </c>
      <c r="TA15" s="181">
        <f t="shared" si="42"/>
        <v>2083.3082958411478</v>
      </c>
      <c r="TB15" s="181">
        <f t="shared" si="42"/>
        <v>3166.2139762753386</v>
      </c>
      <c r="TC15" s="181">
        <f t="shared" si="42"/>
        <v>3268.1664833020591</v>
      </c>
      <c r="TD15" s="181">
        <f t="shared" si="42"/>
        <v>3492.8364731484812</v>
      </c>
      <c r="TE15" s="181">
        <f t="shared" si="42"/>
        <v>3069.673710337931</v>
      </c>
      <c r="TF15" s="181">
        <f t="shared" si="42"/>
        <v>2034.723167901265</v>
      </c>
      <c r="TG15" s="181">
        <f t="shared" si="42"/>
        <v>3090.3456834863518</v>
      </c>
      <c r="TH15" s="181">
        <f t="shared" si="42"/>
        <v>3204.1388215307488</v>
      </c>
      <c r="TI15" s="181">
        <f t="shared" si="42"/>
        <v>3415.3081824651726</v>
      </c>
      <c r="TJ15" s="181">
        <f t="shared" si="42"/>
        <v>3004.0435989709749</v>
      </c>
      <c r="TK15" s="181">
        <f t="shared" si="42"/>
        <v>1705.2038566983565</v>
      </c>
      <c r="TL15" s="181">
        <f t="shared" si="42"/>
        <v>2374.6915368199034</v>
      </c>
      <c r="TM15" s="181">
        <f t="shared" si="42"/>
        <v>2324.0252900392475</v>
      </c>
      <c r="TN15" s="181">
        <f t="shared" si="42"/>
        <v>2432.8370976031965</v>
      </c>
    </row>
    <row r="16" spans="1:534" x14ac:dyDescent="0.3">
      <c r="A16" s="182" t="s">
        <v>80</v>
      </c>
      <c r="B16" s="183">
        <f>B9*Supuestos!$B$59</f>
        <v>6.9948297900000007</v>
      </c>
      <c r="C16" s="183">
        <f>C9*Supuestos!$B$59</f>
        <v>46.828388879999999</v>
      </c>
      <c r="D16" s="183">
        <f>D9*Supuestos!$B$59</f>
        <v>26.663217117116073</v>
      </c>
      <c r="E16" s="183">
        <f>E9*Supuestos!$B$59</f>
        <v>48.804856710085318</v>
      </c>
      <c r="F16" s="183">
        <f>F9*Supuestos!$B$59</f>
        <v>32.718816650000001</v>
      </c>
      <c r="G16" s="183">
        <f>G9*Supuestos!$B$59</f>
        <v>16.324965531295678</v>
      </c>
      <c r="H16" s="183">
        <f>H9*Supuestos!$B$59</f>
        <v>25.047092441010392</v>
      </c>
      <c r="I16" s="183">
        <f>I9*Supuestos!$B$59</f>
        <v>32.047956069999998</v>
      </c>
      <c r="J16" s="183">
        <f>J9*Supuestos!$B$59</f>
        <v>63.069677203466568</v>
      </c>
      <c r="K16" s="183">
        <f>K9*Supuestos!$B$59</f>
        <v>14.151637014202608</v>
      </c>
      <c r="L16" s="183">
        <f>L9*Supuestos!$B$59</f>
        <v>25.968789469988817</v>
      </c>
      <c r="M16" s="183">
        <f>M9*Supuestos!$B$59</f>
        <v>28.910618750000001</v>
      </c>
      <c r="N16" s="183">
        <f>N9*Supuestos!$B$59</f>
        <v>47.72436790580953</v>
      </c>
      <c r="O16" s="183">
        <f>O9*Supuestos!$B$59</f>
        <v>30.337410219999988</v>
      </c>
      <c r="P16" s="183">
        <f>P9*Supuestos!$B$59</f>
        <v>5.9046947501673301</v>
      </c>
      <c r="Q16" s="183">
        <f>Q9*Supuestos!$B$59</f>
        <v>36.416836169999989</v>
      </c>
      <c r="R16" s="183">
        <f>R9*Supuestos!$B$59</f>
        <v>33.345674656688679</v>
      </c>
      <c r="S16" s="183">
        <f>S9*Supuestos!$B$59</f>
        <v>34.636342259999992</v>
      </c>
      <c r="T16" s="183">
        <f>T9*Supuestos!$B$59</f>
        <v>31.992179171419348</v>
      </c>
      <c r="U16" s="183">
        <f>U9*Supuestos!$B$59</f>
        <v>18.189711039734025</v>
      </c>
      <c r="V16" s="183">
        <f>V9*Supuestos!$B$59</f>
        <v>19.739190855801027</v>
      </c>
      <c r="W16" s="183">
        <f>W9*Supuestos!$B$59</f>
        <v>33.050256666160195</v>
      </c>
      <c r="X16" s="183">
        <f>X9*Supuestos!$B$59</f>
        <v>60.557220084070309</v>
      </c>
      <c r="Y16" s="183">
        <f>Y9*Supuestos!$B$59</f>
        <v>29.577484949999999</v>
      </c>
      <c r="Z16" s="183">
        <f>Z9*Supuestos!$B$59</f>
        <v>11.234468170926418</v>
      </c>
      <c r="AA16" s="183">
        <f>AA9*Supuestos!$B$59</f>
        <v>26.728195259999996</v>
      </c>
      <c r="AB16" s="183">
        <f>AB9*Supuestos!$B$59</f>
        <v>26.146289910000025</v>
      </c>
      <c r="AC16" s="183">
        <f>AC9*Supuestos!$B$59</f>
        <v>29.598319399999998</v>
      </c>
      <c r="AD16" s="183">
        <f>AD9*Supuestos!$B$59</f>
        <v>31.503197700000001</v>
      </c>
      <c r="AE16" s="183">
        <f>AE9*Supuestos!$B$59</f>
        <v>22.152182260000011</v>
      </c>
      <c r="AF16" s="183">
        <f>AF9*Supuestos!$B$59</f>
        <v>28.68776703000001</v>
      </c>
      <c r="AG16" s="183">
        <f>AG9*Supuestos!$B$59</f>
        <v>51.110104559469143</v>
      </c>
      <c r="AH16" s="183">
        <f>AH9*Supuestos!$B$59</f>
        <v>23.879679999824596</v>
      </c>
      <c r="AI16" s="183">
        <f>AI9*Supuestos!$B$59</f>
        <v>37.019441809999869</v>
      </c>
      <c r="AJ16" s="183">
        <f>AJ9*Supuestos!$B$59</f>
        <v>18.034879979999999</v>
      </c>
      <c r="AK16" s="183">
        <f>AK9*Supuestos!$B$59</f>
        <v>50.328306989999994</v>
      </c>
      <c r="AL16" s="183">
        <f>AL9*Supuestos!$B$59</f>
        <v>43.836784400168106</v>
      </c>
      <c r="AM16" s="183">
        <f>AM9*Supuestos!$B$59</f>
        <v>52.687571040000108</v>
      </c>
      <c r="AN16" s="183">
        <f>AN9*Supuestos!$B$59</f>
        <v>15.876168769271342</v>
      </c>
      <c r="AO16" s="183">
        <f>AO9*Supuestos!$B$59</f>
        <v>19.196110699999998</v>
      </c>
      <c r="AP16" s="183">
        <f>AP9*Supuestos!$B$59</f>
        <v>23.393682063832468</v>
      </c>
      <c r="AQ16" s="183">
        <f>AQ9*Supuestos!$B$59</f>
        <v>48.874220620769314</v>
      </c>
      <c r="AR16" s="183">
        <f>AR9*Supuestos!$B$59</f>
        <v>44.589225654408445</v>
      </c>
      <c r="AS16" s="183">
        <f>AS9*Supuestos!$B$59</f>
        <v>36.566655388149201</v>
      </c>
      <c r="AT16" s="183">
        <f>AT9*Supuestos!$B$59</f>
        <v>16.65019421473184</v>
      </c>
      <c r="AU16" s="183">
        <f>AU9*Supuestos!$B$59</f>
        <v>36.408132482309377</v>
      </c>
      <c r="AV16" s="183">
        <f>AV9*Supuestos!$B$59</f>
        <v>43.923412832791811</v>
      </c>
      <c r="AW16" s="183">
        <f>AW9*Supuestos!$B$59</f>
        <v>45.734586598591257</v>
      </c>
      <c r="AX16" s="183">
        <f>AX9*Supuestos!$B$59</f>
        <v>34.337645867119207</v>
      </c>
      <c r="AY16" s="183">
        <f>AY9*Supuestos!$B$59</f>
        <v>15.659544446606851</v>
      </c>
      <c r="AZ16" s="183">
        <f>AZ9*Supuestos!$B$59</f>
        <v>34.241929041297766</v>
      </c>
      <c r="BA16" s="183">
        <f>BA9*Supuestos!$B$59</f>
        <v>41.310066815508492</v>
      </c>
      <c r="BB16" s="183">
        <f>BB9*Supuestos!$B$59</f>
        <v>43.013479743927689</v>
      </c>
      <c r="BC16" s="183">
        <f>BC9*Supuestos!$B$59</f>
        <v>32.294631805089701</v>
      </c>
      <c r="BD16" s="183">
        <f>BD9*Supuestos!$B$59</f>
        <v>8.1192987510198655</v>
      </c>
      <c r="BE16" s="183">
        <f>BE9*Supuestos!$B$59</f>
        <v>17.754057446911361</v>
      </c>
      <c r="BF16" s="183">
        <f>BF9*Supuestos!$B$59</f>
        <v>21.418807874221557</v>
      </c>
      <c r="BG16" s="183">
        <f>BG9*Supuestos!$B$59</f>
        <v>22.302008436622458</v>
      </c>
      <c r="BH16" s="183">
        <f>BH9*Supuestos!$B$59</f>
        <v>16.744405597094335</v>
      </c>
      <c r="BI16" s="183">
        <f>BI9*Supuestos!$C$59</f>
        <v>17.087161171610123</v>
      </c>
      <c r="BJ16" s="183">
        <f>BJ9*Supuestos!$C$59</f>
        <v>37.36362589285109</v>
      </c>
      <c r="BK16" s="183">
        <f>BK9*Supuestos!$C$59</f>
        <v>45.076136926801006</v>
      </c>
      <c r="BL16" s="183">
        <f>BL9*Supuestos!$C$59</f>
        <v>46.934843056404283</v>
      </c>
      <c r="BM16" s="183">
        <f>BM9*Supuestos!$C$59</f>
        <v>35.238801518964024</v>
      </c>
      <c r="BN16" s="183">
        <f>BN9*Supuestos!$C$59</f>
        <v>18.309076726637798</v>
      </c>
      <c r="BO16" s="183">
        <f>BO9*Supuestos!$C$59</f>
        <v>28.091277522302377</v>
      </c>
      <c r="BP16" s="183">
        <f>BP9*Supuestos!$C$59</f>
        <v>35.943015346200035</v>
      </c>
      <c r="BQ16" s="183">
        <f>BQ9*Supuestos!$C$59</f>
        <v>70.735068740503294</v>
      </c>
      <c r="BR16" s="183">
        <f>BR9*Supuestos!$C$59</f>
        <v>15.513839186762459</v>
      </c>
      <c r="BS16" s="183">
        <f>BS9*Supuestos!$C$59</f>
        <v>33.923322763474864</v>
      </c>
      <c r="BT16" s="183">
        <f>BT9*Supuestos!$C$59</f>
        <v>40.925694585520205</v>
      </c>
      <c r="BU16" s="183">
        <f>BU9*Supuestos!$C$59</f>
        <v>42.613257996464363</v>
      </c>
      <c r="BV16" s="183">
        <f>BV9*Supuestos!$C$59</f>
        <v>31.994144282302326</v>
      </c>
      <c r="BW16" s="183">
        <f>BW9*Supuestos!$C$59</f>
        <v>15.007890768178264</v>
      </c>
      <c r="BX16" s="183">
        <f>BX9*Supuestos!$C$59</f>
        <v>32.816991100584723</v>
      </c>
      <c r="BY16" s="183">
        <f>BY9*Supuestos!$C$59</f>
        <v>39.590996564886368</v>
      </c>
      <c r="BZ16" s="183">
        <f>BZ9*Supuestos!$C$59</f>
        <v>41.22352395097883</v>
      </c>
      <c r="CA16" s="183">
        <f>CA9*Supuestos!$C$59</f>
        <v>30.950728367729901</v>
      </c>
      <c r="CB16" s="183">
        <f>CB9*Supuestos!$C$59</f>
        <v>16.992634402463839</v>
      </c>
      <c r="CC16" s="183">
        <f>CC9*Supuestos!$C$59</f>
        <v>37.156929016537319</v>
      </c>
      <c r="CD16" s="183">
        <f>CD9*Supuestos!$C$59</f>
        <v>44.826774171543242</v>
      </c>
      <c r="CE16" s="183">
        <f>CE9*Supuestos!$C$59</f>
        <v>46.675197874272961</v>
      </c>
      <c r="CF16" s="183">
        <f>CF9*Supuestos!$C$59</f>
        <v>35.043859244895152</v>
      </c>
      <c r="CG16" s="183">
        <f>CG9*Supuestos!$C$59</f>
        <v>13.205913507862071</v>
      </c>
      <c r="CH16" s="183">
        <f>CH9*Supuestos!$C$59</f>
        <v>28.87669911494211</v>
      </c>
      <c r="CI16" s="183">
        <f>CI9*Supuestos!$C$59</f>
        <v>34.837358853553162</v>
      </c>
      <c r="CJ16" s="183">
        <f>CJ9*Supuestos!$C$59</f>
        <v>36.273870871995193</v>
      </c>
      <c r="CK16" s="183">
        <f>CK9*Supuestos!$C$59</f>
        <v>27.234516038471153</v>
      </c>
      <c r="CL16" s="183">
        <f>CL9*Supuestos!$C$59</f>
        <v>17.175657283373088</v>
      </c>
      <c r="CM16" s="183">
        <f>CM9*Supuestos!$C$59</f>
        <v>37.55713583752096</v>
      </c>
      <c r="CN16" s="183">
        <f>CN9*Supuestos!$C$59</f>
        <v>45.309590735263036</v>
      </c>
      <c r="CO16" s="183">
        <f>CO9*Supuestos!$C$59</f>
        <v>47.177923289275135</v>
      </c>
      <c r="CP16" s="183">
        <f>CP9*Supuestos!$C$59</f>
        <v>36.746146946208661</v>
      </c>
      <c r="CQ16" s="183">
        <f>CQ9*Supuestos!$C$59</f>
        <v>19.065098364294403</v>
      </c>
      <c r="CR16" s="183">
        <f>CR9*Supuestos!$C$59</f>
        <v>41.68868050928436</v>
      </c>
      <c r="CS16" s="183">
        <f>CS9*Supuestos!$C$59</f>
        <v>50.293959058553476</v>
      </c>
      <c r="CT16" s="183">
        <f>CT9*Supuestos!$C$59</f>
        <v>52.367821114123011</v>
      </c>
      <c r="CU16" s="183">
        <f>CU9*Supuestos!$C$59</f>
        <v>39.317895491916254</v>
      </c>
      <c r="CV16" s="183">
        <f>CV9*Supuestos!$C$59</f>
        <v>18.20617227547957</v>
      </c>
      <c r="CW16" s="183">
        <f>CW9*Supuestos!$C$59</f>
        <v>39.810510535362162</v>
      </c>
      <c r="CX16" s="183">
        <f>CX9*Supuestos!$C$59</f>
        <v>48.028101693449052</v>
      </c>
      <c r="CY16" s="183">
        <f>CY9*Supuestos!$C$59</f>
        <v>50.00853154163655</v>
      </c>
      <c r="CZ16" s="183">
        <f>CZ9*Supuestos!$C$59</f>
        <v>37.546534780840688</v>
      </c>
      <c r="DA16" s="183">
        <f>DA9*Supuestos!$C$59</f>
        <v>18.673833203906945</v>
      </c>
      <c r="DB16" s="183">
        <f>DB9*Supuestos!$C$59</f>
        <v>40.833120891697746</v>
      </c>
      <c r="DC16" s="183">
        <f>DC9*Supuestos!$C$59</f>
        <v>49.261796854008068</v>
      </c>
      <c r="DD16" s="183">
        <f>DD9*Supuestos!$C$59</f>
        <v>51.293097892881597</v>
      </c>
      <c r="DE16" s="183">
        <f>DE9*Supuestos!$C$59</f>
        <v>38.510990518661409</v>
      </c>
      <c r="DF16" s="183">
        <f>DF9*Supuestos!$C$59</f>
        <v>17.562781387040612</v>
      </c>
      <c r="DG16" s="183">
        <f>DG9*Supuestos!$C$59</f>
        <v>38.40364041708628</v>
      </c>
      <c r="DH16" s="183">
        <f>DH9*Supuestos!$C$59</f>
        <v>46.330828782316466</v>
      </c>
      <c r="DI16" s="183">
        <f>DI9*Supuestos!$C$59</f>
        <v>48.241271897420447</v>
      </c>
      <c r="DJ16" s="183">
        <f>DJ9*Supuestos!$C$59</f>
        <v>36.219671670631378</v>
      </c>
      <c r="DK16" s="183">
        <f>DK9*Supuestos!$C$59</f>
        <v>9.1061058299899749</v>
      </c>
      <c r="DL16" s="183">
        <f>DL9*Supuestos!$C$59</f>
        <v>19.911858275074437</v>
      </c>
      <c r="DM16" s="183">
        <f>DM9*Supuestos!$C$59</f>
        <v>24.022016831242336</v>
      </c>
      <c r="DN16" s="183">
        <f>DN9*Supuestos!$C$59</f>
        <v>25.012560231227347</v>
      </c>
      <c r="DO16" s="183">
        <f>DO9*Supuestos!$C$59</f>
        <v>18.779494892741187</v>
      </c>
      <c r="DP16" s="183">
        <f>DP9*Supuestos!$D$59</f>
        <v>18.325980356551852</v>
      </c>
      <c r="DQ16" s="183">
        <f>DQ9*Supuestos!$D$59</f>
        <v>40.072488770082785</v>
      </c>
      <c r="DR16" s="183">
        <f>DR9*Supuestos!$D$59</f>
        <v>48.344156853994058</v>
      </c>
      <c r="DS16" s="183">
        <f>DS9*Supuestos!$D$59</f>
        <v>50.337619177993574</v>
      </c>
      <c r="DT16" s="183">
        <f>DT9*Supuestos!$D$59</f>
        <v>37.793614629088907</v>
      </c>
      <c r="DU16" s="183">
        <f>DU9*Supuestos!$D$59</f>
        <v>15.439205700239265</v>
      </c>
      <c r="DV16" s="183">
        <f>DV9*Supuestos!$D$59</f>
        <v>33.760125516048845</v>
      </c>
      <c r="DW16" s="183">
        <f>DW9*Supuestos!$D$59</f>
        <v>40.728810549368347</v>
      </c>
      <c r="DX16" s="183">
        <f>DX9*Supuestos!$D$59</f>
        <v>42.408255483669073</v>
      </c>
      <c r="DY16" s="183">
        <f>DY9*Supuestos!$D$59</f>
        <v>31.840227865652107</v>
      </c>
      <c r="DZ16" s="183">
        <f>DZ9*Supuestos!$D$59</f>
        <v>16.638592527802732</v>
      </c>
      <c r="EA16" s="183">
        <f>EA9*Supuestos!$D$59</f>
        <v>36.382763663826786</v>
      </c>
      <c r="EB16" s="183">
        <f>EB9*Supuestos!$D$59</f>
        <v>43.892807442970408</v>
      </c>
      <c r="EC16" s="183">
        <f>EC9*Supuestos!$D$59</f>
        <v>45.702719201208005</v>
      </c>
      <c r="ED16" s="183">
        <f>ED9*Supuestos!$D$59</f>
        <v>34.313719742769237</v>
      </c>
      <c r="EE16" s="183">
        <f>EE9*Supuestos!$D$59</f>
        <v>16.095962848871185</v>
      </c>
      <c r="EF16" s="183">
        <f>EF9*Supuestos!$D$59</f>
        <v>35.19622295537711</v>
      </c>
      <c r="EG16" s="183">
        <f>EG9*Supuestos!$D$59</f>
        <v>42.461343815840621</v>
      </c>
      <c r="EH16" s="183">
        <f>EH9*Supuestos!$D$59</f>
        <v>44.212229437424789</v>
      </c>
      <c r="EI16" s="183">
        <f>EI9*Supuestos!$D$59</f>
        <v>33.19465617439031</v>
      </c>
      <c r="EJ16" s="183">
        <f>EJ9*Supuestos!$D$59</f>
        <v>18.224600396642462</v>
      </c>
      <c r="EK16" s="183">
        <f>EK9*Supuestos!$D$59</f>
        <v>39.850806370236263</v>
      </c>
      <c r="EL16" s="183">
        <f>EL9*Supuestos!$D$59</f>
        <v>48.076715298980105</v>
      </c>
      <c r="EM16" s="183">
        <f>EM9*Supuestos!$D$59</f>
        <v>50.059149720157727</v>
      </c>
      <c r="EN16" s="183">
        <f>EN9*Supuestos!$D$59</f>
        <v>37.584539040150048</v>
      </c>
      <c r="EO16" s="183">
        <f>EO9*Supuestos!$D$59</f>
        <v>14.163342237182071</v>
      </c>
      <c r="EP16" s="183">
        <f>EP9*Supuestos!$D$59</f>
        <v>30.970259800775409</v>
      </c>
      <c r="EQ16" s="183">
        <f>EQ9*Supuestos!$D$59</f>
        <v>37.363067370435758</v>
      </c>
      <c r="ER16" s="183">
        <f>ER9*Supuestos!$D$59</f>
        <v>38.903726510214831</v>
      </c>
      <c r="ES16" s="183">
        <f>ES9*Supuestos!$D$59</f>
        <v>29.209018451260309</v>
      </c>
      <c r="ET16" s="183">
        <f>ET9*Supuestos!$D$59</f>
        <v>18.420892436417635</v>
      </c>
      <c r="EU16" s="183">
        <f>EU9*Supuestos!$D$59</f>
        <v>40.280028185741216</v>
      </c>
      <c r="EV16" s="183">
        <f>EV9*Supuestos!$D$59</f>
        <v>48.594536063569592</v>
      </c>
      <c r="EW16" s="183">
        <f>EW9*Supuestos!$D$59</f>
        <v>50.598322727747558</v>
      </c>
      <c r="EX16" s="183">
        <f>EX9*Supuestos!$D$59</f>
        <v>37.989351528305328</v>
      </c>
      <c r="EY16" s="183">
        <f>EY9*Supuestos!$D$59</f>
        <v>20.447317995705745</v>
      </c>
      <c r="EZ16" s="183">
        <f>EZ9*Supuestos!$D$59</f>
        <v>44.711109846207464</v>
      </c>
      <c r="FA16" s="183">
        <f>FA9*Supuestos!$D$59</f>
        <v>53.940271090298609</v>
      </c>
      <c r="FB16" s="183">
        <f>FB9*Supuestos!$D$59</f>
        <v>56.164488144896929</v>
      </c>
      <c r="FC16" s="183">
        <f>FC9*Supuestos!$D$59</f>
        <v>42.168442915080171</v>
      </c>
      <c r="FD16" s="183">
        <f>FD9*Supuestos!$D$59</f>
        <v>19.526119765451835</v>
      </c>
      <c r="FE16" s="183">
        <f>FE9*Supuestos!$D$59</f>
        <v>42.696772549175911</v>
      </c>
      <c r="FF16" s="183">
        <f>FF9*Supuestos!$D$59</f>
        <v>51.510139066224099</v>
      </c>
      <c r="FG16" s="183">
        <f>FG9*Supuestos!$D$59</f>
        <v>53.634150078405192</v>
      </c>
      <c r="FH16" s="183">
        <f>FH9*Supuestos!$D$59</f>
        <v>40.268658552451633</v>
      </c>
      <c r="FI16" s="183">
        <f>FI9*Supuestos!$D$59</f>
        <v>20.027686111190196</v>
      </c>
      <c r="FJ16" s="183">
        <f>FJ9*Supuestos!$D$59</f>
        <v>43.793522156345837</v>
      </c>
      <c r="FK16" s="183">
        <f>FK9*Supuestos!$D$59</f>
        <v>52.833277125923651</v>
      </c>
      <c r="FL16" s="183">
        <f>FL9*Supuestos!$D$59</f>
        <v>55.011847490115507</v>
      </c>
      <c r="FM16" s="183">
        <f>FM9*Supuestos!$D$59</f>
        <v>41.303037331264356</v>
      </c>
      <c r="FN16" s="183">
        <f>FN9*Supuestos!$D$59</f>
        <v>18.836083037601053</v>
      </c>
      <c r="FO16" s="183">
        <f>FO9*Supuestos!$D$59</f>
        <v>41.187904347325023</v>
      </c>
      <c r="FP16" s="183">
        <f>FP9*Supuestos!$D$59</f>
        <v>49.689813869034396</v>
      </c>
      <c r="FQ16" s="183">
        <f>FQ9*Supuestos!$D$59</f>
        <v>51.738764109983421</v>
      </c>
      <c r="FR16" s="183">
        <f>FR9*Supuestos!$D$59</f>
        <v>38.845597866752158</v>
      </c>
      <c r="FS16" s="183">
        <f>FS9*Supuestos!$D$59</f>
        <v>9.7662985026642435</v>
      </c>
      <c r="FT16" s="183">
        <f>FT9*Supuestos!$D$59</f>
        <v>21.355468000017332</v>
      </c>
      <c r="FU16" s="183">
        <f>FU9*Supuestos!$D$59</f>
        <v>25.763613051507402</v>
      </c>
      <c r="FV16" s="183">
        <f>FV9*Supuestos!$D$59</f>
        <v>26.825970847991321</v>
      </c>
      <c r="FW16" s="183">
        <f>FW9*Supuestos!$D$59</f>
        <v>20.141008272464916</v>
      </c>
      <c r="FX16" s="183">
        <f>FX9*Supuestos!$E$59</f>
        <v>19.408879195802651</v>
      </c>
      <c r="FY16" s="183">
        <f>FY9*Supuestos!$E$59</f>
        <v>42.440408561042233</v>
      </c>
      <c r="FZ16" s="183">
        <f>FZ9*Supuestos!$E$59</f>
        <v>51.200857031730088</v>
      </c>
      <c r="GA16" s="183">
        <f>GA9*Supuestos!$E$59</f>
        <v>53.312114856693199</v>
      </c>
      <c r="GB16" s="183">
        <f>GB9*Supuestos!$E$59</f>
        <v>40.026873675353258</v>
      </c>
      <c r="GC16" s="183">
        <f>GC9*Supuestos!$E$59</f>
        <v>20.796822526869704</v>
      </c>
      <c r="GD16" s="183">
        <f>GD9*Supuestos!$E$59</f>
        <v>31.908179855645205</v>
      </c>
      <c r="GE16" s="183">
        <f>GE9*Supuestos!$E$59</f>
        <v>40.826772556364958</v>
      </c>
      <c r="GF16" s="183">
        <f>GF9*Supuestos!$E$59</f>
        <v>80.346196205619165</v>
      </c>
      <c r="GG16" s="183">
        <f>GG9*Supuestos!$E$59</f>
        <v>17.621782086263799</v>
      </c>
      <c r="GH16" s="183">
        <f>GH9*Supuestos!$E$59</f>
        <v>38.532654243962007</v>
      </c>
      <c r="GI16" s="183">
        <f>GI9*Supuestos!$E$59</f>
        <v>46.486473337327752</v>
      </c>
      <c r="GJ16" s="183">
        <f>GJ9*Supuestos!$E$59</f>
        <v>48.403334426733949</v>
      </c>
      <c r="GK16" s="183">
        <f>GK9*Supuestos!$E$59</f>
        <v>36.34134863666015</v>
      </c>
      <c r="GL16" s="183">
        <f>GL9*Supuestos!$E$59</f>
        <v>17.047087926304485</v>
      </c>
      <c r="GM16" s="183">
        <f>GM9*Supuestos!$E$59</f>
        <v>37.275999766376671</v>
      </c>
      <c r="GN16" s="183">
        <f>GN9*Supuestos!$E$59</f>
        <v>44.970423223140294</v>
      </c>
      <c r="GO16" s="183">
        <f>GO9*Supuestos!$E$59</f>
        <v>46.824770267818074</v>
      </c>
      <c r="GP16" s="183">
        <f>GP9*Supuestos!$E$59</f>
        <v>35.156158584695198</v>
      </c>
      <c r="GQ16" s="183">
        <f>GQ9*Supuestos!$E$59</f>
        <v>19.301508601898611</v>
      </c>
      <c r="GR16" s="183">
        <f>GR9*Supuestos!$E$59</f>
        <v>42.205626746659327</v>
      </c>
      <c r="GS16" s="183">
        <f>GS9*Supuestos!$E$59</f>
        <v>50.917612112101672</v>
      </c>
      <c r="GT16" s="183">
        <f>GT9*Supuestos!$E$59</f>
        <v>53.017190385439783</v>
      </c>
      <c r="GU16" s="183">
        <f>GU9*Supuestos!$E$59</f>
        <v>39.805443619795277</v>
      </c>
      <c r="GV16" s="183">
        <f>GV9*Supuestos!$E$59</f>
        <v>15.000267005742831</v>
      </c>
      <c r="GW16" s="183">
        <f>GW9*Supuestos!$E$59</f>
        <v>32.800320607184872</v>
      </c>
      <c r="GX16" s="183">
        <f>GX9*Supuestos!$E$59</f>
        <v>39.570884987779692</v>
      </c>
      <c r="GY16" s="183">
        <f>GY9*Supuestos!$E$59</f>
        <v>41.202583076727528</v>
      </c>
      <c r="GZ16" s="183">
        <f>GZ9*Supuestos!$E$59</f>
        <v>30.935005905198423</v>
      </c>
      <c r="HA16" s="183">
        <f>HA9*Supuestos!$E$59</f>
        <v>19.509399716751403</v>
      </c>
      <c r="HB16" s="183">
        <f>HB9*Supuestos!$E$59</f>
        <v>42.660211669444109</v>
      </c>
      <c r="HC16" s="183">
        <f>HC9*Supuestos!$E$59</f>
        <v>51.466031376416886</v>
      </c>
      <c r="HD16" s="183">
        <f>HD9*Supuestos!$E$59</f>
        <v>53.588223616205376</v>
      </c>
      <c r="HE16" s="183">
        <f>HE9*Supuestos!$E$59</f>
        <v>40.234176845887013</v>
      </c>
      <c r="HF16" s="183">
        <f>HF9*Supuestos!$E$59</f>
        <v>21.6555686045429</v>
      </c>
      <c r="HG16" s="183">
        <f>HG9*Supuestos!$E$59</f>
        <v>47.353129973483355</v>
      </c>
      <c r="HH16" s="183">
        <f>HH9*Supuestos!$E$59</f>
        <v>57.127650745634419</v>
      </c>
      <c r="HI16" s="183">
        <f>HI9*Supuestos!$E$59</f>
        <v>59.483298808004477</v>
      </c>
      <c r="HJ16" s="183">
        <f>HJ9*Supuestos!$E$59</f>
        <v>44.660214541880357</v>
      </c>
      <c r="HK16" s="183">
        <f>HK9*Supuestos!$E$59</f>
        <v>20.679935933410352</v>
      </c>
      <c r="HL16" s="183">
        <f>HL9*Supuestos!$E$59</f>
        <v>45.219763654354495</v>
      </c>
      <c r="HM16" s="183">
        <f>HM9*Supuestos!$E$59</f>
        <v>54.553920011046444</v>
      </c>
      <c r="HN16" s="183">
        <f>HN9*Supuestos!$E$59</f>
        <v>56.803440764856418</v>
      </c>
      <c r="HO16" s="183">
        <f>HO9*Supuestos!$E$59</f>
        <v>42.648170194187415</v>
      </c>
      <c r="HP16" s="183">
        <f>HP9*Supuestos!$E$59</f>
        <v>21.211140290487801</v>
      </c>
      <c r="HQ16" s="183">
        <f>HQ9*Supuestos!$E$59</f>
        <v>46.381321192857179</v>
      </c>
      <c r="HR16" s="183">
        <f>HR9*Supuestos!$E$59</f>
        <v>55.955243501546413</v>
      </c>
      <c r="HS16" s="183">
        <f>HS9*Supuestos!$E$59</f>
        <v>58.262547569076887</v>
      </c>
      <c r="HT16" s="183">
        <f>HT9*Supuestos!$E$59</f>
        <v>43.743671355384521</v>
      </c>
      <c r="HU16" s="183">
        <f>HU9*Supuestos!$E$59</f>
        <v>19.949124308004752</v>
      </c>
      <c r="HV16" s="183">
        <f>HV9*Supuestos!$E$59</f>
        <v>43.621735058757871</v>
      </c>
      <c r="HW16" s="183">
        <f>HW9*Supuestos!$E$59</f>
        <v>52.626030143113717</v>
      </c>
      <c r="HX16" s="183">
        <f>HX9*Supuestos!$E$59</f>
        <v>54.796054716482445</v>
      </c>
      <c r="HY16" s="183">
        <f>HY9*Supuestos!$E$59</f>
        <v>41.141019558878419</v>
      </c>
      <c r="HZ16" s="183">
        <f>HZ9*Supuestos!$E$59</f>
        <v>10.34339795963986</v>
      </c>
      <c r="IA16" s="183">
        <f>IA9*Supuestos!$E$59</f>
        <v>22.617382018200175</v>
      </c>
      <c r="IB16" s="183">
        <f>IB9*Supuestos!$E$59</f>
        <v>27.286008368187385</v>
      </c>
      <c r="IC16" s="183">
        <f>IC9*Supuestos!$E$59</f>
        <v>28.411141852645358</v>
      </c>
      <c r="ID16" s="183">
        <f>ID9*Supuestos!$E$59</f>
        <v>21.331158761292389</v>
      </c>
      <c r="IE16" s="183">
        <f>IE9*Supuestos!$F$59</f>
        <v>20.262869880417963</v>
      </c>
      <c r="IF16" s="183">
        <f>IF9*Supuestos!$F$59</f>
        <v>44.307786537728084</v>
      </c>
      <c r="IG16" s="183">
        <f>IG9*Supuestos!$F$59</f>
        <v>53.453694741126199</v>
      </c>
      <c r="IH16" s="183">
        <f>IH9*Supuestos!$F$59</f>
        <v>55.657847910387694</v>
      </c>
      <c r="II16" s="183">
        <f>II9*Supuestos!$F$59</f>
        <v>41.788056117068791</v>
      </c>
      <c r="IJ16" s="183">
        <f>IJ9*Supuestos!$F$59</f>
        <v>21.711882718051971</v>
      </c>
      <c r="IK16" s="183">
        <f>IK9*Supuestos!$F$59</f>
        <v>33.312139769293587</v>
      </c>
      <c r="IL16" s="183">
        <f>IL9*Supuestos!$F$59</f>
        <v>42.623150548845018</v>
      </c>
      <c r="IM16" s="183">
        <f>IM9*Supuestos!$F$59</f>
        <v>83.881428838666395</v>
      </c>
      <c r="IN16" s="183">
        <f>IN9*Supuestos!$F$59</f>
        <v>18.397140498059407</v>
      </c>
      <c r="IO16" s="183">
        <f>IO9*Supuestos!$F$59</f>
        <v>40.228091030696326</v>
      </c>
      <c r="IP16" s="183">
        <f>IP9*Supuestos!$F$59</f>
        <v>48.531878164170173</v>
      </c>
      <c r="IQ16" s="183">
        <f>IQ9*Supuestos!$F$59</f>
        <v>50.533081141510237</v>
      </c>
      <c r="IR16" s="183">
        <f>IR9*Supuestos!$F$59</f>
        <v>37.940367976673194</v>
      </c>
      <c r="IS16" s="183">
        <f>IS9*Supuestos!$F$59</f>
        <v>17.797159795061884</v>
      </c>
      <c r="IT16" s="183">
        <f>IT9*Supuestos!$F$59</f>
        <v>38.916143756097235</v>
      </c>
      <c r="IU16" s="183">
        <f>IU9*Supuestos!$F$59</f>
        <v>46.949121844958469</v>
      </c>
      <c r="IV16" s="183">
        <f>IV9*Supuestos!$F$59</f>
        <v>48.885060159602062</v>
      </c>
      <c r="IW16" s="183">
        <f>IW9*Supuestos!$F$59</f>
        <v>36.70302956242179</v>
      </c>
      <c r="IX16" s="183">
        <f>IX9*Supuestos!$F$59</f>
        <v>20.150774980382142</v>
      </c>
      <c r="IY16" s="183">
        <f>IY9*Supuestos!$F$59</f>
        <v>44.062674323512326</v>
      </c>
      <c r="IZ16" s="183">
        <f>IZ9*Supuestos!$F$59</f>
        <v>53.15798704503414</v>
      </c>
      <c r="JA16" s="183">
        <f>JA9*Supuestos!$F$59</f>
        <v>55.349946762399121</v>
      </c>
      <c r="JB16" s="183">
        <f>JB9*Supuestos!$F$59</f>
        <v>41.556883139066265</v>
      </c>
      <c r="JC16" s="183">
        <f>JC9*Supuestos!$F$59</f>
        <v>15.660278753995513</v>
      </c>
      <c r="JD16" s="183">
        <f>JD9*Supuestos!$F$59</f>
        <v>34.243534713900999</v>
      </c>
      <c r="JE16" s="183">
        <f>JE9*Supuestos!$F$59</f>
        <v>41.312003927241989</v>
      </c>
      <c r="JF16" s="183">
        <f>JF9*Supuestos!$F$59</f>
        <v>43.015496732103536</v>
      </c>
      <c r="JG16" s="183">
        <f>JG9*Supuestos!$F$59</f>
        <v>32.296146165027146</v>
      </c>
      <c r="JH16" s="183">
        <f>JH9*Supuestos!$F$59</f>
        <v>20.367813304288461</v>
      </c>
      <c r="JI16" s="183">
        <f>JI9*Supuestos!$F$59</f>
        <v>44.537260982899639</v>
      </c>
      <c r="JJ16" s="183">
        <f>JJ9*Supuestos!$F$59</f>
        <v>53.730536756979212</v>
      </c>
      <c r="JK16" s="183">
        <f>JK9*Supuestos!$F$59</f>
        <v>55.94610545531841</v>
      </c>
      <c r="JL16" s="183">
        <f>JL9*Supuestos!$F$59</f>
        <v>42.004480627106034</v>
      </c>
      <c r="JM16" s="183">
        <f>JM9*Supuestos!$F$59</f>
        <v>22.608413623142788</v>
      </c>
      <c r="JN16" s="183">
        <f>JN9*Supuestos!$F$59</f>
        <v>49.436667692316618</v>
      </c>
      <c r="JO16" s="183">
        <f>JO9*Supuestos!$F$59</f>
        <v>59.641267378442329</v>
      </c>
      <c r="JP16" s="183">
        <f>JP9*Supuestos!$F$59</f>
        <v>62.100563955556666</v>
      </c>
      <c r="JQ16" s="183">
        <f>JQ9*Supuestos!$F$59</f>
        <v>46.625263981723087</v>
      </c>
      <c r="JR16" s="183">
        <f>JR9*Supuestos!$F$59</f>
        <v>21.589853114480405</v>
      </c>
      <c r="JS16" s="183">
        <f>JS9*Supuestos!$F$59</f>
        <v>47.209433255146081</v>
      </c>
      <c r="JT16" s="183">
        <f>JT9*Supuestos!$F$59</f>
        <v>56.954292491532485</v>
      </c>
      <c r="JU16" s="183">
        <f>JU9*Supuestos!$F$59</f>
        <v>59.302792158510087</v>
      </c>
      <c r="JV16" s="183">
        <f>JV9*Supuestos!$F$59</f>
        <v>44.524689682731662</v>
      </c>
      <c r="JW16" s="183">
        <f>JW9*Supuestos!$F$59</f>
        <v>22.144430463269259</v>
      </c>
      <c r="JX16" s="183">
        <f>JX9*Supuestos!$F$59</f>
        <v>48.422099325342884</v>
      </c>
      <c r="JY16" s="183">
        <f>JY9*Supuestos!$F$59</f>
        <v>58.417274215614448</v>
      </c>
      <c r="JZ16" s="183">
        <f>JZ9*Supuestos!$F$59</f>
        <v>60.826099662116249</v>
      </c>
      <c r="KA16" s="183">
        <f>KA9*Supuestos!$F$59</f>
        <v>45.668392895021434</v>
      </c>
      <c r="KB16" s="183">
        <f>KB9*Supuestos!$F$59</f>
        <v>20.826885777556964</v>
      </c>
      <c r="KC16" s="183">
        <f>KC9*Supuestos!$F$59</f>
        <v>45.541091401343209</v>
      </c>
      <c r="KD16" s="183">
        <f>KD9*Supuestos!$F$59</f>
        <v>54.941575469410708</v>
      </c>
      <c r="KE16" s="183">
        <f>KE9*Supuestos!$F$59</f>
        <v>57.207081124007672</v>
      </c>
      <c r="KF16" s="183">
        <f>KF9*Supuestos!$F$59</f>
        <v>42.951224419469057</v>
      </c>
      <c r="KG16" s="183">
        <f>KG9*Supuestos!$F$59</f>
        <v>10.798507469864012</v>
      </c>
      <c r="KH16" s="183">
        <f>KH9*Supuestos!$F$59</f>
        <v>23.612546827000976</v>
      </c>
      <c r="KI16" s="183">
        <f>KI9*Supuestos!$F$59</f>
        <v>28.486592736387625</v>
      </c>
      <c r="KJ16" s="183">
        <f>KJ9*Supuestos!$F$59</f>
        <v>29.661232094161743</v>
      </c>
      <c r="KK16" s="183">
        <f>KK9*Supuestos!$F$59</f>
        <v>22.269729746789253</v>
      </c>
      <c r="KL16" s="183">
        <f>KL9*Supuestos!$G$59</f>
        <v>20.80321307722911</v>
      </c>
      <c r="KM16" s="183">
        <f>KM9*Supuestos!$G$59</f>
        <v>45.489327512067504</v>
      </c>
      <c r="KN16" s="183">
        <f>KN9*Supuestos!$G$59</f>
        <v>54.87912660088957</v>
      </c>
      <c r="KO16" s="183">
        <f>KO9*Supuestos!$G$59</f>
        <v>57.142057187998041</v>
      </c>
      <c r="KP16" s="183">
        <f>KP9*Supuestos!$G$59</f>
        <v>42.90240428019063</v>
      </c>
      <c r="KQ16" s="183">
        <f>KQ9*Supuestos!$G$59</f>
        <v>22.290866257200026</v>
      </c>
      <c r="KR16" s="183">
        <f>KR9*Supuestos!$G$59</f>
        <v>34.200463496474754</v>
      </c>
      <c r="KS16" s="183">
        <f>KS9*Supuestos!$G$59</f>
        <v>43.759767896814225</v>
      </c>
      <c r="KT16" s="183">
        <f>KT9*Supuestos!$G$59</f>
        <v>86.118266941030868</v>
      </c>
      <c r="KU16" s="183">
        <f>KU9*Supuestos!$G$59</f>
        <v>18.887730911340995</v>
      </c>
      <c r="KV16" s="183">
        <f>KV9*Supuestos!$G$59</f>
        <v>41.300840124848236</v>
      </c>
      <c r="KW16" s="183">
        <f>KW9*Supuestos!$G$59</f>
        <v>49.826061581881383</v>
      </c>
      <c r="KX16" s="183">
        <f>KX9*Supuestos!$G$59</f>
        <v>51.880629971950505</v>
      </c>
      <c r="KY16" s="183">
        <f>KY9*Supuestos!$G$59</f>
        <v>38.95211112271781</v>
      </c>
      <c r="KZ16" s="183">
        <f>KZ9*Supuestos!$G$59</f>
        <v>18.2717507229302</v>
      </c>
      <c r="LA16" s="183">
        <f>LA9*Supuestos!$G$59</f>
        <v>39.953907589593179</v>
      </c>
      <c r="LB16" s="183">
        <f>LB9*Supuestos!$G$59</f>
        <v>48.201098427490706</v>
      </c>
      <c r="LC16" s="183">
        <f>LC9*Supuestos!$G$59</f>
        <v>50.188661763858136</v>
      </c>
      <c r="LD16" s="183">
        <f>LD9*Supuestos!$G$59</f>
        <v>37.681777017419705</v>
      </c>
      <c r="LE16" s="183">
        <f>LE9*Supuestos!$G$59</f>
        <v>20.688128979859002</v>
      </c>
      <c r="LF16" s="183">
        <f>LF9*Supuestos!$G$59</f>
        <v>45.237678972139328</v>
      </c>
      <c r="LG16" s="183">
        <f>LG9*Supuestos!$G$59</f>
        <v>54.575533366235049</v>
      </c>
      <c r="LH16" s="183">
        <f>LH9*Supuestos!$G$59</f>
        <v>56.825945342729781</v>
      </c>
      <c r="LI16" s="183">
        <f>LI9*Supuestos!$G$59</f>
        <v>42.665066689441367</v>
      </c>
      <c r="LJ16" s="183">
        <f>LJ9*Supuestos!$G$59</f>
        <v>16.077886187435393</v>
      </c>
      <c r="LK16" s="183">
        <f>LK9*Supuestos!$G$59</f>
        <v>35.156695639605033</v>
      </c>
      <c r="LL16" s="183">
        <f>LL9*Supuestos!$G$59</f>
        <v>42.413657365301788</v>
      </c>
      <c r="LM16" s="183">
        <f>LM9*Supuestos!$G$59</f>
        <v>44.162576644959636</v>
      </c>
      <c r="LN16" s="183">
        <f>LN9*Supuestos!$G$59</f>
        <v>33.157376729427874</v>
      </c>
      <c r="LO16" s="183">
        <f>LO9*Supuestos!$G$59</f>
        <v>20.910954992402825</v>
      </c>
      <c r="LP16" s="183">
        <f>LP9*Supuestos!$G$59</f>
        <v>45.724921275776978</v>
      </c>
      <c r="LQ16" s="183">
        <f>LQ9*Supuestos!$G$59</f>
        <v>55.163351070498685</v>
      </c>
      <c r="LR16" s="183">
        <f>LR9*Supuestos!$G$59</f>
        <v>57.438001600793569</v>
      </c>
      <c r="LS16" s="183">
        <f>LS9*Supuestos!$G$59</f>
        <v>43.124600110495535</v>
      </c>
      <c r="LT16" s="183">
        <f>LT9*Supuestos!$G$59</f>
        <v>23.211304653093261</v>
      </c>
      <c r="LU16" s="183">
        <f>LU9*Supuestos!$G$59</f>
        <v>50.754978830778398</v>
      </c>
      <c r="LV16" s="183">
        <f>LV9*Supuestos!$G$59</f>
        <v>61.231701175200797</v>
      </c>
      <c r="LW16" s="183">
        <f>LW9*Supuestos!$G$59</f>
        <v>63.756578994371523</v>
      </c>
      <c r="LX16" s="183">
        <f>LX9*Supuestos!$G$59</f>
        <v>47.868604354569051</v>
      </c>
      <c r="LY16" s="183">
        <f>LY9*Supuestos!$G$59</f>
        <v>22.165582530866551</v>
      </c>
      <c r="LZ16" s="183">
        <f>LZ9*Supuestos!$G$59</f>
        <v>48.468351475283313</v>
      </c>
      <c r="MA16" s="183">
        <f>MA9*Supuestos!$G$59</f>
        <v>58.473073624640023</v>
      </c>
      <c r="MB16" s="183">
        <f>MB9*Supuestos!$G$59</f>
        <v>60.884199949403701</v>
      </c>
      <c r="MC16" s="183">
        <f>MC9*Supuestos!$G$59</f>
        <v>45.712014740937839</v>
      </c>
      <c r="MD16" s="183">
        <f>MD9*Supuestos!$G$59</f>
        <v>22.734948608956447</v>
      </c>
      <c r="ME16" s="183">
        <f>ME9*Supuestos!$G$59</f>
        <v>49.713355307352039</v>
      </c>
      <c r="MF16" s="183">
        <f>MF9*Supuestos!$G$59</f>
        <v>59.975068194697513</v>
      </c>
      <c r="MG16" s="183">
        <f>MG9*Supuestos!$G$59</f>
        <v>62.448128986439364</v>
      </c>
      <c r="MH16" s="183">
        <f>MH9*Supuestos!$G$59</f>
        <v>46.886216705555341</v>
      </c>
      <c r="MI16" s="183">
        <f>MI9*Supuestos!$G$59</f>
        <v>21.382269398291815</v>
      </c>
      <c r="MJ16" s="183">
        <f>MJ9*Supuestos!$G$59</f>
        <v>46.755520505379025</v>
      </c>
      <c r="MK16" s="183">
        <f>MK9*Supuestos!$G$59</f>
        <v>56.406684148594991</v>
      </c>
      <c r="ML16" s="183">
        <f>ML9*Supuestos!$G$59</f>
        <v>58.732603287314546</v>
      </c>
      <c r="MM16" s="183">
        <f>MM9*Supuestos!$G$59</f>
        <v>44.096590403988237</v>
      </c>
      <c r="MN16" s="183">
        <f>MN9*Supuestos!$G$59</f>
        <v>11.086467669060386</v>
      </c>
      <c r="MO16" s="183">
        <f>MO9*Supuestos!$G$59</f>
        <v>24.242214742387674</v>
      </c>
      <c r="MP16" s="183">
        <f>MP9*Supuestos!$G$59</f>
        <v>29.246235209357966</v>
      </c>
      <c r="MQ16" s="183">
        <f>MQ9*Supuestos!$G$59</f>
        <v>30.452198283339396</v>
      </c>
      <c r="MR16" s="183">
        <f>MR9*Supuestos!$G$59</f>
        <v>22.863589206703637</v>
      </c>
      <c r="MS16" s="183">
        <f>MS9*Supuestos!$H$59</f>
        <v>20.751205044536043</v>
      </c>
      <c r="MT16" s="183">
        <f>MT9*Supuestos!$H$59</f>
        <v>45.375604193287344</v>
      </c>
      <c r="MU16" s="183">
        <f>MU9*Supuestos!$H$59</f>
        <v>54.741928784387362</v>
      </c>
      <c r="MV16" s="183">
        <f>MV9*Supuestos!$H$59</f>
        <v>56.999202045028063</v>
      </c>
      <c r="MW16" s="183">
        <f>MW9*Supuestos!$H$59</f>
        <v>42.79514826949017</v>
      </c>
      <c r="MX16" s="183">
        <f>MX9*Supuestos!$H$59</f>
        <v>17.482400230549874</v>
      </c>
      <c r="MY16" s="183">
        <f>MY9*Supuestos!$H$59</f>
        <v>38.22787503219925</v>
      </c>
      <c r="MZ16" s="183">
        <f>MZ9*Supuestos!$H$59</f>
        <v>46.118782323579296</v>
      </c>
      <c r="NA16" s="183">
        <f>NA9*Supuestos!$H$59</f>
        <v>48.0204817423622</v>
      </c>
      <c r="NB16" s="183">
        <f>NB9*Supuestos!$H$59</f>
        <v>36.053901851350453</v>
      </c>
      <c r="NC16" s="183">
        <f>NC9*Supuestos!$H$59</f>
        <v>18.840511584062646</v>
      </c>
      <c r="ND16" s="183">
        <f>ND9*Supuestos!$H$59</f>
        <v>41.197588024536131</v>
      </c>
      <c r="NE16" s="183">
        <f>NE9*Supuestos!$H$59</f>
        <v>49.701496427926692</v>
      </c>
      <c r="NF16" s="183">
        <f>NF9*Supuestos!$H$59</f>
        <v>51.750928397020644</v>
      </c>
      <c r="NG16" s="183">
        <f>NG9*Supuestos!$H$59</f>
        <v>38.854730844911032</v>
      </c>
      <c r="NH16" s="183">
        <f>NH9*Supuestos!$H$59</f>
        <v>18.226071346122875</v>
      </c>
      <c r="NI16" s="183">
        <f>NI9*Supuestos!$H$59</f>
        <v>39.854022820619193</v>
      </c>
      <c r="NJ16" s="183">
        <f>NJ9*Supuestos!$H$59</f>
        <v>48.080595681421983</v>
      </c>
      <c r="NK16" s="183">
        <f>NK9*Supuestos!$H$59</f>
        <v>50.063190109448492</v>
      </c>
      <c r="NL16" s="183">
        <f>NL9*Supuestos!$H$59</f>
        <v>37.587572574876162</v>
      </c>
      <c r="NM16" s="183">
        <f>NM9*Supuestos!$H$59</f>
        <v>20.636408657409358</v>
      </c>
      <c r="NN16" s="183">
        <f>NN9*Supuestos!$H$59</f>
        <v>45.124584774708993</v>
      </c>
      <c r="NO16" s="183">
        <f>NO9*Supuestos!$H$59</f>
        <v>54.439094532819482</v>
      </c>
      <c r="NP16" s="183">
        <f>NP9*Supuestos!$H$59</f>
        <v>56.683880479372974</v>
      </c>
      <c r="NQ16" s="183">
        <f>NQ9*Supuestos!$H$59</f>
        <v>42.558404022717774</v>
      </c>
      <c r="NR16" s="183">
        <f>NR9*Supuestos!$H$59</f>
        <v>16.037691471966809</v>
      </c>
      <c r="NS16" s="183">
        <f>NS9*Supuestos!$H$59</f>
        <v>35.068803900506026</v>
      </c>
      <c r="NT16" s="183">
        <f>NT9*Supuestos!$H$59</f>
        <v>42.307623221888541</v>
      </c>
      <c r="NU16" s="183">
        <f>NU9*Supuestos!$H$59</f>
        <v>44.052170203347245</v>
      </c>
      <c r="NV16" s="183">
        <f>NV9*Supuestos!$H$59</f>
        <v>33.074483287604309</v>
      </c>
      <c r="NW16" s="183">
        <f>NW9*Supuestos!$H$59</f>
        <v>20.858677604921823</v>
      </c>
      <c r="NX16" s="183">
        <f>NX9*Supuestos!$H$59</f>
        <v>45.610608972587549</v>
      </c>
      <c r="NY16" s="183">
        <f>NY9*Supuestos!$H$59</f>
        <v>55.025442692822438</v>
      </c>
      <c r="NZ16" s="183">
        <f>NZ9*Supuestos!$H$59</f>
        <v>57.294406596791603</v>
      </c>
      <c r="OA16" s="183">
        <f>OA9*Supuestos!$H$59</f>
        <v>43.016788610219301</v>
      </c>
      <c r="OB16" s="183">
        <f>OB9*Supuestos!$H$59</f>
        <v>23.153276391460537</v>
      </c>
      <c r="OC16" s="183">
        <f>OC9*Supuestos!$H$59</f>
        <v>50.628091383701467</v>
      </c>
      <c r="OD16" s="183">
        <f>OD9*Supuestos!$H$59</f>
        <v>61.078621922262805</v>
      </c>
      <c r="OE16" s="183">
        <f>OE9*Supuestos!$H$59</f>
        <v>63.5971875468856</v>
      </c>
      <c r="OF16" s="183">
        <f>OF9*Supuestos!$H$59</f>
        <v>47.748932843682631</v>
      </c>
      <c r="OG16" s="183">
        <f>OG9*Supuestos!$H$59</f>
        <v>22.110168574539387</v>
      </c>
      <c r="OH16" s="183">
        <f>OH9*Supuestos!$H$59</f>
        <v>48.347180596595116</v>
      </c>
      <c r="OI16" s="183">
        <f>OI9*Supuestos!$H$59</f>
        <v>58.32689094057843</v>
      </c>
      <c r="OJ16" s="183">
        <f>OJ9*Supuestos!$H$59</f>
        <v>60.731989449530197</v>
      </c>
      <c r="OK16" s="183">
        <f>OK9*Supuestos!$H$59</f>
        <v>45.597734704085504</v>
      </c>
      <c r="OL16" s="183">
        <f>OL9*Supuestos!$H$59</f>
        <v>22.678111237434056</v>
      </c>
      <c r="OM16" s="183">
        <f>OM9*Supuestos!$H$59</f>
        <v>49.589071919083672</v>
      </c>
      <c r="ON16" s="183">
        <f>ON9*Supuestos!$H$59</f>
        <v>59.825130524210778</v>
      </c>
      <c r="OO16" s="183">
        <f>OO9*Supuestos!$H$59</f>
        <v>62.29200866397327</v>
      </c>
      <c r="OP16" s="183">
        <f>OP9*Supuestos!$H$59</f>
        <v>46.769001163791465</v>
      </c>
      <c r="OQ16" s="183">
        <f>OQ9*Supuestos!$H$59</f>
        <v>21.328813724796088</v>
      </c>
      <c r="OR16" s="183">
        <f>OR9*Supuestos!$H$59</f>
        <v>46.638631704115589</v>
      </c>
      <c r="OS16" s="183">
        <f>OS9*Supuestos!$H$59</f>
        <v>56.265667438223524</v>
      </c>
      <c r="OT16" s="183">
        <f>OT9*Supuestos!$H$59</f>
        <v>58.58577177909627</v>
      </c>
      <c r="OU16" s="183">
        <f>OU9*Supuestos!$H$59</f>
        <v>43.986348927978277</v>
      </c>
      <c r="OV16" s="183">
        <f>OV9*Supuestos!$H$59</f>
        <v>11.058751499887739</v>
      </c>
      <c r="OW16" s="183">
        <f>OW9*Supuestos!$H$59</f>
        <v>24.181609205531711</v>
      </c>
      <c r="OX16" s="183">
        <f>OX9*Supuestos!$H$59</f>
        <v>29.173119621334578</v>
      </c>
      <c r="OY16" s="183">
        <f>OY9*Supuestos!$H$59</f>
        <v>30.376067787631055</v>
      </c>
      <c r="OZ16" s="183">
        <f>OZ9*Supuestos!$H$59</f>
        <v>22.806430233686882</v>
      </c>
      <c r="PA16" s="183">
        <f>PA9*Supuestos!$I$59</f>
        <v>20.27689178637522</v>
      </c>
      <c r="PB16" s="183">
        <f>PB9*Supuestos!$I$59</f>
        <v>44.33844752601221</v>
      </c>
      <c r="PC16" s="183">
        <f>PC9*Supuestos!$I$59</f>
        <v>53.490684697887076</v>
      </c>
      <c r="PD16" s="183">
        <f>PD9*Supuestos!$I$59</f>
        <v>55.696363141141703</v>
      </c>
      <c r="PE16" s="183">
        <f>PE9*Supuestos!$I$59</f>
        <v>41.816973451901816</v>
      </c>
      <c r="PF16" s="183">
        <f>PF9*Supuestos!$I$59</f>
        <v>21.726907340892875</v>
      </c>
      <c r="PG16" s="183">
        <f>PG9*Supuestos!$I$59</f>
        <v>33.335191770013957</v>
      </c>
      <c r="PH16" s="183">
        <f>PH9*Supuestos!$I$59</f>
        <v>42.652645769024836</v>
      </c>
      <c r="PI16" s="183">
        <f>PI9*Supuestos!$I$59</f>
        <v>83.939474787422796</v>
      </c>
      <c r="PJ16" s="183">
        <f>PJ9*Supuestos!$I$59</f>
        <v>18.409871319284072</v>
      </c>
      <c r="PK16" s="183">
        <f>PK9*Supuestos!$I$59</f>
        <v>40.25592886968959</v>
      </c>
      <c r="PL16" s="183">
        <f>PL9*Supuestos!$I$59</f>
        <v>48.56546222385979</v>
      </c>
      <c r="PM16" s="183">
        <f>PM9*Supuestos!$I$59</f>
        <v>50.568050033660171</v>
      </c>
      <c r="PN16" s="183">
        <f>PN9*Supuestos!$I$59</f>
        <v>37.966622711313072</v>
      </c>
      <c r="PO16" s="183">
        <f>PO9*Supuestos!$I$59</f>
        <v>17.80947542964007</v>
      </c>
      <c r="PP16" s="183">
        <f>PP9*Supuestos!$I$59</f>
        <v>38.943073727576476</v>
      </c>
      <c r="PQ16" s="183">
        <f>PQ9*Supuestos!$I$59</f>
        <v>46.981610637275196</v>
      </c>
      <c r="PR16" s="183">
        <f>PR9*Supuestos!$I$59</f>
        <v>48.918888621232533</v>
      </c>
      <c r="PS16" s="183">
        <f>PS9*Supuestos!$I$59</f>
        <v>36.728428058878997</v>
      </c>
      <c r="PT16" s="183">
        <f>PT9*Supuestos!$I$59</f>
        <v>20.164719316668577</v>
      </c>
      <c r="PU16" s="183">
        <f>PU9*Supuestos!$I$59</f>
        <v>44.093165694144211</v>
      </c>
      <c r="PV16" s="183">
        <f>PV9*Supuestos!$I$59</f>
        <v>53.194772372069323</v>
      </c>
      <c r="PW16" s="183">
        <f>PW9*Supuestos!$I$59</f>
        <v>55.388248925558727</v>
      </c>
      <c r="PX16" s="183">
        <f>PX9*Supuestos!$I$59</f>
        <v>41.585640502198515</v>
      </c>
      <c r="PY16" s="183">
        <f>PY9*Supuestos!$I$59</f>
        <v>15.671115666893282</v>
      </c>
      <c r="PZ16" s="183">
        <f>PZ9*Supuestos!$I$59</f>
        <v>34.267231239923028</v>
      </c>
      <c r="QA16" s="183">
        <f>QA9*Supuestos!$I$59</f>
        <v>41.340591833959664</v>
      </c>
      <c r="QB16" s="183">
        <f>QB9*Supuestos!$I$59</f>
        <v>43.045263455842175</v>
      </c>
      <c r="QC16" s="183">
        <f>QC9*Supuestos!$I$59</f>
        <v>32.318495098173351</v>
      </c>
      <c r="QD16" s="183">
        <f>QD9*Supuestos!$I$59</f>
        <v>20.381907831095038</v>
      </c>
      <c r="QE16" s="183">
        <f>QE9*Supuestos!$I$59</f>
        <v>44.568080767499836</v>
      </c>
      <c r="QF16" s="183">
        <f>QF9*Supuestos!$I$59</f>
        <v>53.767718288415068</v>
      </c>
      <c r="QG16" s="183">
        <f>QG9*Supuestos!$I$59</f>
        <v>55.984820160293509</v>
      </c>
      <c r="QH16" s="183">
        <f>QH9*Supuestos!$I$59</f>
        <v>42.033547727700004</v>
      </c>
      <c r="QI16" s="183">
        <f>QI9*Supuestos!$I$59</f>
        <v>22.624058645370013</v>
      </c>
      <c r="QJ16" s="183">
        <f>QJ9*Supuestos!$I$59</f>
        <v>49.470877866359714</v>
      </c>
      <c r="QK16" s="183">
        <f>QK9*Supuestos!$I$59</f>
        <v>59.682539135468232</v>
      </c>
      <c r="QL16" s="183">
        <f>QL9*Supuestos!$I$59</f>
        <v>62.143537545813935</v>
      </c>
      <c r="QM16" s="183">
        <f>QM9*Supuestos!$I$59</f>
        <v>46.65752866439847</v>
      </c>
      <c r="QN16" s="183">
        <f>QN9*Supuestos!$I$59</f>
        <v>21.604793292835637</v>
      </c>
      <c r="QO16" s="183">
        <f>QO9*Supuestos!$I$59</f>
        <v>47.242102182958661</v>
      </c>
      <c r="QP16" s="183">
        <f>QP9*Supuestos!$I$59</f>
        <v>56.993704861936649</v>
      </c>
      <c r="QQ16" s="183">
        <f>QQ9*Supuestos!$I$59</f>
        <v>59.343829690683805</v>
      </c>
      <c r="QR16" s="183">
        <f>QR9*Supuestos!$I$59</f>
        <v>44.555500767992129</v>
      </c>
      <c r="QS16" s="183">
        <f>QS9*Supuestos!$I$59</f>
        <v>22.159754409149855</v>
      </c>
      <c r="QT16" s="183">
        <f>QT9*Supuestos!$I$59</f>
        <v>48.455607418076049</v>
      </c>
      <c r="QU16" s="183">
        <f>QU9*Supuestos!$I$59</f>
        <v>58.457698969371677</v>
      </c>
      <c r="QV16" s="183">
        <f>QV9*Supuestos!$I$59</f>
        <v>60.868191323082456</v>
      </c>
      <c r="QW16" s="183">
        <f>QW9*Supuestos!$I$59</f>
        <v>45.699995422904813</v>
      </c>
      <c r="QX16" s="183">
        <f>QX9*Supuestos!$I$59</f>
        <v>20.841297982515037</v>
      </c>
      <c r="QY16" s="183">
        <f>QY9*Supuestos!$I$59</f>
        <v>45.572605836592963</v>
      </c>
      <c r="QZ16" s="183">
        <f>QZ9*Supuestos!$I$59</f>
        <v>54.979595039635555</v>
      </c>
      <c r="RA16" s="183">
        <f>RA9*Supuestos!$I$59</f>
        <v>57.246668424145504</v>
      </c>
      <c r="RB16" s="183">
        <f>RB9*Supuestos!$I$59</f>
        <v>42.980946666767352</v>
      </c>
      <c r="RC16" s="183">
        <f>RC9*Supuestos!$I$59</f>
        <v>10.805980037033166</v>
      </c>
      <c r="RD16" s="183">
        <f>RD9*Supuestos!$I$59</f>
        <v>23.628886709405272</v>
      </c>
      <c r="RE16" s="183">
        <f>RE9*Supuestos!$I$59</f>
        <v>28.506305458561222</v>
      </c>
      <c r="RF16" s="183">
        <f>RF9*Supuestos!$I$59</f>
        <v>29.68175766677092</v>
      </c>
      <c r="RG16" s="183">
        <f>RG9*Supuestos!$I$59</f>
        <v>22.285140399774047</v>
      </c>
      <c r="RH16" s="183">
        <f>RH9*Supuestos!$J$59</f>
        <v>19.263047197056462</v>
      </c>
      <c r="RI16" s="183">
        <f>RI9*Supuestos!$J$59</f>
        <v>42.121525149711594</v>
      </c>
      <c r="RJ16" s="183">
        <f>RJ9*Supuestos!$J$59</f>
        <v>50.816150462992731</v>
      </c>
      <c r="RK16" s="183">
        <f>RK9*Supuestos!$J$59</f>
        <v>52.911544984084621</v>
      </c>
      <c r="RL16" s="183">
        <f>RL9*Supuestos!$J$59</f>
        <v>39.72612477930673</v>
      </c>
      <c r="RM16" s="183">
        <f>RM9*Supuestos!$J$59</f>
        <v>20.640561973848225</v>
      </c>
      <c r="RN16" s="183">
        <f>RN9*Supuestos!$J$59</f>
        <v>31.668432181513264</v>
      </c>
      <c r="RO16" s="183">
        <f>RO9*Supuestos!$J$59</f>
        <v>40.520013480573596</v>
      </c>
      <c r="RP16" s="183">
        <f>RP9*Supuestos!$J$59</f>
        <v>79.742501048051651</v>
      </c>
      <c r="RQ16" s="183">
        <f>RQ9*Supuestos!$J$59</f>
        <v>17.489377753319868</v>
      </c>
      <c r="RR16" s="183">
        <f>RR9*Supuestos!$J$59</f>
        <v>38.243132426205115</v>
      </c>
      <c r="RS16" s="183">
        <f>RS9*Supuestos!$J$59</f>
        <v>46.137189112666803</v>
      </c>
      <c r="RT16" s="183">
        <f>RT9*Supuestos!$J$59</f>
        <v>48.039647531977174</v>
      </c>
      <c r="RU16" s="183">
        <f>RU9*Supuestos!$J$59</f>
        <v>36.068291575747416</v>
      </c>
      <c r="RV16" s="183">
        <f>RV9*Supuestos!$J$59</f>
        <v>16.919001658158066</v>
      </c>
      <c r="RW16" s="183">
        <f>RW9*Supuestos!$J$59</f>
        <v>36.99592004119765</v>
      </c>
      <c r="RX16" s="183">
        <f>RX9*Supuestos!$J$59</f>
        <v>44.632530105411433</v>
      </c>
      <c r="RY16" s="183">
        <f>RY9*Supuestos!$J$59</f>
        <v>46.472944190170914</v>
      </c>
      <c r="RZ16" s="183">
        <f>RZ9*Supuestos!$J$59</f>
        <v>34.892006655935049</v>
      </c>
      <c r="SA16" s="183">
        <f>SA9*Supuestos!$J$59</f>
        <v>19.156483350835146</v>
      </c>
      <c r="SB16" s="183">
        <f>SB9*Supuestos!$J$59</f>
        <v>41.888507409436997</v>
      </c>
      <c r="SC16" s="183">
        <f>SC9*Supuestos!$J$59</f>
        <v>50.535033753465854</v>
      </c>
      <c r="SD16" s="183">
        <f>SD9*Supuestos!$J$59</f>
        <v>52.618836479280787</v>
      </c>
      <c r="SE16" s="183">
        <f>SE9*Supuestos!$J$59</f>
        <v>39.50635847708859</v>
      </c>
      <c r="SF16" s="183">
        <f>SF9*Supuestos!$J$59</f>
        <v>14.887559883548619</v>
      </c>
      <c r="SG16" s="183">
        <f>SG9*Supuestos!$J$59</f>
        <v>32.553869677926876</v>
      </c>
      <c r="SH16" s="183">
        <f>SH9*Supuestos!$J$59</f>
        <v>39.273562242261669</v>
      </c>
      <c r="SI16" s="183">
        <f>SI9*Supuestos!$J$59</f>
        <v>40.893000283050064</v>
      </c>
      <c r="SJ16" s="183">
        <f>SJ9*Supuestos!$J$59</f>
        <v>30.702570343264689</v>
      </c>
      <c r="SK16" s="183">
        <f>SK9*Supuestos!$J$59</f>
        <v>19.362812439540285</v>
      </c>
      <c r="SL16" s="183">
        <f>SL9*Supuestos!$J$59</f>
        <v>42.339676729124839</v>
      </c>
      <c r="SM16" s="183">
        <f>SM9*Supuestos!$J$59</f>
        <v>51.079332373994312</v>
      </c>
      <c r="SN16" s="183">
        <f>SN9*Supuestos!$J$59</f>
        <v>53.185579152278841</v>
      </c>
      <c r="SO16" s="183">
        <f>SO9*Supuestos!$J$59</f>
        <v>39.931870341315005</v>
      </c>
      <c r="SP16" s="183">
        <f>SP9*Supuestos!$J$59</f>
        <v>21.492855713101509</v>
      </c>
      <c r="SQ16" s="183">
        <f>SQ9*Supuestos!$J$59</f>
        <v>46.997333973041734</v>
      </c>
      <c r="SR16" s="183">
        <f>SR9*Supuestos!$J$59</f>
        <v>56.698412178694824</v>
      </c>
      <c r="SS16" s="183">
        <f>SS9*Supuestos!$J$59</f>
        <v>59.036360668523251</v>
      </c>
      <c r="ST16" s="183">
        <f>ST9*Supuestos!$J$59</f>
        <v>44.324652231178554</v>
      </c>
      <c r="SU16" s="183">
        <f>SU9*Supuestos!$J$59</f>
        <v>20.524553628193853</v>
      </c>
      <c r="SV16" s="183">
        <f>SV9*Supuestos!$J$59</f>
        <v>44.879997073810728</v>
      </c>
      <c r="SW16" s="183">
        <f>SW9*Supuestos!$J$59</f>
        <v>54.144019618839813</v>
      </c>
      <c r="SX16" s="183">
        <f>SX9*Supuestos!$J$59</f>
        <v>56.376638206149607</v>
      </c>
      <c r="SY16" s="183">
        <f>SY9*Supuestos!$J$59</f>
        <v>42.327725729592522</v>
      </c>
      <c r="SZ16" s="183">
        <f>SZ9*Supuestos!$J$59</f>
        <v>21.051766688692361</v>
      </c>
      <c r="TA16" s="183">
        <f>TA9*Supuestos!$J$59</f>
        <v>46.03282704717224</v>
      </c>
      <c r="TB16" s="183">
        <f>TB9*Supuestos!$J$59</f>
        <v>55.534814020903099</v>
      </c>
      <c r="TC16" s="183">
        <f>TC9*Supuestos!$J$59</f>
        <v>57.824781756928353</v>
      </c>
      <c r="TD16" s="183">
        <f>TD9*Supuestos!$J$59</f>
        <v>43.414995651759575</v>
      </c>
      <c r="TE16" s="183">
        <f>TE9*Supuestos!$J$59</f>
        <v>19.799233083389286</v>
      </c>
      <c r="TF16" s="183">
        <f>TF9*Supuestos!$J$59</f>
        <v>43.293975544763299</v>
      </c>
      <c r="TG16" s="183">
        <f>TG9*Supuestos!$J$59</f>
        <v>52.230615287653784</v>
      </c>
      <c r="TH16" s="183">
        <f>TH9*Supuestos!$J$59</f>
        <v>54.384335002938222</v>
      </c>
      <c r="TI16" s="183">
        <f>TI9*Supuestos!$J$59</f>
        <v>40.831899333428979</v>
      </c>
      <c r="TJ16" s="183">
        <f>TJ9*Supuestos!$J$59</f>
        <v>10.265681035181506</v>
      </c>
      <c r="TK16" s="183">
        <f>TK9*Supuestos!$J$59</f>
        <v>22.447442373935015</v>
      </c>
      <c r="TL16" s="183">
        <f>TL9*Supuestos!$J$59</f>
        <v>27.080990185633166</v>
      </c>
      <c r="TM16" s="183">
        <f>TM9*Supuestos!$J$59</f>
        <v>28.197669783432385</v>
      </c>
      <c r="TN16" s="183">
        <f>TN9*Supuestos!$J$59</f>
        <v>21.170883379785348</v>
      </c>
    </row>
    <row r="17" spans="1:534" x14ac:dyDescent="0.3">
      <c r="A17" s="184" t="s">
        <v>383</v>
      </c>
      <c r="B17" s="185">
        <f t="shared" ref="B17:BM17" si="43">B15+B11-B16</f>
        <v>178.81629220999997</v>
      </c>
      <c r="C17" s="185">
        <f t="shared" si="43"/>
        <v>1836.2723083200001</v>
      </c>
      <c r="D17" s="185">
        <f t="shared" si="43"/>
        <v>2193.2859692045181</v>
      </c>
      <c r="E17" s="185">
        <f t="shared" si="43"/>
        <v>2443.6245598706269</v>
      </c>
      <c r="F17" s="185">
        <f t="shared" si="43"/>
        <v>2471.7938182323255</v>
      </c>
      <c r="G17" s="185">
        <f t="shared" si="43"/>
        <v>1495.5950982283807</v>
      </c>
      <c r="H17" s="185">
        <f t="shared" si="43"/>
        <v>1468.5412059936896</v>
      </c>
      <c r="I17" s="185">
        <f t="shared" si="43"/>
        <v>2087.4731556360962</v>
      </c>
      <c r="J17" s="185">
        <f t="shared" si="43"/>
        <v>3012.2016936300038</v>
      </c>
      <c r="K17" s="185">
        <f t="shared" si="43"/>
        <v>2792.8403050555526</v>
      </c>
      <c r="L17" s="185">
        <f t="shared" si="43"/>
        <v>1739.9724426987002</v>
      </c>
      <c r="M17" s="185">
        <f t="shared" si="43"/>
        <v>1987.3034519029898</v>
      </c>
      <c r="N17" s="185">
        <f t="shared" si="43"/>
        <v>2915.505200896027</v>
      </c>
      <c r="O17" s="185">
        <f t="shared" si="43"/>
        <v>2701.1035219732053</v>
      </c>
      <c r="P17" s="185">
        <f t="shared" si="43"/>
        <v>1822.7240072698423</v>
      </c>
      <c r="Q17" s="185">
        <f t="shared" si="43"/>
        <v>2001.5052939123232</v>
      </c>
      <c r="R17" s="185">
        <f t="shared" si="43"/>
        <v>2629.212674783917</v>
      </c>
      <c r="S17" s="185">
        <f t="shared" si="43"/>
        <v>2574.3390762805075</v>
      </c>
      <c r="T17" s="185">
        <f t="shared" si="43"/>
        <v>2280.7051404865456</v>
      </c>
      <c r="U17" s="185">
        <f t="shared" si="43"/>
        <v>2092.3209120048523</v>
      </c>
      <c r="V17" s="185">
        <f t="shared" si="43"/>
        <v>1404.2206897196534</v>
      </c>
      <c r="W17" s="185">
        <f t="shared" si="43"/>
        <v>2288.3971418109395</v>
      </c>
      <c r="X17" s="185">
        <f t="shared" si="43"/>
        <v>2950.1911488286401</v>
      </c>
      <c r="Y17" s="185">
        <f t="shared" si="43"/>
        <v>2980.1127096463347</v>
      </c>
      <c r="Z17" s="185">
        <f t="shared" si="43"/>
        <v>1846.7836026690738</v>
      </c>
      <c r="AA17" s="185">
        <f t="shared" si="43"/>
        <v>1634.0205756086727</v>
      </c>
      <c r="AB17" s="185">
        <f t="shared" si="43"/>
        <v>2088.7355836176616</v>
      </c>
      <c r="AC17" s="185">
        <f t="shared" si="43"/>
        <v>2099.8840961843462</v>
      </c>
      <c r="AD17" s="185">
        <f t="shared" si="43"/>
        <v>2610.1049582337728</v>
      </c>
      <c r="AE17" s="185">
        <f t="shared" si="43"/>
        <v>2144.8447270946072</v>
      </c>
      <c r="AF17" s="185">
        <f t="shared" si="43"/>
        <v>2094.9653592630411</v>
      </c>
      <c r="AG17" s="185">
        <f t="shared" si="43"/>
        <v>2153.987685000538</v>
      </c>
      <c r="AH17" s="185">
        <f t="shared" si="43"/>
        <v>2821.2935011388754</v>
      </c>
      <c r="AI17" s="185">
        <f t="shared" si="43"/>
        <v>2156.5406513874836</v>
      </c>
      <c r="AJ17" s="185">
        <f t="shared" si="43"/>
        <v>2246.8735424199976</v>
      </c>
      <c r="AK17" s="185">
        <f t="shared" si="43"/>
        <v>2705.8837287640508</v>
      </c>
      <c r="AL17" s="185">
        <f t="shared" si="43"/>
        <v>3495.1278735719607</v>
      </c>
      <c r="AM17" s="185">
        <f t="shared" si="43"/>
        <v>4148.7860848774744</v>
      </c>
      <c r="AN17" s="185">
        <f t="shared" si="43"/>
        <v>2209.2786464907313</v>
      </c>
      <c r="AO17" s="185">
        <f t="shared" si="43"/>
        <v>2100.3497758829844</v>
      </c>
      <c r="AP17" s="185">
        <f t="shared" si="43"/>
        <v>1581.0414004933002</v>
      </c>
      <c r="AQ17" s="185">
        <f t="shared" si="43"/>
        <v>2987.4035640890961</v>
      </c>
      <c r="AR17" s="185">
        <f t="shared" si="43"/>
        <v>3230.1624507647298</v>
      </c>
      <c r="AS17" s="185">
        <f t="shared" si="43"/>
        <v>3009.5024675816417</v>
      </c>
      <c r="AT17" s="185">
        <f t="shared" si="43"/>
        <v>1917.4196380475337</v>
      </c>
      <c r="AU17" s="185">
        <f t="shared" si="43"/>
        <v>2105.6039699444518</v>
      </c>
      <c r="AV17" s="185">
        <f t="shared" si="43"/>
        <v>2883.7428218342925</v>
      </c>
      <c r="AW17" s="185">
        <f t="shared" si="43"/>
        <v>3288.7149989893646</v>
      </c>
      <c r="AX17" s="185">
        <f t="shared" si="43"/>
        <v>2896.9892091274551</v>
      </c>
      <c r="AY17" s="185">
        <f t="shared" si="43"/>
        <v>2049.6095291920014</v>
      </c>
      <c r="AZ17" s="185">
        <f t="shared" si="43"/>
        <v>2040.1306760459602</v>
      </c>
      <c r="BA17" s="185">
        <f t="shared" si="43"/>
        <v>2901.4839702272902</v>
      </c>
      <c r="BB17" s="185">
        <f t="shared" si="43"/>
        <v>3089.4984950829294</v>
      </c>
      <c r="BC17" s="185">
        <f t="shared" si="43"/>
        <v>2809.4677200529941</v>
      </c>
      <c r="BD17" s="185">
        <f t="shared" si="43"/>
        <v>1686.1264426738371</v>
      </c>
      <c r="BE17" s="185">
        <f t="shared" si="43"/>
        <v>1255.5818565030022</v>
      </c>
      <c r="BF17" s="185">
        <f t="shared" si="43"/>
        <v>1732.5587916353809</v>
      </c>
      <c r="BG17" s="185">
        <f t="shared" si="43"/>
        <v>1803.4675400256374</v>
      </c>
      <c r="BH17" s="185">
        <f t="shared" si="43"/>
        <v>1658.0687265583881</v>
      </c>
      <c r="BI17" s="185">
        <f t="shared" si="43"/>
        <v>1550.4725449327843</v>
      </c>
      <c r="BJ17" s="185">
        <f t="shared" si="43"/>
        <v>2205.8562371819744</v>
      </c>
      <c r="BK17" s="185">
        <f t="shared" si="43"/>
        <v>3119.0229791939255</v>
      </c>
      <c r="BL17" s="185">
        <f t="shared" si="43"/>
        <v>3324.2522773598903</v>
      </c>
      <c r="BM17" s="185">
        <f t="shared" si="43"/>
        <v>2992.5932011293526</v>
      </c>
      <c r="BN17" s="185">
        <f t="shared" ref="BN17:DY17" si="44">BN15+BN11-BN16</f>
        <v>2050.6334495097321</v>
      </c>
      <c r="BO17" s="185">
        <f t="shared" si="44"/>
        <v>1957.292629245396</v>
      </c>
      <c r="BP17" s="185">
        <f t="shared" si="44"/>
        <v>2677.8892546244288</v>
      </c>
      <c r="BQ17" s="185">
        <f t="shared" si="44"/>
        <v>4245.1753809090624</v>
      </c>
      <c r="BR17" s="185">
        <f t="shared" si="44"/>
        <v>3257.3876999863137</v>
      </c>
      <c r="BS17" s="185">
        <f t="shared" si="44"/>
        <v>2292.7355969450286</v>
      </c>
      <c r="BT17" s="185">
        <f t="shared" si="44"/>
        <v>3002.0633394520119</v>
      </c>
      <c r="BU17" s="185">
        <f t="shared" si="44"/>
        <v>3399.7630373233746</v>
      </c>
      <c r="BV17" s="185">
        <f t="shared" si="44"/>
        <v>2864.7670409004422</v>
      </c>
      <c r="BW17" s="185">
        <f t="shared" si="44"/>
        <v>2281.5572389591316</v>
      </c>
      <c r="BX17" s="185">
        <f t="shared" si="44"/>
        <v>2082.7621426082746</v>
      </c>
      <c r="BY17" s="185">
        <f t="shared" si="44"/>
        <v>3168.4414624825149</v>
      </c>
      <c r="BZ17" s="185">
        <f t="shared" si="44"/>
        <v>3197.3284136616644</v>
      </c>
      <c r="CA17" s="185">
        <f t="shared" si="44"/>
        <v>2905.7440087167065</v>
      </c>
      <c r="CB17" s="185">
        <f t="shared" si="44"/>
        <v>2084.3261025609568</v>
      </c>
      <c r="CC17" s="185">
        <f t="shared" si="44"/>
        <v>2326.7876422084692</v>
      </c>
      <c r="CD17" s="185">
        <f t="shared" si="44"/>
        <v>3302.4190891865101</v>
      </c>
      <c r="CE17" s="185">
        <f t="shared" si="44"/>
        <v>3540.670555304052</v>
      </c>
      <c r="CF17" s="185">
        <f t="shared" si="44"/>
        <v>3210.6063075519742</v>
      </c>
      <c r="CG17" s="185">
        <f t="shared" si="44"/>
        <v>2062.3796819472977</v>
      </c>
      <c r="CH17" s="185">
        <f t="shared" si="44"/>
        <v>1929.2704194879525</v>
      </c>
      <c r="CI17" s="185">
        <f t="shared" si="44"/>
        <v>2728.3665932158665</v>
      </c>
      <c r="CJ17" s="185">
        <f t="shared" si="44"/>
        <v>2917.2887127837498</v>
      </c>
      <c r="CK17" s="185">
        <f t="shared" si="44"/>
        <v>2660.6083344537451</v>
      </c>
      <c r="CL17" s="185">
        <f t="shared" si="44"/>
        <v>2010.6163044252264</v>
      </c>
      <c r="CM17" s="185">
        <f t="shared" si="44"/>
        <v>2337.513720345918</v>
      </c>
      <c r="CN17" s="185">
        <f t="shared" si="44"/>
        <v>3301.0531713388305</v>
      </c>
      <c r="CO17" s="185">
        <f t="shared" si="44"/>
        <v>3517.7739270377433</v>
      </c>
      <c r="CP17" s="185">
        <f t="shared" si="44"/>
        <v>3182.8921711983521</v>
      </c>
      <c r="CQ17" s="185">
        <f t="shared" si="44"/>
        <v>2295.0083490412044</v>
      </c>
      <c r="CR17" s="185">
        <f t="shared" si="44"/>
        <v>2562.9196172938246</v>
      </c>
      <c r="CS17" s="185">
        <f t="shared" si="44"/>
        <v>3673.9121254420866</v>
      </c>
      <c r="CT17" s="185">
        <f t="shared" si="44"/>
        <v>3994.9089455696007</v>
      </c>
      <c r="CU17" s="185">
        <f t="shared" si="44"/>
        <v>3612.6549655025424</v>
      </c>
      <c r="CV17" s="185">
        <f t="shared" si="44"/>
        <v>2480.2402582048371</v>
      </c>
      <c r="CW17" s="185">
        <f t="shared" si="44"/>
        <v>2546.8772847157097</v>
      </c>
      <c r="CX17" s="185">
        <f t="shared" si="44"/>
        <v>3636.4239701285064</v>
      </c>
      <c r="CY17" s="185">
        <f t="shared" si="44"/>
        <v>3886.320217986542</v>
      </c>
      <c r="CZ17" s="185">
        <f t="shared" si="44"/>
        <v>3532.5894480348156</v>
      </c>
      <c r="DA17" s="185">
        <f t="shared" si="44"/>
        <v>2462.5944071708004</v>
      </c>
      <c r="DB17" s="185">
        <f t="shared" si="44"/>
        <v>2609.3540820639146</v>
      </c>
      <c r="DC17" s="185">
        <f t="shared" si="44"/>
        <v>3691.3012047809334</v>
      </c>
      <c r="DD17" s="185">
        <f t="shared" si="44"/>
        <v>3944.22994320014</v>
      </c>
      <c r="DE17" s="185">
        <f t="shared" si="44"/>
        <v>3581.4557414743595</v>
      </c>
      <c r="DF17" s="185">
        <f t="shared" si="44"/>
        <v>2428.5915497734472</v>
      </c>
      <c r="DG17" s="185">
        <f t="shared" si="44"/>
        <v>2481.9590747639327</v>
      </c>
      <c r="DH17" s="185">
        <f t="shared" si="44"/>
        <v>3513.2624420059133</v>
      </c>
      <c r="DI17" s="185">
        <f t="shared" si="44"/>
        <v>3757.7607775172114</v>
      </c>
      <c r="DJ17" s="185">
        <f t="shared" si="44"/>
        <v>3416.521585836942</v>
      </c>
      <c r="DK17" s="185">
        <f t="shared" si="44"/>
        <v>2049.4024700012114</v>
      </c>
      <c r="DL17" s="185">
        <f t="shared" si="44"/>
        <v>1527.1912771740708</v>
      </c>
      <c r="DM17" s="185">
        <f t="shared" si="44"/>
        <v>2107.0607665729253</v>
      </c>
      <c r="DN17" s="185">
        <f t="shared" si="44"/>
        <v>2193.2974411504183</v>
      </c>
      <c r="DO17" s="185">
        <f t="shared" si="44"/>
        <v>2016.1184606761706</v>
      </c>
      <c r="DP17" s="185">
        <f t="shared" si="44"/>
        <v>1856.6555558304731</v>
      </c>
      <c r="DQ17" s="185">
        <f t="shared" si="44"/>
        <v>2597.9983258093953</v>
      </c>
      <c r="DR17" s="185">
        <f t="shared" si="44"/>
        <v>3668.2856031954061</v>
      </c>
      <c r="DS17" s="185">
        <f t="shared" si="44"/>
        <v>3904.4339305568637</v>
      </c>
      <c r="DT17" s="185">
        <f t="shared" si="44"/>
        <v>3515.2417364417174</v>
      </c>
      <c r="DU17" s="185">
        <f t="shared" si="44"/>
        <v>2238.3424280025506</v>
      </c>
      <c r="DV17" s="185">
        <f t="shared" si="44"/>
        <v>2310.7161554897834</v>
      </c>
      <c r="DW17" s="185">
        <f t="shared" si="44"/>
        <v>3346.2282348269873</v>
      </c>
      <c r="DX17" s="185">
        <f t="shared" si="44"/>
        <v>3672.3258007496884</v>
      </c>
      <c r="DY17" s="185">
        <f t="shared" si="44"/>
        <v>3344.0492969209249</v>
      </c>
      <c r="DZ17" s="185">
        <f t="shared" ref="DZ17:GK17" si="45">DZ15+DZ11-DZ16</f>
        <v>2378.1912524585277</v>
      </c>
      <c r="EA17" s="185">
        <f t="shared" si="45"/>
        <v>2544.620061383439</v>
      </c>
      <c r="EB17" s="185">
        <f t="shared" si="45"/>
        <v>3584.344596067609</v>
      </c>
      <c r="EC17" s="185">
        <f t="shared" si="45"/>
        <v>3811.455158469224</v>
      </c>
      <c r="ED17" s="185">
        <f t="shared" si="45"/>
        <v>3457.8259975766136</v>
      </c>
      <c r="EE17" s="185">
        <f t="shared" si="45"/>
        <v>2356.5738551400104</v>
      </c>
      <c r="EF17" s="185">
        <f t="shared" si="45"/>
        <v>2459.3562892648806</v>
      </c>
      <c r="EG17" s="185">
        <f t="shared" si="45"/>
        <v>3490.5007982343222</v>
      </c>
      <c r="EH17" s="185">
        <f t="shared" si="45"/>
        <v>3744.8935375693673</v>
      </c>
      <c r="EI17" s="185">
        <f t="shared" si="45"/>
        <v>3402.7381862143998</v>
      </c>
      <c r="EJ17" s="185">
        <f t="shared" si="45"/>
        <v>2440.3183218505592</v>
      </c>
      <c r="EK17" s="185">
        <f t="shared" si="45"/>
        <v>2725.9643419630206</v>
      </c>
      <c r="EL17" s="185">
        <f t="shared" si="45"/>
        <v>3868.2009448299409</v>
      </c>
      <c r="EM17" s="185">
        <f t="shared" si="45"/>
        <v>4147.1353814984814</v>
      </c>
      <c r="EN17" s="185">
        <f t="shared" si="45"/>
        <v>3759.8261561121863</v>
      </c>
      <c r="EO17" s="185">
        <f t="shared" si="45"/>
        <v>2414.2718044453545</v>
      </c>
      <c r="EP17" s="185">
        <f t="shared" si="45"/>
        <v>2260.0618689646112</v>
      </c>
      <c r="EQ17" s="185">
        <f t="shared" si="45"/>
        <v>3195.5855565507845</v>
      </c>
      <c r="ER17" s="185">
        <f t="shared" si="45"/>
        <v>3416.7644963670068</v>
      </c>
      <c r="ES17" s="185">
        <f t="shared" si="45"/>
        <v>3115.5671166246325</v>
      </c>
      <c r="ET17" s="185">
        <f t="shared" si="45"/>
        <v>2354.0957027626437</v>
      </c>
      <c r="EU17" s="185">
        <f t="shared" si="45"/>
        <v>2738.552873548882</v>
      </c>
      <c r="EV17" s="185">
        <f t="shared" si="45"/>
        <v>3866.6498955631196</v>
      </c>
      <c r="EW17" s="185">
        <f t="shared" si="45"/>
        <v>4120.3953421548622</v>
      </c>
      <c r="EX17" s="185">
        <f t="shared" si="45"/>
        <v>3728.98748070083</v>
      </c>
      <c r="EY17" s="185">
        <f t="shared" si="45"/>
        <v>2627.5995342967649</v>
      </c>
      <c r="EZ17" s="185">
        <f t="shared" si="45"/>
        <v>3002.6805985834299</v>
      </c>
      <c r="FA17" s="185">
        <f t="shared" si="45"/>
        <v>4303.3808477754492</v>
      </c>
      <c r="FB17" s="185">
        <f t="shared" si="45"/>
        <v>4665.1987619912079</v>
      </c>
      <c r="FC17" s="185">
        <f t="shared" si="45"/>
        <v>4230.6398044484367</v>
      </c>
      <c r="FD17" s="185">
        <f t="shared" si="45"/>
        <v>2868.7797866868887</v>
      </c>
      <c r="FE17" s="185">
        <f t="shared" si="45"/>
        <v>2983.7279478945775</v>
      </c>
      <c r="FF17" s="185">
        <f t="shared" si="45"/>
        <v>4238.3729346396849</v>
      </c>
      <c r="FG17" s="185">
        <f t="shared" si="45"/>
        <v>4551.8704868695622</v>
      </c>
      <c r="FH17" s="185">
        <f t="shared" si="45"/>
        <v>4136.7904413418655</v>
      </c>
      <c r="FI17" s="185">
        <f t="shared" si="45"/>
        <v>2883.0561551272172</v>
      </c>
      <c r="FJ17" s="185">
        <f t="shared" si="45"/>
        <v>3056.9255053017214</v>
      </c>
      <c r="FK17" s="185">
        <f t="shared" si="45"/>
        <v>4323.6254347869581</v>
      </c>
      <c r="FL17" s="185">
        <f t="shared" si="45"/>
        <v>4619.7501105887204</v>
      </c>
      <c r="FM17" s="185">
        <f t="shared" si="45"/>
        <v>4194.0580391005706</v>
      </c>
      <c r="FN17" s="185">
        <f t="shared" si="45"/>
        <v>2843.1644844201701</v>
      </c>
      <c r="FO17" s="185">
        <f t="shared" si="45"/>
        <v>2907.6364724144669</v>
      </c>
      <c r="FP17" s="185">
        <f t="shared" si="45"/>
        <v>4115.0343129531939</v>
      </c>
      <c r="FQ17" s="185">
        <f t="shared" si="45"/>
        <v>4401.2836337051358</v>
      </c>
      <c r="FR17" s="185">
        <f t="shared" si="45"/>
        <v>4000.8616734171082</v>
      </c>
      <c r="FS17" s="185">
        <f t="shared" si="45"/>
        <v>2398.6887352198414</v>
      </c>
      <c r="FT17" s="185">
        <f t="shared" si="45"/>
        <v>1788.7552004754828</v>
      </c>
      <c r="FU17" s="185">
        <f t="shared" si="45"/>
        <v>2467.6032435313682</v>
      </c>
      <c r="FV17" s="185">
        <f t="shared" si="45"/>
        <v>2568.5967307685337</v>
      </c>
      <c r="FW17" s="185">
        <f t="shared" si="45"/>
        <v>2360.6895997431611</v>
      </c>
      <c r="FX17" s="185">
        <f t="shared" si="45"/>
        <v>2170.4710622681405</v>
      </c>
      <c r="FY17" s="185">
        <f t="shared" si="45"/>
        <v>3032.7350730196108</v>
      </c>
      <c r="FZ17" s="185">
        <f t="shared" si="45"/>
        <v>4280.6483756412217</v>
      </c>
      <c r="GA17" s="185">
        <f t="shared" si="45"/>
        <v>4555.411894128868</v>
      </c>
      <c r="GB17" s="185">
        <f t="shared" si="45"/>
        <v>4100.6730178983944</v>
      </c>
      <c r="GC17" s="185">
        <f t="shared" si="45"/>
        <v>2811.5012675314779</v>
      </c>
      <c r="GD17" s="185">
        <f t="shared" si="45"/>
        <v>2679.7971300751669</v>
      </c>
      <c r="GE17" s="185">
        <f t="shared" si="45"/>
        <v>3662.4125713983954</v>
      </c>
      <c r="GF17" s="185">
        <f t="shared" si="45"/>
        <v>5802.4555421892201</v>
      </c>
      <c r="GG17" s="185">
        <f t="shared" si="45"/>
        <v>4443.5066608835969</v>
      </c>
      <c r="GH17" s="185">
        <f t="shared" si="45"/>
        <v>3132.8197862647125</v>
      </c>
      <c r="GI17" s="185">
        <f t="shared" si="45"/>
        <v>4101.2597295075302</v>
      </c>
      <c r="GJ17" s="185">
        <f t="shared" si="45"/>
        <v>4643.7276749089724</v>
      </c>
      <c r="GK17" s="185">
        <f t="shared" si="45"/>
        <v>3912.0889848266793</v>
      </c>
      <c r="GL17" s="185">
        <f t="shared" ref="GL17:IW17" si="46">GL15+GL11-GL16</f>
        <v>3113.2860121485051</v>
      </c>
      <c r="GM17" s="185">
        <f t="shared" si="46"/>
        <v>2846.3641384354837</v>
      </c>
      <c r="GN17" s="185">
        <f t="shared" si="46"/>
        <v>4327.7382200814181</v>
      </c>
      <c r="GO17" s="185">
        <f t="shared" si="46"/>
        <v>4367.4834482950955</v>
      </c>
      <c r="GP17" s="185">
        <f t="shared" si="46"/>
        <v>3967.7056027982453</v>
      </c>
      <c r="GQ17" s="185">
        <f t="shared" si="46"/>
        <v>2844.9009958160914</v>
      </c>
      <c r="GR17" s="185">
        <f t="shared" si="46"/>
        <v>3179.969021061585</v>
      </c>
      <c r="GS17" s="185">
        <f t="shared" si="46"/>
        <v>4511.5458619380925</v>
      </c>
      <c r="GT17" s="185">
        <f t="shared" si="46"/>
        <v>4836.714438484275</v>
      </c>
      <c r="GU17" s="185">
        <f t="shared" si="46"/>
        <v>4384.1780162326768</v>
      </c>
      <c r="GV17" s="185">
        <f t="shared" si="46"/>
        <v>2814.1266788794123</v>
      </c>
      <c r="GW17" s="185">
        <f t="shared" si="46"/>
        <v>2636.252109404491</v>
      </c>
      <c r="GX17" s="185">
        <f t="shared" si="46"/>
        <v>3726.8142618804427</v>
      </c>
      <c r="GY17" s="185">
        <f t="shared" si="46"/>
        <v>3984.6508965752355</v>
      </c>
      <c r="GZ17" s="185">
        <f t="shared" si="46"/>
        <v>3632.7291914582165</v>
      </c>
      <c r="HA17" s="185">
        <f t="shared" si="46"/>
        <v>2744.4724336901554</v>
      </c>
      <c r="HB17" s="185">
        <f t="shared" si="46"/>
        <v>3194.6801188513923</v>
      </c>
      <c r="HC17" s="185">
        <f t="shared" si="46"/>
        <v>4509.793731468676</v>
      </c>
      <c r="HD17" s="185">
        <f t="shared" si="46"/>
        <v>4805.6193959720358</v>
      </c>
      <c r="HE17" s="185">
        <f t="shared" si="46"/>
        <v>4348.2938327010552</v>
      </c>
      <c r="HF17" s="185">
        <f t="shared" si="46"/>
        <v>3063.3190143161855</v>
      </c>
      <c r="HG17" s="185">
        <f t="shared" si="46"/>
        <v>3502.8582103470444</v>
      </c>
      <c r="HH17" s="185">
        <f t="shared" si="46"/>
        <v>5019.1514527329628</v>
      </c>
      <c r="HI17" s="185">
        <f t="shared" si="46"/>
        <v>5440.9048876005572</v>
      </c>
      <c r="HJ17" s="185">
        <f t="shared" si="46"/>
        <v>4933.1613936366157</v>
      </c>
      <c r="HK17" s="185">
        <f t="shared" si="46"/>
        <v>3344.1964450835658</v>
      </c>
      <c r="HL17" s="185">
        <f t="shared" si="46"/>
        <v>3480.5650356626188</v>
      </c>
      <c r="HM17" s="185">
        <f t="shared" si="46"/>
        <v>4943.1598608563381</v>
      </c>
      <c r="HN17" s="185">
        <f t="shared" si="46"/>
        <v>5308.6094612795268</v>
      </c>
      <c r="HO17" s="185">
        <f t="shared" si="46"/>
        <v>4823.6256811826925</v>
      </c>
      <c r="HP17" s="185">
        <f t="shared" si="46"/>
        <v>3360.8815347522564</v>
      </c>
      <c r="HQ17" s="185">
        <f t="shared" si="46"/>
        <v>3565.9563457957902</v>
      </c>
      <c r="HR17" s="185">
        <f t="shared" si="46"/>
        <v>5042.6191558769597</v>
      </c>
      <c r="HS17" s="185">
        <f t="shared" si="46"/>
        <v>5387.8351335927673</v>
      </c>
      <c r="HT17" s="185">
        <f t="shared" si="46"/>
        <v>4890.4519826877031</v>
      </c>
      <c r="HU17" s="185">
        <f t="shared" si="46"/>
        <v>3314.2815367802982</v>
      </c>
      <c r="HV17" s="185">
        <f t="shared" si="46"/>
        <v>3391.7586638687294</v>
      </c>
      <c r="HW17" s="185">
        <f t="shared" si="46"/>
        <v>4799.277577604782</v>
      </c>
      <c r="HX17" s="185">
        <f t="shared" si="46"/>
        <v>5132.9750387381318</v>
      </c>
      <c r="HY17" s="185">
        <f t="shared" si="46"/>
        <v>4665.1179514868181</v>
      </c>
      <c r="HZ17" s="185">
        <f t="shared" si="46"/>
        <v>2795.5067163270792</v>
      </c>
      <c r="IA17" s="185">
        <f t="shared" si="46"/>
        <v>2086.1615467557572</v>
      </c>
      <c r="IB17" s="185">
        <f t="shared" si="46"/>
        <v>2877.4863795508627</v>
      </c>
      <c r="IC17" s="185">
        <f t="shared" si="46"/>
        <v>2995.2563055306064</v>
      </c>
      <c r="ID17" s="185">
        <f t="shared" si="46"/>
        <v>2752.336499576912</v>
      </c>
      <c r="IE17" s="185">
        <f t="shared" si="46"/>
        <v>2526.4638108308454</v>
      </c>
      <c r="IF17" s="185">
        <f t="shared" si="46"/>
        <v>3525.0286617326356</v>
      </c>
      <c r="IG17" s="185">
        <f t="shared" si="46"/>
        <v>4973.8028229515166</v>
      </c>
      <c r="IH17" s="185">
        <f t="shared" si="46"/>
        <v>5292.1177321598734</v>
      </c>
      <c r="II17" s="185">
        <f t="shared" si="46"/>
        <v>4763.0778559726987</v>
      </c>
      <c r="IJ17" s="185">
        <f t="shared" si="46"/>
        <v>3265.2393582797622</v>
      </c>
      <c r="IK17" s="185">
        <f t="shared" si="46"/>
        <v>3112.9376445114972</v>
      </c>
      <c r="IL17" s="185">
        <f t="shared" si="46"/>
        <v>4253.638746045789</v>
      </c>
      <c r="IM17" s="185">
        <f t="shared" si="46"/>
        <v>6740.168587699347</v>
      </c>
      <c r="IN17" s="185">
        <f t="shared" si="46"/>
        <v>5156.5118533469786</v>
      </c>
      <c r="IO17" s="185">
        <f t="shared" si="46"/>
        <v>3638.540739959366</v>
      </c>
      <c r="IP17" s="185">
        <f t="shared" si="46"/>
        <v>4762.8537171358648</v>
      </c>
      <c r="IQ17" s="185">
        <f t="shared" si="46"/>
        <v>5392.3388896879087</v>
      </c>
      <c r="IR17" s="185">
        <f t="shared" si="46"/>
        <v>4542.2388188408004</v>
      </c>
      <c r="IS17" s="185">
        <f t="shared" si="46"/>
        <v>3613.3892362917168</v>
      </c>
      <c r="IT17" s="185">
        <f t="shared" si="46"/>
        <v>3306.1064165580606</v>
      </c>
      <c r="IU17" s="185">
        <f t="shared" si="46"/>
        <v>5025.3929043883309</v>
      </c>
      <c r="IV17" s="185">
        <f t="shared" si="46"/>
        <v>5071.7124733733763</v>
      </c>
      <c r="IW17" s="185">
        <f t="shared" si="46"/>
        <v>4606.6166136417905</v>
      </c>
      <c r="IX17" s="185">
        <f t="shared" ref="IX17:LI17" si="47">IX15+IX11-IX16</f>
        <v>3302.3241301444859</v>
      </c>
      <c r="IY17" s="185">
        <f t="shared" si="47"/>
        <v>3693.6599171340504</v>
      </c>
      <c r="IZ17" s="185">
        <f t="shared" si="47"/>
        <v>5239.2996428531897</v>
      </c>
      <c r="JA17" s="185">
        <f t="shared" si="47"/>
        <v>5616.7387427264694</v>
      </c>
      <c r="JB17" s="185">
        <f t="shared" si="47"/>
        <v>5090.2639302898006</v>
      </c>
      <c r="JC17" s="185">
        <f t="shared" si="47"/>
        <v>3266.1269784727842</v>
      </c>
      <c r="JD17" s="185">
        <f t="shared" si="47"/>
        <v>3061.8572840996421</v>
      </c>
      <c r="JE17" s="185">
        <f t="shared" si="47"/>
        <v>4327.6947664398958</v>
      </c>
      <c r="JF17" s="185">
        <f t="shared" si="47"/>
        <v>4626.9745396641738</v>
      </c>
      <c r="JG17" s="185">
        <f t="shared" si="47"/>
        <v>4217.5543227765338</v>
      </c>
      <c r="JH17" s="185">
        <f t="shared" si="47"/>
        <v>3185.8511134477221</v>
      </c>
      <c r="JI17" s="185">
        <f t="shared" si="47"/>
        <v>3710.7775224212701</v>
      </c>
      <c r="JJ17" s="185">
        <f t="shared" si="47"/>
        <v>5237.3307881433275</v>
      </c>
      <c r="JK17" s="185">
        <f t="shared" si="47"/>
        <v>5580.7347332670388</v>
      </c>
      <c r="JL17" s="185">
        <f t="shared" si="47"/>
        <v>5048.6880104473466</v>
      </c>
      <c r="JM17" s="185">
        <f t="shared" si="47"/>
        <v>3555.9621025649017</v>
      </c>
      <c r="JN17" s="185">
        <f t="shared" si="47"/>
        <v>4068.8084870794955</v>
      </c>
      <c r="JO17" s="185">
        <f t="shared" si="47"/>
        <v>5828.8424926567286</v>
      </c>
      <c r="JP17" s="185">
        <f t="shared" si="47"/>
        <v>6318.3497322783733</v>
      </c>
      <c r="JQ17" s="185">
        <f t="shared" si="47"/>
        <v>5727.6478015053326</v>
      </c>
      <c r="JR17" s="185">
        <f t="shared" si="47"/>
        <v>3881.666748865212</v>
      </c>
      <c r="JS17" s="185">
        <f t="shared" si="47"/>
        <v>4042.7009339525421</v>
      </c>
      <c r="JT17" s="185">
        <f t="shared" si="47"/>
        <v>5740.3936933146333</v>
      </c>
      <c r="JU17" s="185">
        <f t="shared" si="47"/>
        <v>6164.5761742129744</v>
      </c>
      <c r="JV17" s="185">
        <f t="shared" si="47"/>
        <v>5600.3529779144492</v>
      </c>
      <c r="JW17" s="185">
        <f t="shared" si="47"/>
        <v>3901.0830725863138</v>
      </c>
      <c r="JX17" s="185">
        <f t="shared" si="47"/>
        <v>4141.8895943814878</v>
      </c>
      <c r="JY17" s="185">
        <f t="shared" si="47"/>
        <v>5855.9290290634535</v>
      </c>
      <c r="JZ17" s="185">
        <f t="shared" si="47"/>
        <v>6256.6472104856221</v>
      </c>
      <c r="KA17" s="185">
        <f t="shared" si="47"/>
        <v>5677.9985657949592</v>
      </c>
      <c r="KB17" s="185">
        <f t="shared" si="47"/>
        <v>3846.8806810848746</v>
      </c>
      <c r="KC17" s="185">
        <f t="shared" si="47"/>
        <v>3939.5001713545421</v>
      </c>
      <c r="KD17" s="185">
        <f t="shared" si="47"/>
        <v>5573.2666095181476</v>
      </c>
      <c r="KE17" s="185">
        <f t="shared" si="47"/>
        <v>5960.6073872833449</v>
      </c>
      <c r="KF17" s="185">
        <f t="shared" si="47"/>
        <v>5416.3091819935389</v>
      </c>
      <c r="KG17" s="185">
        <f t="shared" si="47"/>
        <v>3243.9876251027299</v>
      </c>
      <c r="KH17" s="185">
        <f t="shared" si="47"/>
        <v>2422.5710105507892</v>
      </c>
      <c r="KI17" s="185">
        <f t="shared" si="47"/>
        <v>3341.0493772497102</v>
      </c>
      <c r="KJ17" s="185">
        <f t="shared" si="47"/>
        <v>3477.7930068704104</v>
      </c>
      <c r="KK17" s="185">
        <f t="shared" si="47"/>
        <v>3195.1847539255282</v>
      </c>
      <c r="KL17" s="185">
        <f t="shared" si="47"/>
        <v>2928.1989332785288</v>
      </c>
      <c r="KM17" s="185">
        <f t="shared" si="47"/>
        <v>4079.5790866670814</v>
      </c>
      <c r="KN17" s="185">
        <f t="shared" si="47"/>
        <v>5754.2949414118148</v>
      </c>
      <c r="KO17" s="185">
        <f t="shared" si="47"/>
        <v>6121.4676628319185</v>
      </c>
      <c r="KP17" s="185">
        <f t="shared" si="47"/>
        <v>5508.6446782953099</v>
      </c>
      <c r="KQ17" s="185">
        <f t="shared" si="47"/>
        <v>3775.8683739528792</v>
      </c>
      <c r="KR17" s="185">
        <f t="shared" si="47"/>
        <v>3600.5004801944606</v>
      </c>
      <c r="KS17" s="185">
        <f t="shared" si="47"/>
        <v>4919.0101827822746</v>
      </c>
      <c r="KT17" s="185">
        <f t="shared" si="47"/>
        <v>7795.6595021603762</v>
      </c>
      <c r="KU17" s="185">
        <f t="shared" si="47"/>
        <v>5958.1321569796783</v>
      </c>
      <c r="KV17" s="185">
        <f t="shared" si="47"/>
        <v>4207.6771596686749</v>
      </c>
      <c r="KW17" s="185">
        <f t="shared" si="47"/>
        <v>5507.3243009896587</v>
      </c>
      <c r="KX17" s="185">
        <f t="shared" si="47"/>
        <v>6234.6364963360284</v>
      </c>
      <c r="KY17" s="185">
        <f t="shared" si="47"/>
        <v>5251.1548496514633</v>
      </c>
      <c r="KZ17" s="185">
        <f t="shared" si="47"/>
        <v>4175.748536757299</v>
      </c>
      <c r="LA17" s="185">
        <f t="shared" si="47"/>
        <v>3823.5471495732595</v>
      </c>
      <c r="LB17" s="185">
        <f t="shared" si="47"/>
        <v>5810.3539418719593</v>
      </c>
      <c r="LC17" s="185">
        <f t="shared" si="47"/>
        <v>5864.1014894667333</v>
      </c>
      <c r="LD17" s="185">
        <f t="shared" si="47"/>
        <v>5325.3524108834463</v>
      </c>
      <c r="LE17" s="185">
        <f t="shared" si="47"/>
        <v>3816.7703864393643</v>
      </c>
      <c r="LF17" s="185">
        <f t="shared" si="47"/>
        <v>4271.8319141613456</v>
      </c>
      <c r="LG17" s="185">
        <f t="shared" si="47"/>
        <v>6058.2130291662143</v>
      </c>
      <c r="LH17" s="185">
        <f t="shared" si="47"/>
        <v>6494.4364910169143</v>
      </c>
      <c r="LI17" s="185">
        <f t="shared" si="47"/>
        <v>5884.5879728209011</v>
      </c>
      <c r="LJ17" s="185">
        <f t="shared" ref="LJ17:NU17" si="48">LJ15+LJ11-LJ16</f>
        <v>3774.3863959094951</v>
      </c>
      <c r="LK17" s="185">
        <f t="shared" si="48"/>
        <v>3540.8397500900378</v>
      </c>
      <c r="LL17" s="185">
        <f t="shared" si="48"/>
        <v>5003.7891624087424</v>
      </c>
      <c r="LM17" s="185">
        <f t="shared" si="48"/>
        <v>5349.6759153927396</v>
      </c>
      <c r="LN17" s="185">
        <f t="shared" si="48"/>
        <v>4875.4199148980751</v>
      </c>
      <c r="LO17" s="185">
        <f t="shared" si="48"/>
        <v>3682.2719054061704</v>
      </c>
      <c r="LP17" s="185">
        <f t="shared" si="48"/>
        <v>4291.6636535560401</v>
      </c>
      <c r="LQ17" s="185">
        <f t="shared" si="48"/>
        <v>6056.0124791893568</v>
      </c>
      <c r="LR17" s="185">
        <f t="shared" si="48"/>
        <v>6452.9283671235316</v>
      </c>
      <c r="LS17" s="185">
        <f t="shared" si="48"/>
        <v>5836.625227080498</v>
      </c>
      <c r="LT17" s="185">
        <f t="shared" si="48"/>
        <v>4110.0376415440996</v>
      </c>
      <c r="LU17" s="185">
        <f t="shared" si="48"/>
        <v>4705.8181749306641</v>
      </c>
      <c r="LV17" s="185">
        <f t="shared" si="48"/>
        <v>6739.9670416654226</v>
      </c>
      <c r="LW17" s="185">
        <f t="shared" si="48"/>
        <v>7305.6635131558187</v>
      </c>
      <c r="LX17" s="185">
        <f t="shared" si="48"/>
        <v>6621.41678628298</v>
      </c>
      <c r="LY17" s="185">
        <f t="shared" si="48"/>
        <v>4486.0957927556792</v>
      </c>
      <c r="LZ17" s="185">
        <f t="shared" si="48"/>
        <v>4675.3781226495967</v>
      </c>
      <c r="MA17" s="185">
        <f t="shared" si="48"/>
        <v>6637.463849981481</v>
      </c>
      <c r="MB17" s="185">
        <f t="shared" si="48"/>
        <v>7127.6960062096605</v>
      </c>
      <c r="MC17" s="185">
        <f t="shared" si="48"/>
        <v>6474.1216913338067</v>
      </c>
      <c r="MD17" s="185">
        <f t="shared" si="48"/>
        <v>4508.5928174133123</v>
      </c>
      <c r="ME17" s="185">
        <f t="shared" si="48"/>
        <v>4790.0966509240379</v>
      </c>
      <c r="MF17" s="185">
        <f t="shared" si="48"/>
        <v>6771.0949120926261</v>
      </c>
      <c r="MG17" s="185">
        <f t="shared" si="48"/>
        <v>7234.2335442341982</v>
      </c>
      <c r="MH17" s="185">
        <f t="shared" si="48"/>
        <v>6563.9491205813729</v>
      </c>
      <c r="MI17" s="185">
        <f t="shared" si="48"/>
        <v>4445.819970327816</v>
      </c>
      <c r="MJ17" s="185">
        <f t="shared" si="48"/>
        <v>4555.9671379776692</v>
      </c>
      <c r="MK17" s="185">
        <f t="shared" si="48"/>
        <v>6444.1737695120355</v>
      </c>
      <c r="ML17" s="185">
        <f t="shared" si="48"/>
        <v>6891.8431077231771</v>
      </c>
      <c r="MM17" s="185">
        <f t="shared" si="48"/>
        <v>6261.3491790030366</v>
      </c>
      <c r="MN17" s="185">
        <f t="shared" si="48"/>
        <v>3748.1915154522853</v>
      </c>
      <c r="MO17" s="185">
        <f t="shared" si="48"/>
        <v>2801.0997940289603</v>
      </c>
      <c r="MP17" s="185">
        <f t="shared" si="48"/>
        <v>3862.5678101245849</v>
      </c>
      <c r="MQ17" s="185">
        <f t="shared" si="48"/>
        <v>4020.6574477207414</v>
      </c>
      <c r="MR17" s="185">
        <f t="shared" si="48"/>
        <v>3693.2963394348226</v>
      </c>
      <c r="MS17" s="185">
        <f t="shared" si="48"/>
        <v>3367.3254906682146</v>
      </c>
      <c r="MT17" s="185">
        <f t="shared" si="48"/>
        <v>4665.8495491364838</v>
      </c>
      <c r="MU17" s="185">
        <f t="shared" si="48"/>
        <v>6577.0874182204971</v>
      </c>
      <c r="MV17" s="185">
        <f t="shared" si="48"/>
        <v>6993.3285379125828</v>
      </c>
      <c r="MW17" s="185">
        <f t="shared" si="48"/>
        <v>6292.6743261757074</v>
      </c>
      <c r="MX17" s="185">
        <f t="shared" si="48"/>
        <v>4004.7607066469282</v>
      </c>
      <c r="MY17" s="185">
        <f t="shared" si="48"/>
        <v>4138.8819608105978</v>
      </c>
      <c r="MZ17" s="185">
        <f t="shared" si="48"/>
        <v>5984.6295306420398</v>
      </c>
      <c r="NA17" s="185">
        <f t="shared" si="48"/>
        <v>6561.9341327095426</v>
      </c>
      <c r="NB17" s="185">
        <f t="shared" si="48"/>
        <v>5970.9646907176084</v>
      </c>
      <c r="NC17" s="185">
        <f t="shared" si="48"/>
        <v>4242.4918866618164</v>
      </c>
      <c r="ND17" s="185">
        <f t="shared" si="48"/>
        <v>4551.4088476117422</v>
      </c>
      <c r="NE17" s="185">
        <f t="shared" si="48"/>
        <v>6406.3419792601699</v>
      </c>
      <c r="NF17" s="185">
        <f t="shared" si="48"/>
        <v>6811.6309789552097</v>
      </c>
      <c r="NG17" s="185">
        <f t="shared" si="48"/>
        <v>6175.0181034896859</v>
      </c>
      <c r="NH17" s="185">
        <f t="shared" si="48"/>
        <v>4203.675032360009</v>
      </c>
      <c r="NI17" s="185">
        <f t="shared" si="48"/>
        <v>4398.9237307239155</v>
      </c>
      <c r="NJ17" s="185">
        <f t="shared" si="48"/>
        <v>6238.4311868625491</v>
      </c>
      <c r="NK17" s="185">
        <f t="shared" si="48"/>
        <v>6692.2275822934271</v>
      </c>
      <c r="NL17" s="185">
        <f t="shared" si="48"/>
        <v>6076.2714016321106</v>
      </c>
      <c r="NM17" s="185">
        <f t="shared" si="48"/>
        <v>4354.0662989205057</v>
      </c>
      <c r="NN17" s="185">
        <f t="shared" si="48"/>
        <v>4876.3347513974659</v>
      </c>
      <c r="NO17" s="185">
        <f t="shared" si="48"/>
        <v>6914.1398667541725</v>
      </c>
      <c r="NP17" s="185">
        <f t="shared" si="48"/>
        <v>7411.7552969706221</v>
      </c>
      <c r="NQ17" s="185">
        <f t="shared" si="48"/>
        <v>6714.5100610190739</v>
      </c>
      <c r="NR17" s="185">
        <f t="shared" si="48"/>
        <v>4305.0915901185344</v>
      </c>
      <c r="NS17" s="185">
        <f t="shared" si="48"/>
        <v>4041.5671442312878</v>
      </c>
      <c r="NT17" s="185">
        <f t="shared" si="48"/>
        <v>5710.3635913205235</v>
      </c>
      <c r="NU17" s="185">
        <f t="shared" si="48"/>
        <v>6104.9237107196313</v>
      </c>
      <c r="NV17" s="185">
        <f t="shared" ref="NV17:QG17" si="49">NV15+NV11-NV16</f>
        <v>5562.7036291677514</v>
      </c>
      <c r="NW17" s="185">
        <f t="shared" si="49"/>
        <v>4200.7697832494532</v>
      </c>
      <c r="NX17" s="185">
        <f t="shared" si="49"/>
        <v>4899.0123663356844</v>
      </c>
      <c r="NY17" s="185">
        <f t="shared" si="49"/>
        <v>6911.7150038034133</v>
      </c>
      <c r="NZ17" s="185">
        <f t="shared" si="49"/>
        <v>7364.5232537489401</v>
      </c>
      <c r="OA17" s="185">
        <f t="shared" si="49"/>
        <v>6659.8980143875151</v>
      </c>
      <c r="OB17" s="185">
        <f t="shared" si="49"/>
        <v>4688.7505222733398</v>
      </c>
      <c r="OC17" s="185">
        <f t="shared" si="49"/>
        <v>5371.8653039043438</v>
      </c>
      <c r="OD17" s="185">
        <f t="shared" si="49"/>
        <v>7692.28794491605</v>
      </c>
      <c r="OE17" s="185">
        <f t="shared" si="49"/>
        <v>8337.5417175043331</v>
      </c>
      <c r="OF17" s="185">
        <f t="shared" si="49"/>
        <v>7555.2364124831256</v>
      </c>
      <c r="OG17" s="185">
        <f t="shared" si="49"/>
        <v>5117.3077992521212</v>
      </c>
      <c r="OH17" s="185">
        <f t="shared" si="49"/>
        <v>5336.8377999057693</v>
      </c>
      <c r="OI17" s="185">
        <f t="shared" si="49"/>
        <v>7575.0412019704008</v>
      </c>
      <c r="OJ17" s="185">
        <f t="shared" si="49"/>
        <v>8134.2494455718042</v>
      </c>
      <c r="OK17" s="185">
        <f t="shared" si="49"/>
        <v>7387.0126902211241</v>
      </c>
      <c r="OL17" s="185">
        <f t="shared" si="49"/>
        <v>5143.0355420279539</v>
      </c>
      <c r="OM17" s="185">
        <f t="shared" si="49"/>
        <v>5467.7943351847025</v>
      </c>
      <c r="ON17" s="185">
        <f t="shared" si="49"/>
        <v>7727.5946470033405</v>
      </c>
      <c r="OO17" s="185">
        <f t="shared" si="49"/>
        <v>8255.9250988075564</v>
      </c>
      <c r="OP17" s="185">
        <f t="shared" si="49"/>
        <v>7489.5832833433078</v>
      </c>
      <c r="OQ17" s="185">
        <f t="shared" si="49"/>
        <v>5071.2817395629681</v>
      </c>
      <c r="OR17" s="185">
        <f t="shared" si="49"/>
        <v>5200.4651989665599</v>
      </c>
      <c r="OS17" s="185">
        <f t="shared" si="49"/>
        <v>7354.3960497348962</v>
      </c>
      <c r="OT17" s="185">
        <f t="shared" si="49"/>
        <v>7865.0705387728649</v>
      </c>
      <c r="OU17" s="185">
        <f t="shared" si="49"/>
        <v>7144.2218281960313</v>
      </c>
      <c r="OV17" s="185">
        <f t="shared" si="49"/>
        <v>4274.518149258447</v>
      </c>
      <c r="OW17" s="185">
        <f t="shared" si="49"/>
        <v>3196.7082807938054</v>
      </c>
      <c r="OX17" s="185">
        <f t="shared" si="49"/>
        <v>4407.4948920593615</v>
      </c>
      <c r="OY17" s="185">
        <f t="shared" si="49"/>
        <v>4587.8889286570229</v>
      </c>
      <c r="OZ17" s="185">
        <f t="shared" si="49"/>
        <v>4213.6158884176548</v>
      </c>
      <c r="PA17" s="185">
        <f t="shared" si="49"/>
        <v>3842.1305413261616</v>
      </c>
      <c r="PB17" s="185">
        <f t="shared" si="49"/>
        <v>5326.4582272699281</v>
      </c>
      <c r="PC17" s="185">
        <f t="shared" si="49"/>
        <v>7506.7947708876827</v>
      </c>
      <c r="PD17" s="185">
        <f t="shared" si="49"/>
        <v>7981.6772604105354</v>
      </c>
      <c r="PE17" s="185">
        <f t="shared" si="49"/>
        <v>7180.6182274156226</v>
      </c>
      <c r="PF17" s="185">
        <f t="shared" si="49"/>
        <v>4921.2263064016106</v>
      </c>
      <c r="PG17" s="185">
        <f t="shared" si="49"/>
        <v>4693.4262619118454</v>
      </c>
      <c r="PH17" s="185">
        <f t="shared" si="49"/>
        <v>6409.2937538909819</v>
      </c>
      <c r="PI17" s="185">
        <f t="shared" si="49"/>
        <v>10159.218913936767</v>
      </c>
      <c r="PJ17" s="185">
        <f t="shared" si="49"/>
        <v>7749.3251749838882</v>
      </c>
      <c r="PK17" s="185">
        <f t="shared" si="49"/>
        <v>5481.7158796619751</v>
      </c>
      <c r="PL17" s="185">
        <f t="shared" si="49"/>
        <v>7173.5071489741167</v>
      </c>
      <c r="PM17" s="185">
        <f t="shared" si="49"/>
        <v>8119.3896073161914</v>
      </c>
      <c r="PN17" s="185">
        <f t="shared" si="49"/>
        <v>6837.056383510816</v>
      </c>
      <c r="PO17" s="185">
        <f t="shared" si="49"/>
        <v>5432.7392901796684</v>
      </c>
      <c r="PP17" s="185">
        <f t="shared" si="49"/>
        <v>4982.0629001612688</v>
      </c>
      <c r="PQ17" s="185">
        <f t="shared" si="49"/>
        <v>7566.7965197358908</v>
      </c>
      <c r="PR17" s="185">
        <f t="shared" si="49"/>
        <v>7637.2925919180461</v>
      </c>
      <c r="PS17" s="185">
        <f t="shared" si="49"/>
        <v>6933.0708025370859</v>
      </c>
      <c r="PT17" s="185">
        <f t="shared" si="49"/>
        <v>4966.9963673221555</v>
      </c>
      <c r="PU17" s="185">
        <f t="shared" si="49"/>
        <v>5566.3704775421356</v>
      </c>
      <c r="PV17" s="185">
        <f t="shared" si="49"/>
        <v>7890.9852434951035</v>
      </c>
      <c r="PW17" s="185">
        <f t="shared" si="49"/>
        <v>8458.6324133674352</v>
      </c>
      <c r="PX17" s="185">
        <f t="shared" si="49"/>
        <v>7661.4724096454447</v>
      </c>
      <c r="PY17" s="185">
        <f t="shared" si="49"/>
        <v>4910.416265346279</v>
      </c>
      <c r="PZ17" s="185">
        <f t="shared" si="49"/>
        <v>4613.0977496303221</v>
      </c>
      <c r="QA17" s="185">
        <f t="shared" si="49"/>
        <v>6516.7045927443896</v>
      </c>
      <c r="QB17" s="185">
        <f t="shared" si="49"/>
        <v>6966.787240796355</v>
      </c>
      <c r="QC17" s="185">
        <f t="shared" si="49"/>
        <v>6346.8685531009314</v>
      </c>
      <c r="QD17" s="185">
        <f t="shared" si="49"/>
        <v>4792.2745375428913</v>
      </c>
      <c r="QE17" s="185">
        <f t="shared" si="49"/>
        <v>5592.3021110839309</v>
      </c>
      <c r="QF17" s="185">
        <f t="shared" si="49"/>
        <v>7888.316390717293</v>
      </c>
      <c r="QG17" s="185">
        <f t="shared" si="49"/>
        <v>8404.8873126338422</v>
      </c>
      <c r="QH17" s="185">
        <f t="shared" ref="QH17:SS17" si="50">QH15+QH11-QH16</f>
        <v>7599.2893276897166</v>
      </c>
      <c r="QI17" s="185">
        <f t="shared" si="50"/>
        <v>5348.946271832503</v>
      </c>
      <c r="QJ17" s="185">
        <f t="shared" si="50"/>
        <v>6132.1715927620116</v>
      </c>
      <c r="QK17" s="185">
        <f t="shared" si="50"/>
        <v>8779.1553470602084</v>
      </c>
      <c r="QL17" s="185">
        <f t="shared" si="50"/>
        <v>9515.1548142125757</v>
      </c>
      <c r="QM17" s="185">
        <f t="shared" si="50"/>
        <v>8620.7457650081633</v>
      </c>
      <c r="QN17" s="185">
        <f t="shared" si="50"/>
        <v>5837.3316900295595</v>
      </c>
      <c r="QO17" s="185">
        <f t="shared" si="50"/>
        <v>6091.8687755897372</v>
      </c>
      <c r="QP17" s="185">
        <f t="shared" si="50"/>
        <v>8645.0459210565823</v>
      </c>
      <c r="QQ17" s="185">
        <f t="shared" si="50"/>
        <v>9282.935006233638</v>
      </c>
      <c r="QR17" s="185">
        <f t="shared" si="50"/>
        <v>8428.6203836467466</v>
      </c>
      <c r="QS17" s="185">
        <f t="shared" si="50"/>
        <v>5866.753810313392</v>
      </c>
      <c r="QT17" s="185">
        <f t="shared" si="50"/>
        <v>6241.3614766802402</v>
      </c>
      <c r="QU17" s="185">
        <f t="shared" si="50"/>
        <v>8819.2008474120357</v>
      </c>
      <c r="QV17" s="185">
        <f t="shared" si="50"/>
        <v>9421.8993111944601</v>
      </c>
      <c r="QW17" s="185">
        <f t="shared" si="50"/>
        <v>8545.7416089151902</v>
      </c>
      <c r="QX17" s="185">
        <f t="shared" si="50"/>
        <v>5784.734732765537</v>
      </c>
      <c r="QY17" s="185">
        <f t="shared" si="50"/>
        <v>5936.125761127978</v>
      </c>
      <c r="QZ17" s="185">
        <f t="shared" si="50"/>
        <v>8393.1747625377229</v>
      </c>
      <c r="RA17" s="185">
        <f t="shared" si="50"/>
        <v>8975.7215256050895</v>
      </c>
      <c r="RB17" s="185">
        <f t="shared" si="50"/>
        <v>8151.5763752546036</v>
      </c>
      <c r="RC17" s="185">
        <f t="shared" si="50"/>
        <v>4874.7516868274697</v>
      </c>
      <c r="RD17" s="185">
        <f t="shared" si="50"/>
        <v>3648.1855878898396</v>
      </c>
      <c r="RE17" s="185">
        <f t="shared" si="50"/>
        <v>5029.2952278574321</v>
      </c>
      <c r="RF17" s="185">
        <f t="shared" si="50"/>
        <v>5235.1403382801345</v>
      </c>
      <c r="RG17" s="185">
        <f t="shared" si="50"/>
        <v>4807.236302862756</v>
      </c>
      <c r="RH17" s="185">
        <f t="shared" si="50"/>
        <v>4383.8814265512365</v>
      </c>
      <c r="RI17" s="185">
        <f t="shared" si="50"/>
        <v>6080.5866841176585</v>
      </c>
      <c r="RJ17" s="185">
        <f t="shared" si="50"/>
        <v>8567.9092689045556</v>
      </c>
      <c r="RK17" s="185">
        <f t="shared" si="50"/>
        <v>9109.6943858648283</v>
      </c>
      <c r="RL17" s="185">
        <f t="shared" si="50"/>
        <v>8193.8500042096712</v>
      </c>
      <c r="RM17" s="185">
        <f t="shared" si="50"/>
        <v>5614.3261016926062</v>
      </c>
      <c r="RN17" s="185">
        <f t="shared" si="50"/>
        <v>5356.8396250158057</v>
      </c>
      <c r="RO17" s="185">
        <f t="shared" si="50"/>
        <v>7314.6988821318346</v>
      </c>
      <c r="RP17" s="185">
        <f t="shared" si="50"/>
        <v>11597.458062097527</v>
      </c>
      <c r="RQ17" s="185">
        <f t="shared" si="50"/>
        <v>8837.7285750322953</v>
      </c>
      <c r="RR17" s="185">
        <f t="shared" si="50"/>
        <v>6256.8047292998917</v>
      </c>
      <c r="RS17" s="185">
        <f t="shared" si="50"/>
        <v>8187.0255876530273</v>
      </c>
      <c r="RT17" s="185">
        <f t="shared" si="50"/>
        <v>9265.7120818468538</v>
      </c>
      <c r="RU17" s="185">
        <f t="shared" si="50"/>
        <v>7801.4579355174801</v>
      </c>
      <c r="RV17" s="185">
        <f t="shared" si="50"/>
        <v>6196.7065911364534</v>
      </c>
      <c r="RW17" s="185">
        <f t="shared" si="50"/>
        <v>5686.9508901920854</v>
      </c>
      <c r="RX17" s="185">
        <f t="shared" si="50"/>
        <v>8635.0745385199989</v>
      </c>
      <c r="RY17" s="185">
        <f t="shared" si="50"/>
        <v>8715.8081436246048</v>
      </c>
      <c r="RZ17" s="185">
        <f t="shared" si="50"/>
        <v>7910.6791162234667</v>
      </c>
      <c r="SA17" s="185">
        <f t="shared" si="50"/>
        <v>5666.2071554174236</v>
      </c>
      <c r="SB17" s="185">
        <f t="shared" si="50"/>
        <v>6354.0400458799204</v>
      </c>
      <c r="SC17" s="185">
        <f t="shared" si="50"/>
        <v>9005.830184335111</v>
      </c>
      <c r="SD17" s="185">
        <f t="shared" si="50"/>
        <v>9653.3647185347327</v>
      </c>
      <c r="SE17" s="185">
        <f t="shared" si="50"/>
        <v>8741.979818691223</v>
      </c>
      <c r="SF17" s="185">
        <f t="shared" si="50"/>
        <v>5600.8520544714684</v>
      </c>
      <c r="SG17" s="185">
        <f t="shared" si="50"/>
        <v>5265.4422085141523</v>
      </c>
      <c r="SH17" s="185">
        <f t="shared" si="50"/>
        <v>7436.8979481770557</v>
      </c>
      <c r="SI17" s="185">
        <f t="shared" si="50"/>
        <v>7950.3160545644541</v>
      </c>
      <c r="SJ17" s="185">
        <f t="shared" si="50"/>
        <v>7241.5706646037161</v>
      </c>
      <c r="SK17" s="185">
        <f t="shared" si="50"/>
        <v>5467.0655352868052</v>
      </c>
      <c r="SL17" s="185">
        <f t="shared" si="50"/>
        <v>6383.6923419815048</v>
      </c>
      <c r="SM17" s="185">
        <f t="shared" si="50"/>
        <v>9002.8965518925124</v>
      </c>
      <c r="SN17" s="185">
        <f t="shared" si="50"/>
        <v>9592.2086522330319</v>
      </c>
      <c r="SO17" s="185">
        <f t="shared" si="50"/>
        <v>8671.1762076345403</v>
      </c>
      <c r="SP17" s="185">
        <f t="shared" si="50"/>
        <v>6102.0973210316724</v>
      </c>
      <c r="SQ17" s="185">
        <f t="shared" si="50"/>
        <v>7000.0750825433033</v>
      </c>
      <c r="SR17" s="185">
        <f t="shared" si="50"/>
        <v>10019.576778084376</v>
      </c>
      <c r="SS17" s="185">
        <f t="shared" si="50"/>
        <v>10859.083760336041</v>
      </c>
      <c r="ST17" s="185">
        <f t="shared" ref="ST17:VE17" si="51">ST15+ST11-ST16</f>
        <v>9836.5151025555424</v>
      </c>
      <c r="SU17" s="185">
        <f t="shared" si="51"/>
        <v>6658.6630373593371</v>
      </c>
      <c r="SV17" s="185">
        <f t="shared" si="51"/>
        <v>6953.7064035870626</v>
      </c>
      <c r="SW17" s="185">
        <f t="shared" si="51"/>
        <v>9866.1811539282699</v>
      </c>
      <c r="SX17" s="185">
        <f t="shared" si="51"/>
        <v>10593.821234747578</v>
      </c>
      <c r="SY17" s="185">
        <f t="shared" si="51"/>
        <v>9617.0927825032104</v>
      </c>
      <c r="SZ17" s="185">
        <f t="shared" si="51"/>
        <v>6692.3096970950055</v>
      </c>
      <c r="TA17" s="185">
        <f t="shared" si="51"/>
        <v>7124.3586488249084</v>
      </c>
      <c r="TB17" s="185">
        <f t="shared" si="51"/>
        <v>10064.995928853903</v>
      </c>
      <c r="TC17" s="185">
        <f t="shared" si="51"/>
        <v>10752.530171113072</v>
      </c>
      <c r="TD17" s="185">
        <f t="shared" si="51"/>
        <v>9750.8284332936691</v>
      </c>
      <c r="TE17" s="185">
        <f t="shared" si="51"/>
        <v>6598.5574419693903</v>
      </c>
      <c r="TF17" s="185">
        <f t="shared" si="51"/>
        <v>6775.8421627948455</v>
      </c>
      <c r="TG17" s="185">
        <f t="shared" si="51"/>
        <v>9578.665352350532</v>
      </c>
      <c r="TH17" s="185">
        <f t="shared" si="51"/>
        <v>10243.19940619039</v>
      </c>
      <c r="TI17" s="185">
        <f t="shared" si="51"/>
        <v>9300.9634476569354</v>
      </c>
      <c r="TJ17" s="185">
        <f t="shared" si="51"/>
        <v>5559.2700591903522</v>
      </c>
      <c r="TK17" s="185">
        <f t="shared" si="51"/>
        <v>4163.4210586692052</v>
      </c>
      <c r="TL17" s="185">
        <f t="shared" si="51"/>
        <v>5738.8127577946016</v>
      </c>
      <c r="TM17" s="185">
        <f t="shared" si="51"/>
        <v>5973.6995195960408</v>
      </c>
      <c r="TN17" s="185">
        <f t="shared" si="51"/>
        <v>5484.4835619394989</v>
      </c>
    </row>
  </sheetData>
  <mergeCells count="108">
    <mergeCell ref="RV5:RZ5"/>
    <mergeCell ref="SA5:SE5"/>
    <mergeCell ref="SF5:SJ5"/>
    <mergeCell ref="SK5:SO5"/>
    <mergeCell ref="SP5:ST5"/>
    <mergeCell ref="SU5:SY5"/>
    <mergeCell ref="SZ5:TD5"/>
    <mergeCell ref="TE5:TI5"/>
    <mergeCell ref="TJ5:TN5"/>
    <mergeCell ref="QD5:QH5"/>
    <mergeCell ref="QI5:QM5"/>
    <mergeCell ref="QN5:QR5"/>
    <mergeCell ref="QS5:QW5"/>
    <mergeCell ref="QX5:RB5"/>
    <mergeCell ref="RC5:RG5"/>
    <mergeCell ref="RH5:RL5"/>
    <mergeCell ref="RM5:RP5"/>
    <mergeCell ref="RQ5:RU5"/>
    <mergeCell ref="OL5:OP5"/>
    <mergeCell ref="OQ5:OU5"/>
    <mergeCell ref="OV5:OZ5"/>
    <mergeCell ref="PA5:PE5"/>
    <mergeCell ref="PF5:PI5"/>
    <mergeCell ref="PJ5:PN5"/>
    <mergeCell ref="PO5:PS5"/>
    <mergeCell ref="PT5:PX5"/>
    <mergeCell ref="PY5:QC5"/>
    <mergeCell ref="MS5:MW5"/>
    <mergeCell ref="MX5:NB5"/>
    <mergeCell ref="NC5:NG5"/>
    <mergeCell ref="NH5:NL5"/>
    <mergeCell ref="NM5:NQ5"/>
    <mergeCell ref="NR5:NV5"/>
    <mergeCell ref="NW5:OA5"/>
    <mergeCell ref="OB5:OF5"/>
    <mergeCell ref="OG5:OK5"/>
    <mergeCell ref="KZ5:LD5"/>
    <mergeCell ref="LE5:LI5"/>
    <mergeCell ref="LJ5:LN5"/>
    <mergeCell ref="LO5:LS5"/>
    <mergeCell ref="LT5:LX5"/>
    <mergeCell ref="LY5:MC5"/>
    <mergeCell ref="MD5:MH5"/>
    <mergeCell ref="MI5:MM5"/>
    <mergeCell ref="MN5:MR5"/>
    <mergeCell ref="JH5:JL5"/>
    <mergeCell ref="JM5:JQ5"/>
    <mergeCell ref="JR5:JV5"/>
    <mergeCell ref="JW5:KA5"/>
    <mergeCell ref="KB5:KF5"/>
    <mergeCell ref="KG5:KK5"/>
    <mergeCell ref="KL5:KP5"/>
    <mergeCell ref="KQ5:KT5"/>
    <mergeCell ref="KU5:KY5"/>
    <mergeCell ref="HP5:HT5"/>
    <mergeCell ref="HU5:HY5"/>
    <mergeCell ref="HZ5:ID5"/>
    <mergeCell ref="IE5:II5"/>
    <mergeCell ref="IJ5:IM5"/>
    <mergeCell ref="IN5:IR5"/>
    <mergeCell ref="IS5:IW5"/>
    <mergeCell ref="IX5:JB5"/>
    <mergeCell ref="JC5:JG5"/>
    <mergeCell ref="FX5:GB5"/>
    <mergeCell ref="GC5:GF5"/>
    <mergeCell ref="GG5:GK5"/>
    <mergeCell ref="GL5:GP5"/>
    <mergeCell ref="GQ5:GU5"/>
    <mergeCell ref="GV5:GZ5"/>
    <mergeCell ref="HA5:HE5"/>
    <mergeCell ref="HF5:HJ5"/>
    <mergeCell ref="HK5:HO5"/>
    <mergeCell ref="EE5:EI5"/>
    <mergeCell ref="EJ5:EN5"/>
    <mergeCell ref="EO5:ES5"/>
    <mergeCell ref="ET5:EX5"/>
    <mergeCell ref="EY5:FC5"/>
    <mergeCell ref="FD5:FH5"/>
    <mergeCell ref="FI5:FM5"/>
    <mergeCell ref="FN5:FR5"/>
    <mergeCell ref="FS5:FW5"/>
    <mergeCell ref="CL5:CP5"/>
    <mergeCell ref="CQ5:CU5"/>
    <mergeCell ref="CV5:CZ5"/>
    <mergeCell ref="DA5:DE5"/>
    <mergeCell ref="DF5:DJ5"/>
    <mergeCell ref="DK5:DO5"/>
    <mergeCell ref="DP5:DT5"/>
    <mergeCell ref="DU5:DY5"/>
    <mergeCell ref="DZ5:ED5"/>
    <mergeCell ref="AT5:AX5"/>
    <mergeCell ref="AY5:BC5"/>
    <mergeCell ref="BD5:BH5"/>
    <mergeCell ref="BI5:BM5"/>
    <mergeCell ref="BN5:BQ5"/>
    <mergeCell ref="BR5:BV5"/>
    <mergeCell ref="BW5:CA5"/>
    <mergeCell ref="CB5:CF5"/>
    <mergeCell ref="CG5:CK5"/>
    <mergeCell ref="B5:F5"/>
    <mergeCell ref="G5:J5"/>
    <mergeCell ref="K5:O5"/>
    <mergeCell ref="P5:T5"/>
    <mergeCell ref="U5:Y5"/>
    <mergeCell ref="Z5:AD5"/>
    <mergeCell ref="AE5:AI5"/>
    <mergeCell ref="AJ5:AN5"/>
    <mergeCell ref="AO5:AS5"/>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M66"/>
  <sheetViews>
    <sheetView showGridLines="0" zoomScale="110" zoomScaleNormal="110" workbookViewId="0">
      <pane xSplit="1" ySplit="1" topLeftCell="B23" activePane="bottomRight" state="frozen"/>
      <selection pane="topRight" activeCell="B1" sqref="B1"/>
      <selection pane="bottomLeft" activeCell="A2" sqref="A2"/>
      <selection pane="bottomRight" activeCell="I35" sqref="I35"/>
    </sheetView>
  </sheetViews>
  <sheetFormatPr baseColWidth="10" defaultColWidth="11.5546875" defaultRowHeight="13.8" x14ac:dyDescent="0.3"/>
  <cols>
    <col min="1" max="1" width="56" style="50" customWidth="1"/>
    <col min="2" max="16384" width="11.5546875" style="50"/>
  </cols>
  <sheetData>
    <row r="1" spans="1:13" s="53" customFormat="1" x14ac:dyDescent="0.3">
      <c r="A1" s="51" t="s">
        <v>96</v>
      </c>
      <c r="B1" s="52">
        <v>2026</v>
      </c>
      <c r="C1" s="52">
        <v>2027</v>
      </c>
      <c r="D1" s="52">
        <v>2028</v>
      </c>
      <c r="E1" s="52">
        <v>2029</v>
      </c>
      <c r="F1" s="52">
        <v>2030</v>
      </c>
      <c r="G1" s="52">
        <v>2031</v>
      </c>
      <c r="H1" s="52">
        <v>2032</v>
      </c>
      <c r="I1" s="52">
        <v>2033</v>
      </c>
      <c r="J1" s="52">
        <v>2034</v>
      </c>
    </row>
    <row r="2" spans="1:13" x14ac:dyDescent="0.3">
      <c r="A2" s="54" t="s">
        <v>172</v>
      </c>
      <c r="B2" s="55">
        <v>1</v>
      </c>
      <c r="C2" s="56">
        <v>0.215</v>
      </c>
      <c r="D2" s="56">
        <v>0.17</v>
      </c>
      <c r="E2" s="56">
        <v>0.16500000000000001</v>
      </c>
      <c r="F2" s="56">
        <v>0.16</v>
      </c>
      <c r="G2" s="56">
        <v>0.155</v>
      </c>
      <c r="H2" s="56">
        <v>0.14000000000000001</v>
      </c>
      <c r="I2" s="56">
        <v>0.14000000000000001</v>
      </c>
      <c r="J2" s="56">
        <v>0.14000000000000001</v>
      </c>
    </row>
    <row r="4" spans="1:13" x14ac:dyDescent="0.3">
      <c r="A4" s="51" t="s">
        <v>173</v>
      </c>
      <c r="B4" s="52">
        <v>2026</v>
      </c>
      <c r="C4" s="52">
        <v>2027</v>
      </c>
      <c r="D4" s="52">
        <v>2028</v>
      </c>
      <c r="E4" s="52">
        <v>2029</v>
      </c>
      <c r="F4" s="52">
        <v>2030</v>
      </c>
      <c r="G4" s="52">
        <v>2031</v>
      </c>
      <c r="H4" s="52">
        <v>2032</v>
      </c>
      <c r="I4" s="52">
        <v>2033</v>
      </c>
      <c r="J4" s="52">
        <v>2034</v>
      </c>
    </row>
    <row r="5" spans="1:13" x14ac:dyDescent="0.3">
      <c r="A5" s="54" t="s">
        <v>174</v>
      </c>
      <c r="B5" s="55">
        <v>0.66</v>
      </c>
      <c r="C5" s="57">
        <v>0.6</v>
      </c>
      <c r="D5" s="57">
        <v>0.57999999999999996</v>
      </c>
      <c r="E5" s="57">
        <v>0.55000000000000004</v>
      </c>
      <c r="F5" s="57">
        <v>0.55000000000000004</v>
      </c>
      <c r="G5" s="57">
        <v>0.55000000000000004</v>
      </c>
      <c r="H5" s="57">
        <v>0.55000000000000004</v>
      </c>
      <c r="I5" s="57">
        <v>0.55000000000000004</v>
      </c>
      <c r="J5" s="57">
        <v>0.55000000000000004</v>
      </c>
    </row>
    <row r="6" spans="1:13" x14ac:dyDescent="0.3">
      <c r="A6" s="54" t="s">
        <v>175</v>
      </c>
      <c r="B6" s="55">
        <v>0.34</v>
      </c>
      <c r="C6" s="57">
        <v>0.4</v>
      </c>
      <c r="D6" s="57">
        <v>0.42</v>
      </c>
      <c r="E6" s="57">
        <v>0.45</v>
      </c>
      <c r="F6" s="57">
        <v>0.45</v>
      </c>
      <c r="G6" s="57">
        <v>0.45</v>
      </c>
      <c r="H6" s="57">
        <v>0.45</v>
      </c>
      <c r="I6" s="57">
        <v>0.45</v>
      </c>
      <c r="J6" s="57">
        <v>0.45</v>
      </c>
    </row>
    <row r="8" spans="1:13" x14ac:dyDescent="0.3">
      <c r="A8" s="51" t="s">
        <v>176</v>
      </c>
      <c r="B8" s="52" t="s">
        <v>177</v>
      </c>
      <c r="C8" s="52" t="s">
        <v>178</v>
      </c>
      <c r="E8" s="9" t="s">
        <v>179</v>
      </c>
      <c r="F8" s="9"/>
      <c r="G8" s="52" t="s">
        <v>180</v>
      </c>
      <c r="H8" s="52" t="s">
        <v>181</v>
      </c>
      <c r="I8" s="52" t="s">
        <v>182</v>
      </c>
    </row>
    <row r="9" spans="1:13" x14ac:dyDescent="0.3">
      <c r="A9" s="54" t="s">
        <v>183</v>
      </c>
      <c r="B9" s="57">
        <v>0.7</v>
      </c>
      <c r="C9" s="57">
        <v>0.3</v>
      </c>
      <c r="E9" s="8" t="s">
        <v>184</v>
      </c>
      <c r="F9" s="8"/>
      <c r="G9" s="57">
        <v>0.2</v>
      </c>
      <c r="H9" s="57">
        <v>0.5</v>
      </c>
      <c r="I9" s="57">
        <v>0.3</v>
      </c>
    </row>
    <row r="11" spans="1:13" x14ac:dyDescent="0.3">
      <c r="A11" s="9" t="s">
        <v>185</v>
      </c>
      <c r="B11" s="9"/>
      <c r="D11" s="9" t="s">
        <v>186</v>
      </c>
      <c r="E11" s="9"/>
      <c r="F11" s="52" t="s">
        <v>177</v>
      </c>
      <c r="G11" s="52" t="s">
        <v>178</v>
      </c>
      <c r="H11" s="52" t="s">
        <v>187</v>
      </c>
      <c r="I11" s="52" t="s">
        <v>188</v>
      </c>
      <c r="J11" s="52" t="s">
        <v>189</v>
      </c>
    </row>
    <row r="12" spans="1:13" x14ac:dyDescent="0.3">
      <c r="A12" s="54" t="s">
        <v>190</v>
      </c>
      <c r="B12" s="57">
        <v>0.46</v>
      </c>
      <c r="D12" s="8" t="s">
        <v>191</v>
      </c>
      <c r="E12" s="8"/>
      <c r="F12" s="57">
        <v>9.4040218511172002E-2</v>
      </c>
      <c r="G12" s="57">
        <v>0.20563296079698101</v>
      </c>
      <c r="H12" s="57">
        <v>0.248079228823499</v>
      </c>
      <c r="I12" s="57">
        <v>0.25830872972306101</v>
      </c>
      <c r="J12" s="57">
        <v>0.19393886214528699</v>
      </c>
    </row>
    <row r="13" spans="1:13" x14ac:dyDescent="0.3">
      <c r="A13" s="54" t="s">
        <v>192</v>
      </c>
      <c r="B13" s="57">
        <v>0.54</v>
      </c>
      <c r="D13" s="8" t="s">
        <v>193</v>
      </c>
      <c r="E13" s="8"/>
      <c r="F13" s="57">
        <v>0.11960584995316501</v>
      </c>
      <c r="G13" s="57">
        <v>0.18350904168952101</v>
      </c>
      <c r="H13" s="57">
        <v>0.23480129361778901</v>
      </c>
      <c r="I13" s="57">
        <v>0.46208381473952498</v>
      </c>
      <c r="J13" s="57"/>
    </row>
    <row r="14" spans="1:13" x14ac:dyDescent="0.3">
      <c r="A14" s="11" t="s">
        <v>194</v>
      </c>
    </row>
    <row r="15" spans="1:13" x14ac:dyDescent="0.3">
      <c r="A15" s="12" t="s">
        <v>195</v>
      </c>
      <c r="B15" s="12"/>
      <c r="C15" s="12"/>
      <c r="D15" s="12"/>
      <c r="E15" s="12"/>
      <c r="F15" s="12"/>
      <c r="G15" s="12"/>
      <c r="H15" s="12"/>
      <c r="I15" s="12"/>
      <c r="J15" s="12"/>
      <c r="K15" s="12"/>
      <c r="L15" s="12"/>
      <c r="M15" s="12"/>
    </row>
    <row r="16" spans="1:13" x14ac:dyDescent="0.3">
      <c r="A16" s="26" t="s">
        <v>96</v>
      </c>
      <c r="B16" s="58">
        <f t="shared" ref="B16:J16" si="0">B1</f>
        <v>2026</v>
      </c>
      <c r="C16" s="58">
        <f t="shared" si="0"/>
        <v>2027</v>
      </c>
      <c r="D16" s="58">
        <f t="shared" si="0"/>
        <v>2028</v>
      </c>
      <c r="E16" s="58">
        <f t="shared" si="0"/>
        <v>2029</v>
      </c>
      <c r="F16" s="58">
        <f t="shared" si="0"/>
        <v>2030</v>
      </c>
      <c r="G16" s="58">
        <f t="shared" si="0"/>
        <v>2031</v>
      </c>
      <c r="H16" s="58">
        <f t="shared" si="0"/>
        <v>2032</v>
      </c>
      <c r="I16" s="58">
        <f t="shared" si="0"/>
        <v>2033</v>
      </c>
      <c r="J16" s="58">
        <f t="shared" si="0"/>
        <v>2034</v>
      </c>
      <c r="K16" s="26" t="s">
        <v>196</v>
      </c>
    </row>
    <row r="17" spans="1:13" x14ac:dyDescent="0.3">
      <c r="A17" s="16" t="s">
        <v>197</v>
      </c>
      <c r="B17" s="59">
        <v>0.86082400000000003</v>
      </c>
      <c r="C17" s="59">
        <v>0.86084799999999995</v>
      </c>
      <c r="D17" s="59">
        <v>0.85335700000000003</v>
      </c>
      <c r="E17" s="59">
        <v>0.84530700000000003</v>
      </c>
      <c r="F17" s="59">
        <v>0.83726100000000003</v>
      </c>
      <c r="G17" s="59">
        <v>0.83171200000000001</v>
      </c>
      <c r="H17" s="59">
        <v>0.82616199999999995</v>
      </c>
      <c r="I17" s="59">
        <v>0.82061300000000004</v>
      </c>
      <c r="J17" s="59">
        <v>0.81506400000000001</v>
      </c>
      <c r="K17" s="11" t="s">
        <v>198</v>
      </c>
    </row>
    <row r="18" spans="1:13" x14ac:dyDescent="0.3">
      <c r="A18" s="16" t="s">
        <v>199</v>
      </c>
      <c r="C18" s="60">
        <f>Headcount!D29</f>
        <v>9.375E-2</v>
      </c>
      <c r="D18" s="60">
        <f>Headcount!G29</f>
        <v>8.5714285714285715E-2</v>
      </c>
      <c r="E18" s="60">
        <f>Headcount!J29</f>
        <v>2.6315789473684209E-2</v>
      </c>
      <c r="F18" s="60">
        <f>Headcount!M29</f>
        <v>7.6923076923076927E-2</v>
      </c>
      <c r="G18" s="60">
        <f>Headcount!P29</f>
        <v>2.3809523809523808E-2</v>
      </c>
      <c r="H18" s="60">
        <f>Headcount!S29</f>
        <v>9.3023255813953487E-2</v>
      </c>
      <c r="I18" s="60">
        <f>Headcount!V29</f>
        <v>6.3829787234042548E-2</v>
      </c>
      <c r="J18" s="60">
        <f>Headcount!Y29</f>
        <v>0.04</v>
      </c>
      <c r="K18" s="11" t="s">
        <v>200</v>
      </c>
    </row>
    <row r="19" spans="1:13" x14ac:dyDescent="0.3">
      <c r="A19" s="16" t="s">
        <v>201</v>
      </c>
      <c r="C19" s="60">
        <f>Headcount!D18</f>
        <v>0.12371134020618557</v>
      </c>
      <c r="D19" s="60">
        <f>Headcount!G18</f>
        <v>0.14678899082568808</v>
      </c>
      <c r="E19" s="60">
        <f>Headcount!J18</f>
        <v>0.104</v>
      </c>
      <c r="F19" s="60">
        <f>Headcount!M18</f>
        <v>7.9710144927536225E-2</v>
      </c>
      <c r="G19" s="60">
        <f>Headcount!P18</f>
        <v>7.3825503355704702E-2</v>
      </c>
      <c r="H19" s="60">
        <f>Headcount!S18</f>
        <v>7.4999999999999997E-2</v>
      </c>
      <c r="I19" s="60">
        <f>Headcount!V18</f>
        <v>5.8139534883720929E-2</v>
      </c>
      <c r="J19" s="60">
        <f>Headcount!Y18</f>
        <v>8.2417582417582416E-2</v>
      </c>
    </row>
    <row r="20" spans="1:13" x14ac:dyDescent="0.3">
      <c r="A20" s="16" t="s">
        <v>202</v>
      </c>
      <c r="B20" s="61">
        <v>11</v>
      </c>
      <c r="C20" s="61">
        <v>1</v>
      </c>
      <c r="D20" s="61">
        <v>1</v>
      </c>
      <c r="E20" s="61">
        <v>1</v>
      </c>
      <c r="F20" s="61">
        <v>1</v>
      </c>
      <c r="G20" s="61">
        <v>1</v>
      </c>
      <c r="H20" s="61">
        <v>1</v>
      </c>
      <c r="I20" s="61">
        <v>1</v>
      </c>
      <c r="J20" s="61">
        <v>1</v>
      </c>
      <c r="K20" s="11" t="s">
        <v>203</v>
      </c>
    </row>
    <row r="21" spans="1:13" x14ac:dyDescent="0.3">
      <c r="A21" s="16" t="s">
        <v>204</v>
      </c>
      <c r="B21" s="62">
        <v>0.14000000000000001</v>
      </c>
      <c r="K21" s="11" t="s">
        <v>205</v>
      </c>
    </row>
    <row r="22" spans="1:13" x14ac:dyDescent="0.3">
      <c r="A22" s="16" t="s">
        <v>206</v>
      </c>
      <c r="B22" s="63">
        <v>1</v>
      </c>
      <c r="K22" s="11" t="s">
        <v>207</v>
      </c>
    </row>
    <row r="23" spans="1:13" x14ac:dyDescent="0.3">
      <c r="A23" s="16" t="s">
        <v>208</v>
      </c>
      <c r="B23" s="62">
        <v>0.25</v>
      </c>
      <c r="K23" s="11" t="s">
        <v>209</v>
      </c>
    </row>
    <row r="24" spans="1:13" x14ac:dyDescent="0.3">
      <c r="A24" s="16" t="s">
        <v>210</v>
      </c>
      <c r="B24" s="64">
        <v>0</v>
      </c>
      <c r="K24" s="11" t="s">
        <v>211</v>
      </c>
    </row>
    <row r="25" spans="1:13" x14ac:dyDescent="0.3">
      <c r="A25" s="16" t="s">
        <v>212</v>
      </c>
      <c r="B25" s="63">
        <v>1</v>
      </c>
      <c r="K25" s="11" t="s">
        <v>213</v>
      </c>
    </row>
    <row r="26" spans="1:13" x14ac:dyDescent="0.3">
      <c r="A26" s="12" t="s">
        <v>214</v>
      </c>
      <c r="B26" s="12"/>
      <c r="C26" s="12"/>
      <c r="D26" s="12"/>
      <c r="E26" s="12"/>
      <c r="F26" s="12"/>
      <c r="G26" s="12"/>
      <c r="H26" s="12"/>
      <c r="I26" s="12"/>
      <c r="J26" s="12"/>
      <c r="K26" s="12"/>
      <c r="L26" s="12"/>
      <c r="M26" s="12"/>
    </row>
    <row r="27" spans="1:13" x14ac:dyDescent="0.3">
      <c r="A27" s="26" t="s">
        <v>140</v>
      </c>
      <c r="B27" s="65">
        <f>DATE($B$1,1,1)</f>
        <v>46023</v>
      </c>
      <c r="C27" s="65">
        <f t="shared" ref="C27:M27" si="1">EDATE(B27,1)</f>
        <v>46054</v>
      </c>
      <c r="D27" s="65">
        <f t="shared" si="1"/>
        <v>46082</v>
      </c>
      <c r="E27" s="65">
        <f t="shared" si="1"/>
        <v>46113</v>
      </c>
      <c r="F27" s="65">
        <f t="shared" si="1"/>
        <v>46143</v>
      </c>
      <c r="G27" s="65">
        <f t="shared" si="1"/>
        <v>46174</v>
      </c>
      <c r="H27" s="65">
        <f t="shared" si="1"/>
        <v>46204</v>
      </c>
      <c r="I27" s="65">
        <f t="shared" si="1"/>
        <v>46235</v>
      </c>
      <c r="J27" s="65">
        <f t="shared" si="1"/>
        <v>46266</v>
      </c>
      <c r="K27" s="65">
        <f t="shared" si="1"/>
        <v>46296</v>
      </c>
      <c r="L27" s="65">
        <f t="shared" si="1"/>
        <v>46327</v>
      </c>
      <c r="M27" s="65">
        <f t="shared" si="1"/>
        <v>46357</v>
      </c>
    </row>
    <row r="28" spans="1:13" x14ac:dyDescent="0.3">
      <c r="A28" s="16" t="s">
        <v>106</v>
      </c>
      <c r="B28" s="66">
        <v>190.68289999999999</v>
      </c>
      <c r="C28" s="66">
        <v>162.33706000000001</v>
      </c>
      <c r="D28" s="66">
        <v>161.86676</v>
      </c>
      <c r="E28" s="66">
        <v>130.37506999999999</v>
      </c>
      <c r="F28" s="66">
        <v>147.09969000000001</v>
      </c>
      <c r="G28" s="66">
        <v>162.25641999999999</v>
      </c>
      <c r="H28" s="66">
        <v>150.70194000000001</v>
      </c>
      <c r="I28" s="66">
        <v>180.6936</v>
      </c>
      <c r="J28" s="66">
        <v>180.6936</v>
      </c>
      <c r="K28" s="66">
        <v>180.6936</v>
      </c>
      <c r="L28" s="66">
        <v>180.6936</v>
      </c>
      <c r="M28" s="66">
        <v>180.6936</v>
      </c>
    </row>
    <row r="29" spans="1:13" x14ac:dyDescent="0.3">
      <c r="A29" s="16" t="s">
        <v>107</v>
      </c>
      <c r="B29" s="66">
        <v>188.76043000000001</v>
      </c>
      <c r="C29" s="66">
        <v>178.79868999999999</v>
      </c>
      <c r="D29" s="66">
        <v>169.81774999999999</v>
      </c>
      <c r="E29" s="66">
        <v>194.14934</v>
      </c>
      <c r="F29" s="66">
        <v>103.13808</v>
      </c>
      <c r="G29" s="66">
        <v>205.85346999999899</v>
      </c>
      <c r="H29" s="66">
        <v>224.18030999999999</v>
      </c>
      <c r="I29" s="66">
        <v>342.99248999999998</v>
      </c>
      <c r="J29" s="66">
        <v>342.99248999999998</v>
      </c>
      <c r="K29" s="66">
        <v>342.99248999999998</v>
      </c>
      <c r="L29" s="66">
        <v>342.99248999999998</v>
      </c>
      <c r="M29" s="66">
        <v>342.99248999999998</v>
      </c>
    </row>
    <row r="30" spans="1:13" x14ac:dyDescent="0.3">
      <c r="A30" s="16" t="s">
        <v>108</v>
      </c>
      <c r="B30" s="66">
        <v>430.5652</v>
      </c>
      <c r="C30" s="66">
        <v>434.00675999999999</v>
      </c>
      <c r="D30" s="66">
        <v>435.05002999999999</v>
      </c>
      <c r="E30" s="66">
        <v>394.40649999999999</v>
      </c>
      <c r="F30" s="66">
        <v>408.76330999999999</v>
      </c>
      <c r="G30" s="66">
        <v>434.17689999999999</v>
      </c>
      <c r="H30" s="66">
        <v>469.19653</v>
      </c>
      <c r="I30" s="66">
        <v>451.61892999999998</v>
      </c>
      <c r="J30" s="66">
        <v>451.61892999999998</v>
      </c>
      <c r="K30" s="66">
        <v>451.61892999999998</v>
      </c>
      <c r="L30" s="66">
        <v>451.61892999999998</v>
      </c>
      <c r="M30" s="66">
        <v>451.61892999999998</v>
      </c>
    </row>
    <row r="31" spans="1:13" x14ac:dyDescent="0.3">
      <c r="A31" s="16" t="s">
        <v>109</v>
      </c>
      <c r="B31" s="66">
        <v>459.12596000000002</v>
      </c>
      <c r="C31" s="66">
        <v>360.89612</v>
      </c>
      <c r="D31" s="66">
        <v>334.86291</v>
      </c>
      <c r="E31" s="66">
        <v>432.30547999999999</v>
      </c>
      <c r="F31" s="66">
        <v>591.71879999999999</v>
      </c>
      <c r="G31" s="66">
        <v>847.21690999999998</v>
      </c>
      <c r="H31" s="66">
        <v>517.15570000000002</v>
      </c>
      <c r="I31" s="66">
        <v>611.07749999999999</v>
      </c>
      <c r="J31" s="66">
        <v>611.07749999999999</v>
      </c>
      <c r="K31" s="66">
        <v>611.07749999999999</v>
      </c>
      <c r="L31" s="66">
        <v>611.07749999999999</v>
      </c>
      <c r="M31" s="66">
        <v>611.07749999999999</v>
      </c>
    </row>
    <row r="33" spans="1:13" x14ac:dyDescent="0.3">
      <c r="A33" s="12" t="s">
        <v>215</v>
      </c>
      <c r="B33" s="12"/>
      <c r="C33" s="12"/>
      <c r="D33" s="12"/>
      <c r="E33" s="12"/>
      <c r="F33" s="12"/>
      <c r="G33" s="12"/>
      <c r="H33" s="12"/>
      <c r="I33" s="12"/>
      <c r="J33" s="12"/>
      <c r="K33" s="12"/>
      <c r="L33" s="12"/>
      <c r="M33" s="12"/>
    </row>
    <row r="34" spans="1:13" x14ac:dyDescent="0.3">
      <c r="A34" s="67" t="s">
        <v>216</v>
      </c>
      <c r="B34" s="67" t="s">
        <v>217</v>
      </c>
      <c r="C34" s="58" t="s">
        <v>218</v>
      </c>
      <c r="D34" s="58" t="s">
        <v>58</v>
      </c>
      <c r="E34" s="58" t="s">
        <v>219</v>
      </c>
      <c r="F34" s="58" t="s">
        <v>60</v>
      </c>
      <c r="G34" s="58" t="s">
        <v>220</v>
      </c>
      <c r="H34" s="58" t="s">
        <v>221</v>
      </c>
      <c r="I34" s="58" t="s">
        <v>74</v>
      </c>
    </row>
    <row r="35" spans="1:13" x14ac:dyDescent="0.3">
      <c r="A35" s="16" t="s">
        <v>222</v>
      </c>
      <c r="B35" s="68" t="s">
        <v>223</v>
      </c>
      <c r="C35" s="69">
        <f>Inversiones!B3</f>
        <v>1050000</v>
      </c>
      <c r="D35" s="70">
        <v>7.0000000000000007E-2</v>
      </c>
      <c r="E35" s="61">
        <v>36</v>
      </c>
      <c r="F35" s="71">
        <f t="shared" ref="F35:F40" si="2">(1+D35)^(30/360)-1</f>
        <v>5.6541453874052738E-3</v>
      </c>
      <c r="G35" s="72">
        <f t="shared" ref="G35:G40" si="3">PMT(F35,E35,-C35)</f>
        <v>32317.822768156646</v>
      </c>
      <c r="H35" s="75">
        <f>DATE(B$16,$B$20,1)</f>
        <v>46327</v>
      </c>
      <c r="I35" s="290">
        <f>H35</f>
        <v>46327</v>
      </c>
      <c r="J35" s="11" t="s">
        <v>224</v>
      </c>
    </row>
    <row r="36" spans="1:13" x14ac:dyDescent="0.3">
      <c r="A36" s="16" t="s">
        <v>225</v>
      </c>
      <c r="B36" s="68" t="s">
        <v>223</v>
      </c>
      <c r="C36" s="69">
        <f>Inversiones!G3</f>
        <v>1050000</v>
      </c>
      <c r="D36" s="70">
        <v>7.0000000000000007E-2</v>
      </c>
      <c r="E36" s="61">
        <v>36</v>
      </c>
      <c r="F36" s="71">
        <f t="shared" si="2"/>
        <v>5.6541453874052738E-3</v>
      </c>
      <c r="G36" s="72">
        <f t="shared" si="3"/>
        <v>32317.822768156646</v>
      </c>
      <c r="H36" s="75">
        <f>DATE(G$16,$G$20,1)</f>
        <v>47849</v>
      </c>
      <c r="I36" s="290">
        <f>H36</f>
        <v>47849</v>
      </c>
    </row>
    <row r="37" spans="1:13" x14ac:dyDescent="0.3">
      <c r="A37" s="16" t="s">
        <v>226</v>
      </c>
      <c r="B37" s="68" t="s">
        <v>227</v>
      </c>
      <c r="C37" s="69">
        <f>Inversiones!B16-Inversiones!B3</f>
        <v>1020000</v>
      </c>
      <c r="D37" s="70">
        <v>7.0000000000000007E-2</v>
      </c>
      <c r="E37" s="61">
        <v>36</v>
      </c>
      <c r="F37" s="71">
        <f t="shared" si="2"/>
        <v>5.6541453874052738E-3</v>
      </c>
      <c r="G37" s="72">
        <f t="shared" si="3"/>
        <v>31394.456403352171</v>
      </c>
      <c r="H37" s="75">
        <f>DATE(B$16,$B$20,1)</f>
        <v>46327</v>
      </c>
      <c r="I37" s="290">
        <f>H37</f>
        <v>46327</v>
      </c>
    </row>
    <row r="38" spans="1:13" x14ac:dyDescent="0.3">
      <c r="A38" s="16" t="s">
        <v>228</v>
      </c>
      <c r="B38" s="68" t="s">
        <v>227</v>
      </c>
      <c r="C38" s="69">
        <f>Inversiones!C16-Inversiones!C3</f>
        <v>1440000</v>
      </c>
      <c r="D38" s="70">
        <v>7.0000000000000007E-2</v>
      </c>
      <c r="E38" s="61">
        <v>36</v>
      </c>
      <c r="F38" s="71">
        <f t="shared" si="2"/>
        <v>5.6541453874052738E-3</v>
      </c>
      <c r="G38" s="72">
        <f t="shared" si="3"/>
        <v>44321.58551061483</v>
      </c>
      <c r="H38" s="75">
        <f>DATE(C$16,$C$20,1)</f>
        <v>46388</v>
      </c>
      <c r="I38" s="290">
        <f>H38</f>
        <v>46388</v>
      </c>
    </row>
    <row r="39" spans="1:13" x14ac:dyDescent="0.3">
      <c r="A39" s="16" t="s">
        <v>229</v>
      </c>
      <c r="B39" s="68" t="s">
        <v>227</v>
      </c>
      <c r="C39" s="69">
        <f>Inversiones!D16-Inversiones!D3</f>
        <v>570000</v>
      </c>
      <c r="D39" s="70">
        <v>7.0000000000000007E-2</v>
      </c>
      <c r="E39" s="61">
        <v>36</v>
      </c>
      <c r="F39" s="71">
        <f t="shared" si="2"/>
        <v>5.6541453874052738E-3</v>
      </c>
      <c r="G39" s="72">
        <f t="shared" si="3"/>
        <v>17543.960931285037</v>
      </c>
      <c r="H39" s="75">
        <f>DATE(D$16,$D$20,1)</f>
        <v>46753</v>
      </c>
      <c r="I39" s="290">
        <f>H39</f>
        <v>46753</v>
      </c>
    </row>
    <row r="40" spans="1:13" x14ac:dyDescent="0.3">
      <c r="A40" s="16" t="s">
        <v>230</v>
      </c>
      <c r="B40" s="68" t="s">
        <v>227</v>
      </c>
      <c r="C40" s="69">
        <f>Inversiones!F16-Inversiones!F3</f>
        <v>200000</v>
      </c>
      <c r="D40" s="70">
        <v>7.0000000000000007E-2</v>
      </c>
      <c r="E40" s="61">
        <v>36</v>
      </c>
      <c r="F40" s="71">
        <f t="shared" si="2"/>
        <v>5.6541453874052738E-3</v>
      </c>
      <c r="G40" s="72">
        <f t="shared" si="3"/>
        <v>6155.7757653631716</v>
      </c>
      <c r="H40" s="75">
        <f>DATE(F$16,$F$20,1)</f>
        <v>47484</v>
      </c>
      <c r="I40" s="290">
        <f>H40</f>
        <v>47484</v>
      </c>
    </row>
    <row r="41" spans="1:13" x14ac:dyDescent="0.3">
      <c r="A41" s="11" t="s">
        <v>231</v>
      </c>
      <c r="C41" s="74">
        <f>SUM(Inversiones!B16:J16)-SUM(Inversiones!B3:J3)-(C37+C38+C39+C40)</f>
        <v>0</v>
      </c>
    </row>
    <row r="43" spans="1:13" x14ac:dyDescent="0.3">
      <c r="A43" s="12" t="s">
        <v>232</v>
      </c>
      <c r="B43" s="12"/>
      <c r="C43" s="12"/>
      <c r="D43" s="12"/>
      <c r="E43" s="12"/>
      <c r="F43" s="12"/>
      <c r="G43" s="12"/>
      <c r="H43" s="12"/>
      <c r="I43" s="12"/>
      <c r="J43" s="12"/>
      <c r="K43" s="12"/>
      <c r="L43" s="12"/>
      <c r="M43" s="12"/>
    </row>
    <row r="44" spans="1:13" x14ac:dyDescent="0.3">
      <c r="A44" s="67" t="s">
        <v>233</v>
      </c>
      <c r="B44" s="58" t="s">
        <v>140</v>
      </c>
      <c r="C44" s="58" t="s">
        <v>234</v>
      </c>
    </row>
    <row r="45" spans="1:13" x14ac:dyDescent="0.3">
      <c r="A45" s="68" t="s">
        <v>235</v>
      </c>
      <c r="B45" s="75">
        <v>46082</v>
      </c>
      <c r="C45" s="76">
        <v>500</v>
      </c>
      <c r="D45" s="11" t="s">
        <v>236</v>
      </c>
    </row>
    <row r="46" spans="1:13" x14ac:dyDescent="0.3">
      <c r="A46" s="68" t="s">
        <v>235</v>
      </c>
      <c r="B46" s="75">
        <v>46113</v>
      </c>
      <c r="C46" s="76">
        <v>500</v>
      </c>
    </row>
    <row r="47" spans="1:13" x14ac:dyDescent="0.3">
      <c r="A47" s="68" t="s">
        <v>235</v>
      </c>
      <c r="B47" s="75">
        <v>46143</v>
      </c>
      <c r="C47" s="76">
        <v>200</v>
      </c>
    </row>
    <row r="48" spans="1:13" x14ac:dyDescent="0.3">
      <c r="B48" s="75"/>
      <c r="C48" s="76"/>
    </row>
    <row r="49" spans="1:13" x14ac:dyDescent="0.3">
      <c r="B49" s="75"/>
      <c r="C49" s="76"/>
    </row>
    <row r="50" spans="1:13" x14ac:dyDescent="0.3">
      <c r="B50" s="75"/>
      <c r="C50" s="76"/>
    </row>
    <row r="51" spans="1:13" x14ac:dyDescent="0.3">
      <c r="B51" s="75"/>
      <c r="C51" s="76"/>
    </row>
    <row r="52" spans="1:13" x14ac:dyDescent="0.3">
      <c r="B52" s="75"/>
      <c r="C52" s="76"/>
    </row>
    <row r="53" spans="1:13" x14ac:dyDescent="0.3">
      <c r="B53" s="75"/>
      <c r="C53" s="76"/>
    </row>
    <row r="54" spans="1:13" x14ac:dyDescent="0.3">
      <c r="B54" s="75"/>
      <c r="C54" s="76"/>
    </row>
    <row r="56" spans="1:13" x14ac:dyDescent="0.3">
      <c r="A56" s="12" t="s">
        <v>237</v>
      </c>
      <c r="B56" s="12"/>
      <c r="C56" s="12"/>
      <c r="D56" s="12"/>
      <c r="E56" s="12"/>
      <c r="F56" s="12"/>
      <c r="G56" s="12"/>
      <c r="H56" s="12"/>
      <c r="I56" s="12"/>
      <c r="J56" s="12"/>
      <c r="K56" s="12"/>
      <c r="L56" s="12"/>
      <c r="M56" s="12"/>
    </row>
    <row r="57" spans="1:13" x14ac:dyDescent="0.3">
      <c r="A57" s="12" t="s">
        <v>238</v>
      </c>
      <c r="B57" s="14">
        <f t="shared" ref="B57:J57" si="4">B1</f>
        <v>2026</v>
      </c>
      <c r="C57" s="14">
        <f t="shared" si="4"/>
        <v>2027</v>
      </c>
      <c r="D57" s="14">
        <f t="shared" si="4"/>
        <v>2028</v>
      </c>
      <c r="E57" s="14">
        <f t="shared" si="4"/>
        <v>2029</v>
      </c>
      <c r="F57" s="14">
        <f t="shared" si="4"/>
        <v>2030</v>
      </c>
      <c r="G57" s="14">
        <f t="shared" si="4"/>
        <v>2031</v>
      </c>
      <c r="H57" s="14">
        <f t="shared" si="4"/>
        <v>2032</v>
      </c>
      <c r="I57" s="14">
        <f t="shared" si="4"/>
        <v>2033</v>
      </c>
      <c r="J57" s="14">
        <f t="shared" si="4"/>
        <v>2034</v>
      </c>
    </row>
    <row r="58" spans="1:13" x14ac:dyDescent="0.3">
      <c r="A58" s="16" t="s">
        <v>82</v>
      </c>
      <c r="B58" s="70">
        <v>4.0000000000000001E-3</v>
      </c>
      <c r="C58" s="70">
        <v>4.0000000000000001E-3</v>
      </c>
      <c r="D58" s="70">
        <v>4.0000000000000001E-3</v>
      </c>
      <c r="E58" s="70">
        <v>4.0000000000000001E-3</v>
      </c>
      <c r="F58" s="70">
        <v>4.0000000000000001E-3</v>
      </c>
      <c r="G58" s="70">
        <v>4.0000000000000001E-3</v>
      </c>
      <c r="H58" s="70">
        <v>4.0000000000000001E-3</v>
      </c>
      <c r="I58" s="70">
        <v>4.0000000000000001E-3</v>
      </c>
      <c r="J58" s="70">
        <v>4.0000000000000001E-3</v>
      </c>
      <c r="K58" s="11" t="s">
        <v>239</v>
      </c>
    </row>
    <row r="59" spans="1:13" x14ac:dyDescent="0.3">
      <c r="A59" s="16" t="s">
        <v>80</v>
      </c>
      <c r="B59" s="70">
        <v>1.2999999999999999E-2</v>
      </c>
      <c r="C59" s="70">
        <v>1.2E-2</v>
      </c>
      <c r="D59" s="70">
        <v>1.0999999999999999E-2</v>
      </c>
      <c r="E59" s="70">
        <v>0.01</v>
      </c>
      <c r="F59" s="70">
        <v>8.9999999999999993E-3</v>
      </c>
      <c r="G59" s="70">
        <v>8.0000000000000002E-3</v>
      </c>
      <c r="H59" s="70">
        <v>7.0000000000000001E-3</v>
      </c>
      <c r="I59" s="70">
        <v>6.0000000000000001E-3</v>
      </c>
      <c r="J59" s="70">
        <v>5.0000000000000001E-3</v>
      </c>
      <c r="K59" s="11" t="s">
        <v>240</v>
      </c>
    </row>
    <row r="60" spans="1:13" x14ac:dyDescent="0.3">
      <c r="A60" s="16" t="s">
        <v>241</v>
      </c>
      <c r="B60" s="70">
        <v>1.4E-2</v>
      </c>
      <c r="C60" s="70">
        <v>1.4E-2</v>
      </c>
      <c r="D60" s="70">
        <v>1.2999999999999999E-2</v>
      </c>
      <c r="E60" s="70">
        <v>1.2999999999999999E-2</v>
      </c>
      <c r="F60" s="70">
        <v>1.2999999999999999E-2</v>
      </c>
      <c r="G60" s="70">
        <v>1.2E-2</v>
      </c>
      <c r="H60" s="70">
        <v>1.2E-2</v>
      </c>
      <c r="I60" s="70">
        <v>1.2E-2</v>
      </c>
      <c r="J60" s="70">
        <v>1.2E-2</v>
      </c>
      <c r="K60" s="11" t="s">
        <v>242</v>
      </c>
    </row>
    <row r="61" spans="1:13" x14ac:dyDescent="0.3">
      <c r="A61" s="16" t="s">
        <v>243</v>
      </c>
      <c r="B61" s="70">
        <v>2.1000000000000001E-2</v>
      </c>
      <c r="C61" s="70">
        <v>0.02</v>
      </c>
      <c r="D61" s="70">
        <v>1.7999999999999999E-2</v>
      </c>
      <c r="E61" s="70">
        <v>1.7999999999999999E-2</v>
      </c>
      <c r="F61" s="70">
        <v>1.7999999999999999E-2</v>
      </c>
      <c r="G61" s="70">
        <v>1.7999999999999999E-2</v>
      </c>
      <c r="H61" s="70">
        <v>1.7000000000000001E-2</v>
      </c>
      <c r="I61" s="70">
        <v>1.7000000000000001E-2</v>
      </c>
      <c r="J61" s="70">
        <v>1.7000000000000001E-2</v>
      </c>
      <c r="K61" s="11" t="s">
        <v>244</v>
      </c>
    </row>
    <row r="62" spans="1:13" x14ac:dyDescent="0.3">
      <c r="A62" s="16" t="s">
        <v>245</v>
      </c>
      <c r="B62" s="70">
        <v>3.7999999999999999E-2</v>
      </c>
      <c r="C62" s="70">
        <v>3.7999999999999999E-2</v>
      </c>
      <c r="D62" s="70">
        <v>3.6999999999999998E-2</v>
      </c>
      <c r="E62" s="70">
        <v>3.6999999999999998E-2</v>
      </c>
      <c r="F62" s="70">
        <v>3.5999999999999997E-2</v>
      </c>
      <c r="G62" s="70">
        <v>3.5999999999999997E-2</v>
      </c>
      <c r="H62" s="70">
        <v>3.5999999999999997E-2</v>
      </c>
      <c r="I62" s="70">
        <v>3.5000000000000003E-2</v>
      </c>
      <c r="J62" s="70">
        <v>3.5000000000000003E-2</v>
      </c>
      <c r="K62" s="11" t="s">
        <v>242</v>
      </c>
    </row>
    <row r="63" spans="1:13" x14ac:dyDescent="0.3">
      <c r="A63" s="16" t="s">
        <v>246</v>
      </c>
      <c r="B63" s="70">
        <v>4.7E-2</v>
      </c>
      <c r="C63" s="70">
        <v>4.4999999999999998E-2</v>
      </c>
      <c r="D63" s="70">
        <v>4.3999999999999997E-2</v>
      </c>
      <c r="E63" s="70">
        <v>4.2999999999999997E-2</v>
      </c>
      <c r="F63" s="70">
        <v>4.1000000000000002E-2</v>
      </c>
      <c r="G63" s="70">
        <v>3.9E-2</v>
      </c>
      <c r="H63" s="70">
        <v>3.7999999999999999E-2</v>
      </c>
      <c r="I63" s="70">
        <v>3.6999999999999998E-2</v>
      </c>
      <c r="J63" s="70">
        <v>3.5999999999999997E-2</v>
      </c>
      <c r="K63" s="11" t="s">
        <v>247</v>
      </c>
    </row>
    <row r="65" spans="1:11" x14ac:dyDescent="0.3">
      <c r="A65" s="11" t="s">
        <v>248</v>
      </c>
      <c r="B65" s="77">
        <f>'Flujo Anual'!C17/'Flujo Anual'!C7</f>
        <v>1.4345665348523362E-2</v>
      </c>
      <c r="C65" s="77">
        <f>'Flujo Anual'!D17/'Flujo Anual'!D7</f>
        <v>1.3930628078618862E-2</v>
      </c>
      <c r="D65" s="77">
        <f>'Flujo Anual'!E17/'Flujo Anual'!E7</f>
        <v>1.2935467226270295E-2</v>
      </c>
      <c r="E65" s="77">
        <f>'Flujo Anual'!F17/'Flujo Anual'!F7</f>
        <v>1.1395600221923236E-2</v>
      </c>
      <c r="F65" s="77">
        <f>'Flujo Anual'!G17/'Flujo Anual'!G7</f>
        <v>1.0579469702050754E-2</v>
      </c>
      <c r="G65" s="77">
        <f>'Flujo Anual'!H17/'Flujo Anual'!H7</f>
        <v>9.3778024569816983E-3</v>
      </c>
      <c r="H65" s="77">
        <f>'Flujo Anual'!I17/'Flujo Anual'!I7</f>
        <v>8.9913650648335303E-3</v>
      </c>
      <c r="I65" s="77">
        <f>'Flujo Anual'!J17/'Flujo Anual'!J7</f>
        <v>8.3905982314609259E-3</v>
      </c>
      <c r="J65" s="77">
        <f>'Flujo Anual'!K17/'Flujo Anual'!K7</f>
        <v>7.6545808427362872E-3</v>
      </c>
      <c r="K65" s="11" t="s">
        <v>249</v>
      </c>
    </row>
    <row r="66" spans="1:11" x14ac:dyDescent="0.3">
      <c r="A66" s="11" t="s">
        <v>250</v>
      </c>
      <c r="B66" s="77">
        <f>'Flujo Anual'!C19/'Flujo Anual'!C7</f>
        <v>3.7594468187410843E-2</v>
      </c>
      <c r="C66" s="77">
        <f>'Flujo Anual'!D19/'Flujo Anual'!D7</f>
        <v>3.5771467909720966E-2</v>
      </c>
      <c r="D66" s="77">
        <f>'Flujo Anual'!E19/'Flujo Anual'!E7</f>
        <v>3.5084569127734382E-2</v>
      </c>
      <c r="E66" s="77">
        <f>'Flujo Anual'!F19/'Flujo Anual'!F7</f>
        <v>3.3247523018900237E-2</v>
      </c>
      <c r="F66" s="77">
        <f>'Flujo Anual'!G19/'Flujo Anual'!G7</f>
        <v>3.0946282670015833E-2</v>
      </c>
      <c r="G66" s="77">
        <f>'Flujo Anual'!H19/'Flujo Anual'!H7</f>
        <v>2.8771348541227419E-2</v>
      </c>
      <c r="H66" s="77">
        <f>'Flujo Anual'!I19/'Flujo Anual'!I7</f>
        <v>2.7130876913876726E-2</v>
      </c>
      <c r="I66" s="77">
        <f>'Flujo Anual'!J19/'Flujo Anual'!J7</f>
        <v>2.5182678490032459E-2</v>
      </c>
      <c r="J66" s="77">
        <f>'Flujo Anual'!K19/'Flujo Anual'!K7</f>
        <v>2.3910678921035249E-2</v>
      </c>
    </row>
  </sheetData>
  <mergeCells count="6">
    <mergeCell ref="D13:E13"/>
    <mergeCell ref="E8:F8"/>
    <mergeCell ref="E9:F9"/>
    <mergeCell ref="A11:B11"/>
    <mergeCell ref="D11:E11"/>
    <mergeCell ref="D12:E12"/>
  </mergeCell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N38"/>
  <sheetViews>
    <sheetView showGridLines="0" zoomScale="120" zoomScaleNormal="120" workbookViewId="0">
      <selection activeCell="A31" sqref="A28:XFD31"/>
    </sheetView>
  </sheetViews>
  <sheetFormatPr baseColWidth="10" defaultColWidth="11.5546875" defaultRowHeight="13.8" x14ac:dyDescent="0.25"/>
  <cols>
    <col min="1" max="1" width="40" style="78" customWidth="1"/>
    <col min="2" max="10" width="12" style="78" customWidth="1"/>
    <col min="11" max="16384" width="11.5546875" style="78"/>
  </cols>
  <sheetData>
    <row r="1" spans="1:10" x14ac:dyDescent="0.3">
      <c r="A1" s="11" t="s">
        <v>251</v>
      </c>
      <c r="B1" s="79">
        <f>'Flujo Anual'!C7</f>
        <v>140027.5129244368</v>
      </c>
      <c r="C1" s="80">
        <f>'Flujo Anual'!D7</f>
        <v>170243.83154984997</v>
      </c>
      <c r="D1" s="80">
        <f>'Flujo Anual'!E7</f>
        <v>199056.11099773319</v>
      </c>
      <c r="E1" s="80">
        <f>'Flujo Anual'!F7</f>
        <v>231900.36931235914</v>
      </c>
      <c r="F1" s="80">
        <f>'Flujo Anual'!G7</f>
        <v>269004.42840233655</v>
      </c>
      <c r="G1" s="80">
        <f>'Flujo Anual'!H7</f>
        <v>310700.11480469879</v>
      </c>
      <c r="H1" s="80">
        <f>'Flujo Anual'!I7</f>
        <v>354198.13087735669</v>
      </c>
      <c r="I1" s="80">
        <f>'Flujo Anual'!J7</f>
        <v>403785.86920018663</v>
      </c>
      <c r="J1" s="81">
        <f>'Flujo Anual'!K7</f>
        <v>460315.89088821277</v>
      </c>
    </row>
    <row r="2" spans="1:10" x14ac:dyDescent="0.3">
      <c r="A2" s="82" t="s">
        <v>252</v>
      </c>
      <c r="B2" s="83">
        <v>2026</v>
      </c>
      <c r="C2" s="15">
        <v>2027</v>
      </c>
      <c r="D2" s="15">
        <v>2028</v>
      </c>
      <c r="E2" s="15">
        <v>2029</v>
      </c>
      <c r="F2" s="15">
        <v>2030</v>
      </c>
      <c r="G2" s="15">
        <v>2031</v>
      </c>
      <c r="H2" s="15">
        <v>2032</v>
      </c>
      <c r="I2" s="15">
        <v>2033</v>
      </c>
      <c r="J2" s="84">
        <v>2034</v>
      </c>
    </row>
    <row r="3" spans="1:10" x14ac:dyDescent="0.25">
      <c r="A3" s="85" t="s">
        <v>253</v>
      </c>
      <c r="B3" s="86">
        <v>1050000</v>
      </c>
      <c r="C3" s="87"/>
      <c r="D3" s="88"/>
      <c r="E3" s="88"/>
      <c r="F3" s="88"/>
      <c r="G3" s="89">
        <v>1050000</v>
      </c>
      <c r="H3" s="88"/>
      <c r="I3" s="88"/>
      <c r="J3" s="90"/>
    </row>
    <row r="4" spans="1:10" x14ac:dyDescent="0.25">
      <c r="A4" s="91" t="s">
        <v>254</v>
      </c>
      <c r="B4" s="92"/>
      <c r="C4" s="93">
        <v>1190000</v>
      </c>
      <c r="D4" s="94"/>
      <c r="E4" s="94"/>
      <c r="F4" s="94"/>
      <c r="G4" s="94"/>
      <c r="H4" s="94"/>
      <c r="I4" s="94"/>
      <c r="J4" s="95"/>
    </row>
    <row r="5" spans="1:10" x14ac:dyDescent="0.25">
      <c r="A5" s="91" t="s">
        <v>255</v>
      </c>
      <c r="B5" s="92"/>
      <c r="C5" s="93">
        <v>200000</v>
      </c>
      <c r="D5" s="94"/>
      <c r="E5" s="94"/>
      <c r="F5" s="94"/>
      <c r="G5" s="94"/>
      <c r="H5" s="94"/>
      <c r="I5" s="94"/>
      <c r="J5" s="95"/>
    </row>
    <row r="6" spans="1:10" x14ac:dyDescent="0.25">
      <c r="A6" s="91" t="s">
        <v>256</v>
      </c>
      <c r="B6" s="92"/>
      <c r="C6" s="93">
        <v>50000</v>
      </c>
      <c r="D6" s="96"/>
      <c r="E6" s="94"/>
      <c r="F6" s="94"/>
      <c r="G6" s="94"/>
      <c r="H6" s="94"/>
      <c r="I6" s="94"/>
      <c r="J6" s="95"/>
    </row>
    <row r="7" spans="1:10" x14ac:dyDescent="0.25">
      <c r="A7" s="91" t="s">
        <v>257</v>
      </c>
      <c r="B7" s="97">
        <v>800000</v>
      </c>
      <c r="C7" s="96"/>
      <c r="D7" s="94"/>
      <c r="E7" s="94"/>
      <c r="F7" s="94"/>
      <c r="G7" s="94"/>
      <c r="H7" s="94"/>
      <c r="I7" s="94"/>
      <c r="J7" s="95"/>
    </row>
    <row r="8" spans="1:10" x14ac:dyDescent="0.25">
      <c r="A8" s="91" t="s">
        <v>258</v>
      </c>
      <c r="B8" s="97">
        <v>170000</v>
      </c>
      <c r="C8" s="96"/>
      <c r="D8" s="94"/>
      <c r="E8" s="94"/>
      <c r="F8" s="94"/>
      <c r="G8" s="94"/>
      <c r="H8" s="94"/>
      <c r="I8" s="94"/>
      <c r="J8" s="95"/>
    </row>
    <row r="9" spans="1:10" x14ac:dyDescent="0.25">
      <c r="A9" s="91" t="s">
        <v>259</v>
      </c>
      <c r="B9" s="97">
        <v>50000</v>
      </c>
      <c r="C9" s="96"/>
      <c r="D9" s="94"/>
      <c r="E9" s="94"/>
      <c r="F9" s="94"/>
      <c r="G9" s="94"/>
      <c r="H9" s="94"/>
      <c r="I9" s="94"/>
      <c r="J9" s="95"/>
    </row>
    <row r="10" spans="1:10" x14ac:dyDescent="0.25">
      <c r="A10" s="91" t="s">
        <v>260</v>
      </c>
      <c r="B10" s="92"/>
      <c r="C10" s="96"/>
      <c r="D10" s="96"/>
      <c r="E10" s="94"/>
      <c r="F10" s="94"/>
      <c r="G10" s="94"/>
      <c r="H10" s="94"/>
      <c r="I10" s="94"/>
      <c r="J10" s="95"/>
    </row>
    <row r="11" spans="1:10" x14ac:dyDescent="0.25">
      <c r="A11" s="91" t="s">
        <v>261</v>
      </c>
      <c r="B11" s="92"/>
      <c r="C11" s="96"/>
      <c r="D11" s="93">
        <v>100000</v>
      </c>
      <c r="E11" s="94"/>
      <c r="F11" s="94"/>
      <c r="G11" s="94"/>
      <c r="H11" s="94"/>
      <c r="I11" s="94"/>
      <c r="J11" s="95"/>
    </row>
    <row r="12" spans="1:10" x14ac:dyDescent="0.25">
      <c r="A12" s="91" t="s">
        <v>262</v>
      </c>
      <c r="B12" s="92"/>
      <c r="C12" s="96"/>
      <c r="D12" s="93">
        <v>340000</v>
      </c>
      <c r="E12" s="94"/>
      <c r="F12" s="94"/>
      <c r="G12" s="94"/>
      <c r="H12" s="94"/>
      <c r="I12" s="94"/>
      <c r="J12" s="95"/>
    </row>
    <row r="13" spans="1:10" x14ac:dyDescent="0.25">
      <c r="A13" s="91" t="s">
        <v>263</v>
      </c>
      <c r="B13" s="92"/>
      <c r="C13" s="96"/>
      <c r="D13" s="96"/>
      <c r="E13" s="94"/>
      <c r="F13" s="93">
        <v>200000</v>
      </c>
      <c r="G13" s="94"/>
      <c r="H13" s="94"/>
      <c r="I13" s="94"/>
      <c r="J13" s="95"/>
    </row>
    <row r="14" spans="1:10" x14ac:dyDescent="0.25">
      <c r="A14" s="91" t="s">
        <v>264</v>
      </c>
      <c r="B14" s="92"/>
      <c r="C14" s="96"/>
      <c r="D14" s="93">
        <v>30000</v>
      </c>
      <c r="E14" s="94"/>
      <c r="F14" s="94"/>
      <c r="G14" s="94"/>
      <c r="H14" s="94"/>
      <c r="I14" s="94"/>
      <c r="J14" s="95"/>
    </row>
    <row r="15" spans="1:10" x14ac:dyDescent="0.25">
      <c r="A15" s="98" t="s">
        <v>265</v>
      </c>
      <c r="B15" s="99"/>
      <c r="C15" s="100"/>
      <c r="D15" s="101">
        <v>100000</v>
      </c>
      <c r="E15" s="102"/>
      <c r="F15" s="102"/>
      <c r="G15" s="102"/>
      <c r="H15" s="102"/>
      <c r="I15" s="102"/>
      <c r="J15" s="103"/>
    </row>
    <row r="16" spans="1:10" x14ac:dyDescent="0.3">
      <c r="A16" s="18" t="s">
        <v>266</v>
      </c>
      <c r="B16" s="104">
        <f t="shared" ref="B16:J16" si="0">SUM(B3:B15)</f>
        <v>2070000</v>
      </c>
      <c r="C16" s="105">
        <f t="shared" si="0"/>
        <v>1440000</v>
      </c>
      <c r="D16" s="104">
        <f t="shared" si="0"/>
        <v>570000</v>
      </c>
      <c r="E16" s="104">
        <f t="shared" si="0"/>
        <v>0</v>
      </c>
      <c r="F16" s="104">
        <f t="shared" si="0"/>
        <v>200000</v>
      </c>
      <c r="G16" s="104">
        <f t="shared" si="0"/>
        <v>1050000</v>
      </c>
      <c r="H16" s="104">
        <f t="shared" si="0"/>
        <v>0</v>
      </c>
      <c r="I16" s="104">
        <f t="shared" si="0"/>
        <v>0</v>
      </c>
      <c r="J16" s="104">
        <f t="shared" si="0"/>
        <v>0</v>
      </c>
    </row>
    <row r="17" spans="1:14" x14ac:dyDescent="0.25">
      <c r="C17" s="106"/>
    </row>
    <row r="18" spans="1:14" x14ac:dyDescent="0.3">
      <c r="A18" s="12" t="s">
        <v>267</v>
      </c>
      <c r="B18" s="107"/>
      <c r="C18" s="108"/>
      <c r="D18" s="107"/>
      <c r="E18" s="107"/>
      <c r="F18" s="107"/>
      <c r="G18" s="107"/>
      <c r="H18" s="107"/>
      <c r="I18" s="107"/>
      <c r="J18" s="107"/>
    </row>
    <row r="19" spans="1:14" x14ac:dyDescent="0.25">
      <c r="A19" s="78" t="s">
        <v>268</v>
      </c>
      <c r="B19" s="94"/>
      <c r="C19" s="109"/>
      <c r="D19" s="109"/>
      <c r="E19" s="109"/>
      <c r="F19" s="109">
        <f>5400*12*3.4</f>
        <v>220320</v>
      </c>
      <c r="G19" s="109">
        <f>5400*12*3.4</f>
        <v>220320</v>
      </c>
      <c r="H19" s="109">
        <f>5400*12*3.4</f>
        <v>220320</v>
      </c>
      <c r="I19" s="109">
        <f>5400*12*3.4</f>
        <v>220320</v>
      </c>
      <c r="J19" s="109">
        <f>5400*12*3.4</f>
        <v>220320</v>
      </c>
    </row>
    <row r="20" spans="1:14" x14ac:dyDescent="0.25">
      <c r="A20" s="78" t="s">
        <v>269</v>
      </c>
      <c r="B20" s="94"/>
      <c r="C20" s="109"/>
      <c r="D20" s="109">
        <f>4500</f>
        <v>4500</v>
      </c>
      <c r="E20" s="109">
        <f>4500</f>
        <v>4500</v>
      </c>
      <c r="F20" s="109">
        <f>4500+9000</f>
        <v>13500</v>
      </c>
      <c r="G20" s="109">
        <f>4500+9000</f>
        <v>13500</v>
      </c>
      <c r="H20" s="109">
        <f>4500+9000</f>
        <v>13500</v>
      </c>
      <c r="I20" s="109">
        <f>4500+9000</f>
        <v>13500</v>
      </c>
      <c r="J20" s="109">
        <f>4500+9000</f>
        <v>13500</v>
      </c>
    </row>
    <row r="21" spans="1:14" x14ac:dyDescent="0.25">
      <c r="A21" s="78" t="s">
        <v>270</v>
      </c>
      <c r="B21" s="94"/>
      <c r="C21" s="109"/>
      <c r="D21" s="109">
        <f t="shared" ref="D21:J21" si="1">2500*3.4*12</f>
        <v>102000</v>
      </c>
      <c r="E21" s="109">
        <f t="shared" si="1"/>
        <v>102000</v>
      </c>
      <c r="F21" s="109">
        <f t="shared" si="1"/>
        <v>102000</v>
      </c>
      <c r="G21" s="109">
        <f t="shared" si="1"/>
        <v>102000</v>
      </c>
      <c r="H21" s="109">
        <f t="shared" si="1"/>
        <v>102000</v>
      </c>
      <c r="I21" s="109">
        <f t="shared" si="1"/>
        <v>102000</v>
      </c>
      <c r="J21" s="109">
        <f t="shared" si="1"/>
        <v>102000</v>
      </c>
    </row>
    <row r="22" spans="1:14" x14ac:dyDescent="0.25">
      <c r="A22" s="78" t="s">
        <v>271</v>
      </c>
      <c r="B22" s="94"/>
      <c r="C22" s="109"/>
      <c r="D22" s="109">
        <f t="shared" ref="D22:E24" si="2">4500*12</f>
        <v>54000</v>
      </c>
      <c r="E22" s="109">
        <f t="shared" si="2"/>
        <v>54000</v>
      </c>
      <c r="F22" s="109">
        <f>4500*12*2</f>
        <v>108000</v>
      </c>
      <c r="G22" s="109">
        <f>4500*12*2</f>
        <v>108000</v>
      </c>
      <c r="H22" s="109">
        <f>4500*12*2</f>
        <v>108000</v>
      </c>
      <c r="I22" s="109">
        <f>4500*12*2</f>
        <v>108000</v>
      </c>
      <c r="J22" s="109">
        <f>4500*12*2</f>
        <v>108000</v>
      </c>
    </row>
    <row r="23" spans="1:14" x14ac:dyDescent="0.25">
      <c r="A23" s="78" t="s">
        <v>272</v>
      </c>
      <c r="B23" s="94"/>
      <c r="C23" s="109">
        <f>4500*12</f>
        <v>54000</v>
      </c>
      <c r="D23" s="109">
        <f t="shared" si="2"/>
        <v>54000</v>
      </c>
      <c r="E23" s="109">
        <f t="shared" si="2"/>
        <v>54000</v>
      </c>
      <c r="F23" s="109">
        <f>4500*12</f>
        <v>54000</v>
      </c>
      <c r="G23" s="109">
        <f>4500*12</f>
        <v>54000</v>
      </c>
      <c r="H23" s="109">
        <f>4500*12</f>
        <v>54000</v>
      </c>
      <c r="I23" s="109">
        <f>4500*12</f>
        <v>54000</v>
      </c>
      <c r="J23" s="109">
        <f>4500*12</f>
        <v>54000</v>
      </c>
    </row>
    <row r="24" spans="1:14" x14ac:dyDescent="0.25">
      <c r="A24" s="78" t="s">
        <v>273</v>
      </c>
      <c r="B24" s="94"/>
      <c r="C24" s="109">
        <f>4500*12</f>
        <v>54000</v>
      </c>
      <c r="D24" s="109">
        <f t="shared" si="2"/>
        <v>54000</v>
      </c>
      <c r="E24" s="109">
        <f t="shared" si="2"/>
        <v>54000</v>
      </c>
      <c r="F24" s="109">
        <f>4500*12</f>
        <v>54000</v>
      </c>
      <c r="G24" s="109">
        <f>4500*12*2</f>
        <v>108000</v>
      </c>
      <c r="H24" s="109">
        <f>4500*12*2</f>
        <v>108000</v>
      </c>
      <c r="I24" s="109">
        <f>4500*12*2</f>
        <v>108000</v>
      </c>
      <c r="J24" s="109">
        <f>4500*12*2</f>
        <v>108000</v>
      </c>
    </row>
    <row r="25" spans="1:14" x14ac:dyDescent="0.3">
      <c r="A25" s="18" t="s">
        <v>274</v>
      </c>
      <c r="B25" s="104">
        <f t="shared" ref="B25:J25" si="3">SUM(B19:B24)</f>
        <v>0</v>
      </c>
      <c r="C25" s="105">
        <f t="shared" si="3"/>
        <v>108000</v>
      </c>
      <c r="D25" s="104">
        <f t="shared" si="3"/>
        <v>268500</v>
      </c>
      <c r="E25" s="104">
        <f t="shared" si="3"/>
        <v>268500</v>
      </c>
      <c r="F25" s="104">
        <f t="shared" si="3"/>
        <v>551820</v>
      </c>
      <c r="G25" s="104">
        <f t="shared" si="3"/>
        <v>605820</v>
      </c>
      <c r="H25" s="104">
        <f t="shared" si="3"/>
        <v>605820</v>
      </c>
      <c r="I25" s="104">
        <f t="shared" si="3"/>
        <v>605820</v>
      </c>
      <c r="J25" s="104">
        <f t="shared" si="3"/>
        <v>605820</v>
      </c>
    </row>
    <row r="26" spans="1:14" x14ac:dyDescent="0.25">
      <c r="A26"/>
      <c r="B26"/>
    </row>
    <row r="27" spans="1:14" x14ac:dyDescent="0.25">
      <c r="A27"/>
      <c r="B27"/>
    </row>
    <row r="29" spans="1:14" x14ac:dyDescent="0.25">
      <c r="A29" s="78" t="s">
        <v>275</v>
      </c>
    </row>
    <row r="30" spans="1:14" x14ac:dyDescent="0.3">
      <c r="A30" s="110" t="s">
        <v>276</v>
      </c>
    </row>
    <row r="31" spans="1:14" x14ac:dyDescent="0.25">
      <c r="B31" s="78">
        <v>1</v>
      </c>
      <c r="C31" s="78">
        <v>2</v>
      </c>
      <c r="D31" s="78">
        <v>3</v>
      </c>
      <c r="E31" s="78">
        <v>4</v>
      </c>
      <c r="F31" s="78">
        <v>5</v>
      </c>
      <c r="G31" s="78">
        <v>6</v>
      </c>
      <c r="H31" s="78">
        <v>7</v>
      </c>
      <c r="I31" s="78">
        <v>8</v>
      </c>
      <c r="J31" s="78">
        <v>9</v>
      </c>
      <c r="K31" s="78">
        <v>10</v>
      </c>
      <c r="L31" s="78">
        <v>11</v>
      </c>
      <c r="M31" s="78">
        <v>12</v>
      </c>
    </row>
    <row r="32" spans="1:14" ht="14.25" customHeight="1" x14ac:dyDescent="0.3">
      <c r="A32" s="111" t="s">
        <v>277</v>
      </c>
      <c r="B32" s="112">
        <v>75645.61</v>
      </c>
      <c r="C32" s="112">
        <v>89564.93</v>
      </c>
      <c r="D32" s="112">
        <v>69070.05</v>
      </c>
      <c r="E32" s="112">
        <v>76228.44</v>
      </c>
      <c r="F32" s="112">
        <v>123070.07</v>
      </c>
      <c r="G32" s="112">
        <v>106923.1</v>
      </c>
      <c r="H32" s="112">
        <v>129385.68</v>
      </c>
      <c r="I32" s="112">
        <v>109932.87</v>
      </c>
      <c r="J32" s="113">
        <f t="shared" ref="J32:J38" si="4">AVERAGE(B32:I32)</f>
        <v>97477.593749999985</v>
      </c>
      <c r="K32" s="113">
        <v>97477.59375</v>
      </c>
      <c r="L32" s="113">
        <v>97477.59375</v>
      </c>
      <c r="M32" s="113">
        <v>97477.59375</v>
      </c>
      <c r="N32" s="114">
        <f t="shared" ref="N32:N38" si="5">SUM(B32:M32)</f>
        <v>1169731.125</v>
      </c>
    </row>
    <row r="33" spans="1:14" ht="14.25" customHeight="1" x14ac:dyDescent="0.3">
      <c r="A33" s="115" t="s">
        <v>278</v>
      </c>
      <c r="B33" s="116">
        <v>40833.97</v>
      </c>
      <c r="C33" s="116">
        <v>25214.240000000002</v>
      </c>
      <c r="D33" s="116">
        <v>27459.119999999999</v>
      </c>
      <c r="E33" s="116">
        <v>22555.66</v>
      </c>
      <c r="F33" s="116">
        <v>28581.79</v>
      </c>
      <c r="G33" s="116">
        <v>46723.199999999997</v>
      </c>
      <c r="H33" s="116">
        <v>28419.759999999998</v>
      </c>
      <c r="I33" s="116">
        <v>55418.13</v>
      </c>
      <c r="J33" s="113">
        <f t="shared" si="4"/>
        <v>34400.733749999999</v>
      </c>
      <c r="K33" s="114">
        <f t="shared" ref="K33:M38" si="6">J33</f>
        <v>34400.733749999999</v>
      </c>
      <c r="L33" s="114">
        <f t="shared" si="6"/>
        <v>34400.733749999999</v>
      </c>
      <c r="M33" s="114">
        <f t="shared" si="6"/>
        <v>34400.733749999999</v>
      </c>
      <c r="N33" s="114">
        <f t="shared" si="5"/>
        <v>412808.80500000005</v>
      </c>
    </row>
    <row r="34" spans="1:14" ht="14.25" customHeight="1" x14ac:dyDescent="0.3">
      <c r="A34" s="115" t="s">
        <v>279</v>
      </c>
      <c r="B34" s="116">
        <v>16501.48</v>
      </c>
      <c r="C34" s="116">
        <v>40943.919999999998</v>
      </c>
      <c r="D34" s="116">
        <v>6369.02</v>
      </c>
      <c r="E34" s="116">
        <v>13503.28</v>
      </c>
      <c r="F34" s="116">
        <v>78684.039999999994</v>
      </c>
      <c r="G34" s="116">
        <v>37298.199999999997</v>
      </c>
      <c r="H34" s="116">
        <v>40965.919999999998</v>
      </c>
      <c r="I34" s="116">
        <v>46887.62</v>
      </c>
      <c r="J34" s="113">
        <f t="shared" si="4"/>
        <v>35144.184999999998</v>
      </c>
      <c r="K34" s="114">
        <f t="shared" si="6"/>
        <v>35144.184999999998</v>
      </c>
      <c r="L34" s="114">
        <f t="shared" si="6"/>
        <v>35144.184999999998</v>
      </c>
      <c r="M34" s="114">
        <f t="shared" si="6"/>
        <v>35144.184999999998</v>
      </c>
      <c r="N34" s="114">
        <f t="shared" si="5"/>
        <v>421730.22</v>
      </c>
    </row>
    <row r="35" spans="1:14" ht="14.25" customHeight="1" x14ac:dyDescent="0.3">
      <c r="A35" s="115" t="s">
        <v>280</v>
      </c>
      <c r="B35" s="116">
        <v>589.83000000000004</v>
      </c>
      <c r="C35" s="116"/>
      <c r="D35" s="116">
        <v>25932.19</v>
      </c>
      <c r="E35" s="116">
        <v>1694.92</v>
      </c>
      <c r="F35" s="116"/>
      <c r="G35" s="116"/>
      <c r="H35" s="116">
        <v>2.91038304567337E-11</v>
      </c>
      <c r="I35" s="116"/>
      <c r="J35" s="113">
        <f t="shared" si="4"/>
        <v>7054.2350000000079</v>
      </c>
      <c r="K35" s="114">
        <f t="shared" si="6"/>
        <v>7054.2350000000079</v>
      </c>
      <c r="L35" s="114">
        <f t="shared" si="6"/>
        <v>7054.2350000000079</v>
      </c>
      <c r="M35" s="114">
        <f t="shared" si="6"/>
        <v>7054.2350000000079</v>
      </c>
      <c r="N35" s="114">
        <f t="shared" si="5"/>
        <v>56433.880000000063</v>
      </c>
    </row>
    <row r="36" spans="1:14" ht="14.25" customHeight="1" x14ac:dyDescent="0.3">
      <c r="A36" s="115" t="s">
        <v>281</v>
      </c>
      <c r="B36" s="116">
        <v>17720.330000000002</v>
      </c>
      <c r="C36" s="116">
        <v>22779.65</v>
      </c>
      <c r="D36" s="116">
        <v>7627.12</v>
      </c>
      <c r="E36" s="116">
        <v>38474.58</v>
      </c>
      <c r="F36" s="116">
        <v>15254.24</v>
      </c>
      <c r="G36" s="116">
        <v>22881.360000000001</v>
      </c>
      <c r="H36" s="116">
        <v>60000</v>
      </c>
      <c r="I36" s="116">
        <v>7627.12</v>
      </c>
      <c r="J36" s="113">
        <f t="shared" si="4"/>
        <v>24045.550000000003</v>
      </c>
      <c r="K36" s="114">
        <f t="shared" si="6"/>
        <v>24045.550000000003</v>
      </c>
      <c r="L36" s="114">
        <f t="shared" si="6"/>
        <v>24045.550000000003</v>
      </c>
      <c r="M36" s="114">
        <f t="shared" si="6"/>
        <v>24045.550000000003</v>
      </c>
      <c r="N36" s="114">
        <f t="shared" si="5"/>
        <v>288546.59999999998</v>
      </c>
    </row>
    <row r="37" spans="1:14" ht="14.25" customHeight="1" x14ac:dyDescent="0.3">
      <c r="A37" s="115" t="s">
        <v>282</v>
      </c>
      <c r="B37" s="116"/>
      <c r="C37" s="116">
        <v>593.22</v>
      </c>
      <c r="D37" s="116"/>
      <c r="E37" s="116"/>
      <c r="F37" s="116">
        <v>550</v>
      </c>
      <c r="G37" s="116">
        <v>20.34</v>
      </c>
      <c r="H37" s="116"/>
      <c r="I37" s="116"/>
      <c r="J37" s="113">
        <f t="shared" si="4"/>
        <v>387.8533333333333</v>
      </c>
      <c r="K37" s="114">
        <f t="shared" si="6"/>
        <v>387.8533333333333</v>
      </c>
      <c r="L37" s="114">
        <f t="shared" si="6"/>
        <v>387.8533333333333</v>
      </c>
      <c r="M37" s="114">
        <f t="shared" si="6"/>
        <v>387.8533333333333</v>
      </c>
      <c r="N37" s="114">
        <f t="shared" si="5"/>
        <v>2714.9733333333334</v>
      </c>
    </row>
    <row r="38" spans="1:14" ht="14.25" customHeight="1" x14ac:dyDescent="0.3">
      <c r="A38" s="115" t="s">
        <v>283</v>
      </c>
      <c r="B38" s="116"/>
      <c r="C38" s="116">
        <v>33.9</v>
      </c>
      <c r="D38" s="116">
        <v>1682.6</v>
      </c>
      <c r="E38" s="116"/>
      <c r="F38" s="116"/>
      <c r="G38" s="116"/>
      <c r="H38" s="116"/>
      <c r="I38" s="116"/>
      <c r="J38" s="113">
        <f t="shared" si="4"/>
        <v>858.25</v>
      </c>
      <c r="K38" s="114">
        <f t="shared" si="6"/>
        <v>858.25</v>
      </c>
      <c r="L38" s="114">
        <f t="shared" si="6"/>
        <v>858.25</v>
      </c>
      <c r="M38" s="114">
        <f t="shared" si="6"/>
        <v>858.25</v>
      </c>
      <c r="N38" s="114">
        <f t="shared" si="5"/>
        <v>5149.5</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B1:AB33"/>
  <sheetViews>
    <sheetView showGridLines="0" zoomScale="85" zoomScaleNormal="85" workbookViewId="0">
      <pane xSplit="2" ySplit="4" topLeftCell="C5" activePane="bottomRight" state="frozen"/>
      <selection pane="topRight" activeCell="C1" sqref="C1"/>
      <selection pane="bottomLeft" activeCell="A5" sqref="A5"/>
      <selection pane="bottomRight" activeCell="D30" sqref="D30"/>
    </sheetView>
  </sheetViews>
  <sheetFormatPr baseColWidth="10" defaultColWidth="11.5546875" defaultRowHeight="14.4" x14ac:dyDescent="0.3"/>
  <cols>
    <col min="1" max="1" width="2.5546875" style="117" customWidth="1"/>
    <col min="2" max="2" width="20.6640625" style="117" customWidth="1"/>
    <col min="3" max="3" width="9.21875" style="117" customWidth="1"/>
    <col min="4" max="4" width="6" style="117" customWidth="1"/>
    <col min="5" max="5" width="3.44140625" style="118" customWidth="1"/>
    <col min="6" max="6" width="9.5546875" style="117" customWidth="1"/>
    <col min="7" max="7" width="6.21875" style="117" customWidth="1"/>
    <col min="8" max="8" width="4.5546875" style="118" customWidth="1"/>
    <col min="9" max="9" width="9.5546875" style="117" customWidth="1"/>
    <col min="10" max="10" width="6.21875" style="117" customWidth="1"/>
    <col min="11" max="11" width="3.44140625" style="118" customWidth="1"/>
    <col min="12" max="12" width="9.5546875" style="117" customWidth="1"/>
    <col min="13" max="13" width="6.21875" style="117" customWidth="1"/>
    <col min="14" max="14" width="4.5546875" style="118" customWidth="1"/>
    <col min="15" max="15" width="9.5546875" style="117" customWidth="1"/>
    <col min="16" max="16" width="6.21875" style="117" customWidth="1"/>
    <col min="17" max="17" width="3.44140625" style="118" customWidth="1"/>
    <col min="18" max="18" width="9.5546875" style="117" customWidth="1"/>
    <col min="19" max="19" width="6.21875" style="117" customWidth="1"/>
    <col min="20" max="20" width="4.5546875" style="118" customWidth="1"/>
    <col min="21" max="21" width="9.5546875" style="117" customWidth="1"/>
    <col min="22" max="22" width="6.21875" style="117" customWidth="1"/>
    <col min="23" max="23" width="3.44140625" style="118" customWidth="1"/>
    <col min="24" max="24" width="9.5546875" style="117" customWidth="1"/>
    <col min="25" max="25" width="6.21875" style="117" customWidth="1"/>
    <col min="26" max="26" width="4.5546875" style="118" customWidth="1"/>
    <col min="27" max="27" width="9.5546875" style="117" customWidth="1"/>
    <col min="28" max="28" width="7.109375" style="117" customWidth="1"/>
    <col min="29" max="16384" width="11.5546875" style="117"/>
  </cols>
  <sheetData>
    <row r="1" spans="2:28" ht="12.75" customHeight="1" x14ac:dyDescent="0.3"/>
    <row r="2" spans="2:28" ht="15" customHeight="1" x14ac:dyDescent="0.3">
      <c r="C2" s="119">
        <v>2026</v>
      </c>
      <c r="D2" s="120"/>
      <c r="E2" s="121"/>
      <c r="F2" s="122">
        <v>2027</v>
      </c>
      <c r="G2" s="123"/>
      <c r="H2" s="124"/>
      <c r="I2" s="125">
        <v>2028</v>
      </c>
      <c r="J2" s="120"/>
      <c r="K2" s="121"/>
      <c r="L2" s="122">
        <v>2029</v>
      </c>
      <c r="M2" s="123"/>
      <c r="N2" s="124"/>
      <c r="O2" s="125">
        <v>2030</v>
      </c>
      <c r="P2" s="120"/>
      <c r="Q2" s="121"/>
      <c r="R2" s="122">
        <v>2031</v>
      </c>
      <c r="S2" s="123"/>
      <c r="T2" s="124"/>
      <c r="U2" s="125">
        <v>2032</v>
      </c>
      <c r="V2" s="120"/>
      <c r="W2" s="121"/>
      <c r="X2" s="122">
        <v>2033</v>
      </c>
      <c r="Y2" s="123"/>
      <c r="Z2" s="124"/>
      <c r="AA2" s="125">
        <v>2034</v>
      </c>
      <c r="AB2" s="126"/>
    </row>
    <row r="3" spans="2:28" x14ac:dyDescent="0.3">
      <c r="B3" s="127" t="s">
        <v>284</v>
      </c>
      <c r="C3" s="128">
        <f>'Flujo Anual'!C7</f>
        <v>140027.5129244368</v>
      </c>
      <c r="D3" s="129">
        <f>F3/C3-1</f>
        <v>0.2157884403882746</v>
      </c>
      <c r="E3" s="130"/>
      <c r="F3" s="128">
        <f>'Flujo Anual'!D7</f>
        <v>170243.83154984997</v>
      </c>
      <c r="G3" s="129">
        <f>I3/F3-1</f>
        <v>0.16924125347499919</v>
      </c>
      <c r="H3" s="130"/>
      <c r="I3" s="128">
        <f>'Flujo Anual'!E7</f>
        <v>199056.11099773319</v>
      </c>
      <c r="J3" s="129">
        <f>L3/I3-1</f>
        <v>0.16499999999999981</v>
      </c>
      <c r="K3" s="130"/>
      <c r="L3" s="128">
        <f>'Flujo Anual'!F7</f>
        <v>231900.36931235914</v>
      </c>
      <c r="M3" s="129">
        <f>O3/L3-1</f>
        <v>0.1599999999999997</v>
      </c>
      <c r="N3" s="130"/>
      <c r="O3" s="128">
        <f>'Flujo Anual'!G7</f>
        <v>269004.42840233655</v>
      </c>
      <c r="P3" s="129">
        <f>R3/O3-1</f>
        <v>0.15500000000000025</v>
      </c>
      <c r="Q3" s="130"/>
      <c r="R3" s="128">
        <f>'Flujo Anual'!H7</f>
        <v>310700.11480469879</v>
      </c>
      <c r="S3" s="129">
        <f>U3/R3-1</f>
        <v>0.14000000000000012</v>
      </c>
      <c r="T3" s="130"/>
      <c r="U3" s="128">
        <f>'Flujo Anual'!I7</f>
        <v>354198.13087735669</v>
      </c>
      <c r="V3" s="129">
        <f>X3/U3-1</f>
        <v>0.14000000000000012</v>
      </c>
      <c r="W3" s="130"/>
      <c r="X3" s="128">
        <f>'Flujo Anual'!J7</f>
        <v>403785.86920018663</v>
      </c>
      <c r="Y3" s="129">
        <f>AA3/X3-1</f>
        <v>0.14000000000000012</v>
      </c>
      <c r="Z3" s="130"/>
      <c r="AA3" s="128">
        <f>'Flujo Anual'!K7</f>
        <v>460315.89088821277</v>
      </c>
      <c r="AB3" s="131">
        <f>AA3/C3-1</f>
        <v>2.287324621245066</v>
      </c>
    </row>
    <row r="4" spans="2:28" x14ac:dyDescent="0.3">
      <c r="B4" s="132" t="s">
        <v>285</v>
      </c>
      <c r="C4" s="133">
        <f>C18+C29</f>
        <v>129</v>
      </c>
      <c r="D4" s="134">
        <f>E4/C4</f>
        <v>0.11627906976744186</v>
      </c>
      <c r="E4" s="135">
        <f>E18+E29</f>
        <v>15</v>
      </c>
      <c r="F4" s="133">
        <f>F18+F29</f>
        <v>144</v>
      </c>
      <c r="G4" s="134">
        <f>H4/F4</f>
        <v>0.13194444444444445</v>
      </c>
      <c r="H4" s="135">
        <f>H18+H29</f>
        <v>19</v>
      </c>
      <c r="I4" s="133">
        <f>I18+I29</f>
        <v>163</v>
      </c>
      <c r="J4" s="134">
        <f>K4/I4</f>
        <v>8.5889570552147243E-2</v>
      </c>
      <c r="K4" s="135">
        <f>K18+K29</f>
        <v>14</v>
      </c>
      <c r="L4" s="133">
        <f>L18+L29</f>
        <v>177</v>
      </c>
      <c r="M4" s="134">
        <f>N4/L4</f>
        <v>7.909604519774012E-2</v>
      </c>
      <c r="N4" s="135">
        <f>N18+N29</f>
        <v>14</v>
      </c>
      <c r="O4" s="133">
        <f>O18+O29</f>
        <v>191</v>
      </c>
      <c r="P4" s="134">
        <f>Q4/O4</f>
        <v>6.2827225130890049E-2</v>
      </c>
      <c r="Q4" s="135">
        <f>Q18+Q29</f>
        <v>12</v>
      </c>
      <c r="R4" s="133">
        <f>R18+R29</f>
        <v>203</v>
      </c>
      <c r="S4" s="134">
        <f>T4/R4</f>
        <v>7.8817733990147784E-2</v>
      </c>
      <c r="T4" s="135">
        <f>T18+T29</f>
        <v>16</v>
      </c>
      <c r="U4" s="133">
        <f>U18+U29</f>
        <v>219</v>
      </c>
      <c r="V4" s="134">
        <f>W4/U4</f>
        <v>5.9360730593607303E-2</v>
      </c>
      <c r="W4" s="135">
        <f>W18+W29</f>
        <v>13</v>
      </c>
      <c r="X4" s="133">
        <f>X18+X29</f>
        <v>232</v>
      </c>
      <c r="Y4" s="134">
        <f>Z4/X4</f>
        <v>7.3275862068965511E-2</v>
      </c>
      <c r="Z4" s="135">
        <f>Z18+Z29</f>
        <v>17</v>
      </c>
      <c r="AA4" s="133">
        <f>AA18+AA29</f>
        <v>249</v>
      </c>
      <c r="AB4" s="136">
        <f>AA4/C4-1</f>
        <v>0.93023255813953498</v>
      </c>
    </row>
    <row r="5" spans="2:28" x14ac:dyDescent="0.3">
      <c r="B5" s="117" t="s">
        <v>286</v>
      </c>
      <c r="C5" s="137">
        <v>34</v>
      </c>
      <c r="D5" s="138"/>
      <c r="E5" s="118">
        <v>6</v>
      </c>
      <c r="F5" s="137">
        <f t="shared" ref="F5:F17" si="0">C5+E5</f>
        <v>40</v>
      </c>
      <c r="G5" s="138"/>
      <c r="H5" s="118">
        <v>8</v>
      </c>
      <c r="I5" s="137">
        <f t="shared" ref="I5:I17" si="1">F5+H5</f>
        <v>48</v>
      </c>
      <c r="J5" s="138"/>
      <c r="K5" s="118">
        <v>6</v>
      </c>
      <c r="L5" s="137">
        <f t="shared" ref="L5:L17" si="2">I5+K5</f>
        <v>54</v>
      </c>
      <c r="M5" s="138"/>
      <c r="N5" s="118">
        <v>4</v>
      </c>
      <c r="O5" s="137">
        <f t="shared" ref="O5:O17" si="3">L5+N5</f>
        <v>58</v>
      </c>
      <c r="P5" s="138"/>
      <c r="Q5" s="118">
        <v>4</v>
      </c>
      <c r="R5" s="137">
        <f t="shared" ref="R5:R17" si="4">O5+Q5</f>
        <v>62</v>
      </c>
      <c r="S5" s="138"/>
      <c r="T5" s="118">
        <v>4</v>
      </c>
      <c r="U5" s="137">
        <f t="shared" ref="U5:U17" si="5">R5+T5</f>
        <v>66</v>
      </c>
      <c r="V5" s="138"/>
      <c r="W5" s="118">
        <v>4</v>
      </c>
      <c r="X5" s="137">
        <f t="shared" ref="X5:X17" si="6">U5+W5</f>
        <v>70</v>
      </c>
      <c r="Y5" s="138"/>
      <c r="Z5" s="118">
        <v>6</v>
      </c>
      <c r="AA5" s="137">
        <f t="shared" ref="AA5:AA17" si="7">X5+Z5</f>
        <v>76</v>
      </c>
      <c r="AB5" s="131">
        <f>AA5/C5-1</f>
        <v>1.2352941176470589</v>
      </c>
    </row>
    <row r="6" spans="2:28" x14ac:dyDescent="0.3">
      <c r="B6" s="117" t="s">
        <v>287</v>
      </c>
      <c r="C6" s="137">
        <v>3</v>
      </c>
      <c r="D6" s="138"/>
      <c r="F6" s="137">
        <f t="shared" si="0"/>
        <v>3</v>
      </c>
      <c r="G6" s="138"/>
      <c r="I6" s="137">
        <f t="shared" si="1"/>
        <v>3</v>
      </c>
      <c r="J6" s="138"/>
      <c r="L6" s="137">
        <f t="shared" si="2"/>
        <v>3</v>
      </c>
      <c r="M6" s="138"/>
      <c r="O6" s="137">
        <f t="shared" si="3"/>
        <v>3</v>
      </c>
      <c r="P6" s="138"/>
      <c r="R6" s="137">
        <f t="shared" si="4"/>
        <v>3</v>
      </c>
      <c r="S6" s="138"/>
      <c r="U6" s="137">
        <f t="shared" si="5"/>
        <v>3</v>
      </c>
      <c r="V6" s="138"/>
      <c r="X6" s="137">
        <f t="shared" si="6"/>
        <v>3</v>
      </c>
      <c r="Y6" s="138"/>
      <c r="Z6" s="118">
        <v>1</v>
      </c>
      <c r="AA6" s="137">
        <f t="shared" si="7"/>
        <v>4</v>
      </c>
      <c r="AB6" s="139"/>
    </row>
    <row r="7" spans="2:28" x14ac:dyDescent="0.3">
      <c r="B7" s="117" t="s">
        <v>288</v>
      </c>
      <c r="C7" s="137">
        <v>1</v>
      </c>
      <c r="D7" s="138"/>
      <c r="F7" s="137">
        <f t="shared" si="0"/>
        <v>1</v>
      </c>
      <c r="G7" s="138"/>
      <c r="I7" s="137">
        <f t="shared" si="1"/>
        <v>1</v>
      </c>
      <c r="J7" s="138"/>
      <c r="K7" s="118">
        <v>1</v>
      </c>
      <c r="L7" s="137">
        <f t="shared" si="2"/>
        <v>2</v>
      </c>
      <c r="M7" s="138"/>
      <c r="O7" s="137">
        <f t="shared" si="3"/>
        <v>2</v>
      </c>
      <c r="P7" s="138"/>
      <c r="R7" s="137">
        <f t="shared" si="4"/>
        <v>2</v>
      </c>
      <c r="S7" s="138"/>
      <c r="T7" s="118">
        <v>1</v>
      </c>
      <c r="U7" s="137">
        <f t="shared" si="5"/>
        <v>3</v>
      </c>
      <c r="V7" s="138"/>
      <c r="X7" s="137">
        <f t="shared" si="6"/>
        <v>3</v>
      </c>
      <c r="Y7" s="138"/>
      <c r="AA7" s="137">
        <f t="shared" si="7"/>
        <v>3</v>
      </c>
      <c r="AB7" s="139"/>
    </row>
    <row r="8" spans="2:28" x14ac:dyDescent="0.3">
      <c r="B8" s="117" t="s">
        <v>289</v>
      </c>
      <c r="C8" s="137">
        <v>1</v>
      </c>
      <c r="D8" s="138"/>
      <c r="F8" s="137">
        <f t="shared" si="0"/>
        <v>1</v>
      </c>
      <c r="G8" s="138"/>
      <c r="I8" s="137">
        <f t="shared" si="1"/>
        <v>1</v>
      </c>
      <c r="J8" s="138"/>
      <c r="L8" s="137">
        <f t="shared" si="2"/>
        <v>1</v>
      </c>
      <c r="M8" s="138"/>
      <c r="N8" s="118">
        <v>1</v>
      </c>
      <c r="O8" s="137">
        <f t="shared" si="3"/>
        <v>2</v>
      </c>
      <c r="P8" s="138"/>
      <c r="R8" s="137">
        <f t="shared" si="4"/>
        <v>2</v>
      </c>
      <c r="S8" s="138"/>
      <c r="U8" s="137">
        <f t="shared" si="5"/>
        <v>2</v>
      </c>
      <c r="V8" s="138"/>
      <c r="X8" s="137">
        <f t="shared" si="6"/>
        <v>2</v>
      </c>
      <c r="Y8" s="138"/>
      <c r="Z8" s="118">
        <v>1</v>
      </c>
      <c r="AA8" s="137">
        <f t="shared" si="7"/>
        <v>3</v>
      </c>
      <c r="AB8" s="139"/>
    </row>
    <row r="9" spans="2:28" x14ac:dyDescent="0.3">
      <c r="B9" s="117" t="s">
        <v>290</v>
      </c>
      <c r="C9" s="137">
        <v>1</v>
      </c>
      <c r="D9" s="138"/>
      <c r="F9" s="137">
        <f t="shared" si="0"/>
        <v>1</v>
      </c>
      <c r="G9" s="138"/>
      <c r="I9" s="137">
        <f t="shared" si="1"/>
        <v>1</v>
      </c>
      <c r="J9" s="138"/>
      <c r="L9" s="137">
        <f t="shared" si="2"/>
        <v>1</v>
      </c>
      <c r="M9" s="138"/>
      <c r="O9" s="137">
        <f t="shared" si="3"/>
        <v>1</v>
      </c>
      <c r="P9" s="138"/>
      <c r="Q9" s="118">
        <v>1</v>
      </c>
      <c r="R9" s="137">
        <f t="shared" si="4"/>
        <v>2</v>
      </c>
      <c r="S9" s="138"/>
      <c r="U9" s="137">
        <f t="shared" si="5"/>
        <v>2</v>
      </c>
      <c r="V9" s="138"/>
      <c r="W9" s="118">
        <v>1</v>
      </c>
      <c r="X9" s="137">
        <f t="shared" si="6"/>
        <v>3</v>
      </c>
      <c r="Y9" s="138"/>
      <c r="AA9" s="137">
        <f t="shared" si="7"/>
        <v>3</v>
      </c>
      <c r="AB9" s="139"/>
    </row>
    <row r="10" spans="2:28" x14ac:dyDescent="0.3">
      <c r="B10" s="117" t="s">
        <v>291</v>
      </c>
      <c r="C10" s="137">
        <v>1</v>
      </c>
      <c r="D10" s="138"/>
      <c r="F10" s="137">
        <f t="shared" si="0"/>
        <v>1</v>
      </c>
      <c r="G10" s="138"/>
      <c r="I10" s="137">
        <f t="shared" si="1"/>
        <v>1</v>
      </c>
      <c r="J10" s="138"/>
      <c r="K10" s="118">
        <v>1</v>
      </c>
      <c r="L10" s="137">
        <f t="shared" si="2"/>
        <v>2</v>
      </c>
      <c r="M10" s="138"/>
      <c r="O10" s="137">
        <f t="shared" si="3"/>
        <v>2</v>
      </c>
      <c r="P10" s="138"/>
      <c r="R10" s="137">
        <f t="shared" si="4"/>
        <v>2</v>
      </c>
      <c r="S10" s="138"/>
      <c r="U10" s="137">
        <f t="shared" si="5"/>
        <v>2</v>
      </c>
      <c r="V10" s="138"/>
      <c r="W10" s="118">
        <v>1</v>
      </c>
      <c r="X10" s="137">
        <f t="shared" si="6"/>
        <v>3</v>
      </c>
      <c r="Y10" s="138"/>
      <c r="AA10" s="137">
        <f t="shared" si="7"/>
        <v>3</v>
      </c>
      <c r="AB10" s="139"/>
    </row>
    <row r="11" spans="2:28" x14ac:dyDescent="0.3">
      <c r="B11" s="117" t="s">
        <v>292</v>
      </c>
      <c r="C11" s="137">
        <v>1</v>
      </c>
      <c r="D11" s="138"/>
      <c r="F11" s="137">
        <f t="shared" si="0"/>
        <v>1</v>
      </c>
      <c r="G11" s="138"/>
      <c r="I11" s="137">
        <f t="shared" si="1"/>
        <v>1</v>
      </c>
      <c r="J11" s="138"/>
      <c r="L11" s="137">
        <f t="shared" si="2"/>
        <v>1</v>
      </c>
      <c r="M11" s="138">
        <v>1</v>
      </c>
      <c r="O11" s="137">
        <f t="shared" si="3"/>
        <v>1</v>
      </c>
      <c r="P11" s="138"/>
      <c r="Q11" s="118">
        <v>1</v>
      </c>
      <c r="R11" s="137">
        <f t="shared" si="4"/>
        <v>2</v>
      </c>
      <c r="S11" s="138"/>
      <c r="U11" s="137">
        <f t="shared" si="5"/>
        <v>2</v>
      </c>
      <c r="V11" s="138"/>
      <c r="X11" s="137">
        <f t="shared" si="6"/>
        <v>2</v>
      </c>
      <c r="Y11" s="138"/>
      <c r="AA11" s="137">
        <f t="shared" si="7"/>
        <v>2</v>
      </c>
      <c r="AB11" s="139"/>
    </row>
    <row r="12" spans="2:28" x14ac:dyDescent="0.3">
      <c r="B12" s="117" t="s">
        <v>293</v>
      </c>
      <c r="C12" s="137">
        <v>1</v>
      </c>
      <c r="D12" s="138"/>
      <c r="F12" s="137">
        <f t="shared" si="0"/>
        <v>1</v>
      </c>
      <c r="G12" s="138"/>
      <c r="I12" s="137">
        <f t="shared" si="1"/>
        <v>1</v>
      </c>
      <c r="J12" s="138"/>
      <c r="L12" s="137">
        <f t="shared" si="2"/>
        <v>1</v>
      </c>
      <c r="M12" s="138"/>
      <c r="O12" s="137">
        <f t="shared" si="3"/>
        <v>1</v>
      </c>
      <c r="P12" s="138"/>
      <c r="R12" s="137">
        <f t="shared" si="4"/>
        <v>1</v>
      </c>
      <c r="S12" s="138"/>
      <c r="T12" s="118">
        <v>1</v>
      </c>
      <c r="U12" s="137">
        <f t="shared" si="5"/>
        <v>2</v>
      </c>
      <c r="V12" s="138"/>
      <c r="W12" s="118">
        <v>1</v>
      </c>
      <c r="X12" s="137">
        <f t="shared" si="6"/>
        <v>3</v>
      </c>
      <c r="Y12" s="138"/>
      <c r="AA12" s="137">
        <f t="shared" si="7"/>
        <v>3</v>
      </c>
      <c r="AB12" s="139"/>
    </row>
    <row r="13" spans="2:28" x14ac:dyDescent="0.3">
      <c r="B13" s="117" t="s">
        <v>294</v>
      </c>
      <c r="C13" s="137">
        <v>1</v>
      </c>
      <c r="D13" s="138"/>
      <c r="F13" s="137">
        <f t="shared" si="0"/>
        <v>1</v>
      </c>
      <c r="G13" s="138"/>
      <c r="I13" s="137">
        <f t="shared" si="1"/>
        <v>1</v>
      </c>
      <c r="J13" s="138"/>
      <c r="L13" s="137">
        <f t="shared" si="2"/>
        <v>1</v>
      </c>
      <c r="M13" s="138"/>
      <c r="O13" s="137">
        <f t="shared" si="3"/>
        <v>1</v>
      </c>
      <c r="P13" s="138"/>
      <c r="R13" s="137">
        <f t="shared" si="4"/>
        <v>1</v>
      </c>
      <c r="S13" s="138"/>
      <c r="T13" s="118">
        <v>1</v>
      </c>
      <c r="U13" s="137">
        <f t="shared" si="5"/>
        <v>2</v>
      </c>
      <c r="V13" s="138"/>
      <c r="W13" s="118">
        <v>1</v>
      </c>
      <c r="X13" s="137">
        <f t="shared" si="6"/>
        <v>3</v>
      </c>
      <c r="Y13" s="138"/>
      <c r="AA13" s="137">
        <f t="shared" si="7"/>
        <v>3</v>
      </c>
      <c r="AB13" s="139"/>
    </row>
    <row r="14" spans="2:28" x14ac:dyDescent="0.3">
      <c r="B14" s="117" t="s">
        <v>295</v>
      </c>
      <c r="C14" s="137">
        <v>1</v>
      </c>
      <c r="D14" s="138"/>
      <c r="F14" s="137">
        <f t="shared" si="0"/>
        <v>1</v>
      </c>
      <c r="G14" s="138"/>
      <c r="I14" s="137">
        <f t="shared" si="1"/>
        <v>1</v>
      </c>
      <c r="J14" s="138"/>
      <c r="L14" s="137">
        <f t="shared" si="2"/>
        <v>1</v>
      </c>
      <c r="M14" s="138"/>
      <c r="N14" s="118">
        <v>2</v>
      </c>
      <c r="O14" s="137">
        <f t="shared" si="3"/>
        <v>3</v>
      </c>
      <c r="P14" s="138"/>
      <c r="Q14" s="118">
        <v>1</v>
      </c>
      <c r="R14" s="137">
        <f t="shared" si="4"/>
        <v>4</v>
      </c>
      <c r="S14" s="138"/>
      <c r="U14" s="137">
        <f t="shared" si="5"/>
        <v>4</v>
      </c>
      <c r="V14" s="138"/>
      <c r="X14" s="137">
        <f t="shared" si="6"/>
        <v>4</v>
      </c>
      <c r="Y14" s="138"/>
      <c r="Z14" s="118">
        <v>2</v>
      </c>
      <c r="AA14" s="137">
        <f t="shared" si="7"/>
        <v>6</v>
      </c>
      <c r="AB14" s="139"/>
    </row>
    <row r="15" spans="2:28" x14ac:dyDescent="0.3">
      <c r="B15" s="117" t="s">
        <v>296</v>
      </c>
      <c r="C15" s="137">
        <v>41</v>
      </c>
      <c r="D15" s="138"/>
      <c r="E15" s="118">
        <v>5</v>
      </c>
      <c r="F15" s="137">
        <f t="shared" si="0"/>
        <v>46</v>
      </c>
      <c r="G15" s="138"/>
      <c r="H15" s="118">
        <v>8</v>
      </c>
      <c r="I15" s="137">
        <f t="shared" si="1"/>
        <v>54</v>
      </c>
      <c r="J15" s="138"/>
      <c r="K15" s="118">
        <v>4</v>
      </c>
      <c r="L15" s="137">
        <f t="shared" si="2"/>
        <v>58</v>
      </c>
      <c r="M15" s="138"/>
      <c r="N15" s="118">
        <v>4</v>
      </c>
      <c r="O15" s="137">
        <f t="shared" si="3"/>
        <v>62</v>
      </c>
      <c r="P15" s="138"/>
      <c r="Q15" s="118">
        <v>4</v>
      </c>
      <c r="R15" s="137">
        <f t="shared" si="4"/>
        <v>66</v>
      </c>
      <c r="S15" s="138"/>
      <c r="T15" s="118">
        <v>4</v>
      </c>
      <c r="U15" s="137">
        <f t="shared" si="5"/>
        <v>70</v>
      </c>
      <c r="V15" s="138"/>
      <c r="W15" s="118">
        <v>2</v>
      </c>
      <c r="X15" s="137">
        <f t="shared" si="6"/>
        <v>72</v>
      </c>
      <c r="Y15" s="138"/>
      <c r="Z15" s="118">
        <v>2</v>
      </c>
      <c r="AA15" s="137">
        <f t="shared" si="7"/>
        <v>74</v>
      </c>
      <c r="AB15" s="140">
        <f>AA15/C15-1</f>
        <v>0.80487804878048785</v>
      </c>
    </row>
    <row r="16" spans="2:28" x14ac:dyDescent="0.3">
      <c r="B16" s="117" t="s">
        <v>297</v>
      </c>
      <c r="C16" s="137">
        <v>7</v>
      </c>
      <c r="D16" s="138"/>
      <c r="E16" s="118">
        <v>1</v>
      </c>
      <c r="F16" s="137">
        <f t="shared" si="0"/>
        <v>8</v>
      </c>
      <c r="G16" s="138"/>
      <c r="I16" s="137">
        <f t="shared" si="1"/>
        <v>8</v>
      </c>
      <c r="J16" s="138"/>
      <c r="L16" s="137">
        <f t="shared" si="2"/>
        <v>8</v>
      </c>
      <c r="M16" s="138"/>
      <c r="O16" s="137">
        <f t="shared" si="3"/>
        <v>8</v>
      </c>
      <c r="P16" s="138"/>
      <c r="R16" s="137">
        <f t="shared" si="4"/>
        <v>8</v>
      </c>
      <c r="S16" s="138"/>
      <c r="U16" s="137">
        <f t="shared" si="5"/>
        <v>8</v>
      </c>
      <c r="V16" s="138"/>
      <c r="X16" s="137">
        <f t="shared" si="6"/>
        <v>8</v>
      </c>
      <c r="Y16" s="138"/>
      <c r="Z16" s="118">
        <v>2</v>
      </c>
      <c r="AA16" s="137">
        <f t="shared" si="7"/>
        <v>10</v>
      </c>
      <c r="AB16" s="139"/>
    </row>
    <row r="17" spans="2:28" x14ac:dyDescent="0.3">
      <c r="B17" s="117" t="s">
        <v>298</v>
      </c>
      <c r="C17" s="137">
        <v>4</v>
      </c>
      <c r="D17" s="138"/>
      <c r="F17" s="137">
        <f t="shared" si="0"/>
        <v>4</v>
      </c>
      <c r="G17" s="138"/>
      <c r="I17" s="137">
        <f t="shared" si="1"/>
        <v>4</v>
      </c>
      <c r="J17" s="138"/>
      <c r="K17" s="118">
        <v>1</v>
      </c>
      <c r="L17" s="137">
        <f t="shared" si="2"/>
        <v>5</v>
      </c>
      <c r="M17" s="138"/>
      <c r="O17" s="137">
        <f t="shared" si="3"/>
        <v>5</v>
      </c>
      <c r="P17" s="138"/>
      <c r="R17" s="137">
        <f t="shared" si="4"/>
        <v>5</v>
      </c>
      <c r="S17" s="138"/>
      <c r="T17" s="118">
        <v>1</v>
      </c>
      <c r="U17" s="137">
        <f t="shared" si="5"/>
        <v>6</v>
      </c>
      <c r="V17" s="138"/>
      <c r="X17" s="137">
        <f t="shared" si="6"/>
        <v>6</v>
      </c>
      <c r="Y17" s="138"/>
      <c r="Z17" s="118">
        <v>1</v>
      </c>
      <c r="AA17" s="137">
        <f t="shared" si="7"/>
        <v>7</v>
      </c>
      <c r="AB17" s="139"/>
    </row>
    <row r="18" spans="2:28" x14ac:dyDescent="0.3">
      <c r="B18" s="141" t="s">
        <v>299</v>
      </c>
      <c r="C18" s="142">
        <f>SUM(C5:C17)</f>
        <v>97</v>
      </c>
      <c r="D18" s="143">
        <f>E18/C18</f>
        <v>0.12371134020618557</v>
      </c>
      <c r="E18" s="144">
        <f>SUM(E5:E17)</f>
        <v>12</v>
      </c>
      <c r="F18" s="142">
        <f>SUM(F5:F17)</f>
        <v>109</v>
      </c>
      <c r="G18" s="143">
        <f>H18/F18</f>
        <v>0.14678899082568808</v>
      </c>
      <c r="H18" s="144">
        <f>SUM(H5:H17)</f>
        <v>16</v>
      </c>
      <c r="I18" s="142">
        <f>SUM(I5:I17)</f>
        <v>125</v>
      </c>
      <c r="J18" s="143">
        <f>K18/I18</f>
        <v>0.104</v>
      </c>
      <c r="K18" s="144">
        <f>SUM(K5:K17)</f>
        <v>13</v>
      </c>
      <c r="L18" s="142">
        <f>SUM(L5:L17)</f>
        <v>138</v>
      </c>
      <c r="M18" s="143">
        <f>N18/L18</f>
        <v>7.9710144927536225E-2</v>
      </c>
      <c r="N18" s="144">
        <f>SUM(N5:N17)</f>
        <v>11</v>
      </c>
      <c r="O18" s="142">
        <f>SUM(O5:O17)</f>
        <v>149</v>
      </c>
      <c r="P18" s="143">
        <f>Q18/O18</f>
        <v>7.3825503355704702E-2</v>
      </c>
      <c r="Q18" s="144">
        <f>SUM(Q5:Q17)</f>
        <v>11</v>
      </c>
      <c r="R18" s="142">
        <f>SUM(R5:R17)</f>
        <v>160</v>
      </c>
      <c r="S18" s="143">
        <f>T18/R18</f>
        <v>7.4999999999999997E-2</v>
      </c>
      <c r="T18" s="144">
        <f>SUM(T5:T17)</f>
        <v>12</v>
      </c>
      <c r="U18" s="142">
        <f>SUM(U5:U17)</f>
        <v>172</v>
      </c>
      <c r="V18" s="143">
        <f>W18/U18</f>
        <v>5.8139534883720929E-2</v>
      </c>
      <c r="W18" s="144">
        <f>SUM(W5:W17)</f>
        <v>10</v>
      </c>
      <c r="X18" s="142">
        <f>SUM(X5:X17)</f>
        <v>182</v>
      </c>
      <c r="Y18" s="143">
        <f>Z18/X18</f>
        <v>8.2417582417582416E-2</v>
      </c>
      <c r="Z18" s="144">
        <f>SUM(Z5:Z17)</f>
        <v>15</v>
      </c>
      <c r="AA18" s="142">
        <f>SUM(AA5:AA17)</f>
        <v>197</v>
      </c>
      <c r="AB18" s="136">
        <f>AA18/C18-1</f>
        <v>1.0309278350515463</v>
      </c>
    </row>
    <row r="19" spans="2:28" x14ac:dyDescent="0.3">
      <c r="C19" s="137"/>
      <c r="D19" s="138"/>
      <c r="F19" s="137"/>
      <c r="G19" s="138"/>
      <c r="I19" s="137"/>
      <c r="J19" s="138"/>
      <c r="L19" s="137"/>
      <c r="M19" s="138"/>
      <c r="O19" s="137"/>
      <c r="P19" s="138"/>
      <c r="R19" s="137"/>
      <c r="S19" s="138"/>
      <c r="U19" s="137"/>
      <c r="V19" s="138"/>
      <c r="X19" s="137"/>
      <c r="Y19" s="138"/>
      <c r="AA19" s="137"/>
      <c r="AB19" s="139"/>
    </row>
    <row r="20" spans="2:28" x14ac:dyDescent="0.3">
      <c r="B20" s="117" t="s">
        <v>300</v>
      </c>
      <c r="C20" s="137">
        <v>4</v>
      </c>
      <c r="D20" s="138"/>
      <c r="E20" s="118">
        <v>1</v>
      </c>
      <c r="F20" s="137">
        <f t="shared" ref="F20:F28" si="8">C20+E20</f>
        <v>5</v>
      </c>
      <c r="G20" s="138"/>
      <c r="I20" s="137">
        <f t="shared" ref="I20:I28" si="9">F20+H20</f>
        <v>5</v>
      </c>
      <c r="J20" s="138"/>
      <c r="L20" s="137">
        <f t="shared" ref="L20:L28" si="10">I20+K20</f>
        <v>5</v>
      </c>
      <c r="M20" s="138"/>
      <c r="O20" s="137">
        <f t="shared" ref="O20:O28" si="11">L20+N20</f>
        <v>5</v>
      </c>
      <c r="P20" s="138"/>
      <c r="R20" s="137">
        <f t="shared" ref="R20:R28" si="12">O20+Q20</f>
        <v>5</v>
      </c>
      <c r="S20" s="138"/>
      <c r="T20" s="118">
        <v>1</v>
      </c>
      <c r="U20" s="137">
        <f t="shared" ref="U20:U28" si="13">R20+T20</f>
        <v>6</v>
      </c>
      <c r="V20" s="138"/>
      <c r="W20" s="118">
        <v>1</v>
      </c>
      <c r="X20" s="137">
        <f t="shared" ref="X20:X28" si="14">U20+W20</f>
        <v>7</v>
      </c>
      <c r="Y20" s="138"/>
      <c r="AA20" s="137">
        <f t="shared" ref="AA20:AA28" si="15">X20+Z20</f>
        <v>7</v>
      </c>
      <c r="AB20" s="139"/>
    </row>
    <row r="21" spans="2:28" x14ac:dyDescent="0.3">
      <c r="B21" s="117" t="s">
        <v>301</v>
      </c>
      <c r="C21" s="137">
        <v>7</v>
      </c>
      <c r="D21" s="138"/>
      <c r="F21" s="137">
        <f t="shared" si="8"/>
        <v>7</v>
      </c>
      <c r="G21" s="138"/>
      <c r="I21" s="137">
        <f t="shared" si="9"/>
        <v>7</v>
      </c>
      <c r="J21" s="138"/>
      <c r="L21" s="137">
        <f t="shared" si="10"/>
        <v>7</v>
      </c>
      <c r="M21" s="138"/>
      <c r="N21" s="118">
        <v>1</v>
      </c>
      <c r="O21" s="137">
        <f t="shared" si="11"/>
        <v>8</v>
      </c>
      <c r="P21" s="138"/>
      <c r="R21" s="137">
        <f t="shared" si="12"/>
        <v>8</v>
      </c>
      <c r="S21" s="138"/>
      <c r="T21" s="118">
        <v>1</v>
      </c>
      <c r="U21" s="137">
        <f t="shared" si="13"/>
        <v>9</v>
      </c>
      <c r="V21" s="138"/>
      <c r="X21" s="137">
        <f t="shared" si="14"/>
        <v>9</v>
      </c>
      <c r="Y21" s="138"/>
      <c r="Z21" s="118">
        <v>1</v>
      </c>
      <c r="AA21" s="137">
        <f t="shared" si="15"/>
        <v>10</v>
      </c>
      <c r="AB21" s="139"/>
    </row>
    <row r="22" spans="2:28" x14ac:dyDescent="0.3">
      <c r="B22" s="117" t="s">
        <v>302</v>
      </c>
      <c r="C22" s="137">
        <v>6</v>
      </c>
      <c r="D22" s="138"/>
      <c r="F22" s="137">
        <f t="shared" si="8"/>
        <v>6</v>
      </c>
      <c r="G22" s="138"/>
      <c r="H22" s="118">
        <v>1</v>
      </c>
      <c r="I22" s="137">
        <f t="shared" si="9"/>
        <v>7</v>
      </c>
      <c r="J22" s="138"/>
      <c r="L22" s="137">
        <f t="shared" si="10"/>
        <v>7</v>
      </c>
      <c r="M22" s="138"/>
      <c r="N22" s="118">
        <v>1</v>
      </c>
      <c r="O22" s="137">
        <f t="shared" si="11"/>
        <v>8</v>
      </c>
      <c r="P22" s="138"/>
      <c r="R22" s="137">
        <f t="shared" si="12"/>
        <v>8</v>
      </c>
      <c r="S22" s="138"/>
      <c r="T22" s="118">
        <v>1</v>
      </c>
      <c r="U22" s="137">
        <f t="shared" si="13"/>
        <v>9</v>
      </c>
      <c r="V22" s="138"/>
      <c r="X22" s="137">
        <f t="shared" si="14"/>
        <v>9</v>
      </c>
      <c r="Y22" s="138"/>
      <c r="AA22" s="137">
        <f t="shared" si="15"/>
        <v>9</v>
      </c>
      <c r="AB22" s="139"/>
    </row>
    <row r="23" spans="2:28" x14ac:dyDescent="0.3">
      <c r="B23" s="117" t="s">
        <v>303</v>
      </c>
      <c r="C23" s="137">
        <v>3</v>
      </c>
      <c r="D23" s="138"/>
      <c r="F23" s="137">
        <f t="shared" si="8"/>
        <v>3</v>
      </c>
      <c r="G23" s="138"/>
      <c r="H23" s="118">
        <v>1</v>
      </c>
      <c r="I23" s="137">
        <f t="shared" si="9"/>
        <v>4</v>
      </c>
      <c r="J23" s="138"/>
      <c r="L23" s="137">
        <f t="shared" si="10"/>
        <v>4</v>
      </c>
      <c r="M23" s="138"/>
      <c r="O23" s="137">
        <f t="shared" si="11"/>
        <v>4</v>
      </c>
      <c r="P23" s="138"/>
      <c r="Q23" s="118">
        <v>1</v>
      </c>
      <c r="R23" s="137">
        <f t="shared" si="12"/>
        <v>5</v>
      </c>
      <c r="S23" s="138"/>
      <c r="U23" s="137">
        <f t="shared" si="13"/>
        <v>5</v>
      </c>
      <c r="V23" s="138"/>
      <c r="X23" s="137">
        <f t="shared" si="14"/>
        <v>5</v>
      </c>
      <c r="Y23" s="138"/>
      <c r="Z23" s="118">
        <v>1</v>
      </c>
      <c r="AA23" s="137">
        <f t="shared" si="15"/>
        <v>6</v>
      </c>
      <c r="AB23" s="139"/>
    </row>
    <row r="24" spans="2:28" x14ac:dyDescent="0.3">
      <c r="B24" s="117" t="s">
        <v>304</v>
      </c>
      <c r="C24" s="137">
        <v>2</v>
      </c>
      <c r="D24" s="138"/>
      <c r="F24" s="137">
        <f t="shared" si="8"/>
        <v>2</v>
      </c>
      <c r="G24" s="138"/>
      <c r="I24" s="137">
        <f t="shared" si="9"/>
        <v>2</v>
      </c>
      <c r="J24" s="138"/>
      <c r="L24" s="137">
        <f t="shared" si="10"/>
        <v>2</v>
      </c>
      <c r="M24" s="138"/>
      <c r="O24" s="137">
        <f t="shared" si="11"/>
        <v>2</v>
      </c>
      <c r="P24" s="138"/>
      <c r="R24" s="137">
        <f t="shared" si="12"/>
        <v>2</v>
      </c>
      <c r="S24" s="138"/>
      <c r="T24" s="118">
        <v>1</v>
      </c>
      <c r="U24" s="137">
        <f t="shared" si="13"/>
        <v>3</v>
      </c>
      <c r="V24" s="138"/>
      <c r="X24" s="137">
        <f t="shared" si="14"/>
        <v>3</v>
      </c>
      <c r="Y24" s="138"/>
      <c r="AA24" s="137">
        <f t="shared" si="15"/>
        <v>3</v>
      </c>
      <c r="AB24" s="139"/>
    </row>
    <row r="25" spans="2:28" x14ac:dyDescent="0.3">
      <c r="B25" s="117" t="s">
        <v>305</v>
      </c>
      <c r="C25" s="137">
        <v>1</v>
      </c>
      <c r="D25" s="138"/>
      <c r="E25" s="118">
        <v>1</v>
      </c>
      <c r="F25" s="137">
        <f t="shared" si="8"/>
        <v>2</v>
      </c>
      <c r="G25" s="138"/>
      <c r="I25" s="137">
        <f t="shared" si="9"/>
        <v>2</v>
      </c>
      <c r="J25" s="138"/>
      <c r="L25" s="137">
        <f t="shared" si="10"/>
        <v>2</v>
      </c>
      <c r="M25" s="138"/>
      <c r="O25" s="137">
        <f t="shared" si="11"/>
        <v>2</v>
      </c>
      <c r="P25" s="138"/>
      <c r="R25" s="137">
        <f t="shared" si="12"/>
        <v>2</v>
      </c>
      <c r="S25" s="138"/>
      <c r="U25" s="137">
        <f t="shared" si="13"/>
        <v>2</v>
      </c>
      <c r="V25" s="138"/>
      <c r="W25" s="118">
        <v>1</v>
      </c>
      <c r="X25" s="137">
        <f t="shared" si="14"/>
        <v>3</v>
      </c>
      <c r="Y25" s="138"/>
      <c r="AA25" s="137">
        <f t="shared" si="15"/>
        <v>3</v>
      </c>
      <c r="AB25" s="139"/>
    </row>
    <row r="26" spans="2:28" x14ac:dyDescent="0.3">
      <c r="B26" s="117" t="s">
        <v>306</v>
      </c>
      <c r="C26" s="137">
        <v>1</v>
      </c>
      <c r="D26" s="138"/>
      <c r="E26" s="118">
        <v>1</v>
      </c>
      <c r="F26" s="137">
        <f t="shared" si="8"/>
        <v>2</v>
      </c>
      <c r="G26" s="138"/>
      <c r="I26" s="137">
        <f t="shared" si="9"/>
        <v>2</v>
      </c>
      <c r="J26" s="138"/>
      <c r="L26" s="137">
        <f t="shared" si="10"/>
        <v>2</v>
      </c>
      <c r="M26" s="138"/>
      <c r="N26" s="118">
        <v>1</v>
      </c>
      <c r="O26" s="137">
        <f t="shared" si="11"/>
        <v>3</v>
      </c>
      <c r="P26" s="138"/>
      <c r="R26" s="137">
        <f t="shared" si="12"/>
        <v>3</v>
      </c>
      <c r="S26" s="138"/>
      <c r="U26" s="137">
        <f t="shared" si="13"/>
        <v>3</v>
      </c>
      <c r="V26" s="138"/>
      <c r="W26" s="118">
        <v>1</v>
      </c>
      <c r="X26" s="137">
        <f t="shared" si="14"/>
        <v>4</v>
      </c>
      <c r="Y26" s="138"/>
      <c r="AA26" s="137">
        <f t="shared" si="15"/>
        <v>4</v>
      </c>
      <c r="AB26" s="139"/>
    </row>
    <row r="27" spans="2:28" x14ac:dyDescent="0.3">
      <c r="B27" s="117" t="s">
        <v>307</v>
      </c>
      <c r="C27" s="137">
        <v>4</v>
      </c>
      <c r="D27" s="138"/>
      <c r="F27" s="137">
        <f t="shared" si="8"/>
        <v>4</v>
      </c>
      <c r="G27" s="138"/>
      <c r="H27" s="118">
        <v>1</v>
      </c>
      <c r="I27" s="137">
        <f t="shared" si="9"/>
        <v>5</v>
      </c>
      <c r="J27" s="138"/>
      <c r="K27" s="118">
        <v>1</v>
      </c>
      <c r="L27" s="137">
        <f t="shared" si="10"/>
        <v>6</v>
      </c>
      <c r="M27" s="138"/>
      <c r="O27" s="137">
        <f t="shared" si="11"/>
        <v>6</v>
      </c>
      <c r="P27" s="138"/>
      <c r="R27" s="137">
        <f t="shared" si="12"/>
        <v>6</v>
      </c>
      <c r="S27" s="138"/>
      <c r="U27" s="137">
        <f t="shared" si="13"/>
        <v>6</v>
      </c>
      <c r="V27" s="138"/>
      <c r="X27" s="137">
        <f t="shared" si="14"/>
        <v>6</v>
      </c>
      <c r="Y27" s="138"/>
      <c r="AA27" s="137">
        <f t="shared" si="15"/>
        <v>6</v>
      </c>
      <c r="AB27" s="139"/>
    </row>
    <row r="28" spans="2:28" x14ac:dyDescent="0.3">
      <c r="B28" s="117" t="s">
        <v>308</v>
      </c>
      <c r="C28" s="137">
        <v>4</v>
      </c>
      <c r="D28" s="138"/>
      <c r="F28" s="137">
        <f t="shared" si="8"/>
        <v>4</v>
      </c>
      <c r="G28" s="138"/>
      <c r="I28" s="137">
        <f t="shared" si="9"/>
        <v>4</v>
      </c>
      <c r="J28" s="138"/>
      <c r="L28" s="137">
        <f t="shared" si="10"/>
        <v>4</v>
      </c>
      <c r="M28" s="138"/>
      <c r="O28" s="137">
        <f t="shared" si="11"/>
        <v>4</v>
      </c>
      <c r="P28" s="138"/>
      <c r="R28" s="137">
        <f t="shared" si="12"/>
        <v>4</v>
      </c>
      <c r="S28" s="138"/>
      <c r="U28" s="137">
        <f t="shared" si="13"/>
        <v>4</v>
      </c>
      <c r="V28" s="138"/>
      <c r="X28" s="137">
        <f t="shared" si="14"/>
        <v>4</v>
      </c>
      <c r="Y28" s="138"/>
      <c r="AA28" s="137">
        <f t="shared" si="15"/>
        <v>4</v>
      </c>
      <c r="AB28" s="139"/>
    </row>
    <row r="29" spans="2:28" x14ac:dyDescent="0.3">
      <c r="B29" s="141" t="s">
        <v>309</v>
      </c>
      <c r="C29" s="142">
        <f>SUM(C20:C28)</f>
        <v>32</v>
      </c>
      <c r="D29" s="143">
        <f>E29/C29</f>
        <v>9.375E-2</v>
      </c>
      <c r="E29" s="144">
        <f>SUM(E20:E28)</f>
        <v>3</v>
      </c>
      <c r="F29" s="142">
        <f>SUM(F20:F28)</f>
        <v>35</v>
      </c>
      <c r="G29" s="143">
        <f>H29/F29</f>
        <v>8.5714285714285715E-2</v>
      </c>
      <c r="H29" s="144">
        <f>SUM(H20:H28)</f>
        <v>3</v>
      </c>
      <c r="I29" s="142">
        <f>SUM(I20:I28)</f>
        <v>38</v>
      </c>
      <c r="J29" s="143">
        <f>K29/I29</f>
        <v>2.6315789473684209E-2</v>
      </c>
      <c r="K29" s="144">
        <f>SUM(K20:K28)</f>
        <v>1</v>
      </c>
      <c r="L29" s="142">
        <f>SUM(L20:L28)</f>
        <v>39</v>
      </c>
      <c r="M29" s="143">
        <f>N29/L29</f>
        <v>7.6923076923076927E-2</v>
      </c>
      <c r="N29" s="144">
        <f>SUM(N20:N28)</f>
        <v>3</v>
      </c>
      <c r="O29" s="142">
        <f>SUM(O20:O28)</f>
        <v>42</v>
      </c>
      <c r="P29" s="143">
        <f>Q29/O29</f>
        <v>2.3809523809523808E-2</v>
      </c>
      <c r="Q29" s="144">
        <f>SUM(Q20:Q28)</f>
        <v>1</v>
      </c>
      <c r="R29" s="142">
        <f>SUM(R20:R28)</f>
        <v>43</v>
      </c>
      <c r="S29" s="143">
        <f>T29/R29</f>
        <v>9.3023255813953487E-2</v>
      </c>
      <c r="T29" s="144">
        <f>SUM(T20:T28)</f>
        <v>4</v>
      </c>
      <c r="U29" s="142">
        <f>SUM(U20:U28)</f>
        <v>47</v>
      </c>
      <c r="V29" s="143">
        <f>W29/U29</f>
        <v>6.3829787234042548E-2</v>
      </c>
      <c r="W29" s="144">
        <f>SUM(W20:W28)</f>
        <v>3</v>
      </c>
      <c r="X29" s="142">
        <f>SUM(X20:X28)</f>
        <v>50</v>
      </c>
      <c r="Y29" s="143">
        <f>Z29/X29</f>
        <v>0.04</v>
      </c>
      <c r="Z29" s="144">
        <f>SUM(Z20:Z28)</f>
        <v>2</v>
      </c>
      <c r="AA29" s="142">
        <f>SUM(AA20:AA28)</f>
        <v>52</v>
      </c>
      <c r="AB29" s="136">
        <f>AA29/C29-1</f>
        <v>0.625</v>
      </c>
    </row>
    <row r="30" spans="2:28" x14ac:dyDescent="0.3">
      <c r="B30" s="117" t="s">
        <v>310</v>
      </c>
      <c r="C30" s="145">
        <f>C18/C4</f>
        <v>0.75193798449612403</v>
      </c>
      <c r="D30" s="138"/>
      <c r="F30" s="145">
        <f>F18/F4</f>
        <v>0.75694444444444442</v>
      </c>
      <c r="G30" s="138"/>
      <c r="I30" s="145">
        <f>I18/I4</f>
        <v>0.76687116564417179</v>
      </c>
      <c r="J30" s="138"/>
      <c r="L30" s="145">
        <f>L18/L4</f>
        <v>0.77966101694915257</v>
      </c>
      <c r="M30" s="138"/>
      <c r="O30" s="145">
        <f>O18/O4</f>
        <v>0.78010471204188481</v>
      </c>
      <c r="P30" s="138"/>
      <c r="R30" s="145">
        <f>R18/R4</f>
        <v>0.78817733990147787</v>
      </c>
      <c r="S30" s="138"/>
      <c r="U30" s="145">
        <f>U18/U4</f>
        <v>0.78538812785388123</v>
      </c>
      <c r="V30" s="138"/>
      <c r="X30" s="145">
        <f>X18/X4</f>
        <v>0.78448275862068961</v>
      </c>
      <c r="Y30" s="138"/>
      <c r="AA30" s="145">
        <f>AA18/AA4</f>
        <v>0.79116465863453811</v>
      </c>
      <c r="AB30" s="139"/>
    </row>
    <row r="31" spans="2:28" x14ac:dyDescent="0.3">
      <c r="B31" s="117" t="s">
        <v>311</v>
      </c>
      <c r="C31" s="145">
        <f>C29/C4</f>
        <v>0.24806201550387597</v>
      </c>
      <c r="D31" s="138"/>
      <c r="F31" s="145">
        <f>F29/F4</f>
        <v>0.24305555555555555</v>
      </c>
      <c r="G31" s="138"/>
      <c r="I31" s="145">
        <f>I29/I4</f>
        <v>0.23312883435582821</v>
      </c>
      <c r="J31" s="138"/>
      <c r="L31" s="145">
        <f>L29/L4</f>
        <v>0.22033898305084745</v>
      </c>
      <c r="M31" s="138"/>
      <c r="O31" s="145">
        <f>O29/O4</f>
        <v>0.21989528795811519</v>
      </c>
      <c r="P31" s="138"/>
      <c r="R31" s="145">
        <f>R29/R4</f>
        <v>0.21182266009852216</v>
      </c>
      <c r="S31" s="138"/>
      <c r="U31" s="145">
        <f>U29/U4</f>
        <v>0.21461187214611871</v>
      </c>
      <c r="V31" s="138"/>
      <c r="X31" s="145">
        <f>X29/X4</f>
        <v>0.21551724137931033</v>
      </c>
      <c r="Y31" s="138"/>
      <c r="AA31" s="145">
        <f>AA29/AA4</f>
        <v>0.20883534136546184</v>
      </c>
      <c r="AB31" s="139"/>
    </row>
    <row r="32" spans="2:28" x14ac:dyDescent="0.3">
      <c r="B32" s="146"/>
      <c r="C32" s="147">
        <f>C3/C4</f>
        <v>1085.4845963134635</v>
      </c>
      <c r="D32" s="146"/>
      <c r="E32" s="148"/>
      <c r="F32" s="147">
        <f>F3/F4</f>
        <v>1182.2488302072916</v>
      </c>
      <c r="G32" s="146"/>
      <c r="H32" s="148"/>
      <c r="I32" s="147">
        <f>I3/I4</f>
        <v>1221.2031349554184</v>
      </c>
      <c r="J32" s="146"/>
      <c r="K32" s="148"/>
      <c r="L32" s="147">
        <f>L3/L4</f>
        <v>1310.1715780359273</v>
      </c>
      <c r="M32" s="146"/>
      <c r="N32" s="148"/>
      <c r="O32" s="147">
        <f>O3/O4</f>
        <v>1408.4001487033327</v>
      </c>
      <c r="P32" s="146"/>
      <c r="Q32" s="148"/>
      <c r="R32" s="147">
        <f>R3/R4</f>
        <v>1530.5424374615704</v>
      </c>
      <c r="S32" s="146"/>
      <c r="T32" s="148"/>
      <c r="U32" s="147">
        <f>U3/U4</f>
        <v>1617.3430633669254</v>
      </c>
      <c r="V32" s="146"/>
      <c r="W32" s="148"/>
      <c r="X32" s="147">
        <f>X3/X4</f>
        <v>1740.4563327594251</v>
      </c>
      <c r="Y32" s="146"/>
      <c r="Z32" s="148"/>
      <c r="AA32" s="147">
        <f>AA3/AA4</f>
        <v>1848.6581963382039</v>
      </c>
      <c r="AB32" s="136">
        <f>AA32/C32-1</f>
        <v>0.70307179172937162</v>
      </c>
    </row>
    <row r="33" spans="2:28" x14ac:dyDescent="0.3">
      <c r="B33" s="146"/>
      <c r="C33" s="149">
        <f>C3/C5</f>
        <v>4118.4562624834352</v>
      </c>
      <c r="D33" s="150"/>
      <c r="E33" s="148"/>
      <c r="F33" s="149">
        <f>F3/F5</f>
        <v>4256.0957887462491</v>
      </c>
      <c r="G33" s="150"/>
      <c r="H33" s="148"/>
      <c r="I33" s="149">
        <f>I3/I5</f>
        <v>4147.0023124527752</v>
      </c>
      <c r="J33" s="150"/>
      <c r="K33" s="148"/>
      <c r="L33" s="149">
        <f>L3/L5</f>
        <v>4294.4512835622063</v>
      </c>
      <c r="M33" s="150"/>
      <c r="N33" s="148"/>
      <c r="O33" s="149">
        <f>O3/O5</f>
        <v>4638.0073862471818</v>
      </c>
      <c r="P33" s="150"/>
      <c r="Q33" s="148"/>
      <c r="R33" s="149">
        <f>R3/R5</f>
        <v>5011.2921742693352</v>
      </c>
      <c r="S33" s="150"/>
      <c r="T33" s="148"/>
      <c r="U33" s="149">
        <f>U3/U5</f>
        <v>5366.6383466266161</v>
      </c>
      <c r="V33" s="150"/>
      <c r="W33" s="148"/>
      <c r="X33" s="149">
        <f>X3/X5</f>
        <v>5768.3695600026658</v>
      </c>
      <c r="Y33" s="150"/>
      <c r="Z33" s="148"/>
      <c r="AA33" s="149">
        <f>AA3/AA5</f>
        <v>6056.7880380028</v>
      </c>
      <c r="AB33" s="151">
        <f>AA33/C33-1</f>
        <v>0.47064522529384534</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DG88"/>
  <sheetViews>
    <sheetView showGridLines="0" zoomScaleNormal="100" workbookViewId="0">
      <pane xSplit="2" ySplit="4" topLeftCell="J59" activePane="bottomRight" state="frozen"/>
      <selection pane="topRight" activeCell="C1" sqref="C1"/>
      <selection pane="bottomLeft" activeCell="A5" sqref="A5"/>
      <selection pane="bottomRight" activeCell="L73" sqref="L73"/>
    </sheetView>
  </sheetViews>
  <sheetFormatPr baseColWidth="10" defaultColWidth="8.6640625" defaultRowHeight="13.2" x14ac:dyDescent="0.25"/>
  <cols>
    <col min="1" max="1" width="48" customWidth="1"/>
    <col min="2" max="2" width="2" customWidth="1"/>
    <col min="3" max="111" width="10.5546875" customWidth="1"/>
  </cols>
  <sheetData>
    <row r="1" spans="1:111" ht="18" x14ac:dyDescent="0.35">
      <c r="A1" s="25" t="s">
        <v>312</v>
      </c>
    </row>
    <row r="2" spans="1:111" ht="13.8" x14ac:dyDescent="0.3">
      <c r="A2" s="294" t="s">
        <v>463</v>
      </c>
    </row>
    <row r="3" spans="1:111" x14ac:dyDescent="0.25">
      <c r="A3" s="296" t="s">
        <v>464</v>
      </c>
    </row>
    <row r="4" spans="1:111" ht="13.8" x14ac:dyDescent="0.3">
      <c r="A4" s="12" t="s">
        <v>140</v>
      </c>
      <c r="B4" s="13"/>
      <c r="C4" s="42">
        <f>'Flujo Mensual'!C4</f>
        <v>46023</v>
      </c>
      <c r="D4" s="42">
        <f>'Flujo Mensual'!D4</f>
        <v>46054</v>
      </c>
      <c r="E4" s="42">
        <f>'Flujo Mensual'!E4</f>
        <v>46082</v>
      </c>
      <c r="F4" s="42">
        <f>'Flujo Mensual'!F4</f>
        <v>46113</v>
      </c>
      <c r="G4" s="42">
        <f>'Flujo Mensual'!G4</f>
        <v>46143</v>
      </c>
      <c r="H4" s="42">
        <f>'Flujo Mensual'!H4</f>
        <v>46174</v>
      </c>
      <c r="I4" s="42">
        <f>'Flujo Mensual'!I4</f>
        <v>46204</v>
      </c>
      <c r="J4" s="42">
        <f>'Flujo Mensual'!J4</f>
        <v>46235</v>
      </c>
      <c r="K4" s="42">
        <f>'Flujo Mensual'!K4</f>
        <v>46266</v>
      </c>
      <c r="L4" s="42">
        <f>'Flujo Mensual'!L4</f>
        <v>46296</v>
      </c>
      <c r="M4" s="42">
        <f>'Flujo Mensual'!M4</f>
        <v>46327</v>
      </c>
      <c r="N4" s="42">
        <f>'Flujo Mensual'!N4</f>
        <v>46357</v>
      </c>
      <c r="O4" s="42">
        <f>'Flujo Mensual'!O4</f>
        <v>46388</v>
      </c>
      <c r="P4" s="42">
        <f>'Flujo Mensual'!P4</f>
        <v>46419</v>
      </c>
      <c r="Q4" s="42">
        <f>'Flujo Mensual'!Q4</f>
        <v>46447</v>
      </c>
      <c r="R4" s="42">
        <f>'Flujo Mensual'!R4</f>
        <v>46478</v>
      </c>
      <c r="S4" s="42">
        <f>'Flujo Mensual'!S4</f>
        <v>46508</v>
      </c>
      <c r="T4" s="42">
        <f>'Flujo Mensual'!T4</f>
        <v>46539</v>
      </c>
      <c r="U4" s="42">
        <f>'Flujo Mensual'!U4</f>
        <v>46569</v>
      </c>
      <c r="V4" s="42">
        <f>'Flujo Mensual'!V4</f>
        <v>46600</v>
      </c>
      <c r="W4" s="42">
        <f>'Flujo Mensual'!W4</f>
        <v>46631</v>
      </c>
      <c r="X4" s="42">
        <f>'Flujo Mensual'!X4</f>
        <v>46661</v>
      </c>
      <c r="Y4" s="42">
        <f>'Flujo Mensual'!Y4</f>
        <v>46692</v>
      </c>
      <c r="Z4" s="42">
        <f>'Flujo Mensual'!Z4</f>
        <v>46722</v>
      </c>
      <c r="AA4" s="42">
        <f>'Flujo Mensual'!AA4</f>
        <v>46753</v>
      </c>
      <c r="AB4" s="42">
        <f>'Flujo Mensual'!AB4</f>
        <v>46784</v>
      </c>
      <c r="AC4" s="42">
        <f>'Flujo Mensual'!AC4</f>
        <v>46813</v>
      </c>
      <c r="AD4" s="42">
        <f>'Flujo Mensual'!AD4</f>
        <v>46844</v>
      </c>
      <c r="AE4" s="42">
        <f>'Flujo Mensual'!AE4</f>
        <v>46874</v>
      </c>
      <c r="AF4" s="42">
        <f>'Flujo Mensual'!AF4</f>
        <v>46905</v>
      </c>
      <c r="AG4" s="42">
        <f>'Flujo Mensual'!AG4</f>
        <v>46935</v>
      </c>
      <c r="AH4" s="42">
        <f>'Flujo Mensual'!AH4</f>
        <v>46966</v>
      </c>
      <c r="AI4" s="42">
        <f>'Flujo Mensual'!AI4</f>
        <v>46997</v>
      </c>
      <c r="AJ4" s="42">
        <f>'Flujo Mensual'!AJ4</f>
        <v>47027</v>
      </c>
      <c r="AK4" s="42">
        <f>'Flujo Mensual'!AK4</f>
        <v>47058</v>
      </c>
      <c r="AL4" s="42">
        <f>'Flujo Mensual'!AL4</f>
        <v>47088</v>
      </c>
      <c r="AM4" s="42">
        <f>'Flujo Mensual'!AM4</f>
        <v>47119</v>
      </c>
      <c r="AN4" s="42">
        <f>'Flujo Mensual'!AN4</f>
        <v>47150</v>
      </c>
      <c r="AO4" s="42">
        <f>'Flujo Mensual'!AO4</f>
        <v>47178</v>
      </c>
      <c r="AP4" s="42">
        <f>'Flujo Mensual'!AP4</f>
        <v>47209</v>
      </c>
      <c r="AQ4" s="42">
        <f>'Flujo Mensual'!AQ4</f>
        <v>47239</v>
      </c>
      <c r="AR4" s="42">
        <f>'Flujo Mensual'!AR4</f>
        <v>47270</v>
      </c>
      <c r="AS4" s="42">
        <f>'Flujo Mensual'!AS4</f>
        <v>47300</v>
      </c>
      <c r="AT4" s="42">
        <f>'Flujo Mensual'!AT4</f>
        <v>47331</v>
      </c>
      <c r="AU4" s="42">
        <f>'Flujo Mensual'!AU4</f>
        <v>47362</v>
      </c>
      <c r="AV4" s="42">
        <f>'Flujo Mensual'!AV4</f>
        <v>47392</v>
      </c>
      <c r="AW4" s="42">
        <f>'Flujo Mensual'!AW4</f>
        <v>47423</v>
      </c>
      <c r="AX4" s="42">
        <f>'Flujo Mensual'!AX4</f>
        <v>47453</v>
      </c>
      <c r="AY4" s="42">
        <f>'Flujo Mensual'!AY4</f>
        <v>47484</v>
      </c>
      <c r="AZ4" s="42">
        <f>'Flujo Mensual'!AZ4</f>
        <v>47515</v>
      </c>
      <c r="BA4" s="42">
        <f>'Flujo Mensual'!BA4</f>
        <v>47543</v>
      </c>
      <c r="BB4" s="42">
        <f>'Flujo Mensual'!BB4</f>
        <v>47574</v>
      </c>
      <c r="BC4" s="42">
        <f>'Flujo Mensual'!BC4</f>
        <v>47604</v>
      </c>
      <c r="BD4" s="42">
        <f>'Flujo Mensual'!BD4</f>
        <v>47635</v>
      </c>
      <c r="BE4" s="42">
        <f>'Flujo Mensual'!BE4</f>
        <v>47665</v>
      </c>
      <c r="BF4" s="42">
        <f>'Flujo Mensual'!BF4</f>
        <v>47696</v>
      </c>
      <c r="BG4" s="42">
        <f>'Flujo Mensual'!BG4</f>
        <v>47727</v>
      </c>
      <c r="BH4" s="42">
        <f>'Flujo Mensual'!BH4</f>
        <v>47757</v>
      </c>
      <c r="BI4" s="42">
        <f>'Flujo Mensual'!BI4</f>
        <v>47788</v>
      </c>
      <c r="BJ4" s="42">
        <f>'Flujo Mensual'!BJ4</f>
        <v>47818</v>
      </c>
      <c r="BK4" s="42">
        <f>'Flujo Mensual'!BK4</f>
        <v>47849</v>
      </c>
      <c r="BL4" s="42">
        <f>'Flujo Mensual'!BL4</f>
        <v>47880</v>
      </c>
      <c r="BM4" s="42">
        <f>'Flujo Mensual'!BM4</f>
        <v>47908</v>
      </c>
      <c r="BN4" s="42">
        <f>'Flujo Mensual'!BN4</f>
        <v>47939</v>
      </c>
      <c r="BO4" s="42">
        <f>'Flujo Mensual'!BO4</f>
        <v>47969</v>
      </c>
      <c r="BP4" s="42">
        <f>'Flujo Mensual'!BP4</f>
        <v>48000</v>
      </c>
      <c r="BQ4" s="42">
        <f>'Flujo Mensual'!BQ4</f>
        <v>48030</v>
      </c>
      <c r="BR4" s="42">
        <f>'Flujo Mensual'!BR4</f>
        <v>48061</v>
      </c>
      <c r="BS4" s="42">
        <f>'Flujo Mensual'!BS4</f>
        <v>48092</v>
      </c>
      <c r="BT4" s="42">
        <f>'Flujo Mensual'!BT4</f>
        <v>48122</v>
      </c>
      <c r="BU4" s="42">
        <f>'Flujo Mensual'!BU4</f>
        <v>48153</v>
      </c>
      <c r="BV4" s="42">
        <f>'Flujo Mensual'!BV4</f>
        <v>48183</v>
      </c>
      <c r="BW4" s="42">
        <f>'Flujo Mensual'!BW4</f>
        <v>48214</v>
      </c>
      <c r="BX4" s="42">
        <f>'Flujo Mensual'!BX4</f>
        <v>48245</v>
      </c>
      <c r="BY4" s="42">
        <f>'Flujo Mensual'!BY4</f>
        <v>48274</v>
      </c>
      <c r="BZ4" s="42">
        <f>'Flujo Mensual'!BZ4</f>
        <v>48305</v>
      </c>
      <c r="CA4" s="42">
        <f>'Flujo Mensual'!CA4</f>
        <v>48335</v>
      </c>
      <c r="CB4" s="42">
        <f>'Flujo Mensual'!CB4</f>
        <v>48366</v>
      </c>
      <c r="CC4" s="42">
        <f>'Flujo Mensual'!CC4</f>
        <v>48396</v>
      </c>
      <c r="CD4" s="42">
        <f>'Flujo Mensual'!CD4</f>
        <v>48427</v>
      </c>
      <c r="CE4" s="42">
        <f>'Flujo Mensual'!CE4</f>
        <v>48458</v>
      </c>
      <c r="CF4" s="42">
        <f>'Flujo Mensual'!CF4</f>
        <v>48488</v>
      </c>
      <c r="CG4" s="42">
        <f>'Flujo Mensual'!CG4</f>
        <v>48519</v>
      </c>
      <c r="CH4" s="42">
        <f>'Flujo Mensual'!CH4</f>
        <v>48549</v>
      </c>
      <c r="CI4" s="42">
        <f>'Flujo Mensual'!CI4</f>
        <v>48580</v>
      </c>
      <c r="CJ4" s="42">
        <f>'Flujo Mensual'!CJ4</f>
        <v>48611</v>
      </c>
      <c r="CK4" s="42">
        <f>'Flujo Mensual'!CK4</f>
        <v>48639</v>
      </c>
      <c r="CL4" s="42">
        <f>'Flujo Mensual'!CL4</f>
        <v>48670</v>
      </c>
      <c r="CM4" s="42">
        <f>'Flujo Mensual'!CM4</f>
        <v>48700</v>
      </c>
      <c r="CN4" s="42">
        <f>'Flujo Mensual'!CN4</f>
        <v>48731</v>
      </c>
      <c r="CO4" s="42">
        <f>'Flujo Mensual'!CO4</f>
        <v>48761</v>
      </c>
      <c r="CP4" s="42">
        <f>'Flujo Mensual'!CP4</f>
        <v>48792</v>
      </c>
      <c r="CQ4" s="42">
        <f>'Flujo Mensual'!CQ4</f>
        <v>48823</v>
      </c>
      <c r="CR4" s="42">
        <f>'Flujo Mensual'!CR4</f>
        <v>48853</v>
      </c>
      <c r="CS4" s="42">
        <f>'Flujo Mensual'!CS4</f>
        <v>48884</v>
      </c>
      <c r="CT4" s="42">
        <f>'Flujo Mensual'!CT4</f>
        <v>48914</v>
      </c>
      <c r="CU4" s="42">
        <f>'Flujo Mensual'!CU4</f>
        <v>48945</v>
      </c>
      <c r="CV4" s="42">
        <f>'Flujo Mensual'!CV4</f>
        <v>48976</v>
      </c>
      <c r="CW4" s="42">
        <f>'Flujo Mensual'!CW4</f>
        <v>49004</v>
      </c>
      <c r="CX4" s="42">
        <f>'Flujo Mensual'!CX4</f>
        <v>49035</v>
      </c>
      <c r="CY4" s="42">
        <f>'Flujo Mensual'!CY4</f>
        <v>49065</v>
      </c>
      <c r="CZ4" s="42">
        <f>'Flujo Mensual'!CZ4</f>
        <v>49096</v>
      </c>
      <c r="DA4" s="42">
        <f>'Flujo Mensual'!DA4</f>
        <v>49126</v>
      </c>
      <c r="DB4" s="42">
        <f>'Flujo Mensual'!DB4</f>
        <v>49157</v>
      </c>
      <c r="DC4" s="42">
        <f>'Flujo Mensual'!DC4</f>
        <v>49188</v>
      </c>
      <c r="DD4" s="42">
        <f>'Flujo Mensual'!DD4</f>
        <v>49218</v>
      </c>
      <c r="DE4" s="42">
        <f>'Flujo Mensual'!DE4</f>
        <v>49249</v>
      </c>
      <c r="DF4" s="42">
        <f>'Flujo Mensual'!DF4</f>
        <v>49279</v>
      </c>
      <c r="DG4" s="15" t="s">
        <v>2</v>
      </c>
    </row>
    <row r="6" spans="1:111" ht="13.8" x14ac:dyDescent="0.3">
      <c r="A6" s="26" t="s">
        <v>313</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row>
    <row r="7" spans="1:111" ht="13.8" x14ac:dyDescent="0.3">
      <c r="A7" s="16" t="s">
        <v>68</v>
      </c>
      <c r="C7" s="17">
        <f>SUMIF('Deuda Bancos'!$E$6:$E$43,C$4,'Deuda Bancos'!$H$6:$H$43)</f>
        <v>0</v>
      </c>
      <c r="D7" s="17">
        <f>SUMIF('Deuda Bancos'!$E$6:$E$43,D$4,'Deuda Bancos'!$H$6:$H$43)</f>
        <v>0</v>
      </c>
      <c r="E7" s="17">
        <f>SUMIF('Deuda Bancos'!$E$6:$E$43,E$4,'Deuda Bancos'!$H$6:$H$43)</f>
        <v>0</v>
      </c>
      <c r="F7" s="17">
        <f>SUMIF('Deuda Bancos'!$E$6:$E$43,F$4,'Deuda Bancos'!$H$6:$H$43)</f>
        <v>0</v>
      </c>
      <c r="G7" s="17">
        <f>SUMIF('Deuda Bancos'!$E$6:$E$43,G$4,'Deuda Bancos'!$H$6:$H$43)</f>
        <v>0</v>
      </c>
      <c r="H7" s="17">
        <f>SUMIF('Deuda Bancos'!$E$6:$E$43,H$4,'Deuda Bancos'!$H$6:$H$43)</f>
        <v>0</v>
      </c>
      <c r="I7" s="17">
        <f>SUMIF('Deuda Bancos'!$E$6:$E$43,I$4,'Deuda Bancos'!$H$6:$H$43)</f>
        <v>0</v>
      </c>
      <c r="J7" s="17">
        <f>SUMIF('Deuda Bancos'!$E$6:$E$43,J$4,'Deuda Bancos'!$H$6:$H$43)</f>
        <v>0</v>
      </c>
      <c r="K7" s="17">
        <f>SUMIF('Deuda Bancos'!$E$6:$E$43,K$4,'Deuda Bancos'!$H$6:$H$43)</f>
        <v>0</v>
      </c>
      <c r="L7" s="17">
        <f>SUMIF('Deuda Bancos'!$E$6:$E$43,L$4,'Deuda Bancos'!$H$6:$H$43)</f>
        <v>140295.62236506201</v>
      </c>
      <c r="M7" s="17">
        <f>SUMIF('Deuda Bancos'!$E$6:$E$43,M$4,'Deuda Bancos'!$H$6:$H$43)</f>
        <v>141347.76525295299</v>
      </c>
      <c r="N7" s="17">
        <f>SUMIF('Deuda Bancos'!$E$6:$E$43,N$4,'Deuda Bancos'!$H$6:$H$43)</f>
        <v>142407.79865544301</v>
      </c>
      <c r="O7" s="17">
        <f>SUMIF('Deuda Bancos'!$E$6:$E$43,O$4,'Deuda Bancos'!$H$6:$H$43)</f>
        <v>143475.78174721499</v>
      </c>
      <c r="P7" s="17">
        <f>SUMIF('Deuda Bancos'!$E$6:$E$43,P$4,'Deuda Bancos'!$H$6:$H$43)</f>
        <v>144551.774146729</v>
      </c>
      <c r="Q7" s="17">
        <f>SUMIF('Deuda Bancos'!$E$6:$E$43,Q$4,'Deuda Bancos'!$H$6:$H$43)</f>
        <v>145635.83591955301</v>
      </c>
      <c r="R7" s="17">
        <f>SUMIF('Deuda Bancos'!$E$6:$E$43,R$4,'Deuda Bancos'!$H$6:$H$43)</f>
        <v>146728.02758171401</v>
      </c>
      <c r="S7" s="17">
        <f>SUMIF('Deuda Bancos'!$E$6:$E$43,S$4,'Deuda Bancos'!$H$6:$H$43)</f>
        <v>147828.410103078</v>
      </c>
      <c r="T7" s="17">
        <f>SUMIF('Deuda Bancos'!$E$6:$E$43,T$4,'Deuda Bancos'!$H$6:$H$43)</f>
        <v>148937.04491075201</v>
      </c>
      <c r="U7" s="17">
        <f>SUMIF('Deuda Bancos'!$E$6:$E$43,U$4,'Deuda Bancos'!$H$6:$H$43)</f>
        <v>150053.993892514</v>
      </c>
      <c r="V7" s="17">
        <f>SUMIF('Deuda Bancos'!$E$6:$E$43,V$4,'Deuda Bancos'!$H$6:$H$43)</f>
        <v>151179.319400268</v>
      </c>
      <c r="W7" s="17">
        <f>SUMIF('Deuda Bancos'!$E$6:$E$43,W$4,'Deuda Bancos'!$H$6:$H$43)</f>
        <v>152313.084253523</v>
      </c>
      <c r="X7" s="17">
        <f>SUMIF('Deuda Bancos'!$E$6:$E$43,X$4,'Deuda Bancos'!$H$6:$H$43)</f>
        <v>153455.35174290399</v>
      </c>
      <c r="Y7" s="17">
        <f>SUMIF('Deuda Bancos'!$E$6:$E$43,Y$4,'Deuda Bancos'!$H$6:$H$43)</f>
        <v>154606.18563367901</v>
      </c>
      <c r="Z7" s="17">
        <f>SUMIF('Deuda Bancos'!$E$6:$E$43,Z$4,'Deuda Bancos'!$H$6:$H$43)</f>
        <v>155765.65016932401</v>
      </c>
      <c r="AA7" s="17">
        <f>SUMIF('Deuda Bancos'!$E$6:$E$43,AA$4,'Deuda Bancos'!$H$6:$H$43)</f>
        <v>156933.810075104</v>
      </c>
      <c r="AB7" s="17">
        <f>SUMIF('Deuda Bancos'!$E$6:$E$43,AB$4,'Deuda Bancos'!$H$6:$H$43)</f>
        <v>158110.73056169201</v>
      </c>
      <c r="AC7" s="17">
        <f>SUMIF('Deuda Bancos'!$E$6:$E$43,AC$4,'Deuda Bancos'!$H$6:$H$43)</f>
        <v>159296.477328807</v>
      </c>
      <c r="AD7" s="17">
        <f>SUMIF('Deuda Bancos'!$E$6:$E$43,AD$4,'Deuda Bancos'!$H$6:$H$43)</f>
        <v>160491.11656887899</v>
      </c>
      <c r="AE7" s="17">
        <f>SUMIF('Deuda Bancos'!$E$6:$E$43,AE$4,'Deuda Bancos'!$H$6:$H$43)</f>
        <v>161694.71497074599</v>
      </c>
      <c r="AF7" s="17">
        <f>SUMIF('Deuda Bancos'!$E$6:$E$43,AF$4,'Deuda Bancos'!$H$6:$H$43)</f>
        <v>162907.33972337999</v>
      </c>
      <c r="AG7" s="17">
        <f>SUMIF('Deuda Bancos'!$E$6:$E$43,AG$4,'Deuda Bancos'!$H$6:$H$43)</f>
        <v>164129.05851963101</v>
      </c>
      <c r="AH7" s="17">
        <f>SUMIF('Deuda Bancos'!$E$6:$E$43,AH$4,'Deuda Bancos'!$H$6:$H$43)</f>
        <v>165359.93956001301</v>
      </c>
      <c r="AI7" s="17">
        <f>SUMIF('Deuda Bancos'!$E$6:$E$43,AI$4,'Deuda Bancos'!$H$6:$H$43)</f>
        <v>166600.05155650401</v>
      </c>
      <c r="AJ7" s="17">
        <f>SUMIF('Deuda Bancos'!$E$6:$E$43,AJ$4,'Deuda Bancos'!$H$6:$H$43)</f>
        <v>167849.46373638901</v>
      </c>
      <c r="AK7" s="17">
        <f>SUMIF('Deuda Bancos'!$E$6:$E$43,AK$4,'Deuda Bancos'!$H$6:$H$43)</f>
        <v>169108.24584611799</v>
      </c>
      <c r="AL7" s="17">
        <f>SUMIF('Deuda Bancos'!$E$6:$E$43,AL$4,'Deuda Bancos'!$H$6:$H$43)</f>
        <v>170376.46815520601</v>
      </c>
      <c r="AM7" s="17">
        <f>SUMIF('Deuda Bancos'!$E$6:$E$43,AM$4,'Deuda Bancos'!$H$6:$H$43)</f>
        <v>171654.201460148</v>
      </c>
      <c r="AN7" s="17">
        <f>SUMIF('Deuda Bancos'!$E$6:$E$43,AN$4,'Deuda Bancos'!$H$6:$H$43)</f>
        <v>172941.51708837901</v>
      </c>
      <c r="AO7" s="17">
        <f>SUMIF('Deuda Bancos'!$E$6:$E$43,AO$4,'Deuda Bancos'!$H$6:$H$43)</f>
        <v>174238.48690224899</v>
      </c>
      <c r="AP7" s="17">
        <f>SUMIF('Deuda Bancos'!$E$6:$E$43,AP$4,'Deuda Bancos'!$H$6:$H$43)</f>
        <v>175545.183303039</v>
      </c>
      <c r="AQ7" s="17">
        <f>SUMIF('Deuda Bancos'!$E$6:$E$43,AQ$4,'Deuda Bancos'!$H$6:$H$43)</f>
        <v>176861.679235002</v>
      </c>
      <c r="AR7" s="17">
        <f>SUMIF('Deuda Bancos'!$E$6:$E$43,AR$4,'Deuda Bancos'!$H$6:$H$43)</f>
        <v>178188.048189433</v>
      </c>
      <c r="AS7" s="17">
        <f>SUMIF('Deuda Bancos'!$E$6:$E$43,AS$4,'Deuda Bancos'!$H$6:$H$43)</f>
        <v>179524.36420877199</v>
      </c>
      <c r="AT7" s="17">
        <f>SUMIF('Deuda Bancos'!$E$6:$E$43,AT$4,'Deuda Bancos'!$H$6:$H$43)</f>
        <v>180870.701890742</v>
      </c>
      <c r="AU7" s="17">
        <f>SUMIF('Deuda Bancos'!$E$6:$E$43,AU$4,'Deuda Bancos'!$H$6:$H$43)</f>
        <v>182227.13639250401</v>
      </c>
      <c r="AV7" s="17">
        <f>SUMIF('Deuda Bancos'!$E$6:$E$43,AV$4,'Deuda Bancos'!$H$6:$H$43)</f>
        <v>183593.743434862</v>
      </c>
      <c r="AW7" s="17">
        <f>SUMIF('Deuda Bancos'!$E$6:$E$43,AW$4,'Deuda Bancos'!$H$6:$H$43)</f>
        <v>184970.59930648399</v>
      </c>
      <c r="AX7" s="17">
        <f>SUMIF('Deuda Bancos'!$E$6:$E$43,AX$4,'Deuda Bancos'!$H$6:$H$43)</f>
        <v>0</v>
      </c>
      <c r="AY7" s="17">
        <f>SUMIF('Deuda Bancos'!$E$6:$E$43,AY$4,'Deuda Bancos'!$H$6:$H$43)</f>
        <v>0</v>
      </c>
      <c r="AZ7" s="17">
        <f>SUMIF('Deuda Bancos'!$E$6:$E$43,AZ$4,'Deuda Bancos'!$H$6:$H$43)</f>
        <v>0</v>
      </c>
      <c r="BA7" s="17">
        <f>SUMIF('Deuda Bancos'!$E$6:$E$43,BA$4,'Deuda Bancos'!$H$6:$H$43)</f>
        <v>0</v>
      </c>
      <c r="BB7" s="17">
        <f>SUMIF('Deuda Bancos'!$E$6:$E$43,BB$4,'Deuda Bancos'!$H$6:$H$43)</f>
        <v>0</v>
      </c>
      <c r="BC7" s="17">
        <f>SUMIF('Deuda Bancos'!$E$6:$E$43,BC$4,'Deuda Bancos'!$H$6:$H$43)</f>
        <v>0</v>
      </c>
      <c r="BD7" s="17">
        <f>SUMIF('Deuda Bancos'!$E$6:$E$43,BD$4,'Deuda Bancos'!$H$6:$H$43)</f>
        <v>0</v>
      </c>
      <c r="BE7" s="17">
        <f>SUMIF('Deuda Bancos'!$E$6:$E$43,BE$4,'Deuda Bancos'!$H$6:$H$43)</f>
        <v>0</v>
      </c>
      <c r="BF7" s="17">
        <f>SUMIF('Deuda Bancos'!$E$6:$E$43,BF$4,'Deuda Bancos'!$H$6:$H$43)</f>
        <v>0</v>
      </c>
      <c r="BG7" s="17">
        <f>SUMIF('Deuda Bancos'!$E$6:$E$43,BG$4,'Deuda Bancos'!$H$6:$H$43)</f>
        <v>0</v>
      </c>
      <c r="BH7" s="17">
        <f>SUMIF('Deuda Bancos'!$E$6:$E$43,BH$4,'Deuda Bancos'!$H$6:$H$43)</f>
        <v>0</v>
      </c>
      <c r="BI7" s="17">
        <f>SUMIF('Deuda Bancos'!$E$6:$E$43,BI$4,'Deuda Bancos'!$H$6:$H$43)</f>
        <v>0</v>
      </c>
      <c r="BJ7" s="17">
        <f>SUMIF('Deuda Bancos'!$E$6:$E$43,BJ$4,'Deuda Bancos'!$H$6:$H$43)</f>
        <v>0</v>
      </c>
      <c r="BK7" s="17">
        <f>SUMIF('Deuda Bancos'!$E$6:$E$43,BK$4,'Deuda Bancos'!$H$6:$H$43)</f>
        <v>0</v>
      </c>
      <c r="BL7" s="17">
        <f>SUMIF('Deuda Bancos'!$E$6:$E$43,BL$4,'Deuda Bancos'!$H$6:$H$43)</f>
        <v>0</v>
      </c>
      <c r="BM7" s="17">
        <f>SUMIF('Deuda Bancos'!$E$6:$E$43,BM$4,'Deuda Bancos'!$H$6:$H$43)</f>
        <v>0</v>
      </c>
      <c r="BN7" s="17">
        <f>SUMIF('Deuda Bancos'!$E$6:$E$43,BN$4,'Deuda Bancos'!$H$6:$H$43)</f>
        <v>0</v>
      </c>
      <c r="BO7" s="17">
        <f>SUMIF('Deuda Bancos'!$E$6:$E$43,BO$4,'Deuda Bancos'!$H$6:$H$43)</f>
        <v>0</v>
      </c>
      <c r="BP7" s="17">
        <f>SUMIF('Deuda Bancos'!$E$6:$E$43,BP$4,'Deuda Bancos'!$H$6:$H$43)</f>
        <v>0</v>
      </c>
      <c r="BQ7" s="17">
        <f>SUMIF('Deuda Bancos'!$E$6:$E$43,BQ$4,'Deuda Bancos'!$H$6:$H$43)</f>
        <v>0</v>
      </c>
      <c r="BR7" s="17">
        <f>SUMIF('Deuda Bancos'!$E$6:$E$43,BR$4,'Deuda Bancos'!$H$6:$H$43)</f>
        <v>0</v>
      </c>
      <c r="BS7" s="17">
        <f>SUMIF('Deuda Bancos'!$E$6:$E$43,BS$4,'Deuda Bancos'!$H$6:$H$43)</f>
        <v>0</v>
      </c>
      <c r="BT7" s="17">
        <f>SUMIF('Deuda Bancos'!$E$6:$E$43,BT$4,'Deuda Bancos'!$H$6:$H$43)</f>
        <v>0</v>
      </c>
      <c r="BU7" s="17">
        <f>SUMIF('Deuda Bancos'!$E$6:$E$43,BU$4,'Deuda Bancos'!$H$6:$H$43)</f>
        <v>0</v>
      </c>
      <c r="BV7" s="17">
        <f>SUMIF('Deuda Bancos'!$E$6:$E$43,BV$4,'Deuda Bancos'!$H$6:$H$43)</f>
        <v>0</v>
      </c>
      <c r="BW7" s="17">
        <f>SUMIF('Deuda Bancos'!$E$6:$E$43,BW$4,'Deuda Bancos'!$H$6:$H$43)</f>
        <v>0</v>
      </c>
      <c r="BX7" s="17">
        <f>SUMIF('Deuda Bancos'!$E$6:$E$43,BX$4,'Deuda Bancos'!$H$6:$H$43)</f>
        <v>0</v>
      </c>
      <c r="BY7" s="17">
        <f>SUMIF('Deuda Bancos'!$E$6:$E$43,BY$4,'Deuda Bancos'!$H$6:$H$43)</f>
        <v>0</v>
      </c>
      <c r="BZ7" s="17">
        <f>SUMIF('Deuda Bancos'!$E$6:$E$43,BZ$4,'Deuda Bancos'!$H$6:$H$43)</f>
        <v>0</v>
      </c>
      <c r="CA7" s="17">
        <f>SUMIF('Deuda Bancos'!$E$6:$E$43,CA$4,'Deuda Bancos'!$H$6:$H$43)</f>
        <v>0</v>
      </c>
      <c r="CB7" s="17">
        <f>SUMIF('Deuda Bancos'!$E$6:$E$43,CB$4,'Deuda Bancos'!$H$6:$H$43)</f>
        <v>0</v>
      </c>
      <c r="CC7" s="17">
        <f>SUMIF('Deuda Bancos'!$E$6:$E$43,CC$4,'Deuda Bancos'!$H$6:$H$43)</f>
        <v>0</v>
      </c>
      <c r="CD7" s="17">
        <f>SUMIF('Deuda Bancos'!$E$6:$E$43,CD$4,'Deuda Bancos'!$H$6:$H$43)</f>
        <v>0</v>
      </c>
      <c r="CE7" s="17">
        <f>SUMIF('Deuda Bancos'!$E$6:$E$43,CE$4,'Deuda Bancos'!$H$6:$H$43)</f>
        <v>0</v>
      </c>
      <c r="CF7" s="17">
        <f>SUMIF('Deuda Bancos'!$E$6:$E$43,CF$4,'Deuda Bancos'!$H$6:$H$43)</f>
        <v>0</v>
      </c>
      <c r="CG7" s="17">
        <f>SUMIF('Deuda Bancos'!$E$6:$E$43,CG$4,'Deuda Bancos'!$H$6:$H$43)</f>
        <v>0</v>
      </c>
      <c r="CH7" s="17">
        <f>SUMIF('Deuda Bancos'!$E$6:$E$43,CH$4,'Deuda Bancos'!$H$6:$H$43)</f>
        <v>0</v>
      </c>
      <c r="CI7" s="17">
        <f>SUMIF('Deuda Bancos'!$E$6:$E$43,CI$4,'Deuda Bancos'!$H$6:$H$43)</f>
        <v>0</v>
      </c>
      <c r="CJ7" s="17">
        <f>SUMIF('Deuda Bancos'!$E$6:$E$43,CJ$4,'Deuda Bancos'!$H$6:$H$43)</f>
        <v>0</v>
      </c>
      <c r="CK7" s="17">
        <f>SUMIF('Deuda Bancos'!$E$6:$E$43,CK$4,'Deuda Bancos'!$H$6:$H$43)</f>
        <v>0</v>
      </c>
      <c r="CL7" s="17">
        <f>SUMIF('Deuda Bancos'!$E$6:$E$43,CL$4,'Deuda Bancos'!$H$6:$H$43)</f>
        <v>0</v>
      </c>
      <c r="CM7" s="17">
        <f>SUMIF('Deuda Bancos'!$E$6:$E$43,CM$4,'Deuda Bancos'!$H$6:$H$43)</f>
        <v>0</v>
      </c>
      <c r="CN7" s="17">
        <f>SUMIF('Deuda Bancos'!$E$6:$E$43,CN$4,'Deuda Bancos'!$H$6:$H$43)</f>
        <v>0</v>
      </c>
      <c r="CO7" s="17">
        <f>SUMIF('Deuda Bancos'!$E$6:$E$43,CO$4,'Deuda Bancos'!$H$6:$H$43)</f>
        <v>0</v>
      </c>
      <c r="CP7" s="17">
        <f>SUMIF('Deuda Bancos'!$E$6:$E$43,CP$4,'Deuda Bancos'!$H$6:$H$43)</f>
        <v>0</v>
      </c>
      <c r="CQ7" s="17">
        <f>SUMIF('Deuda Bancos'!$E$6:$E$43,CQ$4,'Deuda Bancos'!$H$6:$H$43)</f>
        <v>0</v>
      </c>
      <c r="CR7" s="17">
        <f>SUMIF('Deuda Bancos'!$E$6:$E$43,CR$4,'Deuda Bancos'!$H$6:$H$43)</f>
        <v>0</v>
      </c>
      <c r="CS7" s="17">
        <f>SUMIF('Deuda Bancos'!$E$6:$E$43,CS$4,'Deuda Bancos'!$H$6:$H$43)</f>
        <v>0</v>
      </c>
      <c r="CT7" s="17">
        <f>SUMIF('Deuda Bancos'!$E$6:$E$43,CT$4,'Deuda Bancos'!$H$6:$H$43)</f>
        <v>0</v>
      </c>
      <c r="CU7" s="17">
        <f>SUMIF('Deuda Bancos'!$E$6:$E$43,CU$4,'Deuda Bancos'!$H$6:$H$43)</f>
        <v>0</v>
      </c>
      <c r="CV7" s="17">
        <f>SUMIF('Deuda Bancos'!$E$6:$E$43,CV$4,'Deuda Bancos'!$H$6:$H$43)</f>
        <v>0</v>
      </c>
      <c r="CW7" s="17">
        <f>SUMIF('Deuda Bancos'!$E$6:$E$43,CW$4,'Deuda Bancos'!$H$6:$H$43)</f>
        <v>0</v>
      </c>
      <c r="CX7" s="17">
        <f>SUMIF('Deuda Bancos'!$E$6:$E$43,CX$4,'Deuda Bancos'!$H$6:$H$43)</f>
        <v>0</v>
      </c>
      <c r="CY7" s="17">
        <f>SUMIF('Deuda Bancos'!$E$6:$E$43,CY$4,'Deuda Bancos'!$H$6:$H$43)</f>
        <v>0</v>
      </c>
      <c r="CZ7" s="17">
        <f>SUMIF('Deuda Bancos'!$E$6:$E$43,CZ$4,'Deuda Bancos'!$H$6:$H$43)</f>
        <v>0</v>
      </c>
      <c r="DA7" s="17">
        <f>SUMIF('Deuda Bancos'!$E$6:$E$43,DA$4,'Deuda Bancos'!$H$6:$H$43)</f>
        <v>0</v>
      </c>
      <c r="DB7" s="17">
        <f>SUMIF('Deuda Bancos'!$E$6:$E$43,DB$4,'Deuda Bancos'!$H$6:$H$43)</f>
        <v>0</v>
      </c>
      <c r="DC7" s="17">
        <f>SUMIF('Deuda Bancos'!$E$6:$E$43,DC$4,'Deuda Bancos'!$H$6:$H$43)</f>
        <v>0</v>
      </c>
      <c r="DD7" s="17">
        <f>SUMIF('Deuda Bancos'!$E$6:$E$43,DD$4,'Deuda Bancos'!$H$6:$H$43)</f>
        <v>0</v>
      </c>
      <c r="DE7" s="17">
        <f>SUMIF('Deuda Bancos'!$E$6:$E$43,DE$4,'Deuda Bancos'!$H$6:$H$43)</f>
        <v>0</v>
      </c>
      <c r="DF7" s="17">
        <f>SUMIF('Deuda Bancos'!$E$6:$E$43,DF$4,'Deuda Bancos'!$H$6:$H$43)</f>
        <v>0</v>
      </c>
      <c r="DG7" s="32">
        <f>SUM(C7:DF7)</f>
        <v>6142054.7237887932</v>
      </c>
    </row>
    <row r="8" spans="1:111" ht="13.8" x14ac:dyDescent="0.3">
      <c r="A8" s="16" t="s">
        <v>70</v>
      </c>
      <c r="C8" s="17">
        <f>SUMIF('Deuda Bancos'!$E$6:$E$43,C$4,'Deuda Bancos'!$I$6:$I$43)</f>
        <v>0</v>
      </c>
      <c r="D8" s="17">
        <f>SUMIF('Deuda Bancos'!$E$6:$E$43,D$4,'Deuda Bancos'!$I$6:$I$43)</f>
        <v>0</v>
      </c>
      <c r="E8" s="17">
        <f>SUMIF('Deuda Bancos'!$E$6:$E$43,E$4,'Deuda Bancos'!$I$6:$I$43)</f>
        <v>0</v>
      </c>
      <c r="F8" s="17">
        <f>SUMIF('Deuda Bancos'!$E$6:$E$43,F$4,'Deuda Bancos'!$I$6:$I$43)</f>
        <v>0</v>
      </c>
      <c r="G8" s="17">
        <f>SUMIF('Deuda Bancos'!$E$6:$E$43,G$4,'Deuda Bancos'!$I$6:$I$43)</f>
        <v>0</v>
      </c>
      <c r="H8" s="17">
        <f>SUMIF('Deuda Bancos'!$E$6:$E$43,H$4,'Deuda Bancos'!$I$6:$I$43)</f>
        <v>0</v>
      </c>
      <c r="I8" s="17">
        <f>SUMIF('Deuda Bancos'!$E$6:$E$43,I$4,'Deuda Bancos'!$I$6:$I$43)</f>
        <v>0</v>
      </c>
      <c r="J8" s="17">
        <f>SUMIF('Deuda Bancos'!$E$6:$E$43,J$4,'Deuda Bancos'!$I$6:$I$43)</f>
        <v>0</v>
      </c>
      <c r="K8" s="17">
        <f>SUMIF('Deuda Bancos'!$E$6:$E$43,K$4,'Deuda Bancos'!$I$6:$I$43)</f>
        <v>0</v>
      </c>
      <c r="L8" s="17">
        <f>SUMIF('Deuda Bancos'!$E$6:$E$43,L$4,'Deuda Bancos'!$I$6:$I$43)</f>
        <v>46062.158503102401</v>
      </c>
      <c r="M8" s="17">
        <f>SUMIF('Deuda Bancos'!$E$6:$E$43,M$4,'Deuda Bancos'!$I$6:$I$43)</f>
        <v>45010.015615211501</v>
      </c>
      <c r="N8" s="17">
        <f>SUMIF('Deuda Bancos'!$E$6:$E$43,N$4,'Deuda Bancos'!$I$6:$I$43)</f>
        <v>43949.982212720999</v>
      </c>
      <c r="O8" s="17">
        <f>SUMIF('Deuda Bancos'!$E$6:$E$43,O$4,'Deuda Bancos'!$I$6:$I$43)</f>
        <v>42881.999120949004</v>
      </c>
      <c r="P8" s="17">
        <f>SUMIF('Deuda Bancos'!$E$6:$E$43,P$4,'Deuda Bancos'!$I$6:$I$43)</f>
        <v>41806.006721434802</v>
      </c>
      <c r="Q8" s="17">
        <f>SUMIF('Deuda Bancos'!$E$6:$E$43,Q$4,'Deuda Bancos'!$I$6:$I$43)</f>
        <v>40721.944948611002</v>
      </c>
      <c r="R8" s="17">
        <f>SUMIF('Deuda Bancos'!$E$6:$E$43,R$4,'Deuda Bancos'!$I$6:$I$43)</f>
        <v>39629.753286450097</v>
      </c>
      <c r="S8" s="17">
        <f>SUMIF('Deuda Bancos'!$E$6:$E$43,S$4,'Deuda Bancos'!$I$6:$I$43)</f>
        <v>38529.370765086402</v>
      </c>
      <c r="T8" s="17">
        <f>SUMIF('Deuda Bancos'!$E$6:$E$43,T$4,'Deuda Bancos'!$I$6:$I$43)</f>
        <v>37420.735957412602</v>
      </c>
      <c r="U8" s="17">
        <f>SUMIF('Deuda Bancos'!$E$6:$E$43,U$4,'Deuda Bancos'!$I$6:$I$43)</f>
        <v>36303.786975650597</v>
      </c>
      <c r="V8" s="17">
        <f>SUMIF('Deuda Bancos'!$E$6:$E$43,V$4,'Deuda Bancos'!$I$6:$I$43)</f>
        <v>35178.461467896501</v>
      </c>
      <c r="W8" s="17">
        <f>SUMIF('Deuda Bancos'!$E$6:$E$43,W$4,'Deuda Bancos'!$I$6:$I$43)</f>
        <v>34044.696614640598</v>
      </c>
      <c r="X8" s="17">
        <f>SUMIF('Deuda Bancos'!$E$6:$E$43,X$4,'Deuda Bancos'!$I$6:$I$43)</f>
        <v>32902.429125259703</v>
      </c>
      <c r="Y8" s="17">
        <f>SUMIF('Deuda Bancos'!$E$6:$E$43,Y$4,'Deuda Bancos'!$I$6:$I$43)</f>
        <v>31751.595234484699</v>
      </c>
      <c r="Z8" s="17">
        <f>SUMIF('Deuda Bancos'!$E$6:$E$43,Z$4,'Deuda Bancos'!$I$6:$I$43)</f>
        <v>30592.1306988406</v>
      </c>
      <c r="AA8" s="17">
        <f>SUMIF('Deuda Bancos'!$E$6:$E$43,AA$4,'Deuda Bancos'!$I$6:$I$43)</f>
        <v>29423.9707930603</v>
      </c>
      <c r="AB8" s="17">
        <f>SUMIF('Deuda Bancos'!$E$6:$E$43,AB$4,'Deuda Bancos'!$I$6:$I$43)</f>
        <v>28247.0503064718</v>
      </c>
      <c r="AC8" s="17">
        <f>SUMIF('Deuda Bancos'!$E$6:$E$43,AC$4,'Deuda Bancos'!$I$6:$I$43)</f>
        <v>27061.303539357101</v>
      </c>
      <c r="AD8" s="17">
        <f>SUMIF('Deuda Bancos'!$E$6:$E$43,AD$4,'Deuda Bancos'!$I$6:$I$43)</f>
        <v>25866.664299285501</v>
      </c>
      <c r="AE8" s="17">
        <f>SUMIF('Deuda Bancos'!$E$6:$E$43,AE$4,'Deuda Bancos'!$I$6:$I$43)</f>
        <v>24663.065897417899</v>
      </c>
      <c r="AF8" s="17">
        <f>SUMIF('Deuda Bancos'!$E$6:$E$43,AF$4,'Deuda Bancos'!$I$6:$I$43)</f>
        <v>23450.441144784199</v>
      </c>
      <c r="AG8" s="17">
        <f>SUMIF('Deuda Bancos'!$E$6:$E$43,AG$4,'Deuda Bancos'!$I$6:$I$43)</f>
        <v>22228.722348532901</v>
      </c>
      <c r="AH8" s="17">
        <f>SUMIF('Deuda Bancos'!$E$6:$E$43,AH$4,'Deuda Bancos'!$I$6:$I$43)</f>
        <v>20997.841308151601</v>
      </c>
      <c r="AI8" s="17">
        <f>SUMIF('Deuda Bancos'!$E$6:$E$43,AI$4,'Deuda Bancos'!$I$6:$I$43)</f>
        <v>19757.7293116603</v>
      </c>
      <c r="AJ8" s="17">
        <f>SUMIF('Deuda Bancos'!$E$6:$E$43,AJ$4,'Deuda Bancos'!$I$6:$I$43)</f>
        <v>18508.317131775399</v>
      </c>
      <c r="AK8" s="17">
        <f>SUMIF('Deuda Bancos'!$E$6:$E$43,AK$4,'Deuda Bancos'!$I$6:$I$43)</f>
        <v>17249.5350220457</v>
      </c>
      <c r="AL8" s="17">
        <f>SUMIF('Deuda Bancos'!$E$6:$E$43,AL$4,'Deuda Bancos'!$I$6:$I$43)</f>
        <v>15981.312712958201</v>
      </c>
      <c r="AM8" s="17">
        <f>SUMIF('Deuda Bancos'!$E$6:$E$43,AM$4,'Deuda Bancos'!$I$6:$I$43)</f>
        <v>14703.579408015699</v>
      </c>
      <c r="AN8" s="17">
        <f>SUMIF('Deuda Bancos'!$E$6:$E$43,AN$4,'Deuda Bancos'!$I$6:$I$43)</f>
        <v>13416.2637797852</v>
      </c>
      <c r="AO8" s="17">
        <f>SUMIF('Deuda Bancos'!$E$6:$E$43,AO$4,'Deuda Bancos'!$I$6:$I$43)</f>
        <v>12119.2939659151</v>
      </c>
      <c r="AP8" s="17">
        <f>SUMIF('Deuda Bancos'!$E$6:$E$43,AP$4,'Deuda Bancos'!$I$6:$I$43)</f>
        <v>10812.597565124801</v>
      </c>
      <c r="AQ8" s="17">
        <f>SUMIF('Deuda Bancos'!$E$6:$E$43,AQ$4,'Deuda Bancos'!$I$6:$I$43)</f>
        <v>9496.1016331619903</v>
      </c>
      <c r="AR8" s="17">
        <f>SUMIF('Deuda Bancos'!$E$6:$E$43,AR$4,'Deuda Bancos'!$I$6:$I$43)</f>
        <v>8169.7326787313496</v>
      </c>
      <c r="AS8" s="17">
        <f>SUMIF('Deuda Bancos'!$E$6:$E$43,AS$4,'Deuda Bancos'!$I$6:$I$43)</f>
        <v>6833.4166593916398</v>
      </c>
      <c r="AT8" s="17">
        <f>SUMIF('Deuda Bancos'!$E$6:$E$43,AT$4,'Deuda Bancos'!$I$6:$I$43)</f>
        <v>5487.0789774225505</v>
      </c>
      <c r="AU8" s="17">
        <f>SUMIF('Deuda Bancos'!$E$6:$E$43,AU$4,'Deuda Bancos'!$I$6:$I$43)</f>
        <v>4130.6444756603296</v>
      </c>
      <c r="AV8" s="17">
        <f>SUMIF('Deuda Bancos'!$E$6:$E$43,AV$4,'Deuda Bancos'!$I$6:$I$43)</f>
        <v>2764.0374333023301</v>
      </c>
      <c r="AW8" s="17">
        <f>SUMIF('Deuda Bancos'!$E$6:$E$43,AW$4,'Deuda Bancos'!$I$6:$I$43)</f>
        <v>1387.1815616799599</v>
      </c>
      <c r="AX8" s="17">
        <f>SUMIF('Deuda Bancos'!$E$6:$E$43,AX$4,'Deuda Bancos'!$I$6:$I$43)</f>
        <v>0</v>
      </c>
      <c r="AY8" s="17">
        <f>SUMIF('Deuda Bancos'!$E$6:$E$43,AY$4,'Deuda Bancos'!$I$6:$I$43)</f>
        <v>0</v>
      </c>
      <c r="AZ8" s="17">
        <f>SUMIF('Deuda Bancos'!$E$6:$E$43,AZ$4,'Deuda Bancos'!$I$6:$I$43)</f>
        <v>0</v>
      </c>
      <c r="BA8" s="17">
        <f>SUMIF('Deuda Bancos'!$E$6:$E$43,BA$4,'Deuda Bancos'!$I$6:$I$43)</f>
        <v>0</v>
      </c>
      <c r="BB8" s="17">
        <f>SUMIF('Deuda Bancos'!$E$6:$E$43,BB$4,'Deuda Bancos'!$I$6:$I$43)</f>
        <v>0</v>
      </c>
      <c r="BC8" s="17">
        <f>SUMIF('Deuda Bancos'!$E$6:$E$43,BC$4,'Deuda Bancos'!$I$6:$I$43)</f>
        <v>0</v>
      </c>
      <c r="BD8" s="17">
        <f>SUMIF('Deuda Bancos'!$E$6:$E$43,BD$4,'Deuda Bancos'!$I$6:$I$43)</f>
        <v>0</v>
      </c>
      <c r="BE8" s="17">
        <f>SUMIF('Deuda Bancos'!$E$6:$E$43,BE$4,'Deuda Bancos'!$I$6:$I$43)</f>
        <v>0</v>
      </c>
      <c r="BF8" s="17">
        <f>SUMIF('Deuda Bancos'!$E$6:$E$43,BF$4,'Deuda Bancos'!$I$6:$I$43)</f>
        <v>0</v>
      </c>
      <c r="BG8" s="17">
        <f>SUMIF('Deuda Bancos'!$E$6:$E$43,BG$4,'Deuda Bancos'!$I$6:$I$43)</f>
        <v>0</v>
      </c>
      <c r="BH8" s="17">
        <f>SUMIF('Deuda Bancos'!$E$6:$E$43,BH$4,'Deuda Bancos'!$I$6:$I$43)</f>
        <v>0</v>
      </c>
      <c r="BI8" s="17">
        <f>SUMIF('Deuda Bancos'!$E$6:$E$43,BI$4,'Deuda Bancos'!$I$6:$I$43)</f>
        <v>0</v>
      </c>
      <c r="BJ8" s="17">
        <f>SUMIF('Deuda Bancos'!$E$6:$E$43,BJ$4,'Deuda Bancos'!$I$6:$I$43)</f>
        <v>0</v>
      </c>
      <c r="BK8" s="17">
        <f>SUMIF('Deuda Bancos'!$E$6:$E$43,BK$4,'Deuda Bancos'!$I$6:$I$43)</f>
        <v>0</v>
      </c>
      <c r="BL8" s="17">
        <f>SUMIF('Deuda Bancos'!$E$6:$E$43,BL$4,'Deuda Bancos'!$I$6:$I$43)</f>
        <v>0</v>
      </c>
      <c r="BM8" s="17">
        <f>SUMIF('Deuda Bancos'!$E$6:$E$43,BM$4,'Deuda Bancos'!$I$6:$I$43)</f>
        <v>0</v>
      </c>
      <c r="BN8" s="17">
        <f>SUMIF('Deuda Bancos'!$E$6:$E$43,BN$4,'Deuda Bancos'!$I$6:$I$43)</f>
        <v>0</v>
      </c>
      <c r="BO8" s="17">
        <f>SUMIF('Deuda Bancos'!$E$6:$E$43,BO$4,'Deuda Bancos'!$I$6:$I$43)</f>
        <v>0</v>
      </c>
      <c r="BP8" s="17">
        <f>SUMIF('Deuda Bancos'!$E$6:$E$43,BP$4,'Deuda Bancos'!$I$6:$I$43)</f>
        <v>0</v>
      </c>
      <c r="BQ8" s="17">
        <f>SUMIF('Deuda Bancos'!$E$6:$E$43,BQ$4,'Deuda Bancos'!$I$6:$I$43)</f>
        <v>0</v>
      </c>
      <c r="BR8" s="17">
        <f>SUMIF('Deuda Bancos'!$E$6:$E$43,BR$4,'Deuda Bancos'!$I$6:$I$43)</f>
        <v>0</v>
      </c>
      <c r="BS8" s="17">
        <f>SUMIF('Deuda Bancos'!$E$6:$E$43,BS$4,'Deuda Bancos'!$I$6:$I$43)</f>
        <v>0</v>
      </c>
      <c r="BT8" s="17">
        <f>SUMIF('Deuda Bancos'!$E$6:$E$43,BT$4,'Deuda Bancos'!$I$6:$I$43)</f>
        <v>0</v>
      </c>
      <c r="BU8" s="17">
        <f>SUMIF('Deuda Bancos'!$E$6:$E$43,BU$4,'Deuda Bancos'!$I$6:$I$43)</f>
        <v>0</v>
      </c>
      <c r="BV8" s="17">
        <f>SUMIF('Deuda Bancos'!$E$6:$E$43,BV$4,'Deuda Bancos'!$I$6:$I$43)</f>
        <v>0</v>
      </c>
      <c r="BW8" s="17">
        <f>SUMIF('Deuda Bancos'!$E$6:$E$43,BW$4,'Deuda Bancos'!$I$6:$I$43)</f>
        <v>0</v>
      </c>
      <c r="BX8" s="17">
        <f>SUMIF('Deuda Bancos'!$E$6:$E$43,BX$4,'Deuda Bancos'!$I$6:$I$43)</f>
        <v>0</v>
      </c>
      <c r="BY8" s="17">
        <f>SUMIF('Deuda Bancos'!$E$6:$E$43,BY$4,'Deuda Bancos'!$I$6:$I$43)</f>
        <v>0</v>
      </c>
      <c r="BZ8" s="17">
        <f>SUMIF('Deuda Bancos'!$E$6:$E$43,BZ$4,'Deuda Bancos'!$I$6:$I$43)</f>
        <v>0</v>
      </c>
      <c r="CA8" s="17">
        <f>SUMIF('Deuda Bancos'!$E$6:$E$43,CA$4,'Deuda Bancos'!$I$6:$I$43)</f>
        <v>0</v>
      </c>
      <c r="CB8" s="17">
        <f>SUMIF('Deuda Bancos'!$E$6:$E$43,CB$4,'Deuda Bancos'!$I$6:$I$43)</f>
        <v>0</v>
      </c>
      <c r="CC8" s="17">
        <f>SUMIF('Deuda Bancos'!$E$6:$E$43,CC$4,'Deuda Bancos'!$I$6:$I$43)</f>
        <v>0</v>
      </c>
      <c r="CD8" s="17">
        <f>SUMIF('Deuda Bancos'!$E$6:$E$43,CD$4,'Deuda Bancos'!$I$6:$I$43)</f>
        <v>0</v>
      </c>
      <c r="CE8" s="17">
        <f>SUMIF('Deuda Bancos'!$E$6:$E$43,CE$4,'Deuda Bancos'!$I$6:$I$43)</f>
        <v>0</v>
      </c>
      <c r="CF8" s="17">
        <f>SUMIF('Deuda Bancos'!$E$6:$E$43,CF$4,'Deuda Bancos'!$I$6:$I$43)</f>
        <v>0</v>
      </c>
      <c r="CG8" s="17">
        <f>SUMIF('Deuda Bancos'!$E$6:$E$43,CG$4,'Deuda Bancos'!$I$6:$I$43)</f>
        <v>0</v>
      </c>
      <c r="CH8" s="17">
        <f>SUMIF('Deuda Bancos'!$E$6:$E$43,CH$4,'Deuda Bancos'!$I$6:$I$43)</f>
        <v>0</v>
      </c>
      <c r="CI8" s="17">
        <f>SUMIF('Deuda Bancos'!$E$6:$E$43,CI$4,'Deuda Bancos'!$I$6:$I$43)</f>
        <v>0</v>
      </c>
      <c r="CJ8" s="17">
        <f>SUMIF('Deuda Bancos'!$E$6:$E$43,CJ$4,'Deuda Bancos'!$I$6:$I$43)</f>
        <v>0</v>
      </c>
      <c r="CK8" s="17">
        <f>SUMIF('Deuda Bancos'!$E$6:$E$43,CK$4,'Deuda Bancos'!$I$6:$I$43)</f>
        <v>0</v>
      </c>
      <c r="CL8" s="17">
        <f>SUMIF('Deuda Bancos'!$E$6:$E$43,CL$4,'Deuda Bancos'!$I$6:$I$43)</f>
        <v>0</v>
      </c>
      <c r="CM8" s="17">
        <f>SUMIF('Deuda Bancos'!$E$6:$E$43,CM$4,'Deuda Bancos'!$I$6:$I$43)</f>
        <v>0</v>
      </c>
      <c r="CN8" s="17">
        <f>SUMIF('Deuda Bancos'!$E$6:$E$43,CN$4,'Deuda Bancos'!$I$6:$I$43)</f>
        <v>0</v>
      </c>
      <c r="CO8" s="17">
        <f>SUMIF('Deuda Bancos'!$E$6:$E$43,CO$4,'Deuda Bancos'!$I$6:$I$43)</f>
        <v>0</v>
      </c>
      <c r="CP8" s="17">
        <f>SUMIF('Deuda Bancos'!$E$6:$E$43,CP$4,'Deuda Bancos'!$I$6:$I$43)</f>
        <v>0</v>
      </c>
      <c r="CQ8" s="17">
        <f>SUMIF('Deuda Bancos'!$E$6:$E$43,CQ$4,'Deuda Bancos'!$I$6:$I$43)</f>
        <v>0</v>
      </c>
      <c r="CR8" s="17">
        <f>SUMIF('Deuda Bancos'!$E$6:$E$43,CR$4,'Deuda Bancos'!$I$6:$I$43)</f>
        <v>0</v>
      </c>
      <c r="CS8" s="17">
        <f>SUMIF('Deuda Bancos'!$E$6:$E$43,CS$4,'Deuda Bancos'!$I$6:$I$43)</f>
        <v>0</v>
      </c>
      <c r="CT8" s="17">
        <f>SUMIF('Deuda Bancos'!$E$6:$E$43,CT$4,'Deuda Bancos'!$I$6:$I$43)</f>
        <v>0</v>
      </c>
      <c r="CU8" s="17">
        <f>SUMIF('Deuda Bancos'!$E$6:$E$43,CU$4,'Deuda Bancos'!$I$6:$I$43)</f>
        <v>0</v>
      </c>
      <c r="CV8" s="17">
        <f>SUMIF('Deuda Bancos'!$E$6:$E$43,CV$4,'Deuda Bancos'!$I$6:$I$43)</f>
        <v>0</v>
      </c>
      <c r="CW8" s="17">
        <f>SUMIF('Deuda Bancos'!$E$6:$E$43,CW$4,'Deuda Bancos'!$I$6:$I$43)</f>
        <v>0</v>
      </c>
      <c r="CX8" s="17">
        <f>SUMIF('Deuda Bancos'!$E$6:$E$43,CX$4,'Deuda Bancos'!$I$6:$I$43)</f>
        <v>0</v>
      </c>
      <c r="CY8" s="17">
        <f>SUMIF('Deuda Bancos'!$E$6:$E$43,CY$4,'Deuda Bancos'!$I$6:$I$43)</f>
        <v>0</v>
      </c>
      <c r="CZ8" s="17">
        <f>SUMIF('Deuda Bancos'!$E$6:$E$43,CZ$4,'Deuda Bancos'!$I$6:$I$43)</f>
        <v>0</v>
      </c>
      <c r="DA8" s="17">
        <f>SUMIF('Deuda Bancos'!$E$6:$E$43,DA$4,'Deuda Bancos'!$I$6:$I$43)</f>
        <v>0</v>
      </c>
      <c r="DB8" s="17">
        <f>SUMIF('Deuda Bancos'!$E$6:$E$43,DB$4,'Deuda Bancos'!$I$6:$I$43)</f>
        <v>0</v>
      </c>
      <c r="DC8" s="17">
        <f>SUMIF('Deuda Bancos'!$E$6:$E$43,DC$4,'Deuda Bancos'!$I$6:$I$43)</f>
        <v>0</v>
      </c>
      <c r="DD8" s="17">
        <f>SUMIF('Deuda Bancos'!$E$6:$E$43,DD$4,'Deuda Bancos'!$I$6:$I$43)</f>
        <v>0</v>
      </c>
      <c r="DE8" s="17">
        <f>SUMIF('Deuda Bancos'!$E$6:$E$43,DE$4,'Deuda Bancos'!$I$6:$I$43)</f>
        <v>0</v>
      </c>
      <c r="DF8" s="17">
        <f>SUMIF('Deuda Bancos'!$E$6:$E$43,DF$4,'Deuda Bancos'!$I$6:$I$43)</f>
        <v>0</v>
      </c>
      <c r="DG8" s="32">
        <f>SUM(C8:DF8)</f>
        <v>939540.94920144323</v>
      </c>
    </row>
    <row r="9" spans="1:111" ht="13.8" x14ac:dyDescent="0.3">
      <c r="A9" s="16" t="s">
        <v>314</v>
      </c>
      <c r="C9" s="17">
        <f>SUMIF('Deuda Bancos'!$E$6:$E$43,C$4,'Deuda Bancos'!$N$6:$N$43)</f>
        <v>0</v>
      </c>
      <c r="D9" s="17">
        <f>SUMIF('Deuda Bancos'!$E$6:$E$43,D$4,'Deuda Bancos'!$N$6:$N$43)</f>
        <v>0</v>
      </c>
      <c r="E9" s="17">
        <f>SUMIF('Deuda Bancos'!$E$6:$E$43,E$4,'Deuda Bancos'!$N$6:$N$43)</f>
        <v>0</v>
      </c>
      <c r="F9" s="17">
        <f>SUMIF('Deuda Bancos'!$E$6:$E$43,F$4,'Deuda Bancos'!$N$6:$N$43)</f>
        <v>0</v>
      </c>
      <c r="G9" s="17">
        <f>SUMIF('Deuda Bancos'!$E$6:$E$43,G$4,'Deuda Bancos'!$N$6:$N$43)</f>
        <v>0</v>
      </c>
      <c r="H9" s="17">
        <f>SUMIF('Deuda Bancos'!$E$6:$E$43,H$4,'Deuda Bancos'!$N$6:$N$43)</f>
        <v>0</v>
      </c>
      <c r="I9" s="17">
        <f>SUMIF('Deuda Bancos'!$E$6:$E$43,I$4,'Deuda Bancos'!$N$6:$N$43)</f>
        <v>0</v>
      </c>
      <c r="J9" s="17">
        <f>SUMIF('Deuda Bancos'!$E$6:$E$43,J$4,'Deuda Bancos'!$N$6:$N$43)</f>
        <v>0</v>
      </c>
      <c r="K9" s="17">
        <f>SUMIF('Deuda Bancos'!$E$6:$E$43,K$4,'Deuda Bancos'!$N$6:$N$43)</f>
        <v>0</v>
      </c>
      <c r="L9" s="17">
        <f>SUMIF('Deuda Bancos'!$E$6:$E$43,L$4,'Deuda Bancos'!$N$6:$N$43)</f>
        <v>0</v>
      </c>
      <c r="M9" s="17">
        <f>SUMIF('Deuda Bancos'!$E$6:$E$43,M$4,'Deuda Bancos'!$N$6:$N$43)</f>
        <v>0</v>
      </c>
      <c r="N9" s="17">
        <f>SUMIF('Deuda Bancos'!$E$6:$E$43,N$4,'Deuda Bancos'!$N$6:$N$43)</f>
        <v>0</v>
      </c>
      <c r="O9" s="17">
        <f>SUMIF('Deuda Bancos'!$E$6:$E$43,O$4,'Deuda Bancos'!$N$6:$N$43)</f>
        <v>0</v>
      </c>
      <c r="P9" s="17">
        <f>SUMIF('Deuda Bancos'!$E$6:$E$43,P$4,'Deuda Bancos'!$N$6:$N$43)</f>
        <v>0</v>
      </c>
      <c r="Q9" s="17">
        <f>SUMIF('Deuda Bancos'!$E$6:$E$43,Q$4,'Deuda Bancos'!$N$6:$N$43)</f>
        <v>0</v>
      </c>
      <c r="R9" s="17">
        <f>SUMIF('Deuda Bancos'!$E$6:$E$43,R$4,'Deuda Bancos'!$N$6:$N$43)</f>
        <v>0</v>
      </c>
      <c r="S9" s="17">
        <f>SUMIF('Deuda Bancos'!$E$6:$E$43,S$4,'Deuda Bancos'!$N$6:$N$43)</f>
        <v>0</v>
      </c>
      <c r="T9" s="17">
        <f>SUMIF('Deuda Bancos'!$E$6:$E$43,T$4,'Deuda Bancos'!$N$6:$N$43)</f>
        <v>0</v>
      </c>
      <c r="U9" s="17">
        <f>SUMIF('Deuda Bancos'!$E$6:$E$43,U$4,'Deuda Bancos'!$N$6:$N$43)</f>
        <v>0</v>
      </c>
      <c r="V9" s="17">
        <f>SUMIF('Deuda Bancos'!$E$6:$E$43,V$4,'Deuda Bancos'!$N$6:$N$43)</f>
        <v>0</v>
      </c>
      <c r="W9" s="17">
        <f>SUMIF('Deuda Bancos'!$E$6:$E$43,W$4,'Deuda Bancos'!$N$6:$N$43)</f>
        <v>0</v>
      </c>
      <c r="X9" s="17">
        <f>SUMIF('Deuda Bancos'!$E$6:$E$43,X$4,'Deuda Bancos'!$N$6:$N$43)</f>
        <v>0</v>
      </c>
      <c r="Y9" s="17">
        <f>SUMIF('Deuda Bancos'!$E$6:$E$43,Y$4,'Deuda Bancos'!$N$6:$N$43)</f>
        <v>0</v>
      </c>
      <c r="Z9" s="17">
        <f>SUMIF('Deuda Bancos'!$E$6:$E$43,Z$4,'Deuda Bancos'!$N$6:$N$43)</f>
        <v>0</v>
      </c>
      <c r="AA9" s="17">
        <f>SUMIF('Deuda Bancos'!$E$6:$E$43,AA$4,'Deuda Bancos'!$N$6:$N$43)</f>
        <v>0</v>
      </c>
      <c r="AB9" s="17">
        <f>SUMIF('Deuda Bancos'!$E$6:$E$43,AB$4,'Deuda Bancos'!$N$6:$N$43)</f>
        <v>0</v>
      </c>
      <c r="AC9" s="17">
        <f>SUMIF('Deuda Bancos'!$E$6:$E$43,AC$4,'Deuda Bancos'!$N$6:$N$43)</f>
        <v>0</v>
      </c>
      <c r="AD9" s="17">
        <f>SUMIF('Deuda Bancos'!$E$6:$E$43,AD$4,'Deuda Bancos'!$N$6:$N$43)</f>
        <v>0</v>
      </c>
      <c r="AE9" s="17">
        <f>SUMIF('Deuda Bancos'!$E$6:$E$43,AE$4,'Deuda Bancos'!$N$6:$N$43)</f>
        <v>0</v>
      </c>
      <c r="AF9" s="17">
        <f>SUMIF('Deuda Bancos'!$E$6:$E$43,AF$4,'Deuda Bancos'!$N$6:$N$43)</f>
        <v>0</v>
      </c>
      <c r="AG9" s="17">
        <f>SUMIF('Deuda Bancos'!$E$6:$E$43,AG$4,'Deuda Bancos'!$N$6:$N$43)</f>
        <v>0</v>
      </c>
      <c r="AH9" s="17">
        <f>SUMIF('Deuda Bancos'!$E$6:$E$43,AH$4,'Deuda Bancos'!$N$6:$N$43)</f>
        <v>0</v>
      </c>
      <c r="AI9" s="17">
        <f>SUMIF('Deuda Bancos'!$E$6:$E$43,AI$4,'Deuda Bancos'!$N$6:$N$43)</f>
        <v>0</v>
      </c>
      <c r="AJ9" s="17">
        <f>SUMIF('Deuda Bancos'!$E$6:$E$43,AJ$4,'Deuda Bancos'!$N$6:$N$43)</f>
        <v>0</v>
      </c>
      <c r="AK9" s="17">
        <f>SUMIF('Deuda Bancos'!$E$6:$E$43,AK$4,'Deuda Bancos'!$N$6:$N$43)</f>
        <v>0</v>
      </c>
      <c r="AL9" s="17">
        <f>SUMIF('Deuda Bancos'!$E$6:$E$43,AL$4,'Deuda Bancos'!$N$6:$N$43)</f>
        <v>0</v>
      </c>
      <c r="AM9" s="17">
        <f>SUMIF('Deuda Bancos'!$E$6:$E$43,AM$4,'Deuda Bancos'!$N$6:$N$43)</f>
        <v>0</v>
      </c>
      <c r="AN9" s="17">
        <f>SUMIF('Deuda Bancos'!$E$6:$E$43,AN$4,'Deuda Bancos'!$N$6:$N$43)</f>
        <v>0</v>
      </c>
      <c r="AO9" s="17">
        <f>SUMIF('Deuda Bancos'!$E$6:$E$43,AO$4,'Deuda Bancos'!$N$6:$N$43)</f>
        <v>0</v>
      </c>
      <c r="AP9" s="17">
        <f>SUMIF('Deuda Bancos'!$E$6:$E$43,AP$4,'Deuda Bancos'!$N$6:$N$43)</f>
        <v>0</v>
      </c>
      <c r="AQ9" s="17">
        <f>SUMIF('Deuda Bancos'!$E$6:$E$43,AQ$4,'Deuda Bancos'!$N$6:$N$43)</f>
        <v>0</v>
      </c>
      <c r="AR9" s="17">
        <f>SUMIF('Deuda Bancos'!$E$6:$E$43,AR$4,'Deuda Bancos'!$N$6:$N$43)</f>
        <v>0</v>
      </c>
      <c r="AS9" s="17">
        <f>SUMIF('Deuda Bancos'!$E$6:$E$43,AS$4,'Deuda Bancos'!$N$6:$N$43)</f>
        <v>0</v>
      </c>
      <c r="AT9" s="17">
        <f>SUMIF('Deuda Bancos'!$E$6:$E$43,AT$4,'Deuda Bancos'!$N$6:$N$43)</f>
        <v>0</v>
      </c>
      <c r="AU9" s="17">
        <f>SUMIF('Deuda Bancos'!$E$6:$E$43,AU$4,'Deuda Bancos'!$N$6:$N$43)</f>
        <v>0</v>
      </c>
      <c r="AV9" s="17">
        <f>SUMIF('Deuda Bancos'!$E$6:$E$43,AV$4,'Deuda Bancos'!$N$6:$N$43)</f>
        <v>0</v>
      </c>
      <c r="AW9" s="17">
        <f>SUMIF('Deuda Bancos'!$E$6:$E$43,AW$4,'Deuda Bancos'!$N$6:$N$43)</f>
        <v>0</v>
      </c>
      <c r="AX9" s="17">
        <f>SUMIF('Deuda Bancos'!$E$6:$E$43,AX$4,'Deuda Bancos'!$N$6:$N$43)</f>
        <v>0</v>
      </c>
      <c r="AY9" s="17">
        <f>SUMIF('Deuda Bancos'!$E$6:$E$43,AY$4,'Deuda Bancos'!$N$6:$N$43)</f>
        <v>0</v>
      </c>
      <c r="AZ9" s="17">
        <f>SUMIF('Deuda Bancos'!$E$6:$E$43,AZ$4,'Deuda Bancos'!$N$6:$N$43)</f>
        <v>0</v>
      </c>
      <c r="BA9" s="17">
        <f>SUMIF('Deuda Bancos'!$E$6:$E$43,BA$4,'Deuda Bancos'!$N$6:$N$43)</f>
        <v>0</v>
      </c>
      <c r="BB9" s="17">
        <f>SUMIF('Deuda Bancos'!$E$6:$E$43,BB$4,'Deuda Bancos'!$N$6:$N$43)</f>
        <v>0</v>
      </c>
      <c r="BC9" s="17">
        <f>SUMIF('Deuda Bancos'!$E$6:$E$43,BC$4,'Deuda Bancos'!$N$6:$N$43)</f>
        <v>0</v>
      </c>
      <c r="BD9" s="17">
        <f>SUMIF('Deuda Bancos'!$E$6:$E$43,BD$4,'Deuda Bancos'!$N$6:$N$43)</f>
        <v>0</v>
      </c>
      <c r="BE9" s="17">
        <f>SUMIF('Deuda Bancos'!$E$6:$E$43,BE$4,'Deuda Bancos'!$N$6:$N$43)</f>
        <v>0</v>
      </c>
      <c r="BF9" s="17">
        <f>SUMIF('Deuda Bancos'!$E$6:$E$43,BF$4,'Deuda Bancos'!$N$6:$N$43)</f>
        <v>0</v>
      </c>
      <c r="BG9" s="17">
        <f>SUMIF('Deuda Bancos'!$E$6:$E$43,BG$4,'Deuda Bancos'!$N$6:$N$43)</f>
        <v>0</v>
      </c>
      <c r="BH9" s="17">
        <f>SUMIF('Deuda Bancos'!$E$6:$E$43,BH$4,'Deuda Bancos'!$N$6:$N$43)</f>
        <v>0</v>
      </c>
      <c r="BI9" s="17">
        <f>SUMIF('Deuda Bancos'!$E$6:$E$43,BI$4,'Deuda Bancos'!$N$6:$N$43)</f>
        <v>0</v>
      </c>
      <c r="BJ9" s="17">
        <f>SUMIF('Deuda Bancos'!$E$6:$E$43,BJ$4,'Deuda Bancos'!$N$6:$N$43)</f>
        <v>0</v>
      </c>
      <c r="BK9" s="17">
        <f>SUMIF('Deuda Bancos'!$E$6:$E$43,BK$4,'Deuda Bancos'!$N$6:$N$43)</f>
        <v>0</v>
      </c>
      <c r="BL9" s="17">
        <f>SUMIF('Deuda Bancos'!$E$6:$E$43,BL$4,'Deuda Bancos'!$N$6:$N$43)</f>
        <v>0</v>
      </c>
      <c r="BM9" s="17">
        <f>SUMIF('Deuda Bancos'!$E$6:$E$43,BM$4,'Deuda Bancos'!$N$6:$N$43)</f>
        <v>0</v>
      </c>
      <c r="BN9" s="17">
        <f>SUMIF('Deuda Bancos'!$E$6:$E$43,BN$4,'Deuda Bancos'!$N$6:$N$43)</f>
        <v>0</v>
      </c>
      <c r="BO9" s="17">
        <f>SUMIF('Deuda Bancos'!$E$6:$E$43,BO$4,'Deuda Bancos'!$N$6:$N$43)</f>
        <v>0</v>
      </c>
      <c r="BP9" s="17">
        <f>SUMIF('Deuda Bancos'!$E$6:$E$43,BP$4,'Deuda Bancos'!$N$6:$N$43)</f>
        <v>0</v>
      </c>
      <c r="BQ9" s="17">
        <f>SUMIF('Deuda Bancos'!$E$6:$E$43,BQ$4,'Deuda Bancos'!$N$6:$N$43)</f>
        <v>0</v>
      </c>
      <c r="BR9" s="17">
        <f>SUMIF('Deuda Bancos'!$E$6:$E$43,BR$4,'Deuda Bancos'!$N$6:$N$43)</f>
        <v>0</v>
      </c>
      <c r="BS9" s="17">
        <f>SUMIF('Deuda Bancos'!$E$6:$E$43,BS$4,'Deuda Bancos'!$N$6:$N$43)</f>
        <v>0</v>
      </c>
      <c r="BT9" s="17">
        <f>SUMIF('Deuda Bancos'!$E$6:$E$43,BT$4,'Deuda Bancos'!$N$6:$N$43)</f>
        <v>0</v>
      </c>
      <c r="BU9" s="17">
        <f>SUMIF('Deuda Bancos'!$E$6:$E$43,BU$4,'Deuda Bancos'!$N$6:$N$43)</f>
        <v>0</v>
      </c>
      <c r="BV9" s="17">
        <f>SUMIF('Deuda Bancos'!$E$6:$E$43,BV$4,'Deuda Bancos'!$N$6:$N$43)</f>
        <v>0</v>
      </c>
      <c r="BW9" s="17">
        <f>SUMIF('Deuda Bancos'!$E$6:$E$43,BW$4,'Deuda Bancos'!$N$6:$N$43)</f>
        <v>0</v>
      </c>
      <c r="BX9" s="17">
        <f>SUMIF('Deuda Bancos'!$E$6:$E$43,BX$4,'Deuda Bancos'!$N$6:$N$43)</f>
        <v>0</v>
      </c>
      <c r="BY9" s="17">
        <f>SUMIF('Deuda Bancos'!$E$6:$E$43,BY$4,'Deuda Bancos'!$N$6:$N$43)</f>
        <v>0</v>
      </c>
      <c r="BZ9" s="17">
        <f>SUMIF('Deuda Bancos'!$E$6:$E$43,BZ$4,'Deuda Bancos'!$N$6:$N$43)</f>
        <v>0</v>
      </c>
      <c r="CA9" s="17">
        <f>SUMIF('Deuda Bancos'!$E$6:$E$43,CA$4,'Deuda Bancos'!$N$6:$N$43)</f>
        <v>0</v>
      </c>
      <c r="CB9" s="17">
        <f>SUMIF('Deuda Bancos'!$E$6:$E$43,CB$4,'Deuda Bancos'!$N$6:$N$43)</f>
        <v>0</v>
      </c>
      <c r="CC9" s="17">
        <f>SUMIF('Deuda Bancos'!$E$6:$E$43,CC$4,'Deuda Bancos'!$N$6:$N$43)</f>
        <v>0</v>
      </c>
      <c r="CD9" s="17">
        <f>SUMIF('Deuda Bancos'!$E$6:$E$43,CD$4,'Deuda Bancos'!$N$6:$N$43)</f>
        <v>0</v>
      </c>
      <c r="CE9" s="17">
        <f>SUMIF('Deuda Bancos'!$E$6:$E$43,CE$4,'Deuda Bancos'!$N$6:$N$43)</f>
        <v>0</v>
      </c>
      <c r="CF9" s="17">
        <f>SUMIF('Deuda Bancos'!$E$6:$E$43,CF$4,'Deuda Bancos'!$N$6:$N$43)</f>
        <v>0</v>
      </c>
      <c r="CG9" s="17">
        <f>SUMIF('Deuda Bancos'!$E$6:$E$43,CG$4,'Deuda Bancos'!$N$6:$N$43)</f>
        <v>0</v>
      </c>
      <c r="CH9" s="17">
        <f>SUMIF('Deuda Bancos'!$E$6:$E$43,CH$4,'Deuda Bancos'!$N$6:$N$43)</f>
        <v>0</v>
      </c>
      <c r="CI9" s="17">
        <f>SUMIF('Deuda Bancos'!$E$6:$E$43,CI$4,'Deuda Bancos'!$N$6:$N$43)</f>
        <v>0</v>
      </c>
      <c r="CJ9" s="17">
        <f>SUMIF('Deuda Bancos'!$E$6:$E$43,CJ$4,'Deuda Bancos'!$N$6:$N$43)</f>
        <v>0</v>
      </c>
      <c r="CK9" s="17">
        <f>SUMIF('Deuda Bancos'!$E$6:$E$43,CK$4,'Deuda Bancos'!$N$6:$N$43)</f>
        <v>0</v>
      </c>
      <c r="CL9" s="17">
        <f>SUMIF('Deuda Bancos'!$E$6:$E$43,CL$4,'Deuda Bancos'!$N$6:$N$43)</f>
        <v>0</v>
      </c>
      <c r="CM9" s="17">
        <f>SUMIF('Deuda Bancos'!$E$6:$E$43,CM$4,'Deuda Bancos'!$N$6:$N$43)</f>
        <v>0</v>
      </c>
      <c r="CN9" s="17">
        <f>SUMIF('Deuda Bancos'!$E$6:$E$43,CN$4,'Deuda Bancos'!$N$6:$N$43)</f>
        <v>0</v>
      </c>
      <c r="CO9" s="17">
        <f>SUMIF('Deuda Bancos'!$E$6:$E$43,CO$4,'Deuda Bancos'!$N$6:$N$43)</f>
        <v>0</v>
      </c>
      <c r="CP9" s="17">
        <f>SUMIF('Deuda Bancos'!$E$6:$E$43,CP$4,'Deuda Bancos'!$N$6:$N$43)</f>
        <v>0</v>
      </c>
      <c r="CQ9" s="17">
        <f>SUMIF('Deuda Bancos'!$E$6:$E$43,CQ$4,'Deuda Bancos'!$N$6:$N$43)</f>
        <v>0</v>
      </c>
      <c r="CR9" s="17">
        <f>SUMIF('Deuda Bancos'!$E$6:$E$43,CR$4,'Deuda Bancos'!$N$6:$N$43)</f>
        <v>0</v>
      </c>
      <c r="CS9" s="17">
        <f>SUMIF('Deuda Bancos'!$E$6:$E$43,CS$4,'Deuda Bancos'!$N$6:$N$43)</f>
        <v>0</v>
      </c>
      <c r="CT9" s="17">
        <f>SUMIF('Deuda Bancos'!$E$6:$E$43,CT$4,'Deuda Bancos'!$N$6:$N$43)</f>
        <v>0</v>
      </c>
      <c r="CU9" s="17">
        <f>SUMIF('Deuda Bancos'!$E$6:$E$43,CU$4,'Deuda Bancos'!$N$6:$N$43)</f>
        <v>0</v>
      </c>
      <c r="CV9" s="17">
        <f>SUMIF('Deuda Bancos'!$E$6:$E$43,CV$4,'Deuda Bancos'!$N$6:$N$43)</f>
        <v>0</v>
      </c>
      <c r="CW9" s="17">
        <f>SUMIF('Deuda Bancos'!$E$6:$E$43,CW$4,'Deuda Bancos'!$N$6:$N$43)</f>
        <v>0</v>
      </c>
      <c r="CX9" s="17">
        <f>SUMIF('Deuda Bancos'!$E$6:$E$43,CX$4,'Deuda Bancos'!$N$6:$N$43)</f>
        <v>0</v>
      </c>
      <c r="CY9" s="17">
        <f>SUMIF('Deuda Bancos'!$E$6:$E$43,CY$4,'Deuda Bancos'!$N$6:$N$43)</f>
        <v>0</v>
      </c>
      <c r="CZ9" s="17">
        <f>SUMIF('Deuda Bancos'!$E$6:$E$43,CZ$4,'Deuda Bancos'!$N$6:$N$43)</f>
        <v>0</v>
      </c>
      <c r="DA9" s="17">
        <f>SUMIF('Deuda Bancos'!$E$6:$E$43,DA$4,'Deuda Bancos'!$N$6:$N$43)</f>
        <v>0</v>
      </c>
      <c r="DB9" s="17">
        <f>SUMIF('Deuda Bancos'!$E$6:$E$43,DB$4,'Deuda Bancos'!$N$6:$N$43)</f>
        <v>0</v>
      </c>
      <c r="DC9" s="17">
        <f>SUMIF('Deuda Bancos'!$E$6:$E$43,DC$4,'Deuda Bancos'!$N$6:$N$43)</f>
        <v>0</v>
      </c>
      <c r="DD9" s="17">
        <f>SUMIF('Deuda Bancos'!$E$6:$E$43,DD$4,'Deuda Bancos'!$N$6:$N$43)</f>
        <v>0</v>
      </c>
      <c r="DE9" s="17">
        <f>SUMIF('Deuda Bancos'!$E$6:$E$43,DE$4,'Deuda Bancos'!$N$6:$N$43)</f>
        <v>0</v>
      </c>
      <c r="DF9" s="17">
        <f>SUMIF('Deuda Bancos'!$E$6:$E$43,DF$4,'Deuda Bancos'!$N$6:$N$43)</f>
        <v>0</v>
      </c>
      <c r="DG9" s="32">
        <f>SUM(C9:DF9)</f>
        <v>0</v>
      </c>
    </row>
    <row r="11" spans="1:111" ht="13.8" x14ac:dyDescent="0.3">
      <c r="A11" s="26" t="s">
        <v>315</v>
      </c>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row>
    <row r="12" spans="1:111" ht="13.8" x14ac:dyDescent="0.3">
      <c r="A12" s="16" t="s">
        <v>68</v>
      </c>
      <c r="C12" s="17">
        <f>SUMIF('Deuda Bancos'!$E$49:$E$73,C$4,'Deuda Bancos'!$H$49:$H$73)</f>
        <v>0</v>
      </c>
      <c r="D12" s="17">
        <f>SUMIF('Deuda Bancos'!$E$49:$E$73,D$4,'Deuda Bancos'!$H$49:$H$73)</f>
        <v>0</v>
      </c>
      <c r="E12" s="17">
        <f>SUMIF('Deuda Bancos'!$E$49:$E$73,E$4,'Deuda Bancos'!$H$49:$H$73)</f>
        <v>0</v>
      </c>
      <c r="F12" s="17">
        <f>SUMIF('Deuda Bancos'!$E$49:$E$73,F$4,'Deuda Bancos'!$H$49:$H$73)</f>
        <v>0</v>
      </c>
      <c r="G12" s="17">
        <f>SUMIF('Deuda Bancos'!$E$49:$E$73,G$4,'Deuda Bancos'!$H$49:$H$73)</f>
        <v>0</v>
      </c>
      <c r="H12" s="17">
        <f>SUMIF('Deuda Bancos'!$E$49:$E$73,H$4,'Deuda Bancos'!$H$49:$H$73)</f>
        <v>0</v>
      </c>
      <c r="I12" s="17">
        <f>SUMIF('Deuda Bancos'!$E$49:$E$73,I$4,'Deuda Bancos'!$H$49:$H$73)</f>
        <v>0</v>
      </c>
      <c r="J12" s="17">
        <f>SUMIF('Deuda Bancos'!$E$49:$E$73,J$4,'Deuda Bancos'!$H$49:$H$73)</f>
        <v>0</v>
      </c>
      <c r="K12" s="17">
        <f>SUMIF('Deuda Bancos'!$E$49:$E$73,K$4,'Deuda Bancos'!$H$49:$H$73)</f>
        <v>0</v>
      </c>
      <c r="L12" s="17">
        <f>SUMIF('Deuda Bancos'!$E$49:$E$73,L$4,'Deuda Bancos'!$H$49:$H$73)</f>
        <v>4527.59</v>
      </c>
      <c r="M12" s="17">
        <f>SUMIF('Deuda Bancos'!$E$49:$E$73,M$4,'Deuda Bancos'!$H$49:$H$73)</f>
        <v>4508.83</v>
      </c>
      <c r="N12" s="17">
        <f>SUMIF('Deuda Bancos'!$E$49:$E$73,N$4,'Deuda Bancos'!$H$49:$H$73)</f>
        <v>4600.88</v>
      </c>
      <c r="O12" s="17">
        <f>SUMIF('Deuda Bancos'!$E$49:$E$73,O$4,'Deuda Bancos'!$H$49:$H$73)</f>
        <v>4585.1499999999996</v>
      </c>
      <c r="P12" s="17">
        <f>SUMIF('Deuda Bancos'!$E$49:$E$73,P$4,'Deuda Bancos'!$H$49:$H$73)</f>
        <v>4612.32</v>
      </c>
      <c r="Q12" s="17">
        <f>SUMIF('Deuda Bancos'!$E$49:$E$73,Q$4,'Deuda Bancos'!$H$49:$H$73)</f>
        <v>4696.17</v>
      </c>
      <c r="R12" s="17">
        <f>SUMIF('Deuda Bancos'!$E$49:$E$73,R$4,'Deuda Bancos'!$H$49:$H$73)</f>
        <v>4667.46</v>
      </c>
      <c r="S12" s="17">
        <f>SUMIF('Deuda Bancos'!$E$49:$E$73,S$4,'Deuda Bancos'!$H$49:$H$73)</f>
        <v>4678.0600000000004</v>
      </c>
      <c r="T12" s="17">
        <f>SUMIF('Deuda Bancos'!$E$49:$E$73,T$4,'Deuda Bancos'!$H$49:$H$73)</f>
        <v>4755.1400000000003</v>
      </c>
      <c r="U12" s="17">
        <f>SUMIF('Deuda Bancos'!$E$49:$E$73,U$4,'Deuda Bancos'!$H$49:$H$73)</f>
        <v>4766.24</v>
      </c>
      <c r="V12" s="17">
        <f>SUMIF('Deuda Bancos'!$E$49:$E$73,V$4,'Deuda Bancos'!$H$49:$H$73)</f>
        <v>4764.8999999999996</v>
      </c>
      <c r="W12" s="17">
        <f>SUMIF('Deuda Bancos'!$E$49:$E$73,W$4,'Deuda Bancos'!$H$49:$H$73)</f>
        <v>4820.88</v>
      </c>
      <c r="X12" s="17">
        <f>SUMIF('Deuda Bancos'!$E$49:$E$73,X$4,'Deuda Bancos'!$H$49:$H$73)</f>
        <v>4848.51</v>
      </c>
      <c r="Y12" s="17">
        <f>SUMIF('Deuda Bancos'!$E$49:$E$73,Y$4,'Deuda Bancos'!$H$49:$H$73)</f>
        <v>4864.74</v>
      </c>
      <c r="Z12" s="17">
        <f>SUMIF('Deuda Bancos'!$E$49:$E$73,Z$4,'Deuda Bancos'!$H$49:$H$73)</f>
        <v>4904.1899999999996</v>
      </c>
      <c r="AA12" s="17">
        <f>SUMIF('Deuda Bancos'!$E$49:$E$73,AA$4,'Deuda Bancos'!$H$49:$H$73)</f>
        <v>4903.22</v>
      </c>
      <c r="AB12" s="17">
        <f>SUMIF('Deuda Bancos'!$E$49:$E$73,AB$4,'Deuda Bancos'!$H$49:$H$73)</f>
        <v>4969.17</v>
      </c>
      <c r="AC12" s="17">
        <f>SUMIF('Deuda Bancos'!$E$49:$E$73,AC$4,'Deuda Bancos'!$H$49:$H$73)</f>
        <v>4996.7</v>
      </c>
      <c r="AD12" s="17">
        <f>SUMIF('Deuda Bancos'!$E$49:$E$73,AD$4,'Deuda Bancos'!$H$49:$H$73)</f>
        <v>4997.01</v>
      </c>
      <c r="AE12" s="17">
        <f>SUMIF('Deuda Bancos'!$E$49:$E$73,AE$4,'Deuda Bancos'!$H$49:$H$73)</f>
        <v>5057.96</v>
      </c>
      <c r="AF12" s="17">
        <f>SUMIF('Deuda Bancos'!$E$49:$E$73,AF$4,'Deuda Bancos'!$H$49:$H$73)</f>
        <v>5070.26</v>
      </c>
      <c r="AG12" s="17">
        <f>SUMIF('Deuda Bancos'!$E$49:$E$73,AG$4,'Deuda Bancos'!$H$49:$H$73)</f>
        <v>5096.3599999999997</v>
      </c>
      <c r="AH12" s="17">
        <f>SUMIF('Deuda Bancos'!$E$49:$E$73,AH$4,'Deuda Bancos'!$H$49:$H$73)</f>
        <v>5136.43</v>
      </c>
      <c r="AI12" s="17">
        <f>SUMIF('Deuda Bancos'!$E$49:$E$73,AI$4,'Deuda Bancos'!$H$49:$H$73)</f>
        <v>5160.92</v>
      </c>
      <c r="AJ12" s="17">
        <f>SUMIF('Deuda Bancos'!$E$49:$E$73,AJ$4,'Deuda Bancos'!$H$49:$H$73)</f>
        <v>5191.55</v>
      </c>
      <c r="AK12" s="17">
        <f>SUMIF('Deuda Bancos'!$E$49:$E$73,AK$4,'Deuda Bancos'!$H$49:$H$73)</f>
        <v>0</v>
      </c>
      <c r="AL12" s="17">
        <f>SUMIF('Deuda Bancos'!$E$49:$E$73,AL$4,'Deuda Bancos'!$H$49:$H$73)</f>
        <v>0</v>
      </c>
      <c r="AM12" s="17">
        <f>SUMIF('Deuda Bancos'!$E$49:$E$73,AM$4,'Deuda Bancos'!$H$49:$H$73)</f>
        <v>0</v>
      </c>
      <c r="AN12" s="17">
        <f>SUMIF('Deuda Bancos'!$E$49:$E$73,AN$4,'Deuda Bancos'!$H$49:$H$73)</f>
        <v>0</v>
      </c>
      <c r="AO12" s="17">
        <f>SUMIF('Deuda Bancos'!$E$49:$E$73,AO$4,'Deuda Bancos'!$H$49:$H$73)</f>
        <v>0</v>
      </c>
      <c r="AP12" s="17">
        <f>SUMIF('Deuda Bancos'!$E$49:$E$73,AP$4,'Deuda Bancos'!$H$49:$H$73)</f>
        <v>0</v>
      </c>
      <c r="AQ12" s="17">
        <f>SUMIF('Deuda Bancos'!$E$49:$E$73,AQ$4,'Deuda Bancos'!$H$49:$H$73)</f>
        <v>0</v>
      </c>
      <c r="AR12" s="17">
        <f>SUMIF('Deuda Bancos'!$E$49:$E$73,AR$4,'Deuda Bancos'!$H$49:$H$73)</f>
        <v>0</v>
      </c>
      <c r="AS12" s="17">
        <f>SUMIF('Deuda Bancos'!$E$49:$E$73,AS$4,'Deuda Bancos'!$H$49:$H$73)</f>
        <v>0</v>
      </c>
      <c r="AT12" s="17">
        <f>SUMIF('Deuda Bancos'!$E$49:$E$73,AT$4,'Deuda Bancos'!$H$49:$H$73)</f>
        <v>0</v>
      </c>
      <c r="AU12" s="17">
        <f>SUMIF('Deuda Bancos'!$E$49:$E$73,AU$4,'Deuda Bancos'!$H$49:$H$73)</f>
        <v>0</v>
      </c>
      <c r="AV12" s="17">
        <f>SUMIF('Deuda Bancos'!$E$49:$E$73,AV$4,'Deuda Bancos'!$H$49:$H$73)</f>
        <v>0</v>
      </c>
      <c r="AW12" s="17">
        <f>SUMIF('Deuda Bancos'!$E$49:$E$73,AW$4,'Deuda Bancos'!$H$49:$H$73)</f>
        <v>0</v>
      </c>
      <c r="AX12" s="17">
        <f>SUMIF('Deuda Bancos'!$E$49:$E$73,AX$4,'Deuda Bancos'!$H$49:$H$73)</f>
        <v>0</v>
      </c>
      <c r="AY12" s="17">
        <f>SUMIF('Deuda Bancos'!$E$49:$E$73,AY$4,'Deuda Bancos'!$H$49:$H$73)</f>
        <v>0</v>
      </c>
      <c r="AZ12" s="17">
        <f>SUMIF('Deuda Bancos'!$E$49:$E$73,AZ$4,'Deuda Bancos'!$H$49:$H$73)</f>
        <v>0</v>
      </c>
      <c r="BA12" s="17">
        <f>SUMIF('Deuda Bancos'!$E$49:$E$73,BA$4,'Deuda Bancos'!$H$49:$H$73)</f>
        <v>0</v>
      </c>
      <c r="BB12" s="17">
        <f>SUMIF('Deuda Bancos'!$E$49:$E$73,BB$4,'Deuda Bancos'!$H$49:$H$73)</f>
        <v>0</v>
      </c>
      <c r="BC12" s="17">
        <f>SUMIF('Deuda Bancos'!$E$49:$E$73,BC$4,'Deuda Bancos'!$H$49:$H$73)</f>
        <v>0</v>
      </c>
      <c r="BD12" s="17">
        <f>SUMIF('Deuda Bancos'!$E$49:$E$73,BD$4,'Deuda Bancos'!$H$49:$H$73)</f>
        <v>0</v>
      </c>
      <c r="BE12" s="17">
        <f>SUMIF('Deuda Bancos'!$E$49:$E$73,BE$4,'Deuda Bancos'!$H$49:$H$73)</f>
        <v>0</v>
      </c>
      <c r="BF12" s="17">
        <f>SUMIF('Deuda Bancos'!$E$49:$E$73,BF$4,'Deuda Bancos'!$H$49:$H$73)</f>
        <v>0</v>
      </c>
      <c r="BG12" s="17">
        <f>SUMIF('Deuda Bancos'!$E$49:$E$73,BG$4,'Deuda Bancos'!$H$49:$H$73)</f>
        <v>0</v>
      </c>
      <c r="BH12" s="17">
        <f>SUMIF('Deuda Bancos'!$E$49:$E$73,BH$4,'Deuda Bancos'!$H$49:$H$73)</f>
        <v>0</v>
      </c>
      <c r="BI12" s="17">
        <f>SUMIF('Deuda Bancos'!$E$49:$E$73,BI$4,'Deuda Bancos'!$H$49:$H$73)</f>
        <v>0</v>
      </c>
      <c r="BJ12" s="17">
        <f>SUMIF('Deuda Bancos'!$E$49:$E$73,BJ$4,'Deuda Bancos'!$H$49:$H$73)</f>
        <v>0</v>
      </c>
      <c r="BK12" s="17">
        <f>SUMIF('Deuda Bancos'!$E$49:$E$73,BK$4,'Deuda Bancos'!$H$49:$H$73)</f>
        <v>0</v>
      </c>
      <c r="BL12" s="17">
        <f>SUMIF('Deuda Bancos'!$E$49:$E$73,BL$4,'Deuda Bancos'!$H$49:$H$73)</f>
        <v>0</v>
      </c>
      <c r="BM12" s="17">
        <f>SUMIF('Deuda Bancos'!$E$49:$E$73,BM$4,'Deuda Bancos'!$H$49:$H$73)</f>
        <v>0</v>
      </c>
      <c r="BN12" s="17">
        <f>SUMIF('Deuda Bancos'!$E$49:$E$73,BN$4,'Deuda Bancos'!$H$49:$H$73)</f>
        <v>0</v>
      </c>
      <c r="BO12" s="17">
        <f>SUMIF('Deuda Bancos'!$E$49:$E$73,BO$4,'Deuda Bancos'!$H$49:$H$73)</f>
        <v>0</v>
      </c>
      <c r="BP12" s="17">
        <f>SUMIF('Deuda Bancos'!$E$49:$E$73,BP$4,'Deuda Bancos'!$H$49:$H$73)</f>
        <v>0</v>
      </c>
      <c r="BQ12" s="17">
        <f>SUMIF('Deuda Bancos'!$E$49:$E$73,BQ$4,'Deuda Bancos'!$H$49:$H$73)</f>
        <v>0</v>
      </c>
      <c r="BR12" s="17">
        <f>SUMIF('Deuda Bancos'!$E$49:$E$73,BR$4,'Deuda Bancos'!$H$49:$H$73)</f>
        <v>0</v>
      </c>
      <c r="BS12" s="17">
        <f>SUMIF('Deuda Bancos'!$E$49:$E$73,BS$4,'Deuda Bancos'!$H$49:$H$73)</f>
        <v>0</v>
      </c>
      <c r="BT12" s="17">
        <f>SUMIF('Deuda Bancos'!$E$49:$E$73,BT$4,'Deuda Bancos'!$H$49:$H$73)</f>
        <v>0</v>
      </c>
      <c r="BU12" s="17">
        <f>SUMIF('Deuda Bancos'!$E$49:$E$73,BU$4,'Deuda Bancos'!$H$49:$H$73)</f>
        <v>0</v>
      </c>
      <c r="BV12" s="17">
        <f>SUMIF('Deuda Bancos'!$E$49:$E$73,BV$4,'Deuda Bancos'!$H$49:$H$73)</f>
        <v>0</v>
      </c>
      <c r="BW12" s="17">
        <f>SUMIF('Deuda Bancos'!$E$49:$E$73,BW$4,'Deuda Bancos'!$H$49:$H$73)</f>
        <v>0</v>
      </c>
      <c r="BX12" s="17">
        <f>SUMIF('Deuda Bancos'!$E$49:$E$73,BX$4,'Deuda Bancos'!$H$49:$H$73)</f>
        <v>0</v>
      </c>
      <c r="BY12" s="17">
        <f>SUMIF('Deuda Bancos'!$E$49:$E$73,BY$4,'Deuda Bancos'!$H$49:$H$73)</f>
        <v>0</v>
      </c>
      <c r="BZ12" s="17">
        <f>SUMIF('Deuda Bancos'!$E$49:$E$73,BZ$4,'Deuda Bancos'!$H$49:$H$73)</f>
        <v>0</v>
      </c>
      <c r="CA12" s="17">
        <f>SUMIF('Deuda Bancos'!$E$49:$E$73,CA$4,'Deuda Bancos'!$H$49:$H$73)</f>
        <v>0</v>
      </c>
      <c r="CB12" s="17">
        <f>SUMIF('Deuda Bancos'!$E$49:$E$73,CB$4,'Deuda Bancos'!$H$49:$H$73)</f>
        <v>0</v>
      </c>
      <c r="CC12" s="17">
        <f>SUMIF('Deuda Bancos'!$E$49:$E$73,CC$4,'Deuda Bancos'!$H$49:$H$73)</f>
        <v>0</v>
      </c>
      <c r="CD12" s="17">
        <f>SUMIF('Deuda Bancos'!$E$49:$E$73,CD$4,'Deuda Bancos'!$H$49:$H$73)</f>
        <v>0</v>
      </c>
      <c r="CE12" s="17">
        <f>SUMIF('Deuda Bancos'!$E$49:$E$73,CE$4,'Deuda Bancos'!$H$49:$H$73)</f>
        <v>0</v>
      </c>
      <c r="CF12" s="17">
        <f>SUMIF('Deuda Bancos'!$E$49:$E$73,CF$4,'Deuda Bancos'!$H$49:$H$73)</f>
        <v>0</v>
      </c>
      <c r="CG12" s="17">
        <f>SUMIF('Deuda Bancos'!$E$49:$E$73,CG$4,'Deuda Bancos'!$H$49:$H$73)</f>
        <v>0</v>
      </c>
      <c r="CH12" s="17">
        <f>SUMIF('Deuda Bancos'!$E$49:$E$73,CH$4,'Deuda Bancos'!$H$49:$H$73)</f>
        <v>0</v>
      </c>
      <c r="CI12" s="17">
        <f>SUMIF('Deuda Bancos'!$E$49:$E$73,CI$4,'Deuda Bancos'!$H$49:$H$73)</f>
        <v>0</v>
      </c>
      <c r="CJ12" s="17">
        <f>SUMIF('Deuda Bancos'!$E$49:$E$73,CJ$4,'Deuda Bancos'!$H$49:$H$73)</f>
        <v>0</v>
      </c>
      <c r="CK12" s="17">
        <f>SUMIF('Deuda Bancos'!$E$49:$E$73,CK$4,'Deuda Bancos'!$H$49:$H$73)</f>
        <v>0</v>
      </c>
      <c r="CL12" s="17">
        <f>SUMIF('Deuda Bancos'!$E$49:$E$73,CL$4,'Deuda Bancos'!$H$49:$H$73)</f>
        <v>0</v>
      </c>
      <c r="CM12" s="17">
        <f>SUMIF('Deuda Bancos'!$E$49:$E$73,CM$4,'Deuda Bancos'!$H$49:$H$73)</f>
        <v>0</v>
      </c>
      <c r="CN12" s="17">
        <f>SUMIF('Deuda Bancos'!$E$49:$E$73,CN$4,'Deuda Bancos'!$H$49:$H$73)</f>
        <v>0</v>
      </c>
      <c r="CO12" s="17">
        <f>SUMIF('Deuda Bancos'!$E$49:$E$73,CO$4,'Deuda Bancos'!$H$49:$H$73)</f>
        <v>0</v>
      </c>
      <c r="CP12" s="17">
        <f>SUMIF('Deuda Bancos'!$E$49:$E$73,CP$4,'Deuda Bancos'!$H$49:$H$73)</f>
        <v>0</v>
      </c>
      <c r="CQ12" s="17">
        <f>SUMIF('Deuda Bancos'!$E$49:$E$73,CQ$4,'Deuda Bancos'!$H$49:$H$73)</f>
        <v>0</v>
      </c>
      <c r="CR12" s="17">
        <f>SUMIF('Deuda Bancos'!$E$49:$E$73,CR$4,'Deuda Bancos'!$H$49:$H$73)</f>
        <v>0</v>
      </c>
      <c r="CS12" s="17">
        <f>SUMIF('Deuda Bancos'!$E$49:$E$73,CS$4,'Deuda Bancos'!$H$49:$H$73)</f>
        <v>0</v>
      </c>
      <c r="CT12" s="17">
        <f>SUMIF('Deuda Bancos'!$E$49:$E$73,CT$4,'Deuda Bancos'!$H$49:$H$73)</f>
        <v>0</v>
      </c>
      <c r="CU12" s="17">
        <f>SUMIF('Deuda Bancos'!$E$49:$E$73,CU$4,'Deuda Bancos'!$H$49:$H$73)</f>
        <v>0</v>
      </c>
      <c r="CV12" s="17">
        <f>SUMIF('Deuda Bancos'!$E$49:$E$73,CV$4,'Deuda Bancos'!$H$49:$H$73)</f>
        <v>0</v>
      </c>
      <c r="CW12" s="17">
        <f>SUMIF('Deuda Bancos'!$E$49:$E$73,CW$4,'Deuda Bancos'!$H$49:$H$73)</f>
        <v>0</v>
      </c>
      <c r="CX12" s="17">
        <f>SUMIF('Deuda Bancos'!$E$49:$E$73,CX$4,'Deuda Bancos'!$H$49:$H$73)</f>
        <v>0</v>
      </c>
      <c r="CY12" s="17">
        <f>SUMIF('Deuda Bancos'!$E$49:$E$73,CY$4,'Deuda Bancos'!$H$49:$H$73)</f>
        <v>0</v>
      </c>
      <c r="CZ12" s="17">
        <f>SUMIF('Deuda Bancos'!$E$49:$E$73,CZ$4,'Deuda Bancos'!$H$49:$H$73)</f>
        <v>0</v>
      </c>
      <c r="DA12" s="17">
        <f>SUMIF('Deuda Bancos'!$E$49:$E$73,DA$4,'Deuda Bancos'!$H$49:$H$73)</f>
        <v>0</v>
      </c>
      <c r="DB12" s="17">
        <f>SUMIF('Deuda Bancos'!$E$49:$E$73,DB$4,'Deuda Bancos'!$H$49:$H$73)</f>
        <v>0</v>
      </c>
      <c r="DC12" s="17">
        <f>SUMIF('Deuda Bancos'!$E$49:$E$73,DC$4,'Deuda Bancos'!$H$49:$H$73)</f>
        <v>0</v>
      </c>
      <c r="DD12" s="17">
        <f>SUMIF('Deuda Bancos'!$E$49:$E$73,DD$4,'Deuda Bancos'!$H$49:$H$73)</f>
        <v>0</v>
      </c>
      <c r="DE12" s="17">
        <f>SUMIF('Deuda Bancos'!$E$49:$E$73,DE$4,'Deuda Bancos'!$H$49:$H$73)</f>
        <v>0</v>
      </c>
      <c r="DF12" s="17">
        <f>SUMIF('Deuda Bancos'!$E$49:$E$73,DF$4,'Deuda Bancos'!$H$49:$H$73)</f>
        <v>0</v>
      </c>
      <c r="DG12" s="32">
        <f>SUM(C12:DF12)</f>
        <v>121180.63999999998</v>
      </c>
    </row>
    <row r="13" spans="1:111" ht="13.8" x14ac:dyDescent="0.3">
      <c r="A13" s="16" t="s">
        <v>70</v>
      </c>
      <c r="C13" s="17">
        <f>SUMIF('Deuda Bancos'!$E$49:$E$73,C$4,'Deuda Bancos'!$I$49:$I$73)</f>
        <v>0</v>
      </c>
      <c r="D13" s="17">
        <f>SUMIF('Deuda Bancos'!$E$49:$E$73,D$4,'Deuda Bancos'!$I$49:$I$73)</f>
        <v>0</v>
      </c>
      <c r="E13" s="17">
        <f>SUMIF('Deuda Bancos'!$E$49:$E$73,E$4,'Deuda Bancos'!$I$49:$I$73)</f>
        <v>0</v>
      </c>
      <c r="F13" s="17">
        <f>SUMIF('Deuda Bancos'!$E$49:$E$73,F$4,'Deuda Bancos'!$I$49:$I$73)</f>
        <v>0</v>
      </c>
      <c r="G13" s="17">
        <f>SUMIF('Deuda Bancos'!$E$49:$E$73,G$4,'Deuda Bancos'!$I$49:$I$73)</f>
        <v>0</v>
      </c>
      <c r="H13" s="17">
        <f>SUMIF('Deuda Bancos'!$E$49:$E$73,H$4,'Deuda Bancos'!$I$49:$I$73)</f>
        <v>0</v>
      </c>
      <c r="I13" s="17">
        <f>SUMIF('Deuda Bancos'!$E$49:$E$73,I$4,'Deuda Bancos'!$I$49:$I$73)</f>
        <v>0</v>
      </c>
      <c r="J13" s="17">
        <f>SUMIF('Deuda Bancos'!$E$49:$E$73,J$4,'Deuda Bancos'!$I$49:$I$73)</f>
        <v>0</v>
      </c>
      <c r="K13" s="17">
        <f>SUMIF('Deuda Bancos'!$E$49:$E$73,K$4,'Deuda Bancos'!$I$49:$I$73)</f>
        <v>0</v>
      </c>
      <c r="L13" s="17">
        <f>SUMIF('Deuda Bancos'!$E$49:$E$73,L$4,'Deuda Bancos'!$I$49:$I$73)</f>
        <v>694.66</v>
      </c>
      <c r="M13" s="17">
        <f>SUMIF('Deuda Bancos'!$E$49:$E$73,M$4,'Deuda Bancos'!$I$49:$I$73)</f>
        <v>713.42</v>
      </c>
      <c r="N13" s="17">
        <f>SUMIF('Deuda Bancos'!$E$49:$E$73,N$4,'Deuda Bancos'!$I$49:$I$73)</f>
        <v>621.37</v>
      </c>
      <c r="O13" s="17">
        <f>SUMIF('Deuda Bancos'!$E$49:$E$73,O$4,'Deuda Bancos'!$I$49:$I$73)</f>
        <v>637.1</v>
      </c>
      <c r="P13" s="17">
        <f>SUMIF('Deuda Bancos'!$E$49:$E$73,P$4,'Deuda Bancos'!$I$49:$I$73)</f>
        <v>609.92999999999995</v>
      </c>
      <c r="Q13" s="17">
        <f>SUMIF('Deuda Bancos'!$E$49:$E$73,Q$4,'Deuda Bancos'!$I$49:$I$73)</f>
        <v>526.08000000000004</v>
      </c>
      <c r="R13" s="17">
        <f>SUMIF('Deuda Bancos'!$E$49:$E$73,R$4,'Deuda Bancos'!$I$49:$I$73)</f>
        <v>554.79</v>
      </c>
      <c r="S13" s="17">
        <f>SUMIF('Deuda Bancos'!$E$49:$E$73,S$4,'Deuda Bancos'!$I$49:$I$73)</f>
        <v>544.19000000000005</v>
      </c>
      <c r="T13" s="17">
        <f>SUMIF('Deuda Bancos'!$E$49:$E$73,T$4,'Deuda Bancos'!$I$49:$I$73)</f>
        <v>467.11</v>
      </c>
      <c r="U13" s="17">
        <f>SUMIF('Deuda Bancos'!$E$49:$E$73,U$4,'Deuda Bancos'!$I$49:$I$73)</f>
        <v>456.01</v>
      </c>
      <c r="V13" s="17">
        <f>SUMIF('Deuda Bancos'!$E$49:$E$73,V$4,'Deuda Bancos'!$I$49:$I$73)</f>
        <v>457.35</v>
      </c>
      <c r="W13" s="17">
        <f>SUMIF('Deuda Bancos'!$E$49:$E$73,W$4,'Deuda Bancos'!$I$49:$I$73)</f>
        <v>401.37</v>
      </c>
      <c r="X13" s="17">
        <f>SUMIF('Deuda Bancos'!$E$49:$E$73,X$4,'Deuda Bancos'!$I$49:$I$73)</f>
        <v>373.74</v>
      </c>
      <c r="Y13" s="17">
        <f>SUMIF('Deuda Bancos'!$E$49:$E$73,Y$4,'Deuda Bancos'!$I$49:$I$73)</f>
        <v>357.51</v>
      </c>
      <c r="Z13" s="17">
        <f>SUMIF('Deuda Bancos'!$E$49:$E$73,Z$4,'Deuda Bancos'!$I$49:$I$73)</f>
        <v>318.06</v>
      </c>
      <c r="AA13" s="17">
        <f>SUMIF('Deuda Bancos'!$E$49:$E$73,AA$4,'Deuda Bancos'!$I$49:$I$73)</f>
        <v>319.02999999999997</v>
      </c>
      <c r="AB13" s="17">
        <f>SUMIF('Deuda Bancos'!$E$49:$E$73,AB$4,'Deuda Bancos'!$I$49:$I$73)</f>
        <v>253.08</v>
      </c>
      <c r="AC13" s="17">
        <f>SUMIF('Deuda Bancos'!$E$49:$E$73,AC$4,'Deuda Bancos'!$I$49:$I$73)</f>
        <v>225.55</v>
      </c>
      <c r="AD13" s="17">
        <f>SUMIF('Deuda Bancos'!$E$49:$E$73,AD$4,'Deuda Bancos'!$I$49:$I$73)</f>
        <v>225.24</v>
      </c>
      <c r="AE13" s="17">
        <f>SUMIF('Deuda Bancos'!$E$49:$E$73,AE$4,'Deuda Bancos'!$I$49:$I$73)</f>
        <v>164.29</v>
      </c>
      <c r="AF13" s="17">
        <f>SUMIF('Deuda Bancos'!$E$49:$E$73,AF$4,'Deuda Bancos'!$I$49:$I$73)</f>
        <v>151.99</v>
      </c>
      <c r="AG13" s="17">
        <f>SUMIF('Deuda Bancos'!$E$49:$E$73,AG$4,'Deuda Bancos'!$I$49:$I$73)</f>
        <v>125.89</v>
      </c>
      <c r="AH13" s="17">
        <f>SUMIF('Deuda Bancos'!$E$49:$E$73,AH$4,'Deuda Bancos'!$I$49:$I$73)</f>
        <v>85.82</v>
      </c>
      <c r="AI13" s="17">
        <f>SUMIF('Deuda Bancos'!$E$49:$E$73,AI$4,'Deuda Bancos'!$I$49:$I$73)</f>
        <v>61.33</v>
      </c>
      <c r="AJ13" s="17">
        <f>SUMIF('Deuda Bancos'!$E$49:$E$73,AJ$4,'Deuda Bancos'!$I$49:$I$73)</f>
        <v>30.76</v>
      </c>
      <c r="AK13" s="17">
        <f>SUMIF('Deuda Bancos'!$E$49:$E$73,AK$4,'Deuda Bancos'!$I$49:$I$73)</f>
        <v>0</v>
      </c>
      <c r="AL13" s="17">
        <f>SUMIF('Deuda Bancos'!$E$49:$E$73,AL$4,'Deuda Bancos'!$I$49:$I$73)</f>
        <v>0</v>
      </c>
      <c r="AM13" s="17">
        <f>SUMIF('Deuda Bancos'!$E$49:$E$73,AM$4,'Deuda Bancos'!$I$49:$I$73)</f>
        <v>0</v>
      </c>
      <c r="AN13" s="17">
        <f>SUMIF('Deuda Bancos'!$E$49:$E$73,AN$4,'Deuda Bancos'!$I$49:$I$73)</f>
        <v>0</v>
      </c>
      <c r="AO13" s="17">
        <f>SUMIF('Deuda Bancos'!$E$49:$E$73,AO$4,'Deuda Bancos'!$I$49:$I$73)</f>
        <v>0</v>
      </c>
      <c r="AP13" s="17">
        <f>SUMIF('Deuda Bancos'!$E$49:$E$73,AP$4,'Deuda Bancos'!$I$49:$I$73)</f>
        <v>0</v>
      </c>
      <c r="AQ13" s="17">
        <f>SUMIF('Deuda Bancos'!$E$49:$E$73,AQ$4,'Deuda Bancos'!$I$49:$I$73)</f>
        <v>0</v>
      </c>
      <c r="AR13" s="17">
        <f>SUMIF('Deuda Bancos'!$E$49:$E$73,AR$4,'Deuda Bancos'!$I$49:$I$73)</f>
        <v>0</v>
      </c>
      <c r="AS13" s="17">
        <f>SUMIF('Deuda Bancos'!$E$49:$E$73,AS$4,'Deuda Bancos'!$I$49:$I$73)</f>
        <v>0</v>
      </c>
      <c r="AT13" s="17">
        <f>SUMIF('Deuda Bancos'!$E$49:$E$73,AT$4,'Deuda Bancos'!$I$49:$I$73)</f>
        <v>0</v>
      </c>
      <c r="AU13" s="17">
        <f>SUMIF('Deuda Bancos'!$E$49:$E$73,AU$4,'Deuda Bancos'!$I$49:$I$73)</f>
        <v>0</v>
      </c>
      <c r="AV13" s="17">
        <f>SUMIF('Deuda Bancos'!$E$49:$E$73,AV$4,'Deuda Bancos'!$I$49:$I$73)</f>
        <v>0</v>
      </c>
      <c r="AW13" s="17">
        <f>SUMIF('Deuda Bancos'!$E$49:$E$73,AW$4,'Deuda Bancos'!$I$49:$I$73)</f>
        <v>0</v>
      </c>
      <c r="AX13" s="17">
        <f>SUMIF('Deuda Bancos'!$E$49:$E$73,AX$4,'Deuda Bancos'!$I$49:$I$73)</f>
        <v>0</v>
      </c>
      <c r="AY13" s="17">
        <f>SUMIF('Deuda Bancos'!$E$49:$E$73,AY$4,'Deuda Bancos'!$I$49:$I$73)</f>
        <v>0</v>
      </c>
      <c r="AZ13" s="17">
        <f>SUMIF('Deuda Bancos'!$E$49:$E$73,AZ$4,'Deuda Bancos'!$I$49:$I$73)</f>
        <v>0</v>
      </c>
      <c r="BA13" s="17">
        <f>SUMIF('Deuda Bancos'!$E$49:$E$73,BA$4,'Deuda Bancos'!$I$49:$I$73)</f>
        <v>0</v>
      </c>
      <c r="BB13" s="17">
        <f>SUMIF('Deuda Bancos'!$E$49:$E$73,BB$4,'Deuda Bancos'!$I$49:$I$73)</f>
        <v>0</v>
      </c>
      <c r="BC13" s="17">
        <f>SUMIF('Deuda Bancos'!$E$49:$E$73,BC$4,'Deuda Bancos'!$I$49:$I$73)</f>
        <v>0</v>
      </c>
      <c r="BD13" s="17">
        <f>SUMIF('Deuda Bancos'!$E$49:$E$73,BD$4,'Deuda Bancos'!$I$49:$I$73)</f>
        <v>0</v>
      </c>
      <c r="BE13" s="17">
        <f>SUMIF('Deuda Bancos'!$E$49:$E$73,BE$4,'Deuda Bancos'!$I$49:$I$73)</f>
        <v>0</v>
      </c>
      <c r="BF13" s="17">
        <f>SUMIF('Deuda Bancos'!$E$49:$E$73,BF$4,'Deuda Bancos'!$I$49:$I$73)</f>
        <v>0</v>
      </c>
      <c r="BG13" s="17">
        <f>SUMIF('Deuda Bancos'!$E$49:$E$73,BG$4,'Deuda Bancos'!$I$49:$I$73)</f>
        <v>0</v>
      </c>
      <c r="BH13" s="17">
        <f>SUMIF('Deuda Bancos'!$E$49:$E$73,BH$4,'Deuda Bancos'!$I$49:$I$73)</f>
        <v>0</v>
      </c>
      <c r="BI13" s="17">
        <f>SUMIF('Deuda Bancos'!$E$49:$E$73,BI$4,'Deuda Bancos'!$I$49:$I$73)</f>
        <v>0</v>
      </c>
      <c r="BJ13" s="17">
        <f>SUMIF('Deuda Bancos'!$E$49:$E$73,BJ$4,'Deuda Bancos'!$I$49:$I$73)</f>
        <v>0</v>
      </c>
      <c r="BK13" s="17">
        <f>SUMIF('Deuda Bancos'!$E$49:$E$73,BK$4,'Deuda Bancos'!$I$49:$I$73)</f>
        <v>0</v>
      </c>
      <c r="BL13" s="17">
        <f>SUMIF('Deuda Bancos'!$E$49:$E$73,BL$4,'Deuda Bancos'!$I$49:$I$73)</f>
        <v>0</v>
      </c>
      <c r="BM13" s="17">
        <f>SUMIF('Deuda Bancos'!$E$49:$E$73,BM$4,'Deuda Bancos'!$I$49:$I$73)</f>
        <v>0</v>
      </c>
      <c r="BN13" s="17">
        <f>SUMIF('Deuda Bancos'!$E$49:$E$73,BN$4,'Deuda Bancos'!$I$49:$I$73)</f>
        <v>0</v>
      </c>
      <c r="BO13" s="17">
        <f>SUMIF('Deuda Bancos'!$E$49:$E$73,BO$4,'Deuda Bancos'!$I$49:$I$73)</f>
        <v>0</v>
      </c>
      <c r="BP13" s="17">
        <f>SUMIF('Deuda Bancos'!$E$49:$E$73,BP$4,'Deuda Bancos'!$I$49:$I$73)</f>
        <v>0</v>
      </c>
      <c r="BQ13" s="17">
        <f>SUMIF('Deuda Bancos'!$E$49:$E$73,BQ$4,'Deuda Bancos'!$I$49:$I$73)</f>
        <v>0</v>
      </c>
      <c r="BR13" s="17">
        <f>SUMIF('Deuda Bancos'!$E$49:$E$73,BR$4,'Deuda Bancos'!$I$49:$I$73)</f>
        <v>0</v>
      </c>
      <c r="BS13" s="17">
        <f>SUMIF('Deuda Bancos'!$E$49:$E$73,BS$4,'Deuda Bancos'!$I$49:$I$73)</f>
        <v>0</v>
      </c>
      <c r="BT13" s="17">
        <f>SUMIF('Deuda Bancos'!$E$49:$E$73,BT$4,'Deuda Bancos'!$I$49:$I$73)</f>
        <v>0</v>
      </c>
      <c r="BU13" s="17">
        <f>SUMIF('Deuda Bancos'!$E$49:$E$73,BU$4,'Deuda Bancos'!$I$49:$I$73)</f>
        <v>0</v>
      </c>
      <c r="BV13" s="17">
        <f>SUMIF('Deuda Bancos'!$E$49:$E$73,BV$4,'Deuda Bancos'!$I$49:$I$73)</f>
        <v>0</v>
      </c>
      <c r="BW13" s="17">
        <f>SUMIF('Deuda Bancos'!$E$49:$E$73,BW$4,'Deuda Bancos'!$I$49:$I$73)</f>
        <v>0</v>
      </c>
      <c r="BX13" s="17">
        <f>SUMIF('Deuda Bancos'!$E$49:$E$73,BX$4,'Deuda Bancos'!$I$49:$I$73)</f>
        <v>0</v>
      </c>
      <c r="BY13" s="17">
        <f>SUMIF('Deuda Bancos'!$E$49:$E$73,BY$4,'Deuda Bancos'!$I$49:$I$73)</f>
        <v>0</v>
      </c>
      <c r="BZ13" s="17">
        <f>SUMIF('Deuda Bancos'!$E$49:$E$73,BZ$4,'Deuda Bancos'!$I$49:$I$73)</f>
        <v>0</v>
      </c>
      <c r="CA13" s="17">
        <f>SUMIF('Deuda Bancos'!$E$49:$E$73,CA$4,'Deuda Bancos'!$I$49:$I$73)</f>
        <v>0</v>
      </c>
      <c r="CB13" s="17">
        <f>SUMIF('Deuda Bancos'!$E$49:$E$73,CB$4,'Deuda Bancos'!$I$49:$I$73)</f>
        <v>0</v>
      </c>
      <c r="CC13" s="17">
        <f>SUMIF('Deuda Bancos'!$E$49:$E$73,CC$4,'Deuda Bancos'!$I$49:$I$73)</f>
        <v>0</v>
      </c>
      <c r="CD13" s="17">
        <f>SUMIF('Deuda Bancos'!$E$49:$E$73,CD$4,'Deuda Bancos'!$I$49:$I$73)</f>
        <v>0</v>
      </c>
      <c r="CE13" s="17">
        <f>SUMIF('Deuda Bancos'!$E$49:$E$73,CE$4,'Deuda Bancos'!$I$49:$I$73)</f>
        <v>0</v>
      </c>
      <c r="CF13" s="17">
        <f>SUMIF('Deuda Bancos'!$E$49:$E$73,CF$4,'Deuda Bancos'!$I$49:$I$73)</f>
        <v>0</v>
      </c>
      <c r="CG13" s="17">
        <f>SUMIF('Deuda Bancos'!$E$49:$E$73,CG$4,'Deuda Bancos'!$I$49:$I$73)</f>
        <v>0</v>
      </c>
      <c r="CH13" s="17">
        <f>SUMIF('Deuda Bancos'!$E$49:$E$73,CH$4,'Deuda Bancos'!$I$49:$I$73)</f>
        <v>0</v>
      </c>
      <c r="CI13" s="17">
        <f>SUMIF('Deuda Bancos'!$E$49:$E$73,CI$4,'Deuda Bancos'!$I$49:$I$73)</f>
        <v>0</v>
      </c>
      <c r="CJ13" s="17">
        <f>SUMIF('Deuda Bancos'!$E$49:$E$73,CJ$4,'Deuda Bancos'!$I$49:$I$73)</f>
        <v>0</v>
      </c>
      <c r="CK13" s="17">
        <f>SUMIF('Deuda Bancos'!$E$49:$E$73,CK$4,'Deuda Bancos'!$I$49:$I$73)</f>
        <v>0</v>
      </c>
      <c r="CL13" s="17">
        <f>SUMIF('Deuda Bancos'!$E$49:$E$73,CL$4,'Deuda Bancos'!$I$49:$I$73)</f>
        <v>0</v>
      </c>
      <c r="CM13" s="17">
        <f>SUMIF('Deuda Bancos'!$E$49:$E$73,CM$4,'Deuda Bancos'!$I$49:$I$73)</f>
        <v>0</v>
      </c>
      <c r="CN13" s="17">
        <f>SUMIF('Deuda Bancos'!$E$49:$E$73,CN$4,'Deuda Bancos'!$I$49:$I$73)</f>
        <v>0</v>
      </c>
      <c r="CO13" s="17">
        <f>SUMIF('Deuda Bancos'!$E$49:$E$73,CO$4,'Deuda Bancos'!$I$49:$I$73)</f>
        <v>0</v>
      </c>
      <c r="CP13" s="17">
        <f>SUMIF('Deuda Bancos'!$E$49:$E$73,CP$4,'Deuda Bancos'!$I$49:$I$73)</f>
        <v>0</v>
      </c>
      <c r="CQ13" s="17">
        <f>SUMIF('Deuda Bancos'!$E$49:$E$73,CQ$4,'Deuda Bancos'!$I$49:$I$73)</f>
        <v>0</v>
      </c>
      <c r="CR13" s="17">
        <f>SUMIF('Deuda Bancos'!$E$49:$E$73,CR$4,'Deuda Bancos'!$I$49:$I$73)</f>
        <v>0</v>
      </c>
      <c r="CS13" s="17">
        <f>SUMIF('Deuda Bancos'!$E$49:$E$73,CS$4,'Deuda Bancos'!$I$49:$I$73)</f>
        <v>0</v>
      </c>
      <c r="CT13" s="17">
        <f>SUMIF('Deuda Bancos'!$E$49:$E$73,CT$4,'Deuda Bancos'!$I$49:$I$73)</f>
        <v>0</v>
      </c>
      <c r="CU13" s="17">
        <f>SUMIF('Deuda Bancos'!$E$49:$E$73,CU$4,'Deuda Bancos'!$I$49:$I$73)</f>
        <v>0</v>
      </c>
      <c r="CV13" s="17">
        <f>SUMIF('Deuda Bancos'!$E$49:$E$73,CV$4,'Deuda Bancos'!$I$49:$I$73)</f>
        <v>0</v>
      </c>
      <c r="CW13" s="17">
        <f>SUMIF('Deuda Bancos'!$E$49:$E$73,CW$4,'Deuda Bancos'!$I$49:$I$73)</f>
        <v>0</v>
      </c>
      <c r="CX13" s="17">
        <f>SUMIF('Deuda Bancos'!$E$49:$E$73,CX$4,'Deuda Bancos'!$I$49:$I$73)</f>
        <v>0</v>
      </c>
      <c r="CY13" s="17">
        <f>SUMIF('Deuda Bancos'!$E$49:$E$73,CY$4,'Deuda Bancos'!$I$49:$I$73)</f>
        <v>0</v>
      </c>
      <c r="CZ13" s="17">
        <f>SUMIF('Deuda Bancos'!$E$49:$E$73,CZ$4,'Deuda Bancos'!$I$49:$I$73)</f>
        <v>0</v>
      </c>
      <c r="DA13" s="17">
        <f>SUMIF('Deuda Bancos'!$E$49:$E$73,DA$4,'Deuda Bancos'!$I$49:$I$73)</f>
        <v>0</v>
      </c>
      <c r="DB13" s="17">
        <f>SUMIF('Deuda Bancos'!$E$49:$E$73,DB$4,'Deuda Bancos'!$I$49:$I$73)</f>
        <v>0</v>
      </c>
      <c r="DC13" s="17">
        <f>SUMIF('Deuda Bancos'!$E$49:$E$73,DC$4,'Deuda Bancos'!$I$49:$I$73)</f>
        <v>0</v>
      </c>
      <c r="DD13" s="17">
        <f>SUMIF('Deuda Bancos'!$E$49:$E$73,DD$4,'Deuda Bancos'!$I$49:$I$73)</f>
        <v>0</v>
      </c>
      <c r="DE13" s="17">
        <f>SUMIF('Deuda Bancos'!$E$49:$E$73,DE$4,'Deuda Bancos'!$I$49:$I$73)</f>
        <v>0</v>
      </c>
      <c r="DF13" s="17">
        <f>SUMIF('Deuda Bancos'!$E$49:$E$73,DF$4,'Deuda Bancos'!$I$49:$I$73)</f>
        <v>0</v>
      </c>
      <c r="DG13" s="32">
        <f>SUM(C13:DF13)</f>
        <v>9375.6699999999983</v>
      </c>
    </row>
    <row r="14" spans="1:111" ht="13.8" x14ac:dyDescent="0.3">
      <c r="A14" s="16" t="s">
        <v>314</v>
      </c>
      <c r="C14" s="17">
        <f>SUMIF('Deuda Bancos'!$E$49:$E$73,C$4,'Deuda Bancos'!$N$49:$N$73)</f>
        <v>0</v>
      </c>
      <c r="D14" s="17">
        <f>SUMIF('Deuda Bancos'!$E$49:$E$73,D$4,'Deuda Bancos'!$N$49:$N$73)</f>
        <v>0</v>
      </c>
      <c r="E14" s="17">
        <f>SUMIF('Deuda Bancos'!$E$49:$E$73,E$4,'Deuda Bancos'!$N$49:$N$73)</f>
        <v>0</v>
      </c>
      <c r="F14" s="17">
        <f>SUMIF('Deuda Bancos'!$E$49:$E$73,F$4,'Deuda Bancos'!$N$49:$N$73)</f>
        <v>0</v>
      </c>
      <c r="G14" s="17">
        <f>SUMIF('Deuda Bancos'!$E$49:$E$73,G$4,'Deuda Bancos'!$N$49:$N$73)</f>
        <v>0</v>
      </c>
      <c r="H14" s="17">
        <f>SUMIF('Deuda Bancos'!$E$49:$E$73,H$4,'Deuda Bancos'!$N$49:$N$73)</f>
        <v>0</v>
      </c>
      <c r="I14" s="17">
        <f>SUMIF('Deuda Bancos'!$E$49:$E$73,I$4,'Deuda Bancos'!$N$49:$N$73)</f>
        <v>0</v>
      </c>
      <c r="J14" s="17">
        <f>SUMIF('Deuda Bancos'!$E$49:$E$73,J$4,'Deuda Bancos'!$N$49:$N$73)</f>
        <v>0</v>
      </c>
      <c r="K14" s="17">
        <f>SUMIF('Deuda Bancos'!$E$49:$E$73,K$4,'Deuda Bancos'!$N$49:$N$73)</f>
        <v>0</v>
      </c>
      <c r="L14" s="17">
        <f>SUMIF('Deuda Bancos'!$E$49:$E$73,L$4,'Deuda Bancos'!$N$49:$N$73)</f>
        <v>940.01</v>
      </c>
      <c r="M14" s="17">
        <f>SUMIF('Deuda Bancos'!$E$49:$E$73,M$4,'Deuda Bancos'!$N$49:$N$73)</f>
        <v>940.01</v>
      </c>
      <c r="N14" s="17">
        <f>SUMIF('Deuda Bancos'!$E$49:$E$73,N$4,'Deuda Bancos'!$N$49:$N$73)</f>
        <v>940.01</v>
      </c>
      <c r="O14" s="17">
        <f>SUMIF('Deuda Bancos'!$E$49:$E$73,O$4,'Deuda Bancos'!$N$49:$N$73)</f>
        <v>940.01</v>
      </c>
      <c r="P14" s="17">
        <f>SUMIF('Deuda Bancos'!$E$49:$E$73,P$4,'Deuda Bancos'!$N$49:$N$73)</f>
        <v>940.01</v>
      </c>
      <c r="Q14" s="17">
        <f>SUMIF('Deuda Bancos'!$E$49:$E$73,Q$4,'Deuda Bancos'!$N$49:$N$73)</f>
        <v>940.01</v>
      </c>
      <c r="R14" s="17">
        <f>SUMIF('Deuda Bancos'!$E$49:$E$73,R$4,'Deuda Bancos'!$N$49:$N$73)</f>
        <v>940.01</v>
      </c>
      <c r="S14" s="17">
        <f>SUMIF('Deuda Bancos'!$E$49:$E$73,S$4,'Deuda Bancos'!$N$49:$N$73)</f>
        <v>940.01</v>
      </c>
      <c r="T14" s="17">
        <f>SUMIF('Deuda Bancos'!$E$49:$E$73,T$4,'Deuda Bancos'!$N$49:$N$73)</f>
        <v>940.01</v>
      </c>
      <c r="U14" s="17">
        <f>SUMIF('Deuda Bancos'!$E$49:$E$73,U$4,'Deuda Bancos'!$N$49:$N$73)</f>
        <v>940.01</v>
      </c>
      <c r="V14" s="17">
        <f>SUMIF('Deuda Bancos'!$E$49:$E$73,V$4,'Deuda Bancos'!$N$49:$N$73)</f>
        <v>940.01</v>
      </c>
      <c r="W14" s="17">
        <f>SUMIF('Deuda Bancos'!$E$49:$E$73,W$4,'Deuda Bancos'!$N$49:$N$73)</f>
        <v>940.01</v>
      </c>
      <c r="X14" s="17">
        <f>SUMIF('Deuda Bancos'!$E$49:$E$73,X$4,'Deuda Bancos'!$N$49:$N$73)</f>
        <v>940.01</v>
      </c>
      <c r="Y14" s="17">
        <f>SUMIF('Deuda Bancos'!$E$49:$E$73,Y$4,'Deuda Bancos'!$N$49:$N$73)</f>
        <v>940.01</v>
      </c>
      <c r="Z14" s="17">
        <f>SUMIF('Deuda Bancos'!$E$49:$E$73,Z$4,'Deuda Bancos'!$N$49:$N$73)</f>
        <v>940.01</v>
      </c>
      <c r="AA14" s="17">
        <f>SUMIF('Deuda Bancos'!$E$49:$E$73,AA$4,'Deuda Bancos'!$N$49:$N$73)</f>
        <v>940.01</v>
      </c>
      <c r="AB14" s="17">
        <f>SUMIF('Deuda Bancos'!$E$49:$E$73,AB$4,'Deuda Bancos'!$N$49:$N$73)</f>
        <v>940.01</v>
      </c>
      <c r="AC14" s="17">
        <f>SUMIF('Deuda Bancos'!$E$49:$E$73,AC$4,'Deuda Bancos'!$N$49:$N$73)</f>
        <v>940.01</v>
      </c>
      <c r="AD14" s="17">
        <f>SUMIF('Deuda Bancos'!$E$49:$E$73,AD$4,'Deuda Bancos'!$N$49:$N$73)</f>
        <v>940.01</v>
      </c>
      <c r="AE14" s="17">
        <f>SUMIF('Deuda Bancos'!$E$49:$E$73,AE$4,'Deuda Bancos'!$N$49:$N$73)</f>
        <v>940.01</v>
      </c>
      <c r="AF14" s="17">
        <f>SUMIF('Deuda Bancos'!$E$49:$E$73,AF$4,'Deuda Bancos'!$N$49:$N$73)</f>
        <v>940.01</v>
      </c>
      <c r="AG14" s="17">
        <f>SUMIF('Deuda Bancos'!$E$49:$E$73,AG$4,'Deuda Bancos'!$N$49:$N$73)</f>
        <v>940.01</v>
      </c>
      <c r="AH14" s="17">
        <f>SUMIF('Deuda Bancos'!$E$49:$E$73,AH$4,'Deuda Bancos'!$N$49:$N$73)</f>
        <v>940.01</v>
      </c>
      <c r="AI14" s="17">
        <f>SUMIF('Deuda Bancos'!$E$49:$E$73,AI$4,'Deuda Bancos'!$N$49:$N$73)</f>
        <v>940.01</v>
      </c>
      <c r="AJ14" s="17">
        <f>SUMIF('Deuda Bancos'!$E$49:$E$73,AJ$4,'Deuda Bancos'!$N$49:$N$73)</f>
        <v>940.02</v>
      </c>
      <c r="AK14" s="17">
        <f>SUMIF('Deuda Bancos'!$E$49:$E$73,AK$4,'Deuda Bancos'!$N$49:$N$73)</f>
        <v>0</v>
      </c>
      <c r="AL14" s="17">
        <f>SUMIF('Deuda Bancos'!$E$49:$E$73,AL$4,'Deuda Bancos'!$N$49:$N$73)</f>
        <v>0</v>
      </c>
      <c r="AM14" s="17">
        <f>SUMIF('Deuda Bancos'!$E$49:$E$73,AM$4,'Deuda Bancos'!$N$49:$N$73)</f>
        <v>0</v>
      </c>
      <c r="AN14" s="17">
        <f>SUMIF('Deuda Bancos'!$E$49:$E$73,AN$4,'Deuda Bancos'!$N$49:$N$73)</f>
        <v>0</v>
      </c>
      <c r="AO14" s="17">
        <f>SUMIF('Deuda Bancos'!$E$49:$E$73,AO$4,'Deuda Bancos'!$N$49:$N$73)</f>
        <v>0</v>
      </c>
      <c r="AP14" s="17">
        <f>SUMIF('Deuda Bancos'!$E$49:$E$73,AP$4,'Deuda Bancos'!$N$49:$N$73)</f>
        <v>0</v>
      </c>
      <c r="AQ14" s="17">
        <f>SUMIF('Deuda Bancos'!$E$49:$E$73,AQ$4,'Deuda Bancos'!$N$49:$N$73)</f>
        <v>0</v>
      </c>
      <c r="AR14" s="17">
        <f>SUMIF('Deuda Bancos'!$E$49:$E$73,AR$4,'Deuda Bancos'!$N$49:$N$73)</f>
        <v>0</v>
      </c>
      <c r="AS14" s="17">
        <f>SUMIF('Deuda Bancos'!$E$49:$E$73,AS$4,'Deuda Bancos'!$N$49:$N$73)</f>
        <v>0</v>
      </c>
      <c r="AT14" s="17">
        <f>SUMIF('Deuda Bancos'!$E$49:$E$73,AT$4,'Deuda Bancos'!$N$49:$N$73)</f>
        <v>0</v>
      </c>
      <c r="AU14" s="17">
        <f>SUMIF('Deuda Bancos'!$E$49:$E$73,AU$4,'Deuda Bancos'!$N$49:$N$73)</f>
        <v>0</v>
      </c>
      <c r="AV14" s="17">
        <f>SUMIF('Deuda Bancos'!$E$49:$E$73,AV$4,'Deuda Bancos'!$N$49:$N$73)</f>
        <v>0</v>
      </c>
      <c r="AW14" s="17">
        <f>SUMIF('Deuda Bancos'!$E$49:$E$73,AW$4,'Deuda Bancos'!$N$49:$N$73)</f>
        <v>0</v>
      </c>
      <c r="AX14" s="17">
        <f>SUMIF('Deuda Bancos'!$E$49:$E$73,AX$4,'Deuda Bancos'!$N$49:$N$73)</f>
        <v>0</v>
      </c>
      <c r="AY14" s="17">
        <f>SUMIF('Deuda Bancos'!$E$49:$E$73,AY$4,'Deuda Bancos'!$N$49:$N$73)</f>
        <v>0</v>
      </c>
      <c r="AZ14" s="17">
        <f>SUMIF('Deuda Bancos'!$E$49:$E$73,AZ$4,'Deuda Bancos'!$N$49:$N$73)</f>
        <v>0</v>
      </c>
      <c r="BA14" s="17">
        <f>SUMIF('Deuda Bancos'!$E$49:$E$73,BA$4,'Deuda Bancos'!$N$49:$N$73)</f>
        <v>0</v>
      </c>
      <c r="BB14" s="17">
        <f>SUMIF('Deuda Bancos'!$E$49:$E$73,BB$4,'Deuda Bancos'!$N$49:$N$73)</f>
        <v>0</v>
      </c>
      <c r="BC14" s="17">
        <f>SUMIF('Deuda Bancos'!$E$49:$E$73,BC$4,'Deuda Bancos'!$N$49:$N$73)</f>
        <v>0</v>
      </c>
      <c r="BD14" s="17">
        <f>SUMIF('Deuda Bancos'!$E$49:$E$73,BD$4,'Deuda Bancos'!$N$49:$N$73)</f>
        <v>0</v>
      </c>
      <c r="BE14" s="17">
        <f>SUMIF('Deuda Bancos'!$E$49:$E$73,BE$4,'Deuda Bancos'!$N$49:$N$73)</f>
        <v>0</v>
      </c>
      <c r="BF14" s="17">
        <f>SUMIF('Deuda Bancos'!$E$49:$E$73,BF$4,'Deuda Bancos'!$N$49:$N$73)</f>
        <v>0</v>
      </c>
      <c r="BG14" s="17">
        <f>SUMIF('Deuda Bancos'!$E$49:$E$73,BG$4,'Deuda Bancos'!$N$49:$N$73)</f>
        <v>0</v>
      </c>
      <c r="BH14" s="17">
        <f>SUMIF('Deuda Bancos'!$E$49:$E$73,BH$4,'Deuda Bancos'!$N$49:$N$73)</f>
        <v>0</v>
      </c>
      <c r="BI14" s="17">
        <f>SUMIF('Deuda Bancos'!$E$49:$E$73,BI$4,'Deuda Bancos'!$N$49:$N$73)</f>
        <v>0</v>
      </c>
      <c r="BJ14" s="17">
        <f>SUMIF('Deuda Bancos'!$E$49:$E$73,BJ$4,'Deuda Bancos'!$N$49:$N$73)</f>
        <v>0</v>
      </c>
      <c r="BK14" s="17">
        <f>SUMIF('Deuda Bancos'!$E$49:$E$73,BK$4,'Deuda Bancos'!$N$49:$N$73)</f>
        <v>0</v>
      </c>
      <c r="BL14" s="17">
        <f>SUMIF('Deuda Bancos'!$E$49:$E$73,BL$4,'Deuda Bancos'!$N$49:$N$73)</f>
        <v>0</v>
      </c>
      <c r="BM14" s="17">
        <f>SUMIF('Deuda Bancos'!$E$49:$E$73,BM$4,'Deuda Bancos'!$N$49:$N$73)</f>
        <v>0</v>
      </c>
      <c r="BN14" s="17">
        <f>SUMIF('Deuda Bancos'!$E$49:$E$73,BN$4,'Deuda Bancos'!$N$49:$N$73)</f>
        <v>0</v>
      </c>
      <c r="BO14" s="17">
        <f>SUMIF('Deuda Bancos'!$E$49:$E$73,BO$4,'Deuda Bancos'!$N$49:$N$73)</f>
        <v>0</v>
      </c>
      <c r="BP14" s="17">
        <f>SUMIF('Deuda Bancos'!$E$49:$E$73,BP$4,'Deuda Bancos'!$N$49:$N$73)</f>
        <v>0</v>
      </c>
      <c r="BQ14" s="17">
        <f>SUMIF('Deuda Bancos'!$E$49:$E$73,BQ$4,'Deuda Bancos'!$N$49:$N$73)</f>
        <v>0</v>
      </c>
      <c r="BR14" s="17">
        <f>SUMIF('Deuda Bancos'!$E$49:$E$73,BR$4,'Deuda Bancos'!$N$49:$N$73)</f>
        <v>0</v>
      </c>
      <c r="BS14" s="17">
        <f>SUMIF('Deuda Bancos'!$E$49:$E$73,BS$4,'Deuda Bancos'!$N$49:$N$73)</f>
        <v>0</v>
      </c>
      <c r="BT14" s="17">
        <f>SUMIF('Deuda Bancos'!$E$49:$E$73,BT$4,'Deuda Bancos'!$N$49:$N$73)</f>
        <v>0</v>
      </c>
      <c r="BU14" s="17">
        <f>SUMIF('Deuda Bancos'!$E$49:$E$73,BU$4,'Deuda Bancos'!$N$49:$N$73)</f>
        <v>0</v>
      </c>
      <c r="BV14" s="17">
        <f>SUMIF('Deuda Bancos'!$E$49:$E$73,BV$4,'Deuda Bancos'!$N$49:$N$73)</f>
        <v>0</v>
      </c>
      <c r="BW14" s="17">
        <f>SUMIF('Deuda Bancos'!$E$49:$E$73,BW$4,'Deuda Bancos'!$N$49:$N$73)</f>
        <v>0</v>
      </c>
      <c r="BX14" s="17">
        <f>SUMIF('Deuda Bancos'!$E$49:$E$73,BX$4,'Deuda Bancos'!$N$49:$N$73)</f>
        <v>0</v>
      </c>
      <c r="BY14" s="17">
        <f>SUMIF('Deuda Bancos'!$E$49:$E$73,BY$4,'Deuda Bancos'!$N$49:$N$73)</f>
        <v>0</v>
      </c>
      <c r="BZ14" s="17">
        <f>SUMIF('Deuda Bancos'!$E$49:$E$73,BZ$4,'Deuda Bancos'!$N$49:$N$73)</f>
        <v>0</v>
      </c>
      <c r="CA14" s="17">
        <f>SUMIF('Deuda Bancos'!$E$49:$E$73,CA$4,'Deuda Bancos'!$N$49:$N$73)</f>
        <v>0</v>
      </c>
      <c r="CB14" s="17">
        <f>SUMIF('Deuda Bancos'!$E$49:$E$73,CB$4,'Deuda Bancos'!$N$49:$N$73)</f>
        <v>0</v>
      </c>
      <c r="CC14" s="17">
        <f>SUMIF('Deuda Bancos'!$E$49:$E$73,CC$4,'Deuda Bancos'!$N$49:$N$73)</f>
        <v>0</v>
      </c>
      <c r="CD14" s="17">
        <f>SUMIF('Deuda Bancos'!$E$49:$E$73,CD$4,'Deuda Bancos'!$N$49:$N$73)</f>
        <v>0</v>
      </c>
      <c r="CE14" s="17">
        <f>SUMIF('Deuda Bancos'!$E$49:$E$73,CE$4,'Deuda Bancos'!$N$49:$N$73)</f>
        <v>0</v>
      </c>
      <c r="CF14" s="17">
        <f>SUMIF('Deuda Bancos'!$E$49:$E$73,CF$4,'Deuda Bancos'!$N$49:$N$73)</f>
        <v>0</v>
      </c>
      <c r="CG14" s="17">
        <f>SUMIF('Deuda Bancos'!$E$49:$E$73,CG$4,'Deuda Bancos'!$N$49:$N$73)</f>
        <v>0</v>
      </c>
      <c r="CH14" s="17">
        <f>SUMIF('Deuda Bancos'!$E$49:$E$73,CH$4,'Deuda Bancos'!$N$49:$N$73)</f>
        <v>0</v>
      </c>
      <c r="CI14" s="17">
        <f>SUMIF('Deuda Bancos'!$E$49:$E$73,CI$4,'Deuda Bancos'!$N$49:$N$73)</f>
        <v>0</v>
      </c>
      <c r="CJ14" s="17">
        <f>SUMIF('Deuda Bancos'!$E$49:$E$73,CJ$4,'Deuda Bancos'!$N$49:$N$73)</f>
        <v>0</v>
      </c>
      <c r="CK14" s="17">
        <f>SUMIF('Deuda Bancos'!$E$49:$E$73,CK$4,'Deuda Bancos'!$N$49:$N$73)</f>
        <v>0</v>
      </c>
      <c r="CL14" s="17">
        <f>SUMIF('Deuda Bancos'!$E$49:$E$73,CL$4,'Deuda Bancos'!$N$49:$N$73)</f>
        <v>0</v>
      </c>
      <c r="CM14" s="17">
        <f>SUMIF('Deuda Bancos'!$E$49:$E$73,CM$4,'Deuda Bancos'!$N$49:$N$73)</f>
        <v>0</v>
      </c>
      <c r="CN14" s="17">
        <f>SUMIF('Deuda Bancos'!$E$49:$E$73,CN$4,'Deuda Bancos'!$N$49:$N$73)</f>
        <v>0</v>
      </c>
      <c r="CO14" s="17">
        <f>SUMIF('Deuda Bancos'!$E$49:$E$73,CO$4,'Deuda Bancos'!$N$49:$N$73)</f>
        <v>0</v>
      </c>
      <c r="CP14" s="17">
        <f>SUMIF('Deuda Bancos'!$E$49:$E$73,CP$4,'Deuda Bancos'!$N$49:$N$73)</f>
        <v>0</v>
      </c>
      <c r="CQ14" s="17">
        <f>SUMIF('Deuda Bancos'!$E$49:$E$73,CQ$4,'Deuda Bancos'!$N$49:$N$73)</f>
        <v>0</v>
      </c>
      <c r="CR14" s="17">
        <f>SUMIF('Deuda Bancos'!$E$49:$E$73,CR$4,'Deuda Bancos'!$N$49:$N$73)</f>
        <v>0</v>
      </c>
      <c r="CS14" s="17">
        <f>SUMIF('Deuda Bancos'!$E$49:$E$73,CS$4,'Deuda Bancos'!$N$49:$N$73)</f>
        <v>0</v>
      </c>
      <c r="CT14" s="17">
        <f>SUMIF('Deuda Bancos'!$E$49:$E$73,CT$4,'Deuda Bancos'!$N$49:$N$73)</f>
        <v>0</v>
      </c>
      <c r="CU14" s="17">
        <f>SUMIF('Deuda Bancos'!$E$49:$E$73,CU$4,'Deuda Bancos'!$N$49:$N$73)</f>
        <v>0</v>
      </c>
      <c r="CV14" s="17">
        <f>SUMIF('Deuda Bancos'!$E$49:$E$73,CV$4,'Deuda Bancos'!$N$49:$N$73)</f>
        <v>0</v>
      </c>
      <c r="CW14" s="17">
        <f>SUMIF('Deuda Bancos'!$E$49:$E$73,CW$4,'Deuda Bancos'!$N$49:$N$73)</f>
        <v>0</v>
      </c>
      <c r="CX14" s="17">
        <f>SUMIF('Deuda Bancos'!$E$49:$E$73,CX$4,'Deuda Bancos'!$N$49:$N$73)</f>
        <v>0</v>
      </c>
      <c r="CY14" s="17">
        <f>SUMIF('Deuda Bancos'!$E$49:$E$73,CY$4,'Deuda Bancos'!$N$49:$N$73)</f>
        <v>0</v>
      </c>
      <c r="CZ14" s="17">
        <f>SUMIF('Deuda Bancos'!$E$49:$E$73,CZ$4,'Deuda Bancos'!$N$49:$N$73)</f>
        <v>0</v>
      </c>
      <c r="DA14" s="17">
        <f>SUMIF('Deuda Bancos'!$E$49:$E$73,DA$4,'Deuda Bancos'!$N$49:$N$73)</f>
        <v>0</v>
      </c>
      <c r="DB14" s="17">
        <f>SUMIF('Deuda Bancos'!$E$49:$E$73,DB$4,'Deuda Bancos'!$N$49:$N$73)</f>
        <v>0</v>
      </c>
      <c r="DC14" s="17">
        <f>SUMIF('Deuda Bancos'!$E$49:$E$73,DC$4,'Deuda Bancos'!$N$49:$N$73)</f>
        <v>0</v>
      </c>
      <c r="DD14" s="17">
        <f>SUMIF('Deuda Bancos'!$E$49:$E$73,DD$4,'Deuda Bancos'!$N$49:$N$73)</f>
        <v>0</v>
      </c>
      <c r="DE14" s="17">
        <f>SUMIF('Deuda Bancos'!$E$49:$E$73,DE$4,'Deuda Bancos'!$N$49:$N$73)</f>
        <v>0</v>
      </c>
      <c r="DF14" s="17">
        <f>SUMIF('Deuda Bancos'!$E$49:$E$73,DF$4,'Deuda Bancos'!$N$49:$N$73)</f>
        <v>0</v>
      </c>
      <c r="DG14" s="32">
        <f>SUM(C14:DF14)</f>
        <v>23500.259999999991</v>
      </c>
    </row>
    <row r="16" spans="1:111" ht="13.8" x14ac:dyDescent="0.3">
      <c r="A16" s="26" t="s">
        <v>316</v>
      </c>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row>
    <row r="17" spans="1:111" ht="13.8" x14ac:dyDescent="0.3">
      <c r="A17" s="16" t="s">
        <v>317</v>
      </c>
      <c r="C17" s="17">
        <f>IF(C$4=Supuestos!$I$35,Supuestos!$C$35,0)</f>
        <v>0</v>
      </c>
      <c r="D17" s="17">
        <f>IF(D$4=Supuestos!$I$35,Supuestos!$C$35,0)</f>
        <v>0</v>
      </c>
      <c r="E17" s="17">
        <f>IF(E$4=Supuestos!$I$35,Supuestos!$C$35,0)</f>
        <v>0</v>
      </c>
      <c r="F17" s="17">
        <f>IF(F$4=Supuestos!$I$35,Supuestos!$C$35,0)</f>
        <v>0</v>
      </c>
      <c r="G17" s="17">
        <f>IF(G$4=Supuestos!$I$35,Supuestos!$C$35,0)</f>
        <v>0</v>
      </c>
      <c r="H17" s="17">
        <f>IF(H$4=Supuestos!$I$35,Supuestos!$C$35,0)</f>
        <v>0</v>
      </c>
      <c r="I17" s="17">
        <f>IF(I$4=Supuestos!$I$35,Supuestos!$C$35,0)</f>
        <v>0</v>
      </c>
      <c r="J17" s="17">
        <f>IF(J$4=Supuestos!$I$35,Supuestos!$C$35,0)</f>
        <v>0</v>
      </c>
      <c r="K17" s="17">
        <f>IF(K$4=Supuestos!$I$35,Supuestos!$C$35,0)</f>
        <v>0</v>
      </c>
      <c r="L17" s="17">
        <f>IF(L$4=Supuestos!$I$35,Supuestos!$C$35,0)</f>
        <v>0</v>
      </c>
      <c r="M17" s="17">
        <f>IF(M$4=Supuestos!$I$35,Supuestos!$C$35,0)</f>
        <v>1050000</v>
      </c>
      <c r="N17" s="17">
        <f>IF(N$4=Supuestos!$I$35,Supuestos!$C$35,0)</f>
        <v>0</v>
      </c>
      <c r="O17" s="17">
        <f>IF(O$4=Supuestos!$I$35,Supuestos!$C$35,0)</f>
        <v>0</v>
      </c>
      <c r="P17" s="17">
        <f>IF(P$4=Supuestos!$I$35,Supuestos!$C$35,0)</f>
        <v>0</v>
      </c>
      <c r="Q17" s="17">
        <f>IF(Q$4=Supuestos!$I$35,Supuestos!$C$35,0)</f>
        <v>0</v>
      </c>
      <c r="R17" s="17">
        <f>IF(R$4=Supuestos!$I$35,Supuestos!$C$35,0)</f>
        <v>0</v>
      </c>
      <c r="S17" s="17">
        <f>IF(S$4=Supuestos!$I$35,Supuestos!$C$35,0)</f>
        <v>0</v>
      </c>
      <c r="T17" s="17">
        <f>IF(T$4=Supuestos!$I$35,Supuestos!$C$35,0)</f>
        <v>0</v>
      </c>
      <c r="U17" s="17">
        <f>IF(U$4=Supuestos!$I$35,Supuestos!$C$35,0)</f>
        <v>0</v>
      </c>
      <c r="V17" s="17">
        <f>IF(V$4=Supuestos!$I$35,Supuestos!$C$35,0)</f>
        <v>0</v>
      </c>
      <c r="W17" s="17">
        <f>IF(W$4=Supuestos!$I$35,Supuestos!$C$35,0)</f>
        <v>0</v>
      </c>
      <c r="X17" s="17">
        <f>IF(X$4=Supuestos!$I$35,Supuestos!$C$35,0)</f>
        <v>0</v>
      </c>
      <c r="Y17" s="17">
        <f>IF(Y$4=Supuestos!$I$35,Supuestos!$C$35,0)</f>
        <v>0</v>
      </c>
      <c r="Z17" s="17">
        <f>IF(Z$4=Supuestos!$I$35,Supuestos!$C$35,0)</f>
        <v>0</v>
      </c>
      <c r="AA17" s="17">
        <f>IF(AA$4=Supuestos!$I$35,Supuestos!$C$35,0)</f>
        <v>0</v>
      </c>
      <c r="AB17" s="17">
        <f>IF(AB$4=Supuestos!$I$35,Supuestos!$C$35,0)</f>
        <v>0</v>
      </c>
      <c r="AC17" s="17">
        <f>IF(AC$4=Supuestos!$I$35,Supuestos!$C$35,0)</f>
        <v>0</v>
      </c>
      <c r="AD17" s="17">
        <f>IF(AD$4=Supuestos!$I$35,Supuestos!$C$35,0)</f>
        <v>0</v>
      </c>
      <c r="AE17" s="17">
        <f>IF(AE$4=Supuestos!$I$35,Supuestos!$C$35,0)</f>
        <v>0</v>
      </c>
      <c r="AF17" s="17">
        <f>IF(AF$4=Supuestos!$I$35,Supuestos!$C$35,0)</f>
        <v>0</v>
      </c>
      <c r="AG17" s="17">
        <f>IF(AG$4=Supuestos!$I$35,Supuestos!$C$35,0)</f>
        <v>0</v>
      </c>
      <c r="AH17" s="17">
        <f>IF(AH$4=Supuestos!$I$35,Supuestos!$C$35,0)</f>
        <v>0</v>
      </c>
      <c r="AI17" s="17">
        <f>IF(AI$4=Supuestos!$I$35,Supuestos!$C$35,0)</f>
        <v>0</v>
      </c>
      <c r="AJ17" s="17">
        <f>IF(AJ$4=Supuestos!$I$35,Supuestos!$C$35,0)</f>
        <v>0</v>
      </c>
      <c r="AK17" s="17">
        <f>IF(AK$4=Supuestos!$I$35,Supuestos!$C$35,0)</f>
        <v>0</v>
      </c>
      <c r="AL17" s="17">
        <f>IF(AL$4=Supuestos!$I$35,Supuestos!$C$35,0)</f>
        <v>0</v>
      </c>
      <c r="AM17" s="17">
        <f>IF(AM$4=Supuestos!$I$35,Supuestos!$C$35,0)</f>
        <v>0</v>
      </c>
      <c r="AN17" s="17">
        <f>IF(AN$4=Supuestos!$I$35,Supuestos!$C$35,0)</f>
        <v>0</v>
      </c>
      <c r="AO17" s="17">
        <f>IF(AO$4=Supuestos!$I$35,Supuestos!$C$35,0)</f>
        <v>0</v>
      </c>
      <c r="AP17" s="17">
        <f>IF(AP$4=Supuestos!$I$35,Supuestos!$C$35,0)</f>
        <v>0</v>
      </c>
      <c r="AQ17" s="17">
        <f>IF(AQ$4=Supuestos!$I$35,Supuestos!$C$35,0)</f>
        <v>0</v>
      </c>
      <c r="AR17" s="17">
        <f>IF(AR$4=Supuestos!$I$35,Supuestos!$C$35,0)</f>
        <v>0</v>
      </c>
      <c r="AS17" s="17">
        <f>IF(AS$4=Supuestos!$I$35,Supuestos!$C$35,0)</f>
        <v>0</v>
      </c>
      <c r="AT17" s="17">
        <f>IF(AT$4=Supuestos!$I$35,Supuestos!$C$35,0)</f>
        <v>0</v>
      </c>
      <c r="AU17" s="17">
        <f>IF(AU$4=Supuestos!$I$35,Supuestos!$C$35,0)</f>
        <v>0</v>
      </c>
      <c r="AV17" s="17">
        <f>IF(AV$4=Supuestos!$I$35,Supuestos!$C$35,0)</f>
        <v>0</v>
      </c>
      <c r="AW17" s="17">
        <f>IF(AW$4=Supuestos!$I$35,Supuestos!$C$35,0)</f>
        <v>0</v>
      </c>
      <c r="AX17" s="17">
        <f>IF(AX$4=Supuestos!$I$35,Supuestos!$C$35,0)</f>
        <v>0</v>
      </c>
      <c r="AY17" s="17">
        <f>IF(AY$4=Supuestos!$I$35,Supuestos!$C$35,0)</f>
        <v>0</v>
      </c>
      <c r="AZ17" s="17">
        <f>IF(AZ$4=Supuestos!$I$35,Supuestos!$C$35,0)</f>
        <v>0</v>
      </c>
      <c r="BA17" s="17">
        <f>IF(BA$4=Supuestos!$I$35,Supuestos!$C$35,0)</f>
        <v>0</v>
      </c>
      <c r="BB17" s="17">
        <f>IF(BB$4=Supuestos!$I$35,Supuestos!$C$35,0)</f>
        <v>0</v>
      </c>
      <c r="BC17" s="17">
        <f>IF(BC$4=Supuestos!$I$35,Supuestos!$C$35,0)</f>
        <v>0</v>
      </c>
      <c r="BD17" s="17">
        <f>IF(BD$4=Supuestos!$I$35,Supuestos!$C$35,0)</f>
        <v>0</v>
      </c>
      <c r="BE17" s="17">
        <f>IF(BE$4=Supuestos!$I$35,Supuestos!$C$35,0)</f>
        <v>0</v>
      </c>
      <c r="BF17" s="17">
        <f>IF(BF$4=Supuestos!$I$35,Supuestos!$C$35,0)</f>
        <v>0</v>
      </c>
      <c r="BG17" s="17">
        <f>IF(BG$4=Supuestos!$I$35,Supuestos!$C$35,0)</f>
        <v>0</v>
      </c>
      <c r="BH17" s="17">
        <f>IF(BH$4=Supuestos!$I$35,Supuestos!$C$35,0)</f>
        <v>0</v>
      </c>
      <c r="BI17" s="17">
        <f>IF(BI$4=Supuestos!$I$35,Supuestos!$C$35,0)</f>
        <v>0</v>
      </c>
      <c r="BJ17" s="17">
        <f>IF(BJ$4=Supuestos!$I$35,Supuestos!$C$35,0)</f>
        <v>0</v>
      </c>
      <c r="BK17" s="17">
        <f>IF(BK$4=Supuestos!$I$35,Supuestos!$C$35,0)</f>
        <v>0</v>
      </c>
      <c r="BL17" s="17">
        <f>IF(BL$4=Supuestos!$I$35,Supuestos!$C$35,0)</f>
        <v>0</v>
      </c>
      <c r="BM17" s="17">
        <f>IF(BM$4=Supuestos!$I$35,Supuestos!$C$35,0)</f>
        <v>0</v>
      </c>
      <c r="BN17" s="17">
        <f>IF(BN$4=Supuestos!$I$35,Supuestos!$C$35,0)</f>
        <v>0</v>
      </c>
      <c r="BO17" s="17">
        <f>IF(BO$4=Supuestos!$I$35,Supuestos!$C$35,0)</f>
        <v>0</v>
      </c>
      <c r="BP17" s="17">
        <f>IF(BP$4=Supuestos!$I$35,Supuestos!$C$35,0)</f>
        <v>0</v>
      </c>
      <c r="BQ17" s="17">
        <f>IF(BQ$4=Supuestos!$I$35,Supuestos!$C$35,0)</f>
        <v>0</v>
      </c>
      <c r="BR17" s="17">
        <f>IF(BR$4=Supuestos!$I$35,Supuestos!$C$35,0)</f>
        <v>0</v>
      </c>
      <c r="BS17" s="17">
        <f>IF(BS$4=Supuestos!$I$35,Supuestos!$C$35,0)</f>
        <v>0</v>
      </c>
      <c r="BT17" s="17">
        <f>IF(BT$4=Supuestos!$I$35,Supuestos!$C$35,0)</f>
        <v>0</v>
      </c>
      <c r="BU17" s="17">
        <f>IF(BU$4=Supuestos!$I$35,Supuestos!$C$35,0)</f>
        <v>0</v>
      </c>
      <c r="BV17" s="17">
        <f>IF(BV$4=Supuestos!$I$35,Supuestos!$C$35,0)</f>
        <v>0</v>
      </c>
      <c r="BW17" s="17">
        <f>IF(BW$4=Supuestos!$I$35,Supuestos!$C$35,0)</f>
        <v>0</v>
      </c>
      <c r="BX17" s="17">
        <f>IF(BX$4=Supuestos!$I$35,Supuestos!$C$35,0)</f>
        <v>0</v>
      </c>
      <c r="BY17" s="17">
        <f>IF(BY$4=Supuestos!$I$35,Supuestos!$C$35,0)</f>
        <v>0</v>
      </c>
      <c r="BZ17" s="17">
        <f>IF(BZ$4=Supuestos!$I$35,Supuestos!$C$35,0)</f>
        <v>0</v>
      </c>
      <c r="CA17" s="17">
        <f>IF(CA$4=Supuestos!$I$35,Supuestos!$C$35,0)</f>
        <v>0</v>
      </c>
      <c r="CB17" s="17">
        <f>IF(CB$4=Supuestos!$I$35,Supuestos!$C$35,0)</f>
        <v>0</v>
      </c>
      <c r="CC17" s="17">
        <f>IF(CC$4=Supuestos!$I$35,Supuestos!$C$35,0)</f>
        <v>0</v>
      </c>
      <c r="CD17" s="17">
        <f>IF(CD$4=Supuestos!$I$35,Supuestos!$C$35,0)</f>
        <v>0</v>
      </c>
      <c r="CE17" s="17">
        <f>IF(CE$4=Supuestos!$I$35,Supuestos!$C$35,0)</f>
        <v>0</v>
      </c>
      <c r="CF17" s="17">
        <f>IF(CF$4=Supuestos!$I$35,Supuestos!$C$35,0)</f>
        <v>0</v>
      </c>
      <c r="CG17" s="17">
        <f>IF(CG$4=Supuestos!$I$35,Supuestos!$C$35,0)</f>
        <v>0</v>
      </c>
      <c r="CH17" s="17">
        <f>IF(CH$4=Supuestos!$I$35,Supuestos!$C$35,0)</f>
        <v>0</v>
      </c>
      <c r="CI17" s="17">
        <f>IF(CI$4=Supuestos!$I$35,Supuestos!$C$35,0)</f>
        <v>0</v>
      </c>
      <c r="CJ17" s="17">
        <f>IF(CJ$4=Supuestos!$I$35,Supuestos!$C$35,0)</f>
        <v>0</v>
      </c>
      <c r="CK17" s="17">
        <f>IF(CK$4=Supuestos!$I$35,Supuestos!$C$35,0)</f>
        <v>0</v>
      </c>
      <c r="CL17" s="17">
        <f>IF(CL$4=Supuestos!$I$35,Supuestos!$C$35,0)</f>
        <v>0</v>
      </c>
      <c r="CM17" s="17">
        <f>IF(CM$4=Supuestos!$I$35,Supuestos!$C$35,0)</f>
        <v>0</v>
      </c>
      <c r="CN17" s="17">
        <f>IF(CN$4=Supuestos!$I$35,Supuestos!$C$35,0)</f>
        <v>0</v>
      </c>
      <c r="CO17" s="17">
        <f>IF(CO$4=Supuestos!$I$35,Supuestos!$C$35,0)</f>
        <v>0</v>
      </c>
      <c r="CP17" s="17">
        <f>IF(CP$4=Supuestos!$I$35,Supuestos!$C$35,0)</f>
        <v>0</v>
      </c>
      <c r="CQ17" s="17">
        <f>IF(CQ$4=Supuestos!$I$35,Supuestos!$C$35,0)</f>
        <v>0</v>
      </c>
      <c r="CR17" s="17">
        <f>IF(CR$4=Supuestos!$I$35,Supuestos!$C$35,0)</f>
        <v>0</v>
      </c>
      <c r="CS17" s="17">
        <f>IF(CS$4=Supuestos!$I$35,Supuestos!$C$35,0)</f>
        <v>0</v>
      </c>
      <c r="CT17" s="17">
        <f>IF(CT$4=Supuestos!$I$35,Supuestos!$C$35,0)</f>
        <v>0</v>
      </c>
      <c r="CU17" s="17">
        <f>IF(CU$4=Supuestos!$I$35,Supuestos!$C$35,0)</f>
        <v>0</v>
      </c>
      <c r="CV17" s="17">
        <f>IF(CV$4=Supuestos!$I$35,Supuestos!$C$35,0)</f>
        <v>0</v>
      </c>
      <c r="CW17" s="17">
        <f>IF(CW$4=Supuestos!$I$35,Supuestos!$C$35,0)</f>
        <v>0</v>
      </c>
      <c r="CX17" s="17">
        <f>IF(CX$4=Supuestos!$I$35,Supuestos!$C$35,0)</f>
        <v>0</v>
      </c>
      <c r="CY17" s="17">
        <f>IF(CY$4=Supuestos!$I$35,Supuestos!$C$35,0)</f>
        <v>0</v>
      </c>
      <c r="CZ17" s="17">
        <f>IF(CZ$4=Supuestos!$I$35,Supuestos!$C$35,0)</f>
        <v>0</v>
      </c>
      <c r="DA17" s="17">
        <f>IF(DA$4=Supuestos!$I$35,Supuestos!$C$35,0)</f>
        <v>0</v>
      </c>
      <c r="DB17" s="17">
        <f>IF(DB$4=Supuestos!$I$35,Supuestos!$C$35,0)</f>
        <v>0</v>
      </c>
      <c r="DC17" s="17">
        <f>IF(DC$4=Supuestos!$I$35,Supuestos!$C$35,0)</f>
        <v>0</v>
      </c>
      <c r="DD17" s="17">
        <f>IF(DD$4=Supuestos!$I$35,Supuestos!$C$35,0)</f>
        <v>0</v>
      </c>
      <c r="DE17" s="17">
        <f>IF(DE$4=Supuestos!$I$35,Supuestos!$C$35,0)</f>
        <v>0</v>
      </c>
      <c r="DF17" s="17">
        <f>IF(DF$4=Supuestos!$I$35,Supuestos!$C$35,0)</f>
        <v>0</v>
      </c>
      <c r="DG17" s="32">
        <f>SUM(C17:DF17)</f>
        <v>1050000</v>
      </c>
    </row>
    <row r="18" spans="1:111" ht="13.8" x14ac:dyDescent="0.3">
      <c r="A18" s="16" t="s">
        <v>318</v>
      </c>
      <c r="C18" s="152">
        <f>IF(AND(C$4&gt;=Supuestos!$H$35,C$4&lt;EDATE(Supuestos!$H$35,Supuestos!$E$35)),1,0)</f>
        <v>0</v>
      </c>
      <c r="D18" s="152">
        <f>IF(AND(D$4&gt;=Supuestos!$H$35,D$4&lt;EDATE(Supuestos!$H$35,Supuestos!$E$35)),C18+1,0)</f>
        <v>0</v>
      </c>
      <c r="E18" s="152">
        <f>IF(AND(E$4&gt;=Supuestos!$H$35,E$4&lt;EDATE(Supuestos!$H$35,Supuestos!$E$35)),D18+1,0)</f>
        <v>0</v>
      </c>
      <c r="F18" s="152">
        <f>IF(AND(F$4&gt;=Supuestos!$H$35,F$4&lt;EDATE(Supuestos!$H$35,Supuestos!$E$35)),E18+1,0)</f>
        <v>0</v>
      </c>
      <c r="G18" s="152">
        <f>IF(AND(G$4&gt;=Supuestos!$H$35,G$4&lt;EDATE(Supuestos!$H$35,Supuestos!$E$35)),F18+1,0)</f>
        <v>0</v>
      </c>
      <c r="H18" s="152">
        <f>IF(AND(H$4&gt;=Supuestos!$H$35,H$4&lt;EDATE(Supuestos!$H$35,Supuestos!$E$35)),G18+1,0)</f>
        <v>0</v>
      </c>
      <c r="I18" s="152">
        <f>IF(AND(I$4&gt;=Supuestos!$H$35,I$4&lt;EDATE(Supuestos!$H$35,Supuestos!$E$35)),H18+1,0)</f>
        <v>0</v>
      </c>
      <c r="J18" s="152">
        <f>IF(AND(J$4&gt;=Supuestos!$H$35,J$4&lt;EDATE(Supuestos!$H$35,Supuestos!$E$35)),I18+1,0)</f>
        <v>0</v>
      </c>
      <c r="K18" s="152">
        <f>IF(AND(K$4&gt;=Supuestos!$H$35,K$4&lt;EDATE(Supuestos!$H$35,Supuestos!$E$35)),J18+1,0)</f>
        <v>0</v>
      </c>
      <c r="L18" s="152">
        <f>IF(AND(L$4&gt;=Supuestos!$H$35,L$4&lt;EDATE(Supuestos!$H$35,Supuestos!$E$35)),K18+1,0)</f>
        <v>0</v>
      </c>
      <c r="M18" s="152">
        <f>IF(AND(M$4&gt;=Supuestos!$H$35,M$4&lt;EDATE(Supuestos!$H$35,Supuestos!$E$35)),L18+1,0)</f>
        <v>1</v>
      </c>
      <c r="N18" s="152">
        <f>IF(AND(N$4&gt;=Supuestos!$H$35,N$4&lt;EDATE(Supuestos!$H$35,Supuestos!$E$35)),M18+1,0)</f>
        <v>2</v>
      </c>
      <c r="O18" s="152">
        <f>IF(AND(O$4&gt;=Supuestos!$H$35,O$4&lt;EDATE(Supuestos!$H$35,Supuestos!$E$35)),N18+1,0)</f>
        <v>3</v>
      </c>
      <c r="P18" s="152">
        <f>IF(AND(P$4&gt;=Supuestos!$H$35,P$4&lt;EDATE(Supuestos!$H$35,Supuestos!$E$35)),O18+1,0)</f>
        <v>4</v>
      </c>
      <c r="Q18" s="152">
        <f>IF(AND(Q$4&gt;=Supuestos!$H$35,Q$4&lt;EDATE(Supuestos!$H$35,Supuestos!$E$35)),P18+1,0)</f>
        <v>5</v>
      </c>
      <c r="R18" s="152">
        <f>IF(AND(R$4&gt;=Supuestos!$H$35,R$4&lt;EDATE(Supuestos!$H$35,Supuestos!$E$35)),Q18+1,0)</f>
        <v>6</v>
      </c>
      <c r="S18" s="152">
        <f>IF(AND(S$4&gt;=Supuestos!$H$35,S$4&lt;EDATE(Supuestos!$H$35,Supuestos!$E$35)),R18+1,0)</f>
        <v>7</v>
      </c>
      <c r="T18" s="152">
        <f>IF(AND(T$4&gt;=Supuestos!$H$35,T$4&lt;EDATE(Supuestos!$H$35,Supuestos!$E$35)),S18+1,0)</f>
        <v>8</v>
      </c>
      <c r="U18" s="152">
        <f>IF(AND(U$4&gt;=Supuestos!$H$35,U$4&lt;EDATE(Supuestos!$H$35,Supuestos!$E$35)),T18+1,0)</f>
        <v>9</v>
      </c>
      <c r="V18" s="152">
        <f>IF(AND(V$4&gt;=Supuestos!$H$35,V$4&lt;EDATE(Supuestos!$H$35,Supuestos!$E$35)),U18+1,0)</f>
        <v>10</v>
      </c>
      <c r="W18" s="152">
        <f>IF(AND(W$4&gt;=Supuestos!$H$35,W$4&lt;EDATE(Supuestos!$H$35,Supuestos!$E$35)),V18+1,0)</f>
        <v>11</v>
      </c>
      <c r="X18" s="152">
        <f>IF(AND(X$4&gt;=Supuestos!$H$35,X$4&lt;EDATE(Supuestos!$H$35,Supuestos!$E$35)),W18+1,0)</f>
        <v>12</v>
      </c>
      <c r="Y18" s="152">
        <f>IF(AND(Y$4&gt;=Supuestos!$H$35,Y$4&lt;EDATE(Supuestos!$H$35,Supuestos!$E$35)),X18+1,0)</f>
        <v>13</v>
      </c>
      <c r="Z18" s="152">
        <f>IF(AND(Z$4&gt;=Supuestos!$H$35,Z$4&lt;EDATE(Supuestos!$H$35,Supuestos!$E$35)),Y18+1,0)</f>
        <v>14</v>
      </c>
      <c r="AA18" s="152">
        <f>IF(AND(AA$4&gt;=Supuestos!$H$35,AA$4&lt;EDATE(Supuestos!$H$35,Supuestos!$E$35)),Z18+1,0)</f>
        <v>15</v>
      </c>
      <c r="AB18" s="152">
        <f>IF(AND(AB$4&gt;=Supuestos!$H$35,AB$4&lt;EDATE(Supuestos!$H$35,Supuestos!$E$35)),AA18+1,0)</f>
        <v>16</v>
      </c>
      <c r="AC18" s="152">
        <f>IF(AND(AC$4&gt;=Supuestos!$H$35,AC$4&lt;EDATE(Supuestos!$H$35,Supuestos!$E$35)),AB18+1,0)</f>
        <v>17</v>
      </c>
      <c r="AD18" s="152">
        <f>IF(AND(AD$4&gt;=Supuestos!$H$35,AD$4&lt;EDATE(Supuestos!$H$35,Supuestos!$E$35)),AC18+1,0)</f>
        <v>18</v>
      </c>
      <c r="AE18" s="152">
        <f>IF(AND(AE$4&gt;=Supuestos!$H$35,AE$4&lt;EDATE(Supuestos!$H$35,Supuestos!$E$35)),AD18+1,0)</f>
        <v>19</v>
      </c>
      <c r="AF18" s="152">
        <f>IF(AND(AF$4&gt;=Supuestos!$H$35,AF$4&lt;EDATE(Supuestos!$H$35,Supuestos!$E$35)),AE18+1,0)</f>
        <v>20</v>
      </c>
      <c r="AG18" s="152">
        <f>IF(AND(AG$4&gt;=Supuestos!$H$35,AG$4&lt;EDATE(Supuestos!$H$35,Supuestos!$E$35)),AF18+1,0)</f>
        <v>21</v>
      </c>
      <c r="AH18" s="152">
        <f>IF(AND(AH$4&gt;=Supuestos!$H$35,AH$4&lt;EDATE(Supuestos!$H$35,Supuestos!$E$35)),AG18+1,0)</f>
        <v>22</v>
      </c>
      <c r="AI18" s="152">
        <f>IF(AND(AI$4&gt;=Supuestos!$H$35,AI$4&lt;EDATE(Supuestos!$H$35,Supuestos!$E$35)),AH18+1,0)</f>
        <v>23</v>
      </c>
      <c r="AJ18" s="152">
        <f>IF(AND(AJ$4&gt;=Supuestos!$H$35,AJ$4&lt;EDATE(Supuestos!$H$35,Supuestos!$E$35)),AI18+1,0)</f>
        <v>24</v>
      </c>
      <c r="AK18" s="152">
        <f>IF(AND(AK$4&gt;=Supuestos!$H$35,AK$4&lt;EDATE(Supuestos!$H$35,Supuestos!$E$35)),AJ18+1,0)</f>
        <v>25</v>
      </c>
      <c r="AL18" s="152">
        <f>IF(AND(AL$4&gt;=Supuestos!$H$35,AL$4&lt;EDATE(Supuestos!$H$35,Supuestos!$E$35)),AK18+1,0)</f>
        <v>26</v>
      </c>
      <c r="AM18" s="152">
        <f>IF(AND(AM$4&gt;=Supuestos!$H$35,AM$4&lt;EDATE(Supuestos!$H$35,Supuestos!$E$35)),AL18+1,0)</f>
        <v>27</v>
      </c>
      <c r="AN18" s="152">
        <f>IF(AND(AN$4&gt;=Supuestos!$H$35,AN$4&lt;EDATE(Supuestos!$H$35,Supuestos!$E$35)),AM18+1,0)</f>
        <v>28</v>
      </c>
      <c r="AO18" s="152">
        <f>IF(AND(AO$4&gt;=Supuestos!$H$35,AO$4&lt;EDATE(Supuestos!$H$35,Supuestos!$E$35)),AN18+1,0)</f>
        <v>29</v>
      </c>
      <c r="AP18" s="152">
        <f>IF(AND(AP$4&gt;=Supuestos!$H$35,AP$4&lt;EDATE(Supuestos!$H$35,Supuestos!$E$35)),AO18+1,0)</f>
        <v>30</v>
      </c>
      <c r="AQ18" s="152">
        <f>IF(AND(AQ$4&gt;=Supuestos!$H$35,AQ$4&lt;EDATE(Supuestos!$H$35,Supuestos!$E$35)),AP18+1,0)</f>
        <v>31</v>
      </c>
      <c r="AR18" s="152">
        <f>IF(AND(AR$4&gt;=Supuestos!$H$35,AR$4&lt;EDATE(Supuestos!$H$35,Supuestos!$E$35)),AQ18+1,0)</f>
        <v>32</v>
      </c>
      <c r="AS18" s="152">
        <f>IF(AND(AS$4&gt;=Supuestos!$H$35,AS$4&lt;EDATE(Supuestos!$H$35,Supuestos!$E$35)),AR18+1,0)</f>
        <v>33</v>
      </c>
      <c r="AT18" s="152">
        <f>IF(AND(AT$4&gt;=Supuestos!$H$35,AT$4&lt;EDATE(Supuestos!$H$35,Supuestos!$E$35)),AS18+1,0)</f>
        <v>34</v>
      </c>
      <c r="AU18" s="152">
        <f>IF(AND(AU$4&gt;=Supuestos!$H$35,AU$4&lt;EDATE(Supuestos!$H$35,Supuestos!$E$35)),AT18+1,0)</f>
        <v>35</v>
      </c>
      <c r="AV18" s="152">
        <f>IF(AND(AV$4&gt;=Supuestos!$H$35,AV$4&lt;EDATE(Supuestos!$H$35,Supuestos!$E$35)),AU18+1,0)</f>
        <v>36</v>
      </c>
      <c r="AW18" s="152">
        <f>IF(AND(AW$4&gt;=Supuestos!$H$35,AW$4&lt;EDATE(Supuestos!$H$35,Supuestos!$E$35)),AV18+1,0)</f>
        <v>0</v>
      </c>
      <c r="AX18" s="152">
        <f>IF(AND(AX$4&gt;=Supuestos!$H$35,AX$4&lt;EDATE(Supuestos!$H$35,Supuestos!$E$35)),AW18+1,0)</f>
        <v>0</v>
      </c>
      <c r="AY18" s="152">
        <f>IF(AND(AY$4&gt;=Supuestos!$H$35,AY$4&lt;EDATE(Supuestos!$H$35,Supuestos!$E$35)),AX18+1,0)</f>
        <v>0</v>
      </c>
      <c r="AZ18" s="152">
        <f>IF(AND(AZ$4&gt;=Supuestos!$H$35,AZ$4&lt;EDATE(Supuestos!$H$35,Supuestos!$E$35)),AY18+1,0)</f>
        <v>0</v>
      </c>
      <c r="BA18" s="152">
        <f>IF(AND(BA$4&gt;=Supuestos!$H$35,BA$4&lt;EDATE(Supuestos!$H$35,Supuestos!$E$35)),AZ18+1,0)</f>
        <v>0</v>
      </c>
      <c r="BB18" s="152">
        <f>IF(AND(BB$4&gt;=Supuestos!$H$35,BB$4&lt;EDATE(Supuestos!$H$35,Supuestos!$E$35)),BA18+1,0)</f>
        <v>0</v>
      </c>
      <c r="BC18" s="152">
        <f>IF(AND(BC$4&gt;=Supuestos!$H$35,BC$4&lt;EDATE(Supuestos!$H$35,Supuestos!$E$35)),BB18+1,0)</f>
        <v>0</v>
      </c>
      <c r="BD18" s="152">
        <f>IF(AND(BD$4&gt;=Supuestos!$H$35,BD$4&lt;EDATE(Supuestos!$H$35,Supuestos!$E$35)),BC18+1,0)</f>
        <v>0</v>
      </c>
      <c r="BE18" s="152">
        <f>IF(AND(BE$4&gt;=Supuestos!$H$35,BE$4&lt;EDATE(Supuestos!$H$35,Supuestos!$E$35)),BD18+1,0)</f>
        <v>0</v>
      </c>
      <c r="BF18" s="152">
        <f>IF(AND(BF$4&gt;=Supuestos!$H$35,BF$4&lt;EDATE(Supuestos!$H$35,Supuestos!$E$35)),BE18+1,0)</f>
        <v>0</v>
      </c>
      <c r="BG18" s="152">
        <f>IF(AND(BG$4&gt;=Supuestos!$H$35,BG$4&lt;EDATE(Supuestos!$H$35,Supuestos!$E$35)),BF18+1,0)</f>
        <v>0</v>
      </c>
      <c r="BH18" s="152">
        <f>IF(AND(BH$4&gt;=Supuestos!$H$35,BH$4&lt;EDATE(Supuestos!$H$35,Supuestos!$E$35)),BG18+1,0)</f>
        <v>0</v>
      </c>
      <c r="BI18" s="152">
        <f>IF(AND(BI$4&gt;=Supuestos!$H$35,BI$4&lt;EDATE(Supuestos!$H$35,Supuestos!$E$35)),BH18+1,0)</f>
        <v>0</v>
      </c>
      <c r="BJ18" s="152">
        <f>IF(AND(BJ$4&gt;=Supuestos!$H$35,BJ$4&lt;EDATE(Supuestos!$H$35,Supuestos!$E$35)),BI18+1,0)</f>
        <v>0</v>
      </c>
      <c r="BK18" s="152">
        <f>IF(AND(BK$4&gt;=Supuestos!$H$35,BK$4&lt;EDATE(Supuestos!$H$35,Supuestos!$E$35)),BJ18+1,0)</f>
        <v>0</v>
      </c>
      <c r="BL18" s="152">
        <f>IF(AND(BL$4&gt;=Supuestos!$H$35,BL$4&lt;EDATE(Supuestos!$H$35,Supuestos!$E$35)),BK18+1,0)</f>
        <v>0</v>
      </c>
      <c r="BM18" s="152">
        <f>IF(AND(BM$4&gt;=Supuestos!$H$35,BM$4&lt;EDATE(Supuestos!$H$35,Supuestos!$E$35)),BL18+1,0)</f>
        <v>0</v>
      </c>
      <c r="BN18" s="152">
        <f>IF(AND(BN$4&gt;=Supuestos!$H$35,BN$4&lt;EDATE(Supuestos!$H$35,Supuestos!$E$35)),BM18+1,0)</f>
        <v>0</v>
      </c>
      <c r="BO18" s="152">
        <f>IF(AND(BO$4&gt;=Supuestos!$H$35,BO$4&lt;EDATE(Supuestos!$H$35,Supuestos!$E$35)),BN18+1,0)</f>
        <v>0</v>
      </c>
      <c r="BP18" s="152">
        <f>IF(AND(BP$4&gt;=Supuestos!$H$35,BP$4&lt;EDATE(Supuestos!$H$35,Supuestos!$E$35)),BO18+1,0)</f>
        <v>0</v>
      </c>
      <c r="BQ18" s="152">
        <f>IF(AND(BQ$4&gt;=Supuestos!$H$35,BQ$4&lt;EDATE(Supuestos!$H$35,Supuestos!$E$35)),BP18+1,0)</f>
        <v>0</v>
      </c>
      <c r="BR18" s="152">
        <f>IF(AND(BR$4&gt;=Supuestos!$H$35,BR$4&lt;EDATE(Supuestos!$H$35,Supuestos!$E$35)),BQ18+1,0)</f>
        <v>0</v>
      </c>
      <c r="BS18" s="152">
        <f>IF(AND(BS$4&gt;=Supuestos!$H$35,BS$4&lt;EDATE(Supuestos!$H$35,Supuestos!$E$35)),BR18+1,0)</f>
        <v>0</v>
      </c>
      <c r="BT18" s="152">
        <f>IF(AND(BT$4&gt;=Supuestos!$H$35,BT$4&lt;EDATE(Supuestos!$H$35,Supuestos!$E$35)),BS18+1,0)</f>
        <v>0</v>
      </c>
      <c r="BU18" s="152">
        <f>IF(AND(BU$4&gt;=Supuestos!$H$35,BU$4&lt;EDATE(Supuestos!$H$35,Supuestos!$E$35)),BT18+1,0)</f>
        <v>0</v>
      </c>
      <c r="BV18" s="152">
        <f>IF(AND(BV$4&gt;=Supuestos!$H$35,BV$4&lt;EDATE(Supuestos!$H$35,Supuestos!$E$35)),BU18+1,0)</f>
        <v>0</v>
      </c>
      <c r="BW18" s="152">
        <f>IF(AND(BW$4&gt;=Supuestos!$H$35,BW$4&lt;EDATE(Supuestos!$H$35,Supuestos!$E$35)),BV18+1,0)</f>
        <v>0</v>
      </c>
      <c r="BX18" s="152">
        <f>IF(AND(BX$4&gt;=Supuestos!$H$35,BX$4&lt;EDATE(Supuestos!$H$35,Supuestos!$E$35)),BW18+1,0)</f>
        <v>0</v>
      </c>
      <c r="BY18" s="152">
        <f>IF(AND(BY$4&gt;=Supuestos!$H$35,BY$4&lt;EDATE(Supuestos!$H$35,Supuestos!$E$35)),BX18+1,0)</f>
        <v>0</v>
      </c>
      <c r="BZ18" s="152">
        <f>IF(AND(BZ$4&gt;=Supuestos!$H$35,BZ$4&lt;EDATE(Supuestos!$H$35,Supuestos!$E$35)),BY18+1,0)</f>
        <v>0</v>
      </c>
      <c r="CA18" s="152">
        <f>IF(AND(CA$4&gt;=Supuestos!$H$35,CA$4&lt;EDATE(Supuestos!$H$35,Supuestos!$E$35)),BZ18+1,0)</f>
        <v>0</v>
      </c>
      <c r="CB18" s="152">
        <f>IF(AND(CB$4&gt;=Supuestos!$H$35,CB$4&lt;EDATE(Supuestos!$H$35,Supuestos!$E$35)),CA18+1,0)</f>
        <v>0</v>
      </c>
      <c r="CC18" s="152">
        <f>IF(AND(CC$4&gt;=Supuestos!$H$35,CC$4&lt;EDATE(Supuestos!$H$35,Supuestos!$E$35)),CB18+1,0)</f>
        <v>0</v>
      </c>
      <c r="CD18" s="152">
        <f>IF(AND(CD$4&gt;=Supuestos!$H$35,CD$4&lt;EDATE(Supuestos!$H$35,Supuestos!$E$35)),CC18+1,0)</f>
        <v>0</v>
      </c>
      <c r="CE18" s="152">
        <f>IF(AND(CE$4&gt;=Supuestos!$H$35,CE$4&lt;EDATE(Supuestos!$H$35,Supuestos!$E$35)),CD18+1,0)</f>
        <v>0</v>
      </c>
      <c r="CF18" s="152">
        <f>IF(AND(CF$4&gt;=Supuestos!$H$35,CF$4&lt;EDATE(Supuestos!$H$35,Supuestos!$E$35)),CE18+1,0)</f>
        <v>0</v>
      </c>
      <c r="CG18" s="152">
        <f>IF(AND(CG$4&gt;=Supuestos!$H$35,CG$4&lt;EDATE(Supuestos!$H$35,Supuestos!$E$35)),CF18+1,0)</f>
        <v>0</v>
      </c>
      <c r="CH18" s="152">
        <f>IF(AND(CH$4&gt;=Supuestos!$H$35,CH$4&lt;EDATE(Supuestos!$H$35,Supuestos!$E$35)),CG18+1,0)</f>
        <v>0</v>
      </c>
      <c r="CI18" s="152">
        <f>IF(AND(CI$4&gt;=Supuestos!$H$35,CI$4&lt;EDATE(Supuestos!$H$35,Supuestos!$E$35)),CH18+1,0)</f>
        <v>0</v>
      </c>
      <c r="CJ18" s="152">
        <f>IF(AND(CJ$4&gt;=Supuestos!$H$35,CJ$4&lt;EDATE(Supuestos!$H$35,Supuestos!$E$35)),CI18+1,0)</f>
        <v>0</v>
      </c>
      <c r="CK18" s="152">
        <f>IF(AND(CK$4&gt;=Supuestos!$H$35,CK$4&lt;EDATE(Supuestos!$H$35,Supuestos!$E$35)),CJ18+1,0)</f>
        <v>0</v>
      </c>
      <c r="CL18" s="152">
        <f>IF(AND(CL$4&gt;=Supuestos!$H$35,CL$4&lt;EDATE(Supuestos!$H$35,Supuestos!$E$35)),CK18+1,0)</f>
        <v>0</v>
      </c>
      <c r="CM18" s="152">
        <f>IF(AND(CM$4&gt;=Supuestos!$H$35,CM$4&lt;EDATE(Supuestos!$H$35,Supuestos!$E$35)),CL18+1,0)</f>
        <v>0</v>
      </c>
      <c r="CN18" s="152">
        <f>IF(AND(CN$4&gt;=Supuestos!$H$35,CN$4&lt;EDATE(Supuestos!$H$35,Supuestos!$E$35)),CM18+1,0)</f>
        <v>0</v>
      </c>
      <c r="CO18" s="152">
        <f>IF(AND(CO$4&gt;=Supuestos!$H$35,CO$4&lt;EDATE(Supuestos!$H$35,Supuestos!$E$35)),CN18+1,0)</f>
        <v>0</v>
      </c>
      <c r="CP18" s="152">
        <f>IF(AND(CP$4&gt;=Supuestos!$H$35,CP$4&lt;EDATE(Supuestos!$H$35,Supuestos!$E$35)),CO18+1,0)</f>
        <v>0</v>
      </c>
      <c r="CQ18" s="152">
        <f>IF(AND(CQ$4&gt;=Supuestos!$H$35,CQ$4&lt;EDATE(Supuestos!$H$35,Supuestos!$E$35)),CP18+1,0)</f>
        <v>0</v>
      </c>
      <c r="CR18" s="152">
        <f>IF(AND(CR$4&gt;=Supuestos!$H$35,CR$4&lt;EDATE(Supuestos!$H$35,Supuestos!$E$35)),CQ18+1,0)</f>
        <v>0</v>
      </c>
      <c r="CS18" s="152">
        <f>IF(AND(CS$4&gt;=Supuestos!$H$35,CS$4&lt;EDATE(Supuestos!$H$35,Supuestos!$E$35)),CR18+1,0)</f>
        <v>0</v>
      </c>
      <c r="CT18" s="152">
        <f>IF(AND(CT$4&gt;=Supuestos!$H$35,CT$4&lt;EDATE(Supuestos!$H$35,Supuestos!$E$35)),CS18+1,0)</f>
        <v>0</v>
      </c>
      <c r="CU18" s="152">
        <f>IF(AND(CU$4&gt;=Supuestos!$H$35,CU$4&lt;EDATE(Supuestos!$H$35,Supuestos!$E$35)),CT18+1,0)</f>
        <v>0</v>
      </c>
      <c r="CV18" s="152">
        <f>IF(AND(CV$4&gt;=Supuestos!$H$35,CV$4&lt;EDATE(Supuestos!$H$35,Supuestos!$E$35)),CU18+1,0)</f>
        <v>0</v>
      </c>
      <c r="CW18" s="152">
        <f>IF(AND(CW$4&gt;=Supuestos!$H$35,CW$4&lt;EDATE(Supuestos!$H$35,Supuestos!$E$35)),CV18+1,0)</f>
        <v>0</v>
      </c>
      <c r="CX18" s="152">
        <f>IF(AND(CX$4&gt;=Supuestos!$H$35,CX$4&lt;EDATE(Supuestos!$H$35,Supuestos!$E$35)),CW18+1,0)</f>
        <v>0</v>
      </c>
      <c r="CY18" s="152">
        <f>IF(AND(CY$4&gt;=Supuestos!$H$35,CY$4&lt;EDATE(Supuestos!$H$35,Supuestos!$E$35)),CX18+1,0)</f>
        <v>0</v>
      </c>
      <c r="CZ18" s="152">
        <f>IF(AND(CZ$4&gt;=Supuestos!$H$35,CZ$4&lt;EDATE(Supuestos!$H$35,Supuestos!$E$35)),CY18+1,0)</f>
        <v>0</v>
      </c>
      <c r="DA18" s="152">
        <f>IF(AND(DA$4&gt;=Supuestos!$H$35,DA$4&lt;EDATE(Supuestos!$H$35,Supuestos!$E$35)),CZ18+1,0)</f>
        <v>0</v>
      </c>
      <c r="DB18" s="152">
        <f>IF(AND(DB$4&gt;=Supuestos!$H$35,DB$4&lt;EDATE(Supuestos!$H$35,Supuestos!$E$35)),DA18+1,0)</f>
        <v>0</v>
      </c>
      <c r="DC18" s="152">
        <f>IF(AND(DC$4&gt;=Supuestos!$H$35,DC$4&lt;EDATE(Supuestos!$H$35,Supuestos!$E$35)),DB18+1,0)</f>
        <v>0</v>
      </c>
      <c r="DD18" s="152">
        <f>IF(AND(DD$4&gt;=Supuestos!$H$35,DD$4&lt;EDATE(Supuestos!$H$35,Supuestos!$E$35)),DC18+1,0)</f>
        <v>0</v>
      </c>
      <c r="DE18" s="152">
        <f>IF(AND(DE$4&gt;=Supuestos!$H$35,DE$4&lt;EDATE(Supuestos!$H$35,Supuestos!$E$35)),DD18+1,0)</f>
        <v>0</v>
      </c>
      <c r="DF18" s="152">
        <f>IF(AND(DF$4&gt;=Supuestos!$H$35,DF$4&lt;EDATE(Supuestos!$H$35,Supuestos!$E$35)),DE18+1,0)</f>
        <v>0</v>
      </c>
    </row>
    <row r="19" spans="1:111" ht="13.8" x14ac:dyDescent="0.3">
      <c r="A19" s="16" t="s">
        <v>319</v>
      </c>
      <c r="C19" s="17">
        <f>IF(C18=1,Supuestos!$C$35,0)</f>
        <v>0</v>
      </c>
      <c r="D19" s="17">
        <f>IF(D18=1,Supuestos!$C$35,IF(D18=0,0,C23))</f>
        <v>0</v>
      </c>
      <c r="E19" s="17">
        <f>IF(E18=1,Supuestos!$C$35,IF(E18=0,0,D23))</f>
        <v>0</v>
      </c>
      <c r="F19" s="17">
        <f>IF(F18=1,Supuestos!$C$35,IF(F18=0,0,E23))</f>
        <v>0</v>
      </c>
      <c r="G19" s="17">
        <f>IF(G18=1,Supuestos!$C$35,IF(G18=0,0,F23))</f>
        <v>0</v>
      </c>
      <c r="H19" s="17">
        <f>IF(H18=1,Supuestos!$C$35,IF(H18=0,0,G23))</f>
        <v>0</v>
      </c>
      <c r="I19" s="17">
        <f>IF(I18=1,Supuestos!$C$35,IF(I18=0,0,H23))</f>
        <v>0</v>
      </c>
      <c r="J19" s="17">
        <f>IF(J18=1,Supuestos!$C$35,IF(J18=0,0,I23))</f>
        <v>0</v>
      </c>
      <c r="K19" s="17">
        <f>IF(K18=1,Supuestos!$C$35,IF(K18=0,0,J23))</f>
        <v>0</v>
      </c>
      <c r="L19" s="17">
        <f>IF(L18=1,Supuestos!$C$35,IF(L18=0,0,K23))</f>
        <v>0</v>
      </c>
      <c r="M19" s="17">
        <f>IF(M18=1,Supuestos!$C$35,IF(M18=0,0,L23))</f>
        <v>1050000</v>
      </c>
      <c r="N19" s="17">
        <f>IF(N18=1,Supuestos!$C$35,IF(N18=0,0,M23))</f>
        <v>1023619.0298886189</v>
      </c>
      <c r="O19" s="17">
        <f>IF(O18=1,Supuestos!$C$35,IF(O18=0,0,N23))</f>
        <v>997088.8979367672</v>
      </c>
      <c r="P19" s="17">
        <f>IF(P18=1,Supuestos!$C$35,IF(P18=0,0,O23))</f>
        <v>970408.76076171268</v>
      </c>
      <c r="Q19" s="17">
        <f>IF(Q18=1,Supuestos!$C$35,IF(Q18=0,0,P23))</f>
        <v>943577.77021211456</v>
      </c>
      <c r="R19" s="17">
        <f>IF(R18=1,Supuestos!$C$35,IF(R18=0,0,Q23))</f>
        <v>916595.0733410609</v>
      </c>
      <c r="S19" s="17">
        <f>IF(S18=1,Supuestos!$C$35,IF(S18=0,0,R23))</f>
        <v>889459.81237895403</v>
      </c>
      <c r="T19" s="17">
        <f>IF(T18=1,Supuestos!$C$35,IF(T18=0,0,S23))</f>
        <v>862171.12470624223</v>
      </c>
      <c r="U19" s="17">
        <f>IF(U18=1,Supuestos!$C$35,IF(U18=0,0,T23))</f>
        <v>834728.14282599743</v>
      </c>
      <c r="V19" s="17">
        <f>IF(V18=1,Supuestos!$C$35,IF(V18=0,0,U23))</f>
        <v>807129.99433633778</v>
      </c>
      <c r="W19" s="17">
        <f>IF(W18=1,Supuestos!$C$35,IF(W18=0,0,V23))</f>
        <v>779375.80190269439</v>
      </c>
      <c r="X19" s="17">
        <f>IF(X18=1,Supuestos!$C$35,IF(X18=0,0,W23))</f>
        <v>751464.68322992115</v>
      </c>
      <c r="Y19" s="17">
        <f>IF(Y18=1,Supuestos!$C$35,IF(Y18=0,0,X23))</f>
        <v>723395.75103424699</v>
      </c>
      <c r="Z19" s="17">
        <f>IF(Z18=1,Supuestos!$C$35,IF(Z18=0,0,Y23))</f>
        <v>695168.11301506916</v>
      </c>
      <c r="AA19" s="17">
        <f>IF(AA18=1,Supuestos!$C$35,IF(AA18=0,0,Z23))</f>
        <v>666780.87182658794</v>
      </c>
      <c r="AB19" s="17">
        <f>IF(AB18=1,Supuestos!$C$35,IF(AB18=0,0,AA23))</f>
        <v>638233.12504927965</v>
      </c>
      <c r="AC19" s="17">
        <f>IF(AC18=1,Supuestos!$C$35,IF(AC18=0,0,AB23))</f>
        <v>609523.96516120969</v>
      </c>
      <c r="AD19" s="17">
        <f>IF(AD18=1,Supuestos!$C$35,IF(AD18=0,0,AC23))</f>
        <v>580652.47950918227</v>
      </c>
      <c r="AE19" s="17">
        <f>IF(AE18=1,Supuestos!$C$35,IF(AE18=0,0,AD23))</f>
        <v>551617.75027972786</v>
      </c>
      <c r="AF19" s="17">
        <f>IF(AF18=1,Supuestos!$C$35,IF(AF18=0,0,AE23))</f>
        <v>522418.85446992621</v>
      </c>
      <c r="AG19" s="17">
        <f>IF(AG18=1,Supuestos!$C$35,IF(AG18=0,0,AF23))</f>
        <v>493054.86385806423</v>
      </c>
      <c r="AH19" s="17">
        <f>IF(AH18=1,Supuestos!$C$35,IF(AH18=0,0,AG23))</f>
        <v>463524.84497412841</v>
      </c>
      <c r="AI19" s="17">
        <f>IF(AI18=1,Supuestos!$C$35,IF(AI18=0,0,AH23))</f>
        <v>433827.85907012998</v>
      </c>
      <c r="AJ19" s="17">
        <f>IF(AJ18=1,Supuestos!$C$35,IF(AJ18=0,0,AI23))</f>
        <v>403962.96209026262</v>
      </c>
      <c r="AK19" s="17">
        <f>IF(AK18=1,Supuestos!$C$35,IF(AK18=0,0,AJ23))</f>
        <v>373929.20464089123</v>
      </c>
      <c r="AL19" s="17">
        <f>IF(AL18=1,Supuestos!$C$35,IF(AL18=0,0,AK23))</f>
        <v>343725.63196037099</v>
      </c>
      <c r="AM19" s="17">
        <f>IF(AM18=1,Supuestos!$C$35,IF(AM18=0,0,AL23))</f>
        <v>313351.28388869605</v>
      </c>
      <c r="AN19" s="17">
        <f>IF(AN18=1,Supuestos!$C$35,IF(AN18=0,0,AM23))</f>
        <v>282805.19483697618</v>
      </c>
      <c r="AO19" s="17">
        <f>IF(AO18=1,Supuestos!$C$35,IF(AO18=0,0,AN23))</f>
        <v>252086.39375674128</v>
      </c>
      <c r="AP19" s="17">
        <f>IF(AP18=1,Supuestos!$C$35,IF(AP18=0,0,AO23))</f>
        <v>221193.90410907194</v>
      </c>
      <c r="AQ19" s="17">
        <f>IF(AQ18=1,Supuestos!$C$35,IF(AQ18=0,0,AP23))</f>
        <v>190126.74383355578</v>
      </c>
      <c r="AR19" s="17">
        <f>IF(AR18=1,Supuestos!$C$35,IF(AR18=0,0,AQ23))</f>
        <v>158883.92531706803</v>
      </c>
      <c r="AS19" s="17">
        <f>IF(AS18=1,Supuestos!$C$35,IF(AS18=0,0,AR23))</f>
        <v>127464.45536237574</v>
      </c>
      <c r="AT19" s="17">
        <f>IF(AT18=1,Supuestos!$C$35,IF(AT18=0,0,AS23))</f>
        <v>95867.335156564397</v>
      </c>
      <c r="AU19" s="17">
        <f>IF(AU18=1,Supuestos!$C$35,IF(AU18=0,0,AT23))</f>
        <v>64091.560239286075</v>
      </c>
      <c r="AV19" s="17">
        <f>IF(AV18=1,Supuestos!$C$35,IF(AV18=0,0,AU23))</f>
        <v>32136.120470827995</v>
      </c>
      <c r="AW19" s="17">
        <f>IF(AW18=1,Supuestos!$C$35,IF(AW18=0,0,AV23))</f>
        <v>0</v>
      </c>
      <c r="AX19" s="17">
        <f>IF(AX18=1,Supuestos!$C$35,IF(AX18=0,0,AW23))</f>
        <v>0</v>
      </c>
      <c r="AY19" s="17">
        <f>IF(AY18=1,Supuestos!$C$35,IF(AY18=0,0,AX23))</f>
        <v>0</v>
      </c>
      <c r="AZ19" s="17">
        <f>IF(AZ18=1,Supuestos!$C$35,IF(AZ18=0,0,AY23))</f>
        <v>0</v>
      </c>
      <c r="BA19" s="17">
        <f>IF(BA18=1,Supuestos!$C$35,IF(BA18=0,0,AZ23))</f>
        <v>0</v>
      </c>
      <c r="BB19" s="17">
        <f>IF(BB18=1,Supuestos!$C$35,IF(BB18=0,0,BA23))</f>
        <v>0</v>
      </c>
      <c r="BC19" s="17">
        <f>IF(BC18=1,Supuestos!$C$35,IF(BC18=0,0,BB23))</f>
        <v>0</v>
      </c>
      <c r="BD19" s="17">
        <f>IF(BD18=1,Supuestos!$C$35,IF(BD18=0,0,BC23))</f>
        <v>0</v>
      </c>
      <c r="BE19" s="17">
        <f>IF(BE18=1,Supuestos!$C$35,IF(BE18=0,0,BD23))</f>
        <v>0</v>
      </c>
      <c r="BF19" s="17">
        <f>IF(BF18=1,Supuestos!$C$35,IF(BF18=0,0,BE23))</f>
        <v>0</v>
      </c>
      <c r="BG19" s="17">
        <f>IF(BG18=1,Supuestos!$C$35,IF(BG18=0,0,BF23))</f>
        <v>0</v>
      </c>
      <c r="BH19" s="17">
        <f>IF(BH18=1,Supuestos!$C$35,IF(BH18=0,0,BG23))</f>
        <v>0</v>
      </c>
      <c r="BI19" s="17">
        <f>IF(BI18=1,Supuestos!$C$35,IF(BI18=0,0,BH23))</f>
        <v>0</v>
      </c>
      <c r="BJ19" s="17">
        <f>IF(BJ18=1,Supuestos!$C$35,IF(BJ18=0,0,BI23))</f>
        <v>0</v>
      </c>
      <c r="BK19" s="17">
        <f>IF(BK18=1,Supuestos!$C$35,IF(BK18=0,0,BJ23))</f>
        <v>0</v>
      </c>
      <c r="BL19" s="17">
        <f>IF(BL18=1,Supuestos!$C$35,IF(BL18=0,0,BK23))</f>
        <v>0</v>
      </c>
      <c r="BM19" s="17">
        <f>IF(BM18=1,Supuestos!$C$35,IF(BM18=0,0,BL23))</f>
        <v>0</v>
      </c>
      <c r="BN19" s="17">
        <f>IF(BN18=1,Supuestos!$C$35,IF(BN18=0,0,BM23))</f>
        <v>0</v>
      </c>
      <c r="BO19" s="17">
        <f>IF(BO18=1,Supuestos!$C$35,IF(BO18=0,0,BN23))</f>
        <v>0</v>
      </c>
      <c r="BP19" s="17">
        <f>IF(BP18=1,Supuestos!$C$35,IF(BP18=0,0,BO23))</f>
        <v>0</v>
      </c>
      <c r="BQ19" s="17">
        <f>IF(BQ18=1,Supuestos!$C$35,IF(BQ18=0,0,BP23))</f>
        <v>0</v>
      </c>
      <c r="BR19" s="17">
        <f>IF(BR18=1,Supuestos!$C$35,IF(BR18=0,0,BQ23))</f>
        <v>0</v>
      </c>
      <c r="BS19" s="17">
        <f>IF(BS18=1,Supuestos!$C$35,IF(BS18=0,0,BR23))</f>
        <v>0</v>
      </c>
      <c r="BT19" s="17">
        <f>IF(BT18=1,Supuestos!$C$35,IF(BT18=0,0,BS23))</f>
        <v>0</v>
      </c>
      <c r="BU19" s="17">
        <f>IF(BU18=1,Supuestos!$C$35,IF(BU18=0,0,BT23))</f>
        <v>0</v>
      </c>
      <c r="BV19" s="17">
        <f>IF(BV18=1,Supuestos!$C$35,IF(BV18=0,0,BU23))</f>
        <v>0</v>
      </c>
      <c r="BW19" s="17">
        <f>IF(BW18=1,Supuestos!$C$35,IF(BW18=0,0,BV23))</f>
        <v>0</v>
      </c>
      <c r="BX19" s="17">
        <f>IF(BX18=1,Supuestos!$C$35,IF(BX18=0,0,BW23))</f>
        <v>0</v>
      </c>
      <c r="BY19" s="17">
        <f>IF(BY18=1,Supuestos!$C$35,IF(BY18=0,0,BX23))</f>
        <v>0</v>
      </c>
      <c r="BZ19" s="17">
        <f>IF(BZ18=1,Supuestos!$C$35,IF(BZ18=0,0,BY23))</f>
        <v>0</v>
      </c>
      <c r="CA19" s="17">
        <f>IF(CA18=1,Supuestos!$C$35,IF(CA18=0,0,BZ23))</f>
        <v>0</v>
      </c>
      <c r="CB19" s="17">
        <f>IF(CB18=1,Supuestos!$C$35,IF(CB18=0,0,CA23))</f>
        <v>0</v>
      </c>
      <c r="CC19" s="17">
        <f>IF(CC18=1,Supuestos!$C$35,IF(CC18=0,0,CB23))</f>
        <v>0</v>
      </c>
      <c r="CD19" s="17">
        <f>IF(CD18=1,Supuestos!$C$35,IF(CD18=0,0,CC23))</f>
        <v>0</v>
      </c>
      <c r="CE19" s="17">
        <f>IF(CE18=1,Supuestos!$C$35,IF(CE18=0,0,CD23))</f>
        <v>0</v>
      </c>
      <c r="CF19" s="17">
        <f>IF(CF18=1,Supuestos!$C$35,IF(CF18=0,0,CE23))</f>
        <v>0</v>
      </c>
      <c r="CG19" s="17">
        <f>IF(CG18=1,Supuestos!$C$35,IF(CG18=0,0,CF23))</f>
        <v>0</v>
      </c>
      <c r="CH19" s="17">
        <f>IF(CH18=1,Supuestos!$C$35,IF(CH18=0,0,CG23))</f>
        <v>0</v>
      </c>
      <c r="CI19" s="17">
        <f>IF(CI18=1,Supuestos!$C$35,IF(CI18=0,0,CH23))</f>
        <v>0</v>
      </c>
      <c r="CJ19" s="17">
        <f>IF(CJ18=1,Supuestos!$C$35,IF(CJ18=0,0,CI23))</f>
        <v>0</v>
      </c>
      <c r="CK19" s="17">
        <f>IF(CK18=1,Supuestos!$C$35,IF(CK18=0,0,CJ23))</f>
        <v>0</v>
      </c>
      <c r="CL19" s="17">
        <f>IF(CL18=1,Supuestos!$C$35,IF(CL18=0,0,CK23))</f>
        <v>0</v>
      </c>
      <c r="CM19" s="17">
        <f>IF(CM18=1,Supuestos!$C$35,IF(CM18=0,0,CL23))</f>
        <v>0</v>
      </c>
      <c r="CN19" s="17">
        <f>IF(CN18=1,Supuestos!$C$35,IF(CN18=0,0,CM23))</f>
        <v>0</v>
      </c>
      <c r="CO19" s="17">
        <f>IF(CO18=1,Supuestos!$C$35,IF(CO18=0,0,CN23))</f>
        <v>0</v>
      </c>
      <c r="CP19" s="17">
        <f>IF(CP18=1,Supuestos!$C$35,IF(CP18=0,0,CO23))</f>
        <v>0</v>
      </c>
      <c r="CQ19" s="17">
        <f>IF(CQ18=1,Supuestos!$C$35,IF(CQ18=0,0,CP23))</f>
        <v>0</v>
      </c>
      <c r="CR19" s="17">
        <f>IF(CR18=1,Supuestos!$C$35,IF(CR18=0,0,CQ23))</f>
        <v>0</v>
      </c>
      <c r="CS19" s="17">
        <f>IF(CS18=1,Supuestos!$C$35,IF(CS18=0,0,CR23))</f>
        <v>0</v>
      </c>
      <c r="CT19" s="17">
        <f>IF(CT18=1,Supuestos!$C$35,IF(CT18=0,0,CS23))</f>
        <v>0</v>
      </c>
      <c r="CU19" s="17">
        <f>IF(CU18=1,Supuestos!$C$35,IF(CU18=0,0,CT23))</f>
        <v>0</v>
      </c>
      <c r="CV19" s="17">
        <f>IF(CV18=1,Supuestos!$C$35,IF(CV18=0,0,CU23))</f>
        <v>0</v>
      </c>
      <c r="CW19" s="17">
        <f>IF(CW18=1,Supuestos!$C$35,IF(CW18=0,0,CV23))</f>
        <v>0</v>
      </c>
      <c r="CX19" s="17">
        <f>IF(CX18=1,Supuestos!$C$35,IF(CX18=0,0,CW23))</f>
        <v>0</v>
      </c>
      <c r="CY19" s="17">
        <f>IF(CY18=1,Supuestos!$C$35,IF(CY18=0,0,CX23))</f>
        <v>0</v>
      </c>
      <c r="CZ19" s="17">
        <f>IF(CZ18=1,Supuestos!$C$35,IF(CZ18=0,0,CY23))</f>
        <v>0</v>
      </c>
      <c r="DA19" s="17">
        <f>IF(DA18=1,Supuestos!$C$35,IF(DA18=0,0,CZ23))</f>
        <v>0</v>
      </c>
      <c r="DB19" s="17">
        <f>IF(DB18=1,Supuestos!$C$35,IF(DB18=0,0,DA23))</f>
        <v>0</v>
      </c>
      <c r="DC19" s="17">
        <f>IF(DC18=1,Supuestos!$C$35,IF(DC18=0,0,DB23))</f>
        <v>0</v>
      </c>
      <c r="DD19" s="17">
        <f>IF(DD18=1,Supuestos!$C$35,IF(DD18=0,0,DC23))</f>
        <v>0</v>
      </c>
      <c r="DE19" s="17">
        <f>IF(DE18=1,Supuestos!$C$35,IF(DE18=0,0,DD23))</f>
        <v>0</v>
      </c>
      <c r="DF19" s="17">
        <f>IF(DF18=1,Supuestos!$C$35,IF(DF18=0,0,DE23))</f>
        <v>0</v>
      </c>
    </row>
    <row r="20" spans="1:111" ht="13.8" x14ac:dyDescent="0.3">
      <c r="A20" s="16" t="s">
        <v>320</v>
      </c>
      <c r="C20" s="17">
        <f>C19*Supuestos!$F$35</f>
        <v>0</v>
      </c>
      <c r="D20" s="17">
        <f>D19*Supuestos!$F$35</f>
        <v>0</v>
      </c>
      <c r="E20" s="17">
        <f>E19*Supuestos!$F$35</f>
        <v>0</v>
      </c>
      <c r="F20" s="17">
        <f>F19*Supuestos!$F$35</f>
        <v>0</v>
      </c>
      <c r="G20" s="17">
        <f>G19*Supuestos!$F$35</f>
        <v>0</v>
      </c>
      <c r="H20" s="17">
        <f>H19*Supuestos!$F$35</f>
        <v>0</v>
      </c>
      <c r="I20" s="17">
        <f>I19*Supuestos!$F$35</f>
        <v>0</v>
      </c>
      <c r="J20" s="17">
        <f>J19*Supuestos!$F$35</f>
        <v>0</v>
      </c>
      <c r="K20" s="17">
        <f>K19*Supuestos!$F$35</f>
        <v>0</v>
      </c>
      <c r="L20" s="17">
        <f>L19*Supuestos!$F$35</f>
        <v>0</v>
      </c>
      <c r="M20" s="17">
        <f>M19*Supuestos!$F$35</f>
        <v>5936.852656775538</v>
      </c>
      <c r="N20" s="17">
        <f>N19*Supuestos!$F$35</f>
        <v>5787.6908163049957</v>
      </c>
      <c r="O20" s="17">
        <f>O19*Supuestos!$F$35</f>
        <v>5637.6855931021801</v>
      </c>
      <c r="P20" s="17">
        <f>P19*Supuestos!$F$35</f>
        <v>5486.8322185585057</v>
      </c>
      <c r="Q20" s="17">
        <f>Q19*Supuestos!$F$35</f>
        <v>5335.1258971029811</v>
      </c>
      <c r="R20" s="17">
        <f>R19*Supuestos!$F$35</f>
        <v>5182.5618060497582</v>
      </c>
      <c r="S20" s="17">
        <f>S19*Supuestos!$F$35</f>
        <v>5029.1350954448235</v>
      </c>
      <c r="T20" s="17">
        <f>T19*Supuestos!$F$35</f>
        <v>4874.8408879118169</v>
      </c>
      <c r="U20" s="17">
        <f>U19*Supuestos!$F$35</f>
        <v>4719.6742784969838</v>
      </c>
      <c r="V20" s="17">
        <f>V19*Supuestos!$F$35</f>
        <v>4563.6303345132492</v>
      </c>
      <c r="W20" s="17">
        <f>W19*Supuestos!$F$35</f>
        <v>4406.7040953834057</v>
      </c>
      <c r="X20" s="17">
        <f>X19*Supuestos!$F$35</f>
        <v>4248.8905724824235</v>
      </c>
      <c r="Y20" s="17">
        <f>Y19*Supuestos!$F$35</f>
        <v>4090.1847489788615</v>
      </c>
      <c r="Z20" s="17">
        <f>Z19*Supuestos!$F$35</f>
        <v>3930.5815796753814</v>
      </c>
      <c r="AA20" s="17">
        <f>AA19*Supuestos!$F$35</f>
        <v>3770.0759908483692</v>
      </c>
      <c r="AB20" s="17">
        <f>AB19*Supuestos!$F$35</f>
        <v>3608.6628800866379</v>
      </c>
      <c r="AC20" s="17">
        <f>AC19*Supuestos!$F$35</f>
        <v>3446.3371161292266</v>
      </c>
      <c r="AD20" s="17">
        <f>AD19*Supuestos!$F$35</f>
        <v>3283.0935387022782</v>
      </c>
      <c r="AE20" s="17">
        <f>AE19*Supuestos!$F$35</f>
        <v>3118.9269583549976</v>
      </c>
      <c r="AF20" s="17">
        <f>AF19*Supuestos!$F$35</f>
        <v>2953.8321562946803</v>
      </c>
      <c r="AG20" s="17">
        <f>AG19*Supuestos!$F$35</f>
        <v>2787.8038842208093</v>
      </c>
      <c r="AH20" s="17">
        <f>AH19*Supuestos!$F$35</f>
        <v>2620.8368641582128</v>
      </c>
      <c r="AI20" s="17">
        <f>AI19*Supuestos!$F$35</f>
        <v>2452.9257882892807</v>
      </c>
      <c r="AJ20" s="17">
        <f>AJ19*Supuestos!$F$35</f>
        <v>2284.0653187852299</v>
      </c>
      <c r="AK20" s="17">
        <f>AK19*Supuestos!$F$35</f>
        <v>2114.2500876364179</v>
      </c>
      <c r="AL20" s="17">
        <f>AL19*Supuestos!$F$35</f>
        <v>1943.4746964816943</v>
      </c>
      <c r="AM20" s="17">
        <f>AM19*Supuestos!$F$35</f>
        <v>1771.7337164367914</v>
      </c>
      <c r="AN20" s="17">
        <f>AN19*Supuestos!$F$35</f>
        <v>1599.0216879217387</v>
      </c>
      <c r="AO20" s="17">
        <f>AO19*Supuestos!$F$35</f>
        <v>1425.3331204873084</v>
      </c>
      <c r="AP20" s="17">
        <f>AP19*Supuestos!$F$35</f>
        <v>1250.6624926404736</v>
      </c>
      <c r="AQ20" s="17">
        <f>AQ19*Supuestos!$F$35</f>
        <v>1075.0042516688836</v>
      </c>
      <c r="AR20" s="17">
        <f>AR19*Supuestos!$F$35</f>
        <v>898.35281346434419</v>
      </c>
      <c r="AS20" s="17">
        <f>AS19*Supuestos!$F$35</f>
        <v>720.70256234530223</v>
      </c>
      <c r="AT20" s="17">
        <f>AT19*Supuestos!$F$35</f>
        <v>542.04785087832408</v>
      </c>
      <c r="AU20" s="17">
        <f>AU19*Supuestos!$F$35</f>
        <v>362.38299969856661</v>
      </c>
      <c r="AV20" s="17">
        <f>AV19*Supuestos!$F$35</f>
        <v>181.70229732923229</v>
      </c>
      <c r="AW20" s="17">
        <f>AW19*Supuestos!$F$35</f>
        <v>0</v>
      </c>
      <c r="AX20" s="17">
        <f>AX19*Supuestos!$F$35</f>
        <v>0</v>
      </c>
      <c r="AY20" s="17">
        <f>AY19*Supuestos!$F$35</f>
        <v>0</v>
      </c>
      <c r="AZ20" s="17">
        <f>AZ19*Supuestos!$F$35</f>
        <v>0</v>
      </c>
      <c r="BA20" s="17">
        <f>BA19*Supuestos!$F$35</f>
        <v>0</v>
      </c>
      <c r="BB20" s="17">
        <f>BB19*Supuestos!$F$35</f>
        <v>0</v>
      </c>
      <c r="BC20" s="17">
        <f>BC19*Supuestos!$F$35</f>
        <v>0</v>
      </c>
      <c r="BD20" s="17">
        <f>BD19*Supuestos!$F$35</f>
        <v>0</v>
      </c>
      <c r="BE20" s="17">
        <f>BE19*Supuestos!$F$35</f>
        <v>0</v>
      </c>
      <c r="BF20" s="17">
        <f>BF19*Supuestos!$F$35</f>
        <v>0</v>
      </c>
      <c r="BG20" s="17">
        <f>BG19*Supuestos!$F$35</f>
        <v>0</v>
      </c>
      <c r="BH20" s="17">
        <f>BH19*Supuestos!$F$35</f>
        <v>0</v>
      </c>
      <c r="BI20" s="17">
        <f>BI19*Supuestos!$F$35</f>
        <v>0</v>
      </c>
      <c r="BJ20" s="17">
        <f>BJ19*Supuestos!$F$35</f>
        <v>0</v>
      </c>
      <c r="BK20" s="17">
        <f>BK19*Supuestos!$F$35</f>
        <v>0</v>
      </c>
      <c r="BL20" s="17">
        <f>BL19*Supuestos!$F$35</f>
        <v>0</v>
      </c>
      <c r="BM20" s="17">
        <f>BM19*Supuestos!$F$35</f>
        <v>0</v>
      </c>
      <c r="BN20" s="17">
        <f>BN19*Supuestos!$F$35</f>
        <v>0</v>
      </c>
      <c r="BO20" s="17">
        <f>BO19*Supuestos!$F$35</f>
        <v>0</v>
      </c>
      <c r="BP20" s="17">
        <f>BP19*Supuestos!$F$35</f>
        <v>0</v>
      </c>
      <c r="BQ20" s="17">
        <f>BQ19*Supuestos!$F$35</f>
        <v>0</v>
      </c>
      <c r="BR20" s="17">
        <f>BR19*Supuestos!$F$35</f>
        <v>0</v>
      </c>
      <c r="BS20" s="17">
        <f>BS19*Supuestos!$F$35</f>
        <v>0</v>
      </c>
      <c r="BT20" s="17">
        <f>BT19*Supuestos!$F$35</f>
        <v>0</v>
      </c>
      <c r="BU20" s="17">
        <f>BU19*Supuestos!$F$35</f>
        <v>0</v>
      </c>
      <c r="BV20" s="17">
        <f>BV19*Supuestos!$F$35</f>
        <v>0</v>
      </c>
      <c r="BW20" s="17">
        <f>BW19*Supuestos!$F$35</f>
        <v>0</v>
      </c>
      <c r="BX20" s="17">
        <f>BX19*Supuestos!$F$35</f>
        <v>0</v>
      </c>
      <c r="BY20" s="17">
        <f>BY19*Supuestos!$F$35</f>
        <v>0</v>
      </c>
      <c r="BZ20" s="17">
        <f>BZ19*Supuestos!$F$35</f>
        <v>0</v>
      </c>
      <c r="CA20" s="17">
        <f>CA19*Supuestos!$F$35</f>
        <v>0</v>
      </c>
      <c r="CB20" s="17">
        <f>CB19*Supuestos!$F$35</f>
        <v>0</v>
      </c>
      <c r="CC20" s="17">
        <f>CC19*Supuestos!$F$35</f>
        <v>0</v>
      </c>
      <c r="CD20" s="17">
        <f>CD19*Supuestos!$F$35</f>
        <v>0</v>
      </c>
      <c r="CE20" s="17">
        <f>CE19*Supuestos!$F$35</f>
        <v>0</v>
      </c>
      <c r="CF20" s="17">
        <f>CF19*Supuestos!$F$35</f>
        <v>0</v>
      </c>
      <c r="CG20" s="17">
        <f>CG19*Supuestos!$F$35</f>
        <v>0</v>
      </c>
      <c r="CH20" s="17">
        <f>CH19*Supuestos!$F$35</f>
        <v>0</v>
      </c>
      <c r="CI20" s="17">
        <f>CI19*Supuestos!$F$35</f>
        <v>0</v>
      </c>
      <c r="CJ20" s="17">
        <f>CJ19*Supuestos!$F$35</f>
        <v>0</v>
      </c>
      <c r="CK20" s="17">
        <f>CK19*Supuestos!$F$35</f>
        <v>0</v>
      </c>
      <c r="CL20" s="17">
        <f>CL19*Supuestos!$F$35</f>
        <v>0</v>
      </c>
      <c r="CM20" s="17">
        <f>CM19*Supuestos!$F$35</f>
        <v>0</v>
      </c>
      <c r="CN20" s="17">
        <f>CN19*Supuestos!$F$35</f>
        <v>0</v>
      </c>
      <c r="CO20" s="17">
        <f>CO19*Supuestos!$F$35</f>
        <v>0</v>
      </c>
      <c r="CP20" s="17">
        <f>CP19*Supuestos!$F$35</f>
        <v>0</v>
      </c>
      <c r="CQ20" s="17">
        <f>CQ19*Supuestos!$F$35</f>
        <v>0</v>
      </c>
      <c r="CR20" s="17">
        <f>CR19*Supuestos!$F$35</f>
        <v>0</v>
      </c>
      <c r="CS20" s="17">
        <f>CS19*Supuestos!$F$35</f>
        <v>0</v>
      </c>
      <c r="CT20" s="17">
        <f>CT19*Supuestos!$F$35</f>
        <v>0</v>
      </c>
      <c r="CU20" s="17">
        <f>CU19*Supuestos!$F$35</f>
        <v>0</v>
      </c>
      <c r="CV20" s="17">
        <f>CV19*Supuestos!$F$35</f>
        <v>0</v>
      </c>
      <c r="CW20" s="17">
        <f>CW19*Supuestos!$F$35</f>
        <v>0</v>
      </c>
      <c r="CX20" s="17">
        <f>CX19*Supuestos!$F$35</f>
        <v>0</v>
      </c>
      <c r="CY20" s="17">
        <f>CY19*Supuestos!$F$35</f>
        <v>0</v>
      </c>
      <c r="CZ20" s="17">
        <f>CZ19*Supuestos!$F$35</f>
        <v>0</v>
      </c>
      <c r="DA20" s="17">
        <f>DA19*Supuestos!$F$35</f>
        <v>0</v>
      </c>
      <c r="DB20" s="17">
        <f>DB19*Supuestos!$F$35</f>
        <v>0</v>
      </c>
      <c r="DC20" s="17">
        <f>DC19*Supuestos!$F$35</f>
        <v>0</v>
      </c>
      <c r="DD20" s="17">
        <f>DD19*Supuestos!$F$35</f>
        <v>0</v>
      </c>
      <c r="DE20" s="17">
        <f>DE19*Supuestos!$F$35</f>
        <v>0</v>
      </c>
      <c r="DF20" s="17">
        <f>DF19*Supuestos!$F$35</f>
        <v>0</v>
      </c>
      <c r="DG20" s="32">
        <f>SUM(C20:DF20)</f>
        <v>113441.6196536397</v>
      </c>
    </row>
    <row r="21" spans="1:111" ht="13.8" x14ac:dyDescent="0.3">
      <c r="A21" s="16" t="s">
        <v>321</v>
      </c>
      <c r="C21" s="17">
        <f>IF(C18&gt;0,Supuestos!$G$35,0)</f>
        <v>0</v>
      </c>
      <c r="D21" s="17">
        <f>IF(D18&gt;0,Supuestos!$G$35,0)</f>
        <v>0</v>
      </c>
      <c r="E21" s="17">
        <f>IF(E18&gt;0,Supuestos!$G$35,0)</f>
        <v>0</v>
      </c>
      <c r="F21" s="17">
        <f>IF(F18&gt;0,Supuestos!$G$35,0)</f>
        <v>0</v>
      </c>
      <c r="G21" s="17">
        <f>IF(G18&gt;0,Supuestos!$G$35,0)</f>
        <v>0</v>
      </c>
      <c r="H21" s="17">
        <f>IF(H18&gt;0,Supuestos!$G$35,0)</f>
        <v>0</v>
      </c>
      <c r="I21" s="17">
        <f>IF(I18&gt;0,Supuestos!$G$35,0)</f>
        <v>0</v>
      </c>
      <c r="J21" s="17">
        <f>IF(J18&gt;0,Supuestos!$G$35,0)</f>
        <v>0</v>
      </c>
      <c r="K21" s="17">
        <f>IF(K18&gt;0,Supuestos!$G$35,0)</f>
        <v>0</v>
      </c>
      <c r="L21" s="17">
        <f>IF(L18&gt;0,Supuestos!$G$35,0)</f>
        <v>0</v>
      </c>
      <c r="M21" s="17">
        <f>IF(M18&gt;0,Supuestos!$G$35,0)</f>
        <v>32317.822768156646</v>
      </c>
      <c r="N21" s="17">
        <f>IF(N18&gt;0,Supuestos!$G$35,0)</f>
        <v>32317.822768156646</v>
      </c>
      <c r="O21" s="17">
        <f>IF(O18&gt;0,Supuestos!$G$35,0)</f>
        <v>32317.822768156646</v>
      </c>
      <c r="P21" s="17">
        <f>IF(P18&gt;0,Supuestos!$G$35,0)</f>
        <v>32317.822768156646</v>
      </c>
      <c r="Q21" s="17">
        <f>IF(Q18&gt;0,Supuestos!$G$35,0)</f>
        <v>32317.822768156646</v>
      </c>
      <c r="R21" s="17">
        <f>IF(R18&gt;0,Supuestos!$G$35,0)</f>
        <v>32317.822768156646</v>
      </c>
      <c r="S21" s="17">
        <f>IF(S18&gt;0,Supuestos!$G$35,0)</f>
        <v>32317.822768156646</v>
      </c>
      <c r="T21" s="17">
        <f>IF(T18&gt;0,Supuestos!$G$35,0)</f>
        <v>32317.822768156646</v>
      </c>
      <c r="U21" s="17">
        <f>IF(U18&gt;0,Supuestos!$G$35,0)</f>
        <v>32317.822768156646</v>
      </c>
      <c r="V21" s="17">
        <f>IF(V18&gt;0,Supuestos!$G$35,0)</f>
        <v>32317.822768156646</v>
      </c>
      <c r="W21" s="17">
        <f>IF(W18&gt;0,Supuestos!$G$35,0)</f>
        <v>32317.822768156646</v>
      </c>
      <c r="X21" s="17">
        <f>IF(X18&gt;0,Supuestos!$G$35,0)</f>
        <v>32317.822768156646</v>
      </c>
      <c r="Y21" s="17">
        <f>IF(Y18&gt;0,Supuestos!$G$35,0)</f>
        <v>32317.822768156646</v>
      </c>
      <c r="Z21" s="17">
        <f>IF(Z18&gt;0,Supuestos!$G$35,0)</f>
        <v>32317.822768156646</v>
      </c>
      <c r="AA21" s="17">
        <f>IF(AA18&gt;0,Supuestos!$G$35,0)</f>
        <v>32317.822768156646</v>
      </c>
      <c r="AB21" s="17">
        <f>IF(AB18&gt;0,Supuestos!$G$35,0)</f>
        <v>32317.822768156646</v>
      </c>
      <c r="AC21" s="17">
        <f>IF(AC18&gt;0,Supuestos!$G$35,0)</f>
        <v>32317.822768156646</v>
      </c>
      <c r="AD21" s="17">
        <f>IF(AD18&gt;0,Supuestos!$G$35,0)</f>
        <v>32317.822768156646</v>
      </c>
      <c r="AE21" s="17">
        <f>IF(AE18&gt;0,Supuestos!$G$35,0)</f>
        <v>32317.822768156646</v>
      </c>
      <c r="AF21" s="17">
        <f>IF(AF18&gt;0,Supuestos!$G$35,0)</f>
        <v>32317.822768156646</v>
      </c>
      <c r="AG21" s="17">
        <f>IF(AG18&gt;0,Supuestos!$G$35,0)</f>
        <v>32317.822768156646</v>
      </c>
      <c r="AH21" s="17">
        <f>IF(AH18&gt;0,Supuestos!$G$35,0)</f>
        <v>32317.822768156646</v>
      </c>
      <c r="AI21" s="17">
        <f>IF(AI18&gt;0,Supuestos!$G$35,0)</f>
        <v>32317.822768156646</v>
      </c>
      <c r="AJ21" s="17">
        <f>IF(AJ18&gt;0,Supuestos!$G$35,0)</f>
        <v>32317.822768156646</v>
      </c>
      <c r="AK21" s="17">
        <f>IF(AK18&gt;0,Supuestos!$G$35,0)</f>
        <v>32317.822768156646</v>
      </c>
      <c r="AL21" s="17">
        <f>IF(AL18&gt;0,Supuestos!$G$35,0)</f>
        <v>32317.822768156646</v>
      </c>
      <c r="AM21" s="17">
        <f>IF(AM18&gt;0,Supuestos!$G$35,0)</f>
        <v>32317.822768156646</v>
      </c>
      <c r="AN21" s="17">
        <f>IF(AN18&gt;0,Supuestos!$G$35,0)</f>
        <v>32317.822768156646</v>
      </c>
      <c r="AO21" s="17">
        <f>IF(AO18&gt;0,Supuestos!$G$35,0)</f>
        <v>32317.822768156646</v>
      </c>
      <c r="AP21" s="17">
        <f>IF(AP18&gt;0,Supuestos!$G$35,0)</f>
        <v>32317.822768156646</v>
      </c>
      <c r="AQ21" s="17">
        <f>IF(AQ18&gt;0,Supuestos!$G$35,0)</f>
        <v>32317.822768156646</v>
      </c>
      <c r="AR21" s="17">
        <f>IF(AR18&gt;0,Supuestos!$G$35,0)</f>
        <v>32317.822768156646</v>
      </c>
      <c r="AS21" s="17">
        <f>IF(AS18&gt;0,Supuestos!$G$35,0)</f>
        <v>32317.822768156646</v>
      </c>
      <c r="AT21" s="17">
        <f>IF(AT18&gt;0,Supuestos!$G$35,0)</f>
        <v>32317.822768156646</v>
      </c>
      <c r="AU21" s="17">
        <f>IF(AU18&gt;0,Supuestos!$G$35,0)</f>
        <v>32317.822768156646</v>
      </c>
      <c r="AV21" s="17">
        <f>IF(AV18&gt;0,Supuestos!$G$35,0)</f>
        <v>32317.822768156646</v>
      </c>
      <c r="AW21" s="17">
        <f>IF(AW18&gt;0,Supuestos!$G$35,0)</f>
        <v>0</v>
      </c>
      <c r="AX21" s="17">
        <f>IF(AX18&gt;0,Supuestos!$G$35,0)</f>
        <v>0</v>
      </c>
      <c r="AY21" s="17">
        <f>IF(AY18&gt;0,Supuestos!$G$35,0)</f>
        <v>0</v>
      </c>
      <c r="AZ21" s="17">
        <f>IF(AZ18&gt;0,Supuestos!$G$35,0)</f>
        <v>0</v>
      </c>
      <c r="BA21" s="17">
        <f>IF(BA18&gt;0,Supuestos!$G$35,0)</f>
        <v>0</v>
      </c>
      <c r="BB21" s="17">
        <f>IF(BB18&gt;0,Supuestos!$G$35,0)</f>
        <v>0</v>
      </c>
      <c r="BC21" s="17">
        <f>IF(BC18&gt;0,Supuestos!$G$35,0)</f>
        <v>0</v>
      </c>
      <c r="BD21" s="17">
        <f>IF(BD18&gt;0,Supuestos!$G$35,0)</f>
        <v>0</v>
      </c>
      <c r="BE21" s="17">
        <f>IF(BE18&gt;0,Supuestos!$G$35,0)</f>
        <v>0</v>
      </c>
      <c r="BF21" s="17">
        <f>IF(BF18&gt;0,Supuestos!$G$35,0)</f>
        <v>0</v>
      </c>
      <c r="BG21" s="17">
        <f>IF(BG18&gt;0,Supuestos!$G$35,0)</f>
        <v>0</v>
      </c>
      <c r="BH21" s="17">
        <f>IF(BH18&gt;0,Supuestos!$G$35,0)</f>
        <v>0</v>
      </c>
      <c r="BI21" s="17">
        <f>IF(BI18&gt;0,Supuestos!$G$35,0)</f>
        <v>0</v>
      </c>
      <c r="BJ21" s="17">
        <f>IF(BJ18&gt;0,Supuestos!$G$35,0)</f>
        <v>0</v>
      </c>
      <c r="BK21" s="17">
        <f>IF(BK18&gt;0,Supuestos!$G$35,0)</f>
        <v>0</v>
      </c>
      <c r="BL21" s="17">
        <f>IF(BL18&gt;0,Supuestos!$G$35,0)</f>
        <v>0</v>
      </c>
      <c r="BM21" s="17">
        <f>IF(BM18&gt;0,Supuestos!$G$35,0)</f>
        <v>0</v>
      </c>
      <c r="BN21" s="17">
        <f>IF(BN18&gt;0,Supuestos!$G$35,0)</f>
        <v>0</v>
      </c>
      <c r="BO21" s="17">
        <f>IF(BO18&gt;0,Supuestos!$G$35,0)</f>
        <v>0</v>
      </c>
      <c r="BP21" s="17">
        <f>IF(BP18&gt;0,Supuestos!$G$35,0)</f>
        <v>0</v>
      </c>
      <c r="BQ21" s="17">
        <f>IF(BQ18&gt;0,Supuestos!$G$35,0)</f>
        <v>0</v>
      </c>
      <c r="BR21" s="17">
        <f>IF(BR18&gt;0,Supuestos!$G$35,0)</f>
        <v>0</v>
      </c>
      <c r="BS21" s="17">
        <f>IF(BS18&gt;0,Supuestos!$G$35,0)</f>
        <v>0</v>
      </c>
      <c r="BT21" s="17">
        <f>IF(BT18&gt;0,Supuestos!$G$35,0)</f>
        <v>0</v>
      </c>
      <c r="BU21" s="17">
        <f>IF(BU18&gt;0,Supuestos!$G$35,0)</f>
        <v>0</v>
      </c>
      <c r="BV21" s="17">
        <f>IF(BV18&gt;0,Supuestos!$G$35,0)</f>
        <v>0</v>
      </c>
      <c r="BW21" s="17">
        <f>IF(BW18&gt;0,Supuestos!$G$35,0)</f>
        <v>0</v>
      </c>
      <c r="BX21" s="17">
        <f>IF(BX18&gt;0,Supuestos!$G$35,0)</f>
        <v>0</v>
      </c>
      <c r="BY21" s="17">
        <f>IF(BY18&gt;0,Supuestos!$G$35,0)</f>
        <v>0</v>
      </c>
      <c r="BZ21" s="17">
        <f>IF(BZ18&gt;0,Supuestos!$G$35,0)</f>
        <v>0</v>
      </c>
      <c r="CA21" s="17">
        <f>IF(CA18&gt;0,Supuestos!$G$35,0)</f>
        <v>0</v>
      </c>
      <c r="CB21" s="17">
        <f>IF(CB18&gt;0,Supuestos!$G$35,0)</f>
        <v>0</v>
      </c>
      <c r="CC21" s="17">
        <f>IF(CC18&gt;0,Supuestos!$G$35,0)</f>
        <v>0</v>
      </c>
      <c r="CD21" s="17">
        <f>IF(CD18&gt;0,Supuestos!$G$35,0)</f>
        <v>0</v>
      </c>
      <c r="CE21" s="17">
        <f>IF(CE18&gt;0,Supuestos!$G$35,0)</f>
        <v>0</v>
      </c>
      <c r="CF21" s="17">
        <f>IF(CF18&gt;0,Supuestos!$G$35,0)</f>
        <v>0</v>
      </c>
      <c r="CG21" s="17">
        <f>IF(CG18&gt;0,Supuestos!$G$35,0)</f>
        <v>0</v>
      </c>
      <c r="CH21" s="17">
        <f>IF(CH18&gt;0,Supuestos!$G$35,0)</f>
        <v>0</v>
      </c>
      <c r="CI21" s="17">
        <f>IF(CI18&gt;0,Supuestos!$G$35,0)</f>
        <v>0</v>
      </c>
      <c r="CJ21" s="17">
        <f>IF(CJ18&gt;0,Supuestos!$G$35,0)</f>
        <v>0</v>
      </c>
      <c r="CK21" s="17">
        <f>IF(CK18&gt;0,Supuestos!$G$35,0)</f>
        <v>0</v>
      </c>
      <c r="CL21" s="17">
        <f>IF(CL18&gt;0,Supuestos!$G$35,0)</f>
        <v>0</v>
      </c>
      <c r="CM21" s="17">
        <f>IF(CM18&gt;0,Supuestos!$G$35,0)</f>
        <v>0</v>
      </c>
      <c r="CN21" s="17">
        <f>IF(CN18&gt;0,Supuestos!$G$35,0)</f>
        <v>0</v>
      </c>
      <c r="CO21" s="17">
        <f>IF(CO18&gt;0,Supuestos!$G$35,0)</f>
        <v>0</v>
      </c>
      <c r="CP21" s="17">
        <f>IF(CP18&gt;0,Supuestos!$G$35,0)</f>
        <v>0</v>
      </c>
      <c r="CQ21" s="17">
        <f>IF(CQ18&gt;0,Supuestos!$G$35,0)</f>
        <v>0</v>
      </c>
      <c r="CR21" s="17">
        <f>IF(CR18&gt;0,Supuestos!$G$35,0)</f>
        <v>0</v>
      </c>
      <c r="CS21" s="17">
        <f>IF(CS18&gt;0,Supuestos!$G$35,0)</f>
        <v>0</v>
      </c>
      <c r="CT21" s="17">
        <f>IF(CT18&gt;0,Supuestos!$G$35,0)</f>
        <v>0</v>
      </c>
      <c r="CU21" s="17">
        <f>IF(CU18&gt;0,Supuestos!$G$35,0)</f>
        <v>0</v>
      </c>
      <c r="CV21" s="17">
        <f>IF(CV18&gt;0,Supuestos!$G$35,0)</f>
        <v>0</v>
      </c>
      <c r="CW21" s="17">
        <f>IF(CW18&gt;0,Supuestos!$G$35,0)</f>
        <v>0</v>
      </c>
      <c r="CX21" s="17">
        <f>IF(CX18&gt;0,Supuestos!$G$35,0)</f>
        <v>0</v>
      </c>
      <c r="CY21" s="17">
        <f>IF(CY18&gt;0,Supuestos!$G$35,0)</f>
        <v>0</v>
      </c>
      <c r="CZ21" s="17">
        <f>IF(CZ18&gt;0,Supuestos!$G$35,0)</f>
        <v>0</v>
      </c>
      <c r="DA21" s="17">
        <f>IF(DA18&gt;0,Supuestos!$G$35,0)</f>
        <v>0</v>
      </c>
      <c r="DB21" s="17">
        <f>IF(DB18&gt;0,Supuestos!$G$35,0)</f>
        <v>0</v>
      </c>
      <c r="DC21" s="17">
        <f>IF(DC18&gt;0,Supuestos!$G$35,0)</f>
        <v>0</v>
      </c>
      <c r="DD21" s="17">
        <f>IF(DD18&gt;0,Supuestos!$G$35,0)</f>
        <v>0</v>
      </c>
      <c r="DE21" s="17">
        <f>IF(DE18&gt;0,Supuestos!$G$35,0)</f>
        <v>0</v>
      </c>
      <c r="DF21" s="17">
        <f>IF(DF18&gt;0,Supuestos!$G$35,0)</f>
        <v>0</v>
      </c>
      <c r="DG21" s="32">
        <f>SUM(C21:DF21)</f>
        <v>1163441.6196536392</v>
      </c>
    </row>
    <row r="22" spans="1:111" ht="13.8" x14ac:dyDescent="0.3">
      <c r="A22" s="16" t="s">
        <v>322</v>
      </c>
      <c r="C22" s="37">
        <f t="shared" ref="C22:AH22" si="0">C21-C20</f>
        <v>0</v>
      </c>
      <c r="D22" s="37">
        <f t="shared" si="0"/>
        <v>0</v>
      </c>
      <c r="E22" s="37">
        <f t="shared" si="0"/>
        <v>0</v>
      </c>
      <c r="F22" s="37">
        <f t="shared" si="0"/>
        <v>0</v>
      </c>
      <c r="G22" s="37">
        <f t="shared" si="0"/>
        <v>0</v>
      </c>
      <c r="H22" s="37">
        <f t="shared" si="0"/>
        <v>0</v>
      </c>
      <c r="I22" s="37">
        <f t="shared" si="0"/>
        <v>0</v>
      </c>
      <c r="J22" s="37">
        <f t="shared" si="0"/>
        <v>0</v>
      </c>
      <c r="K22" s="37">
        <f t="shared" si="0"/>
        <v>0</v>
      </c>
      <c r="L22" s="37">
        <f t="shared" si="0"/>
        <v>0</v>
      </c>
      <c r="M22" s="37">
        <f t="shared" si="0"/>
        <v>26380.97011138111</v>
      </c>
      <c r="N22" s="37">
        <f t="shared" si="0"/>
        <v>26530.13195185165</v>
      </c>
      <c r="O22" s="37">
        <f t="shared" si="0"/>
        <v>26680.137175054464</v>
      </c>
      <c r="P22" s="37">
        <f t="shared" si="0"/>
        <v>26830.99054959814</v>
      </c>
      <c r="Q22" s="37">
        <f t="shared" si="0"/>
        <v>26982.696871053664</v>
      </c>
      <c r="R22" s="37">
        <f t="shared" si="0"/>
        <v>27135.260962106888</v>
      </c>
      <c r="S22" s="37">
        <f t="shared" si="0"/>
        <v>27288.687672711822</v>
      </c>
      <c r="T22" s="37">
        <f t="shared" si="0"/>
        <v>27442.981880244828</v>
      </c>
      <c r="U22" s="37">
        <f t="shared" si="0"/>
        <v>27598.148489659663</v>
      </c>
      <c r="V22" s="37">
        <f t="shared" si="0"/>
        <v>27754.192433643395</v>
      </c>
      <c r="W22" s="37">
        <f t="shared" si="0"/>
        <v>27911.118672773242</v>
      </c>
      <c r="X22" s="37">
        <f t="shared" si="0"/>
        <v>28068.932195674221</v>
      </c>
      <c r="Y22" s="37">
        <f t="shared" si="0"/>
        <v>28227.638019177786</v>
      </c>
      <c r="Z22" s="37">
        <f t="shared" si="0"/>
        <v>28387.241188481265</v>
      </c>
      <c r="AA22" s="37">
        <f t="shared" si="0"/>
        <v>28547.746777308275</v>
      </c>
      <c r="AB22" s="37">
        <f t="shared" si="0"/>
        <v>28709.159888070008</v>
      </c>
      <c r="AC22" s="37">
        <f t="shared" si="0"/>
        <v>28871.485652027419</v>
      </c>
      <c r="AD22" s="37">
        <f t="shared" si="0"/>
        <v>29034.729229454366</v>
      </c>
      <c r="AE22" s="37">
        <f t="shared" si="0"/>
        <v>29198.895809801648</v>
      </c>
      <c r="AF22" s="37">
        <f t="shared" si="0"/>
        <v>29363.990611861966</v>
      </c>
      <c r="AG22" s="37">
        <f t="shared" si="0"/>
        <v>29530.018883935838</v>
      </c>
      <c r="AH22" s="37">
        <f t="shared" si="0"/>
        <v>29696.985903998433</v>
      </c>
      <c r="AI22" s="37">
        <f t="shared" ref="AI22:BN22" si="1">AI21-AI20</f>
        <v>29864.896979867364</v>
      </c>
      <c r="AJ22" s="37">
        <f t="shared" si="1"/>
        <v>30033.757449371416</v>
      </c>
      <c r="AK22" s="37">
        <f t="shared" si="1"/>
        <v>30203.572680520228</v>
      </c>
      <c r="AL22" s="37">
        <f t="shared" si="1"/>
        <v>30374.348071674951</v>
      </c>
      <c r="AM22" s="37">
        <f t="shared" si="1"/>
        <v>30546.089051719853</v>
      </c>
      <c r="AN22" s="37">
        <f t="shared" si="1"/>
        <v>30718.801080234909</v>
      </c>
      <c r="AO22" s="37">
        <f t="shared" si="1"/>
        <v>30892.489647669339</v>
      </c>
      <c r="AP22" s="37">
        <f t="shared" si="1"/>
        <v>31067.160275516173</v>
      </c>
      <c r="AQ22" s="37">
        <f t="shared" si="1"/>
        <v>31242.818516487761</v>
      </c>
      <c r="AR22" s="37">
        <f t="shared" si="1"/>
        <v>31419.4699546923</v>
      </c>
      <c r="AS22" s="37">
        <f t="shared" si="1"/>
        <v>31597.120205811345</v>
      </c>
      <c r="AT22" s="37">
        <f t="shared" si="1"/>
        <v>31775.774917278322</v>
      </c>
      <c r="AU22" s="37">
        <f t="shared" si="1"/>
        <v>31955.43976845808</v>
      </c>
      <c r="AV22" s="37">
        <f t="shared" si="1"/>
        <v>32136.120470827413</v>
      </c>
      <c r="AW22" s="37">
        <f t="shared" si="1"/>
        <v>0</v>
      </c>
      <c r="AX22" s="37">
        <f t="shared" si="1"/>
        <v>0</v>
      </c>
      <c r="AY22" s="37">
        <f t="shared" si="1"/>
        <v>0</v>
      </c>
      <c r="AZ22" s="37">
        <f t="shared" si="1"/>
        <v>0</v>
      </c>
      <c r="BA22" s="37">
        <f t="shared" si="1"/>
        <v>0</v>
      </c>
      <c r="BB22" s="37">
        <f t="shared" si="1"/>
        <v>0</v>
      </c>
      <c r="BC22" s="37">
        <f t="shared" si="1"/>
        <v>0</v>
      </c>
      <c r="BD22" s="37">
        <f t="shared" si="1"/>
        <v>0</v>
      </c>
      <c r="BE22" s="37">
        <f t="shared" si="1"/>
        <v>0</v>
      </c>
      <c r="BF22" s="37">
        <f t="shared" si="1"/>
        <v>0</v>
      </c>
      <c r="BG22" s="37">
        <f t="shared" si="1"/>
        <v>0</v>
      </c>
      <c r="BH22" s="37">
        <f t="shared" si="1"/>
        <v>0</v>
      </c>
      <c r="BI22" s="37">
        <f t="shared" si="1"/>
        <v>0</v>
      </c>
      <c r="BJ22" s="37">
        <f t="shared" si="1"/>
        <v>0</v>
      </c>
      <c r="BK22" s="37">
        <f t="shared" si="1"/>
        <v>0</v>
      </c>
      <c r="BL22" s="37">
        <f t="shared" si="1"/>
        <v>0</v>
      </c>
      <c r="BM22" s="37">
        <f t="shared" si="1"/>
        <v>0</v>
      </c>
      <c r="BN22" s="37">
        <f t="shared" si="1"/>
        <v>0</v>
      </c>
      <c r="BO22" s="37">
        <f t="shared" ref="BO22:CT22" si="2">BO21-BO20</f>
        <v>0</v>
      </c>
      <c r="BP22" s="37">
        <f t="shared" si="2"/>
        <v>0</v>
      </c>
      <c r="BQ22" s="37">
        <f t="shared" si="2"/>
        <v>0</v>
      </c>
      <c r="BR22" s="37">
        <f t="shared" si="2"/>
        <v>0</v>
      </c>
      <c r="BS22" s="37">
        <f t="shared" si="2"/>
        <v>0</v>
      </c>
      <c r="BT22" s="37">
        <f t="shared" si="2"/>
        <v>0</v>
      </c>
      <c r="BU22" s="37">
        <f t="shared" si="2"/>
        <v>0</v>
      </c>
      <c r="BV22" s="37">
        <f t="shared" si="2"/>
        <v>0</v>
      </c>
      <c r="BW22" s="37">
        <f t="shared" si="2"/>
        <v>0</v>
      </c>
      <c r="BX22" s="37">
        <f t="shared" si="2"/>
        <v>0</v>
      </c>
      <c r="BY22" s="37">
        <f t="shared" si="2"/>
        <v>0</v>
      </c>
      <c r="BZ22" s="37">
        <f t="shared" si="2"/>
        <v>0</v>
      </c>
      <c r="CA22" s="37">
        <f t="shared" si="2"/>
        <v>0</v>
      </c>
      <c r="CB22" s="37">
        <f t="shared" si="2"/>
        <v>0</v>
      </c>
      <c r="CC22" s="37">
        <f t="shared" si="2"/>
        <v>0</v>
      </c>
      <c r="CD22" s="37">
        <f t="shared" si="2"/>
        <v>0</v>
      </c>
      <c r="CE22" s="37">
        <f t="shared" si="2"/>
        <v>0</v>
      </c>
      <c r="CF22" s="37">
        <f t="shared" si="2"/>
        <v>0</v>
      </c>
      <c r="CG22" s="37">
        <f t="shared" si="2"/>
        <v>0</v>
      </c>
      <c r="CH22" s="37">
        <f t="shared" si="2"/>
        <v>0</v>
      </c>
      <c r="CI22" s="37">
        <f t="shared" si="2"/>
        <v>0</v>
      </c>
      <c r="CJ22" s="37">
        <f t="shared" si="2"/>
        <v>0</v>
      </c>
      <c r="CK22" s="37">
        <f t="shared" si="2"/>
        <v>0</v>
      </c>
      <c r="CL22" s="37">
        <f t="shared" si="2"/>
        <v>0</v>
      </c>
      <c r="CM22" s="37">
        <f t="shared" si="2"/>
        <v>0</v>
      </c>
      <c r="CN22" s="37">
        <f t="shared" si="2"/>
        <v>0</v>
      </c>
      <c r="CO22" s="37">
        <f t="shared" si="2"/>
        <v>0</v>
      </c>
      <c r="CP22" s="37">
        <f t="shared" si="2"/>
        <v>0</v>
      </c>
      <c r="CQ22" s="37">
        <f t="shared" si="2"/>
        <v>0</v>
      </c>
      <c r="CR22" s="37">
        <f t="shared" si="2"/>
        <v>0</v>
      </c>
      <c r="CS22" s="37">
        <f t="shared" si="2"/>
        <v>0</v>
      </c>
      <c r="CT22" s="37">
        <f t="shared" si="2"/>
        <v>0</v>
      </c>
      <c r="CU22" s="37">
        <f t="shared" ref="CU22:DZ22" si="3">CU21-CU20</f>
        <v>0</v>
      </c>
      <c r="CV22" s="37">
        <f t="shared" si="3"/>
        <v>0</v>
      </c>
      <c r="CW22" s="37">
        <f t="shared" si="3"/>
        <v>0</v>
      </c>
      <c r="CX22" s="37">
        <f t="shared" si="3"/>
        <v>0</v>
      </c>
      <c r="CY22" s="37">
        <f t="shared" si="3"/>
        <v>0</v>
      </c>
      <c r="CZ22" s="37">
        <f t="shared" si="3"/>
        <v>0</v>
      </c>
      <c r="DA22" s="37">
        <f t="shared" si="3"/>
        <v>0</v>
      </c>
      <c r="DB22" s="37">
        <f t="shared" si="3"/>
        <v>0</v>
      </c>
      <c r="DC22" s="37">
        <f t="shared" si="3"/>
        <v>0</v>
      </c>
      <c r="DD22" s="37">
        <f t="shared" si="3"/>
        <v>0</v>
      </c>
      <c r="DE22" s="37">
        <f t="shared" si="3"/>
        <v>0</v>
      </c>
      <c r="DF22" s="37">
        <f t="shared" si="3"/>
        <v>0</v>
      </c>
      <c r="DG22" s="32">
        <f>SUM(C22:DF22)</f>
        <v>1049999.9999999998</v>
      </c>
    </row>
    <row r="23" spans="1:111" ht="13.8" x14ac:dyDescent="0.3">
      <c r="A23" s="16" t="s">
        <v>323</v>
      </c>
      <c r="C23" s="32">
        <f t="shared" ref="C23:AH23" si="4">C19-C22</f>
        <v>0</v>
      </c>
      <c r="D23" s="32">
        <f t="shared" si="4"/>
        <v>0</v>
      </c>
      <c r="E23" s="32">
        <f t="shared" si="4"/>
        <v>0</v>
      </c>
      <c r="F23" s="32">
        <f t="shared" si="4"/>
        <v>0</v>
      </c>
      <c r="G23" s="32">
        <f t="shared" si="4"/>
        <v>0</v>
      </c>
      <c r="H23" s="32">
        <f t="shared" si="4"/>
        <v>0</v>
      </c>
      <c r="I23" s="32">
        <f t="shared" si="4"/>
        <v>0</v>
      </c>
      <c r="J23" s="32">
        <f t="shared" si="4"/>
        <v>0</v>
      </c>
      <c r="K23" s="32">
        <f t="shared" si="4"/>
        <v>0</v>
      </c>
      <c r="L23" s="32">
        <f t="shared" si="4"/>
        <v>0</v>
      </c>
      <c r="M23" s="32">
        <f t="shared" si="4"/>
        <v>1023619.0298886189</v>
      </c>
      <c r="N23" s="32">
        <f t="shared" si="4"/>
        <v>997088.8979367672</v>
      </c>
      <c r="O23" s="32">
        <f t="shared" si="4"/>
        <v>970408.76076171268</v>
      </c>
      <c r="P23" s="32">
        <f t="shared" si="4"/>
        <v>943577.77021211456</v>
      </c>
      <c r="Q23" s="32">
        <f t="shared" si="4"/>
        <v>916595.0733410609</v>
      </c>
      <c r="R23" s="32">
        <f t="shared" si="4"/>
        <v>889459.81237895403</v>
      </c>
      <c r="S23" s="32">
        <f t="shared" si="4"/>
        <v>862171.12470624223</v>
      </c>
      <c r="T23" s="32">
        <f t="shared" si="4"/>
        <v>834728.14282599743</v>
      </c>
      <c r="U23" s="32">
        <f t="shared" si="4"/>
        <v>807129.99433633778</v>
      </c>
      <c r="V23" s="32">
        <f t="shared" si="4"/>
        <v>779375.80190269439</v>
      </c>
      <c r="W23" s="32">
        <f t="shared" si="4"/>
        <v>751464.68322992115</v>
      </c>
      <c r="X23" s="32">
        <f t="shared" si="4"/>
        <v>723395.75103424699</v>
      </c>
      <c r="Y23" s="32">
        <f t="shared" si="4"/>
        <v>695168.11301506916</v>
      </c>
      <c r="Z23" s="32">
        <f t="shared" si="4"/>
        <v>666780.87182658794</v>
      </c>
      <c r="AA23" s="32">
        <f t="shared" si="4"/>
        <v>638233.12504927965</v>
      </c>
      <c r="AB23" s="32">
        <f t="shared" si="4"/>
        <v>609523.96516120969</v>
      </c>
      <c r="AC23" s="32">
        <f t="shared" si="4"/>
        <v>580652.47950918227</v>
      </c>
      <c r="AD23" s="32">
        <f t="shared" si="4"/>
        <v>551617.75027972786</v>
      </c>
      <c r="AE23" s="32">
        <f t="shared" si="4"/>
        <v>522418.85446992621</v>
      </c>
      <c r="AF23" s="32">
        <f t="shared" si="4"/>
        <v>493054.86385806423</v>
      </c>
      <c r="AG23" s="32">
        <f t="shared" si="4"/>
        <v>463524.84497412841</v>
      </c>
      <c r="AH23" s="32">
        <f t="shared" si="4"/>
        <v>433827.85907012998</v>
      </c>
      <c r="AI23" s="32">
        <f t="shared" ref="AI23:BN23" si="5">AI19-AI22</f>
        <v>403962.96209026262</v>
      </c>
      <c r="AJ23" s="32">
        <f t="shared" si="5"/>
        <v>373929.20464089123</v>
      </c>
      <c r="AK23" s="32">
        <f t="shared" si="5"/>
        <v>343725.63196037099</v>
      </c>
      <c r="AL23" s="32">
        <f t="shared" si="5"/>
        <v>313351.28388869605</v>
      </c>
      <c r="AM23" s="32">
        <f t="shared" si="5"/>
        <v>282805.19483697618</v>
      </c>
      <c r="AN23" s="32">
        <f t="shared" si="5"/>
        <v>252086.39375674128</v>
      </c>
      <c r="AO23" s="32">
        <f t="shared" si="5"/>
        <v>221193.90410907194</v>
      </c>
      <c r="AP23" s="32">
        <f t="shared" si="5"/>
        <v>190126.74383355578</v>
      </c>
      <c r="AQ23" s="32">
        <f t="shared" si="5"/>
        <v>158883.92531706803</v>
      </c>
      <c r="AR23" s="32">
        <f t="shared" si="5"/>
        <v>127464.45536237574</v>
      </c>
      <c r="AS23" s="32">
        <f t="shared" si="5"/>
        <v>95867.335156564397</v>
      </c>
      <c r="AT23" s="32">
        <f t="shared" si="5"/>
        <v>64091.560239286075</v>
      </c>
      <c r="AU23" s="32">
        <f t="shared" si="5"/>
        <v>32136.120470827995</v>
      </c>
      <c r="AV23" s="32">
        <f t="shared" si="5"/>
        <v>5.8207660913467407E-10</v>
      </c>
      <c r="AW23" s="32">
        <f t="shared" si="5"/>
        <v>0</v>
      </c>
      <c r="AX23" s="32">
        <f t="shared" si="5"/>
        <v>0</v>
      </c>
      <c r="AY23" s="32">
        <f t="shared" si="5"/>
        <v>0</v>
      </c>
      <c r="AZ23" s="32">
        <f t="shared" si="5"/>
        <v>0</v>
      </c>
      <c r="BA23" s="32">
        <f t="shared" si="5"/>
        <v>0</v>
      </c>
      <c r="BB23" s="32">
        <f t="shared" si="5"/>
        <v>0</v>
      </c>
      <c r="BC23" s="32">
        <f t="shared" si="5"/>
        <v>0</v>
      </c>
      <c r="BD23" s="32">
        <f t="shared" si="5"/>
        <v>0</v>
      </c>
      <c r="BE23" s="32">
        <f t="shared" si="5"/>
        <v>0</v>
      </c>
      <c r="BF23" s="32">
        <f t="shared" si="5"/>
        <v>0</v>
      </c>
      <c r="BG23" s="32">
        <f t="shared" si="5"/>
        <v>0</v>
      </c>
      <c r="BH23" s="32">
        <f t="shared" si="5"/>
        <v>0</v>
      </c>
      <c r="BI23" s="32">
        <f t="shared" si="5"/>
        <v>0</v>
      </c>
      <c r="BJ23" s="32">
        <f t="shared" si="5"/>
        <v>0</v>
      </c>
      <c r="BK23" s="32">
        <f t="shared" si="5"/>
        <v>0</v>
      </c>
      <c r="BL23" s="32">
        <f t="shared" si="5"/>
        <v>0</v>
      </c>
      <c r="BM23" s="32">
        <f t="shared" si="5"/>
        <v>0</v>
      </c>
      <c r="BN23" s="32">
        <f t="shared" si="5"/>
        <v>0</v>
      </c>
      <c r="BO23" s="32">
        <f t="shared" ref="BO23:CT23" si="6">BO19-BO22</f>
        <v>0</v>
      </c>
      <c r="BP23" s="32">
        <f t="shared" si="6"/>
        <v>0</v>
      </c>
      <c r="BQ23" s="32">
        <f t="shared" si="6"/>
        <v>0</v>
      </c>
      <c r="BR23" s="32">
        <f t="shared" si="6"/>
        <v>0</v>
      </c>
      <c r="BS23" s="32">
        <f t="shared" si="6"/>
        <v>0</v>
      </c>
      <c r="BT23" s="32">
        <f t="shared" si="6"/>
        <v>0</v>
      </c>
      <c r="BU23" s="32">
        <f t="shared" si="6"/>
        <v>0</v>
      </c>
      <c r="BV23" s="32">
        <f t="shared" si="6"/>
        <v>0</v>
      </c>
      <c r="BW23" s="32">
        <f t="shared" si="6"/>
        <v>0</v>
      </c>
      <c r="BX23" s="32">
        <f t="shared" si="6"/>
        <v>0</v>
      </c>
      <c r="BY23" s="32">
        <f t="shared" si="6"/>
        <v>0</v>
      </c>
      <c r="BZ23" s="32">
        <f t="shared" si="6"/>
        <v>0</v>
      </c>
      <c r="CA23" s="32">
        <f t="shared" si="6"/>
        <v>0</v>
      </c>
      <c r="CB23" s="32">
        <f t="shared" si="6"/>
        <v>0</v>
      </c>
      <c r="CC23" s="32">
        <f t="shared" si="6"/>
        <v>0</v>
      </c>
      <c r="CD23" s="32">
        <f t="shared" si="6"/>
        <v>0</v>
      </c>
      <c r="CE23" s="32">
        <f t="shared" si="6"/>
        <v>0</v>
      </c>
      <c r="CF23" s="32">
        <f t="shared" si="6"/>
        <v>0</v>
      </c>
      <c r="CG23" s="32">
        <f t="shared" si="6"/>
        <v>0</v>
      </c>
      <c r="CH23" s="32">
        <f t="shared" si="6"/>
        <v>0</v>
      </c>
      <c r="CI23" s="32">
        <f t="shared" si="6"/>
        <v>0</v>
      </c>
      <c r="CJ23" s="32">
        <f t="shared" si="6"/>
        <v>0</v>
      </c>
      <c r="CK23" s="32">
        <f t="shared" si="6"/>
        <v>0</v>
      </c>
      <c r="CL23" s="32">
        <f t="shared" si="6"/>
        <v>0</v>
      </c>
      <c r="CM23" s="32">
        <f t="shared" si="6"/>
        <v>0</v>
      </c>
      <c r="CN23" s="32">
        <f t="shared" si="6"/>
        <v>0</v>
      </c>
      <c r="CO23" s="32">
        <f t="shared" si="6"/>
        <v>0</v>
      </c>
      <c r="CP23" s="32">
        <f t="shared" si="6"/>
        <v>0</v>
      </c>
      <c r="CQ23" s="32">
        <f t="shared" si="6"/>
        <v>0</v>
      </c>
      <c r="CR23" s="32">
        <f t="shared" si="6"/>
        <v>0</v>
      </c>
      <c r="CS23" s="32">
        <f t="shared" si="6"/>
        <v>0</v>
      </c>
      <c r="CT23" s="32">
        <f t="shared" si="6"/>
        <v>0</v>
      </c>
      <c r="CU23" s="32">
        <f t="shared" ref="CU23:DZ23" si="7">CU19-CU22</f>
        <v>0</v>
      </c>
      <c r="CV23" s="32">
        <f t="shared" si="7"/>
        <v>0</v>
      </c>
      <c r="CW23" s="32">
        <f t="shared" si="7"/>
        <v>0</v>
      </c>
      <c r="CX23" s="32">
        <f t="shared" si="7"/>
        <v>0</v>
      </c>
      <c r="CY23" s="32">
        <f t="shared" si="7"/>
        <v>0</v>
      </c>
      <c r="CZ23" s="32">
        <f t="shared" si="7"/>
        <v>0</v>
      </c>
      <c r="DA23" s="32">
        <f t="shared" si="7"/>
        <v>0</v>
      </c>
      <c r="DB23" s="32">
        <f t="shared" si="7"/>
        <v>0</v>
      </c>
      <c r="DC23" s="32">
        <f t="shared" si="7"/>
        <v>0</v>
      </c>
      <c r="DD23" s="32">
        <f t="shared" si="7"/>
        <v>0</v>
      </c>
      <c r="DE23" s="32">
        <f t="shared" si="7"/>
        <v>0</v>
      </c>
      <c r="DF23" s="32">
        <f t="shared" si="7"/>
        <v>0</v>
      </c>
    </row>
    <row r="25" spans="1:111" ht="13.8" x14ac:dyDescent="0.3">
      <c r="A25" s="26" t="s">
        <v>324</v>
      </c>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row>
    <row r="26" spans="1:111" ht="13.8" x14ac:dyDescent="0.3">
      <c r="A26" s="16" t="s">
        <v>317</v>
      </c>
      <c r="C26" s="17">
        <f>IF(C$4=Supuestos!$I$36,Supuestos!$C$36,0)</f>
        <v>0</v>
      </c>
      <c r="D26" s="17">
        <f>IF(D$4=Supuestos!$I$36,Supuestos!$C$36,0)</f>
        <v>0</v>
      </c>
      <c r="E26" s="17">
        <f>IF(E$4=Supuestos!$I$36,Supuestos!$C$36,0)</f>
        <v>0</v>
      </c>
      <c r="F26" s="17">
        <f>IF(F$4=Supuestos!$I$36,Supuestos!$C$36,0)</f>
        <v>0</v>
      </c>
      <c r="G26" s="17">
        <f>IF(G$4=Supuestos!$I$36,Supuestos!$C$36,0)</f>
        <v>0</v>
      </c>
      <c r="H26" s="17">
        <f>IF(H$4=Supuestos!$I$36,Supuestos!$C$36,0)</f>
        <v>0</v>
      </c>
      <c r="I26" s="17">
        <f>IF(I$4=Supuestos!$I$36,Supuestos!$C$36,0)</f>
        <v>0</v>
      </c>
      <c r="J26" s="17">
        <f>IF(J$4=Supuestos!$I$36,Supuestos!$C$36,0)</f>
        <v>0</v>
      </c>
      <c r="K26" s="17">
        <f>IF(K$4=Supuestos!$I$36,Supuestos!$C$36,0)</f>
        <v>0</v>
      </c>
      <c r="L26" s="17">
        <f>IF(L$4=Supuestos!$I$36,Supuestos!$C$36,0)</f>
        <v>0</v>
      </c>
      <c r="M26" s="17">
        <f>IF(M$4=Supuestos!$I$36,Supuestos!$C$36,0)</f>
        <v>0</v>
      </c>
      <c r="N26" s="17">
        <f>IF(N$4=Supuestos!$I$36,Supuestos!$C$36,0)</f>
        <v>0</v>
      </c>
      <c r="O26" s="17">
        <f>IF(O$4=Supuestos!$I$36,Supuestos!$C$36,0)</f>
        <v>0</v>
      </c>
      <c r="P26" s="17">
        <f>IF(P$4=Supuestos!$I$36,Supuestos!$C$36,0)</f>
        <v>0</v>
      </c>
      <c r="Q26" s="17">
        <f>IF(Q$4=Supuestos!$I$36,Supuestos!$C$36,0)</f>
        <v>0</v>
      </c>
      <c r="R26" s="17">
        <f>IF(R$4=Supuestos!$I$36,Supuestos!$C$36,0)</f>
        <v>0</v>
      </c>
      <c r="S26" s="17">
        <f>IF(S$4=Supuestos!$I$36,Supuestos!$C$36,0)</f>
        <v>0</v>
      </c>
      <c r="T26" s="17">
        <f>IF(T$4=Supuestos!$I$36,Supuestos!$C$36,0)</f>
        <v>0</v>
      </c>
      <c r="U26" s="17">
        <f>IF(U$4=Supuestos!$I$36,Supuestos!$C$36,0)</f>
        <v>0</v>
      </c>
      <c r="V26" s="17">
        <f>IF(V$4=Supuestos!$I$36,Supuestos!$C$36,0)</f>
        <v>0</v>
      </c>
      <c r="W26" s="17">
        <f>IF(W$4=Supuestos!$I$36,Supuestos!$C$36,0)</f>
        <v>0</v>
      </c>
      <c r="X26" s="17">
        <f>IF(X$4=Supuestos!$I$36,Supuestos!$C$36,0)</f>
        <v>0</v>
      </c>
      <c r="Y26" s="17">
        <f>IF(Y$4=Supuestos!$I$36,Supuestos!$C$36,0)</f>
        <v>0</v>
      </c>
      <c r="Z26" s="17">
        <f>IF(Z$4=Supuestos!$I$36,Supuestos!$C$36,0)</f>
        <v>0</v>
      </c>
      <c r="AA26" s="17">
        <f>IF(AA$4=Supuestos!$I$36,Supuestos!$C$36,0)</f>
        <v>0</v>
      </c>
      <c r="AB26" s="17">
        <f>IF(AB$4=Supuestos!$I$36,Supuestos!$C$36,0)</f>
        <v>0</v>
      </c>
      <c r="AC26" s="17">
        <f>IF(AC$4=Supuestos!$I$36,Supuestos!$C$36,0)</f>
        <v>0</v>
      </c>
      <c r="AD26" s="17">
        <f>IF(AD$4=Supuestos!$I$36,Supuestos!$C$36,0)</f>
        <v>0</v>
      </c>
      <c r="AE26" s="17">
        <f>IF(AE$4=Supuestos!$I$36,Supuestos!$C$36,0)</f>
        <v>0</v>
      </c>
      <c r="AF26" s="17">
        <f>IF(AF$4=Supuestos!$I$36,Supuestos!$C$36,0)</f>
        <v>0</v>
      </c>
      <c r="AG26" s="17">
        <f>IF(AG$4=Supuestos!$I$36,Supuestos!$C$36,0)</f>
        <v>0</v>
      </c>
      <c r="AH26" s="17">
        <f>IF(AH$4=Supuestos!$I$36,Supuestos!$C$36,0)</f>
        <v>0</v>
      </c>
      <c r="AI26" s="17">
        <f>IF(AI$4=Supuestos!$I$36,Supuestos!$C$36,0)</f>
        <v>0</v>
      </c>
      <c r="AJ26" s="17">
        <f>IF(AJ$4=Supuestos!$I$36,Supuestos!$C$36,0)</f>
        <v>0</v>
      </c>
      <c r="AK26" s="17">
        <f>IF(AK$4=Supuestos!$I$36,Supuestos!$C$36,0)</f>
        <v>0</v>
      </c>
      <c r="AL26" s="17">
        <f>IF(AL$4=Supuestos!$I$36,Supuestos!$C$36,0)</f>
        <v>0</v>
      </c>
      <c r="AM26" s="17">
        <f>IF(AM$4=Supuestos!$I$36,Supuestos!$C$36,0)</f>
        <v>0</v>
      </c>
      <c r="AN26" s="17">
        <f>IF(AN$4=Supuestos!$I$36,Supuestos!$C$36,0)</f>
        <v>0</v>
      </c>
      <c r="AO26" s="17">
        <f>IF(AO$4=Supuestos!$I$36,Supuestos!$C$36,0)</f>
        <v>0</v>
      </c>
      <c r="AP26" s="17">
        <f>IF(AP$4=Supuestos!$I$36,Supuestos!$C$36,0)</f>
        <v>0</v>
      </c>
      <c r="AQ26" s="17">
        <f>IF(AQ$4=Supuestos!$I$36,Supuestos!$C$36,0)</f>
        <v>0</v>
      </c>
      <c r="AR26" s="17">
        <f>IF(AR$4=Supuestos!$I$36,Supuestos!$C$36,0)</f>
        <v>0</v>
      </c>
      <c r="AS26" s="17">
        <f>IF(AS$4=Supuestos!$I$36,Supuestos!$C$36,0)</f>
        <v>0</v>
      </c>
      <c r="AT26" s="17">
        <f>IF(AT$4=Supuestos!$I$36,Supuestos!$C$36,0)</f>
        <v>0</v>
      </c>
      <c r="AU26" s="17">
        <f>IF(AU$4=Supuestos!$I$36,Supuestos!$C$36,0)</f>
        <v>0</v>
      </c>
      <c r="AV26" s="17">
        <f>IF(AV$4=Supuestos!$I$36,Supuestos!$C$36,0)</f>
        <v>0</v>
      </c>
      <c r="AW26" s="17">
        <f>IF(AW$4=Supuestos!$I$36,Supuestos!$C$36,0)</f>
        <v>0</v>
      </c>
      <c r="AX26" s="17">
        <f>IF(AX$4=Supuestos!$I$36,Supuestos!$C$36,0)</f>
        <v>0</v>
      </c>
      <c r="AY26" s="17">
        <f>IF(AY$4=Supuestos!$I$36,Supuestos!$C$36,0)</f>
        <v>0</v>
      </c>
      <c r="AZ26" s="17">
        <f>IF(AZ$4=Supuestos!$I$36,Supuestos!$C$36,0)</f>
        <v>0</v>
      </c>
      <c r="BA26" s="17">
        <f>IF(BA$4=Supuestos!$I$36,Supuestos!$C$36,0)</f>
        <v>0</v>
      </c>
      <c r="BB26" s="17">
        <f>IF(BB$4=Supuestos!$I$36,Supuestos!$C$36,0)</f>
        <v>0</v>
      </c>
      <c r="BC26" s="17">
        <f>IF(BC$4=Supuestos!$I$36,Supuestos!$C$36,0)</f>
        <v>0</v>
      </c>
      <c r="BD26" s="17">
        <f>IF(BD$4=Supuestos!$I$36,Supuestos!$C$36,0)</f>
        <v>0</v>
      </c>
      <c r="BE26" s="17">
        <f>IF(BE$4=Supuestos!$I$36,Supuestos!$C$36,0)</f>
        <v>0</v>
      </c>
      <c r="BF26" s="17">
        <f>IF(BF$4=Supuestos!$I$36,Supuestos!$C$36,0)</f>
        <v>0</v>
      </c>
      <c r="BG26" s="17">
        <f>IF(BG$4=Supuestos!$I$36,Supuestos!$C$36,0)</f>
        <v>0</v>
      </c>
      <c r="BH26" s="17">
        <f>IF(BH$4=Supuestos!$I$36,Supuestos!$C$36,0)</f>
        <v>0</v>
      </c>
      <c r="BI26" s="17">
        <f>IF(BI$4=Supuestos!$I$36,Supuestos!$C$36,0)</f>
        <v>0</v>
      </c>
      <c r="BJ26" s="17">
        <f>IF(BJ$4=Supuestos!$I$36,Supuestos!$C$36,0)</f>
        <v>0</v>
      </c>
      <c r="BK26" s="17">
        <f>IF(BK$4=Supuestos!$I$36,Supuestos!$C$36,0)</f>
        <v>1050000</v>
      </c>
      <c r="BL26" s="17">
        <f>IF(BL$4=Supuestos!$I$36,Supuestos!$C$36,0)</f>
        <v>0</v>
      </c>
      <c r="BM26" s="17">
        <f>IF(BM$4=Supuestos!$I$36,Supuestos!$C$36,0)</f>
        <v>0</v>
      </c>
      <c r="BN26" s="17">
        <f>IF(BN$4=Supuestos!$I$36,Supuestos!$C$36,0)</f>
        <v>0</v>
      </c>
      <c r="BO26" s="17">
        <f>IF(BO$4=Supuestos!$I$36,Supuestos!$C$36,0)</f>
        <v>0</v>
      </c>
      <c r="BP26" s="17">
        <f>IF(BP$4=Supuestos!$I$36,Supuestos!$C$36,0)</f>
        <v>0</v>
      </c>
      <c r="BQ26" s="17">
        <f>IF(BQ$4=Supuestos!$I$36,Supuestos!$C$36,0)</f>
        <v>0</v>
      </c>
      <c r="BR26" s="17">
        <f>IF(BR$4=Supuestos!$I$36,Supuestos!$C$36,0)</f>
        <v>0</v>
      </c>
      <c r="BS26" s="17">
        <f>IF(BS$4=Supuestos!$I$36,Supuestos!$C$36,0)</f>
        <v>0</v>
      </c>
      <c r="BT26" s="17">
        <f>IF(BT$4=Supuestos!$I$36,Supuestos!$C$36,0)</f>
        <v>0</v>
      </c>
      <c r="BU26" s="17">
        <f>IF(BU$4=Supuestos!$I$36,Supuestos!$C$36,0)</f>
        <v>0</v>
      </c>
      <c r="BV26" s="17">
        <f>IF(BV$4=Supuestos!$I$36,Supuestos!$C$36,0)</f>
        <v>0</v>
      </c>
      <c r="BW26" s="17">
        <f>IF(BW$4=Supuestos!$I$36,Supuestos!$C$36,0)</f>
        <v>0</v>
      </c>
      <c r="BX26" s="17">
        <f>IF(BX$4=Supuestos!$I$36,Supuestos!$C$36,0)</f>
        <v>0</v>
      </c>
      <c r="BY26" s="17">
        <f>IF(BY$4=Supuestos!$I$36,Supuestos!$C$36,0)</f>
        <v>0</v>
      </c>
      <c r="BZ26" s="17">
        <f>IF(BZ$4=Supuestos!$I$36,Supuestos!$C$36,0)</f>
        <v>0</v>
      </c>
      <c r="CA26" s="17">
        <f>IF(CA$4=Supuestos!$I$36,Supuestos!$C$36,0)</f>
        <v>0</v>
      </c>
      <c r="CB26" s="17">
        <f>IF(CB$4=Supuestos!$I$36,Supuestos!$C$36,0)</f>
        <v>0</v>
      </c>
      <c r="CC26" s="17">
        <f>IF(CC$4=Supuestos!$I$36,Supuestos!$C$36,0)</f>
        <v>0</v>
      </c>
      <c r="CD26" s="17">
        <f>IF(CD$4=Supuestos!$I$36,Supuestos!$C$36,0)</f>
        <v>0</v>
      </c>
      <c r="CE26" s="17">
        <f>IF(CE$4=Supuestos!$I$36,Supuestos!$C$36,0)</f>
        <v>0</v>
      </c>
      <c r="CF26" s="17">
        <f>IF(CF$4=Supuestos!$I$36,Supuestos!$C$36,0)</f>
        <v>0</v>
      </c>
      <c r="CG26" s="17">
        <f>IF(CG$4=Supuestos!$I$36,Supuestos!$C$36,0)</f>
        <v>0</v>
      </c>
      <c r="CH26" s="17">
        <f>IF(CH$4=Supuestos!$I$36,Supuestos!$C$36,0)</f>
        <v>0</v>
      </c>
      <c r="CI26" s="17">
        <f>IF(CI$4=Supuestos!$I$36,Supuestos!$C$36,0)</f>
        <v>0</v>
      </c>
      <c r="CJ26" s="17">
        <f>IF(CJ$4=Supuestos!$I$36,Supuestos!$C$36,0)</f>
        <v>0</v>
      </c>
      <c r="CK26" s="17">
        <f>IF(CK$4=Supuestos!$I$36,Supuestos!$C$36,0)</f>
        <v>0</v>
      </c>
      <c r="CL26" s="17">
        <f>IF(CL$4=Supuestos!$I$36,Supuestos!$C$36,0)</f>
        <v>0</v>
      </c>
      <c r="CM26" s="17">
        <f>IF(CM$4=Supuestos!$I$36,Supuestos!$C$36,0)</f>
        <v>0</v>
      </c>
      <c r="CN26" s="17">
        <f>IF(CN$4=Supuestos!$I$36,Supuestos!$C$36,0)</f>
        <v>0</v>
      </c>
      <c r="CO26" s="17">
        <f>IF(CO$4=Supuestos!$I$36,Supuestos!$C$36,0)</f>
        <v>0</v>
      </c>
      <c r="CP26" s="17">
        <f>IF(CP$4=Supuestos!$I$36,Supuestos!$C$36,0)</f>
        <v>0</v>
      </c>
      <c r="CQ26" s="17">
        <f>IF(CQ$4=Supuestos!$I$36,Supuestos!$C$36,0)</f>
        <v>0</v>
      </c>
      <c r="CR26" s="17">
        <f>IF(CR$4=Supuestos!$I$36,Supuestos!$C$36,0)</f>
        <v>0</v>
      </c>
      <c r="CS26" s="17">
        <f>IF(CS$4=Supuestos!$I$36,Supuestos!$C$36,0)</f>
        <v>0</v>
      </c>
      <c r="CT26" s="17">
        <f>IF(CT$4=Supuestos!$I$36,Supuestos!$C$36,0)</f>
        <v>0</v>
      </c>
      <c r="CU26" s="17">
        <f>IF(CU$4=Supuestos!$I$36,Supuestos!$C$36,0)</f>
        <v>0</v>
      </c>
      <c r="CV26" s="17">
        <f>IF(CV$4=Supuestos!$I$36,Supuestos!$C$36,0)</f>
        <v>0</v>
      </c>
      <c r="CW26" s="17">
        <f>IF(CW$4=Supuestos!$I$36,Supuestos!$C$36,0)</f>
        <v>0</v>
      </c>
      <c r="CX26" s="17">
        <f>IF(CX$4=Supuestos!$I$36,Supuestos!$C$36,0)</f>
        <v>0</v>
      </c>
      <c r="CY26" s="17">
        <f>IF(CY$4=Supuestos!$I$36,Supuestos!$C$36,0)</f>
        <v>0</v>
      </c>
      <c r="CZ26" s="17">
        <f>IF(CZ$4=Supuestos!$I$36,Supuestos!$C$36,0)</f>
        <v>0</v>
      </c>
      <c r="DA26" s="17">
        <f>IF(DA$4=Supuestos!$I$36,Supuestos!$C$36,0)</f>
        <v>0</v>
      </c>
      <c r="DB26" s="17">
        <f>IF(DB$4=Supuestos!$I$36,Supuestos!$C$36,0)</f>
        <v>0</v>
      </c>
      <c r="DC26" s="17">
        <f>IF(DC$4=Supuestos!$I$36,Supuestos!$C$36,0)</f>
        <v>0</v>
      </c>
      <c r="DD26" s="17">
        <f>IF(DD$4=Supuestos!$I$36,Supuestos!$C$36,0)</f>
        <v>0</v>
      </c>
      <c r="DE26" s="17">
        <f>IF(DE$4=Supuestos!$I$36,Supuestos!$C$36,0)</f>
        <v>0</v>
      </c>
      <c r="DF26" s="17">
        <f>IF(DF$4=Supuestos!$I$36,Supuestos!$C$36,0)</f>
        <v>0</v>
      </c>
      <c r="DG26" s="32">
        <f>SUM(C26:DF26)</f>
        <v>1050000</v>
      </c>
    </row>
    <row r="27" spans="1:111" ht="13.8" x14ac:dyDescent="0.3">
      <c r="A27" s="16" t="s">
        <v>318</v>
      </c>
      <c r="C27" s="152">
        <f>IF(AND(C$4&gt;=Supuestos!$H$36,C$4&lt;EDATE(Supuestos!$H$36,Supuestos!$E$36)),1,0)</f>
        <v>0</v>
      </c>
      <c r="D27" s="152">
        <f>IF(AND(D$4&gt;=Supuestos!$H$36,D$4&lt;EDATE(Supuestos!$H$36,Supuestos!$E$36)),C27+1,0)</f>
        <v>0</v>
      </c>
      <c r="E27" s="152">
        <f>IF(AND(E$4&gt;=Supuestos!$H$36,E$4&lt;EDATE(Supuestos!$H$36,Supuestos!$E$36)),D27+1,0)</f>
        <v>0</v>
      </c>
      <c r="F27" s="152">
        <f>IF(AND(F$4&gt;=Supuestos!$H$36,F$4&lt;EDATE(Supuestos!$H$36,Supuestos!$E$36)),E27+1,0)</f>
        <v>0</v>
      </c>
      <c r="G27" s="152">
        <f>IF(AND(G$4&gt;=Supuestos!$H$36,G$4&lt;EDATE(Supuestos!$H$36,Supuestos!$E$36)),F27+1,0)</f>
        <v>0</v>
      </c>
      <c r="H27" s="152">
        <f>IF(AND(H$4&gt;=Supuestos!$H$36,H$4&lt;EDATE(Supuestos!$H$36,Supuestos!$E$36)),G27+1,0)</f>
        <v>0</v>
      </c>
      <c r="I27" s="152">
        <f>IF(AND(I$4&gt;=Supuestos!$H$36,I$4&lt;EDATE(Supuestos!$H$36,Supuestos!$E$36)),H27+1,0)</f>
        <v>0</v>
      </c>
      <c r="J27" s="152">
        <f>IF(AND(J$4&gt;=Supuestos!$H$36,J$4&lt;EDATE(Supuestos!$H$36,Supuestos!$E$36)),I27+1,0)</f>
        <v>0</v>
      </c>
      <c r="K27" s="152">
        <f>IF(AND(K$4&gt;=Supuestos!$H$36,K$4&lt;EDATE(Supuestos!$H$36,Supuestos!$E$36)),J27+1,0)</f>
        <v>0</v>
      </c>
      <c r="L27" s="152">
        <f>IF(AND(L$4&gt;=Supuestos!$H$36,L$4&lt;EDATE(Supuestos!$H$36,Supuestos!$E$36)),K27+1,0)</f>
        <v>0</v>
      </c>
      <c r="M27" s="152">
        <f>IF(AND(M$4&gt;=Supuestos!$H$36,M$4&lt;EDATE(Supuestos!$H$36,Supuestos!$E$36)),L27+1,0)</f>
        <v>0</v>
      </c>
      <c r="N27" s="152">
        <f>IF(AND(N$4&gt;=Supuestos!$H$36,N$4&lt;EDATE(Supuestos!$H$36,Supuestos!$E$36)),M27+1,0)</f>
        <v>0</v>
      </c>
      <c r="O27" s="152">
        <f>IF(AND(O$4&gt;=Supuestos!$H$36,O$4&lt;EDATE(Supuestos!$H$36,Supuestos!$E$36)),N27+1,0)</f>
        <v>0</v>
      </c>
      <c r="P27" s="152">
        <f>IF(AND(P$4&gt;=Supuestos!$H$36,P$4&lt;EDATE(Supuestos!$H$36,Supuestos!$E$36)),O27+1,0)</f>
        <v>0</v>
      </c>
      <c r="Q27" s="152">
        <f>IF(AND(Q$4&gt;=Supuestos!$H$36,Q$4&lt;EDATE(Supuestos!$H$36,Supuestos!$E$36)),P27+1,0)</f>
        <v>0</v>
      </c>
      <c r="R27" s="152">
        <f>IF(AND(R$4&gt;=Supuestos!$H$36,R$4&lt;EDATE(Supuestos!$H$36,Supuestos!$E$36)),Q27+1,0)</f>
        <v>0</v>
      </c>
      <c r="S27" s="152">
        <f>IF(AND(S$4&gt;=Supuestos!$H$36,S$4&lt;EDATE(Supuestos!$H$36,Supuestos!$E$36)),R27+1,0)</f>
        <v>0</v>
      </c>
      <c r="T27" s="152">
        <f>IF(AND(T$4&gt;=Supuestos!$H$36,T$4&lt;EDATE(Supuestos!$H$36,Supuestos!$E$36)),S27+1,0)</f>
        <v>0</v>
      </c>
      <c r="U27" s="152">
        <f>IF(AND(U$4&gt;=Supuestos!$H$36,U$4&lt;EDATE(Supuestos!$H$36,Supuestos!$E$36)),T27+1,0)</f>
        <v>0</v>
      </c>
      <c r="V27" s="152">
        <f>IF(AND(V$4&gt;=Supuestos!$H$36,V$4&lt;EDATE(Supuestos!$H$36,Supuestos!$E$36)),U27+1,0)</f>
        <v>0</v>
      </c>
      <c r="W27" s="152">
        <f>IF(AND(W$4&gt;=Supuestos!$H$36,W$4&lt;EDATE(Supuestos!$H$36,Supuestos!$E$36)),V27+1,0)</f>
        <v>0</v>
      </c>
      <c r="X27" s="152">
        <f>IF(AND(X$4&gt;=Supuestos!$H$36,X$4&lt;EDATE(Supuestos!$H$36,Supuestos!$E$36)),W27+1,0)</f>
        <v>0</v>
      </c>
      <c r="Y27" s="152">
        <f>IF(AND(Y$4&gt;=Supuestos!$H$36,Y$4&lt;EDATE(Supuestos!$H$36,Supuestos!$E$36)),X27+1,0)</f>
        <v>0</v>
      </c>
      <c r="Z27" s="152">
        <f>IF(AND(Z$4&gt;=Supuestos!$H$36,Z$4&lt;EDATE(Supuestos!$H$36,Supuestos!$E$36)),Y27+1,0)</f>
        <v>0</v>
      </c>
      <c r="AA27" s="152">
        <f>IF(AND(AA$4&gt;=Supuestos!$H$36,AA$4&lt;EDATE(Supuestos!$H$36,Supuestos!$E$36)),Z27+1,0)</f>
        <v>0</v>
      </c>
      <c r="AB27" s="152">
        <f>IF(AND(AB$4&gt;=Supuestos!$H$36,AB$4&lt;EDATE(Supuestos!$H$36,Supuestos!$E$36)),AA27+1,0)</f>
        <v>0</v>
      </c>
      <c r="AC27" s="152">
        <f>IF(AND(AC$4&gt;=Supuestos!$H$36,AC$4&lt;EDATE(Supuestos!$H$36,Supuestos!$E$36)),AB27+1,0)</f>
        <v>0</v>
      </c>
      <c r="AD27" s="152">
        <f>IF(AND(AD$4&gt;=Supuestos!$H$36,AD$4&lt;EDATE(Supuestos!$H$36,Supuestos!$E$36)),AC27+1,0)</f>
        <v>0</v>
      </c>
      <c r="AE27" s="152">
        <f>IF(AND(AE$4&gt;=Supuestos!$H$36,AE$4&lt;EDATE(Supuestos!$H$36,Supuestos!$E$36)),AD27+1,0)</f>
        <v>0</v>
      </c>
      <c r="AF27" s="152">
        <f>IF(AND(AF$4&gt;=Supuestos!$H$36,AF$4&lt;EDATE(Supuestos!$H$36,Supuestos!$E$36)),AE27+1,0)</f>
        <v>0</v>
      </c>
      <c r="AG27" s="152">
        <f>IF(AND(AG$4&gt;=Supuestos!$H$36,AG$4&lt;EDATE(Supuestos!$H$36,Supuestos!$E$36)),AF27+1,0)</f>
        <v>0</v>
      </c>
      <c r="AH27" s="152">
        <f>IF(AND(AH$4&gt;=Supuestos!$H$36,AH$4&lt;EDATE(Supuestos!$H$36,Supuestos!$E$36)),AG27+1,0)</f>
        <v>0</v>
      </c>
      <c r="AI27" s="152">
        <f>IF(AND(AI$4&gt;=Supuestos!$H$36,AI$4&lt;EDATE(Supuestos!$H$36,Supuestos!$E$36)),AH27+1,0)</f>
        <v>0</v>
      </c>
      <c r="AJ27" s="152">
        <f>IF(AND(AJ$4&gt;=Supuestos!$H$36,AJ$4&lt;EDATE(Supuestos!$H$36,Supuestos!$E$36)),AI27+1,0)</f>
        <v>0</v>
      </c>
      <c r="AK27" s="152">
        <f>IF(AND(AK$4&gt;=Supuestos!$H$36,AK$4&lt;EDATE(Supuestos!$H$36,Supuestos!$E$36)),AJ27+1,0)</f>
        <v>0</v>
      </c>
      <c r="AL27" s="152">
        <f>IF(AND(AL$4&gt;=Supuestos!$H$36,AL$4&lt;EDATE(Supuestos!$H$36,Supuestos!$E$36)),AK27+1,0)</f>
        <v>0</v>
      </c>
      <c r="AM27" s="152">
        <f>IF(AND(AM$4&gt;=Supuestos!$H$36,AM$4&lt;EDATE(Supuestos!$H$36,Supuestos!$E$36)),AL27+1,0)</f>
        <v>0</v>
      </c>
      <c r="AN27" s="152">
        <f>IF(AND(AN$4&gt;=Supuestos!$H$36,AN$4&lt;EDATE(Supuestos!$H$36,Supuestos!$E$36)),AM27+1,0)</f>
        <v>0</v>
      </c>
      <c r="AO27" s="152">
        <f>IF(AND(AO$4&gt;=Supuestos!$H$36,AO$4&lt;EDATE(Supuestos!$H$36,Supuestos!$E$36)),AN27+1,0)</f>
        <v>0</v>
      </c>
      <c r="AP27" s="152">
        <f>IF(AND(AP$4&gt;=Supuestos!$H$36,AP$4&lt;EDATE(Supuestos!$H$36,Supuestos!$E$36)),AO27+1,0)</f>
        <v>0</v>
      </c>
      <c r="AQ27" s="152">
        <f>IF(AND(AQ$4&gt;=Supuestos!$H$36,AQ$4&lt;EDATE(Supuestos!$H$36,Supuestos!$E$36)),AP27+1,0)</f>
        <v>0</v>
      </c>
      <c r="AR27" s="152">
        <f>IF(AND(AR$4&gt;=Supuestos!$H$36,AR$4&lt;EDATE(Supuestos!$H$36,Supuestos!$E$36)),AQ27+1,0)</f>
        <v>0</v>
      </c>
      <c r="AS27" s="152">
        <f>IF(AND(AS$4&gt;=Supuestos!$H$36,AS$4&lt;EDATE(Supuestos!$H$36,Supuestos!$E$36)),AR27+1,0)</f>
        <v>0</v>
      </c>
      <c r="AT27" s="152">
        <f>IF(AND(AT$4&gt;=Supuestos!$H$36,AT$4&lt;EDATE(Supuestos!$H$36,Supuestos!$E$36)),AS27+1,0)</f>
        <v>0</v>
      </c>
      <c r="AU27" s="152">
        <f>IF(AND(AU$4&gt;=Supuestos!$H$36,AU$4&lt;EDATE(Supuestos!$H$36,Supuestos!$E$36)),AT27+1,0)</f>
        <v>0</v>
      </c>
      <c r="AV27" s="152">
        <f>IF(AND(AV$4&gt;=Supuestos!$H$36,AV$4&lt;EDATE(Supuestos!$H$36,Supuestos!$E$36)),AU27+1,0)</f>
        <v>0</v>
      </c>
      <c r="AW27" s="152">
        <f>IF(AND(AW$4&gt;=Supuestos!$H$36,AW$4&lt;EDATE(Supuestos!$H$36,Supuestos!$E$36)),AV27+1,0)</f>
        <v>0</v>
      </c>
      <c r="AX27" s="152">
        <f>IF(AND(AX$4&gt;=Supuestos!$H$36,AX$4&lt;EDATE(Supuestos!$H$36,Supuestos!$E$36)),AW27+1,0)</f>
        <v>0</v>
      </c>
      <c r="AY27" s="152">
        <f>IF(AND(AY$4&gt;=Supuestos!$H$36,AY$4&lt;EDATE(Supuestos!$H$36,Supuestos!$E$36)),AX27+1,0)</f>
        <v>0</v>
      </c>
      <c r="AZ27" s="152">
        <f>IF(AND(AZ$4&gt;=Supuestos!$H$36,AZ$4&lt;EDATE(Supuestos!$H$36,Supuestos!$E$36)),AY27+1,0)</f>
        <v>0</v>
      </c>
      <c r="BA27" s="152">
        <f>IF(AND(BA$4&gt;=Supuestos!$H$36,BA$4&lt;EDATE(Supuestos!$H$36,Supuestos!$E$36)),AZ27+1,0)</f>
        <v>0</v>
      </c>
      <c r="BB27" s="152">
        <f>IF(AND(BB$4&gt;=Supuestos!$H$36,BB$4&lt;EDATE(Supuestos!$H$36,Supuestos!$E$36)),BA27+1,0)</f>
        <v>0</v>
      </c>
      <c r="BC27" s="152">
        <f>IF(AND(BC$4&gt;=Supuestos!$H$36,BC$4&lt;EDATE(Supuestos!$H$36,Supuestos!$E$36)),BB27+1,0)</f>
        <v>0</v>
      </c>
      <c r="BD27" s="152">
        <f>IF(AND(BD$4&gt;=Supuestos!$H$36,BD$4&lt;EDATE(Supuestos!$H$36,Supuestos!$E$36)),BC27+1,0)</f>
        <v>0</v>
      </c>
      <c r="BE27" s="152">
        <f>IF(AND(BE$4&gt;=Supuestos!$H$36,BE$4&lt;EDATE(Supuestos!$H$36,Supuestos!$E$36)),BD27+1,0)</f>
        <v>0</v>
      </c>
      <c r="BF27" s="152">
        <f>IF(AND(BF$4&gt;=Supuestos!$H$36,BF$4&lt;EDATE(Supuestos!$H$36,Supuestos!$E$36)),BE27+1,0)</f>
        <v>0</v>
      </c>
      <c r="BG27" s="152">
        <f>IF(AND(BG$4&gt;=Supuestos!$H$36,BG$4&lt;EDATE(Supuestos!$H$36,Supuestos!$E$36)),BF27+1,0)</f>
        <v>0</v>
      </c>
      <c r="BH27" s="152">
        <f>IF(AND(BH$4&gt;=Supuestos!$H$36,BH$4&lt;EDATE(Supuestos!$H$36,Supuestos!$E$36)),BG27+1,0)</f>
        <v>0</v>
      </c>
      <c r="BI27" s="152">
        <f>IF(AND(BI$4&gt;=Supuestos!$H$36,BI$4&lt;EDATE(Supuestos!$H$36,Supuestos!$E$36)),BH27+1,0)</f>
        <v>0</v>
      </c>
      <c r="BJ27" s="152">
        <f>IF(AND(BJ$4&gt;=Supuestos!$H$36,BJ$4&lt;EDATE(Supuestos!$H$36,Supuestos!$E$36)),BI27+1,0)</f>
        <v>0</v>
      </c>
      <c r="BK27" s="152">
        <f>IF(AND(BK$4&gt;=Supuestos!$H$36,BK$4&lt;EDATE(Supuestos!$H$36,Supuestos!$E$36)),BJ27+1,0)</f>
        <v>1</v>
      </c>
      <c r="BL27" s="152">
        <f>IF(AND(BL$4&gt;=Supuestos!$H$36,BL$4&lt;EDATE(Supuestos!$H$36,Supuestos!$E$36)),BK27+1,0)</f>
        <v>2</v>
      </c>
      <c r="BM27" s="152">
        <f>IF(AND(BM$4&gt;=Supuestos!$H$36,BM$4&lt;EDATE(Supuestos!$H$36,Supuestos!$E$36)),BL27+1,0)</f>
        <v>3</v>
      </c>
      <c r="BN27" s="152">
        <f>IF(AND(BN$4&gt;=Supuestos!$H$36,BN$4&lt;EDATE(Supuestos!$H$36,Supuestos!$E$36)),BM27+1,0)</f>
        <v>4</v>
      </c>
      <c r="BO27" s="152">
        <f>IF(AND(BO$4&gt;=Supuestos!$H$36,BO$4&lt;EDATE(Supuestos!$H$36,Supuestos!$E$36)),BN27+1,0)</f>
        <v>5</v>
      </c>
      <c r="BP27" s="152">
        <f>IF(AND(BP$4&gt;=Supuestos!$H$36,BP$4&lt;EDATE(Supuestos!$H$36,Supuestos!$E$36)),BO27+1,0)</f>
        <v>6</v>
      </c>
      <c r="BQ27" s="152">
        <f>IF(AND(BQ$4&gt;=Supuestos!$H$36,BQ$4&lt;EDATE(Supuestos!$H$36,Supuestos!$E$36)),BP27+1,0)</f>
        <v>7</v>
      </c>
      <c r="BR27" s="152">
        <f>IF(AND(BR$4&gt;=Supuestos!$H$36,BR$4&lt;EDATE(Supuestos!$H$36,Supuestos!$E$36)),BQ27+1,0)</f>
        <v>8</v>
      </c>
      <c r="BS27" s="152">
        <f>IF(AND(BS$4&gt;=Supuestos!$H$36,BS$4&lt;EDATE(Supuestos!$H$36,Supuestos!$E$36)),BR27+1,0)</f>
        <v>9</v>
      </c>
      <c r="BT27" s="152">
        <f>IF(AND(BT$4&gt;=Supuestos!$H$36,BT$4&lt;EDATE(Supuestos!$H$36,Supuestos!$E$36)),BS27+1,0)</f>
        <v>10</v>
      </c>
      <c r="BU27" s="152">
        <f>IF(AND(BU$4&gt;=Supuestos!$H$36,BU$4&lt;EDATE(Supuestos!$H$36,Supuestos!$E$36)),BT27+1,0)</f>
        <v>11</v>
      </c>
      <c r="BV27" s="152">
        <f>IF(AND(BV$4&gt;=Supuestos!$H$36,BV$4&lt;EDATE(Supuestos!$H$36,Supuestos!$E$36)),BU27+1,0)</f>
        <v>12</v>
      </c>
      <c r="BW27" s="152">
        <f>IF(AND(BW$4&gt;=Supuestos!$H$36,BW$4&lt;EDATE(Supuestos!$H$36,Supuestos!$E$36)),BV27+1,0)</f>
        <v>13</v>
      </c>
      <c r="BX27" s="152">
        <f>IF(AND(BX$4&gt;=Supuestos!$H$36,BX$4&lt;EDATE(Supuestos!$H$36,Supuestos!$E$36)),BW27+1,0)</f>
        <v>14</v>
      </c>
      <c r="BY27" s="152">
        <f>IF(AND(BY$4&gt;=Supuestos!$H$36,BY$4&lt;EDATE(Supuestos!$H$36,Supuestos!$E$36)),BX27+1,0)</f>
        <v>15</v>
      </c>
      <c r="BZ27" s="152">
        <f>IF(AND(BZ$4&gt;=Supuestos!$H$36,BZ$4&lt;EDATE(Supuestos!$H$36,Supuestos!$E$36)),BY27+1,0)</f>
        <v>16</v>
      </c>
      <c r="CA27" s="152">
        <f>IF(AND(CA$4&gt;=Supuestos!$H$36,CA$4&lt;EDATE(Supuestos!$H$36,Supuestos!$E$36)),BZ27+1,0)</f>
        <v>17</v>
      </c>
      <c r="CB27" s="152">
        <f>IF(AND(CB$4&gt;=Supuestos!$H$36,CB$4&lt;EDATE(Supuestos!$H$36,Supuestos!$E$36)),CA27+1,0)</f>
        <v>18</v>
      </c>
      <c r="CC27" s="152">
        <f>IF(AND(CC$4&gt;=Supuestos!$H$36,CC$4&lt;EDATE(Supuestos!$H$36,Supuestos!$E$36)),CB27+1,0)</f>
        <v>19</v>
      </c>
      <c r="CD27" s="152">
        <f>IF(AND(CD$4&gt;=Supuestos!$H$36,CD$4&lt;EDATE(Supuestos!$H$36,Supuestos!$E$36)),CC27+1,0)</f>
        <v>20</v>
      </c>
      <c r="CE27" s="152">
        <f>IF(AND(CE$4&gt;=Supuestos!$H$36,CE$4&lt;EDATE(Supuestos!$H$36,Supuestos!$E$36)),CD27+1,0)</f>
        <v>21</v>
      </c>
      <c r="CF27" s="152">
        <f>IF(AND(CF$4&gt;=Supuestos!$H$36,CF$4&lt;EDATE(Supuestos!$H$36,Supuestos!$E$36)),CE27+1,0)</f>
        <v>22</v>
      </c>
      <c r="CG27" s="152">
        <f>IF(AND(CG$4&gt;=Supuestos!$H$36,CG$4&lt;EDATE(Supuestos!$H$36,Supuestos!$E$36)),CF27+1,0)</f>
        <v>23</v>
      </c>
      <c r="CH27" s="152">
        <f>IF(AND(CH$4&gt;=Supuestos!$H$36,CH$4&lt;EDATE(Supuestos!$H$36,Supuestos!$E$36)),CG27+1,0)</f>
        <v>24</v>
      </c>
      <c r="CI27" s="152">
        <f>IF(AND(CI$4&gt;=Supuestos!$H$36,CI$4&lt;EDATE(Supuestos!$H$36,Supuestos!$E$36)),CH27+1,0)</f>
        <v>25</v>
      </c>
      <c r="CJ27" s="152">
        <f>IF(AND(CJ$4&gt;=Supuestos!$H$36,CJ$4&lt;EDATE(Supuestos!$H$36,Supuestos!$E$36)),CI27+1,0)</f>
        <v>26</v>
      </c>
      <c r="CK27" s="152">
        <f>IF(AND(CK$4&gt;=Supuestos!$H$36,CK$4&lt;EDATE(Supuestos!$H$36,Supuestos!$E$36)),CJ27+1,0)</f>
        <v>27</v>
      </c>
      <c r="CL27" s="152">
        <f>IF(AND(CL$4&gt;=Supuestos!$H$36,CL$4&lt;EDATE(Supuestos!$H$36,Supuestos!$E$36)),CK27+1,0)</f>
        <v>28</v>
      </c>
      <c r="CM27" s="152">
        <f>IF(AND(CM$4&gt;=Supuestos!$H$36,CM$4&lt;EDATE(Supuestos!$H$36,Supuestos!$E$36)),CL27+1,0)</f>
        <v>29</v>
      </c>
      <c r="CN27" s="152">
        <f>IF(AND(CN$4&gt;=Supuestos!$H$36,CN$4&lt;EDATE(Supuestos!$H$36,Supuestos!$E$36)),CM27+1,0)</f>
        <v>30</v>
      </c>
      <c r="CO27" s="152">
        <f>IF(AND(CO$4&gt;=Supuestos!$H$36,CO$4&lt;EDATE(Supuestos!$H$36,Supuestos!$E$36)),CN27+1,0)</f>
        <v>31</v>
      </c>
      <c r="CP27" s="152">
        <f>IF(AND(CP$4&gt;=Supuestos!$H$36,CP$4&lt;EDATE(Supuestos!$H$36,Supuestos!$E$36)),CO27+1,0)</f>
        <v>32</v>
      </c>
      <c r="CQ27" s="152">
        <f>IF(AND(CQ$4&gt;=Supuestos!$H$36,CQ$4&lt;EDATE(Supuestos!$H$36,Supuestos!$E$36)),CP27+1,0)</f>
        <v>33</v>
      </c>
      <c r="CR27" s="152">
        <f>IF(AND(CR$4&gt;=Supuestos!$H$36,CR$4&lt;EDATE(Supuestos!$H$36,Supuestos!$E$36)),CQ27+1,0)</f>
        <v>34</v>
      </c>
      <c r="CS27" s="152">
        <f>IF(AND(CS$4&gt;=Supuestos!$H$36,CS$4&lt;EDATE(Supuestos!$H$36,Supuestos!$E$36)),CR27+1,0)</f>
        <v>35</v>
      </c>
      <c r="CT27" s="152">
        <f>IF(AND(CT$4&gt;=Supuestos!$H$36,CT$4&lt;EDATE(Supuestos!$H$36,Supuestos!$E$36)),CS27+1,0)</f>
        <v>36</v>
      </c>
      <c r="CU27" s="152">
        <f>IF(AND(CU$4&gt;=Supuestos!$H$36,CU$4&lt;EDATE(Supuestos!$H$36,Supuestos!$E$36)),CT27+1,0)</f>
        <v>0</v>
      </c>
      <c r="CV27" s="152">
        <f>IF(AND(CV$4&gt;=Supuestos!$H$36,CV$4&lt;EDATE(Supuestos!$H$36,Supuestos!$E$36)),CU27+1,0)</f>
        <v>0</v>
      </c>
      <c r="CW27" s="152">
        <f>IF(AND(CW$4&gt;=Supuestos!$H$36,CW$4&lt;EDATE(Supuestos!$H$36,Supuestos!$E$36)),CV27+1,0)</f>
        <v>0</v>
      </c>
      <c r="CX27" s="152">
        <f>IF(AND(CX$4&gt;=Supuestos!$H$36,CX$4&lt;EDATE(Supuestos!$H$36,Supuestos!$E$36)),CW27+1,0)</f>
        <v>0</v>
      </c>
      <c r="CY27" s="152">
        <f>IF(AND(CY$4&gt;=Supuestos!$H$36,CY$4&lt;EDATE(Supuestos!$H$36,Supuestos!$E$36)),CX27+1,0)</f>
        <v>0</v>
      </c>
      <c r="CZ27" s="152">
        <f>IF(AND(CZ$4&gt;=Supuestos!$H$36,CZ$4&lt;EDATE(Supuestos!$H$36,Supuestos!$E$36)),CY27+1,0)</f>
        <v>0</v>
      </c>
      <c r="DA27" s="152">
        <f>IF(AND(DA$4&gt;=Supuestos!$H$36,DA$4&lt;EDATE(Supuestos!$H$36,Supuestos!$E$36)),CZ27+1,0)</f>
        <v>0</v>
      </c>
      <c r="DB27" s="152">
        <f>IF(AND(DB$4&gt;=Supuestos!$H$36,DB$4&lt;EDATE(Supuestos!$H$36,Supuestos!$E$36)),DA27+1,0)</f>
        <v>0</v>
      </c>
      <c r="DC27" s="152">
        <f>IF(AND(DC$4&gt;=Supuestos!$H$36,DC$4&lt;EDATE(Supuestos!$H$36,Supuestos!$E$36)),DB27+1,0)</f>
        <v>0</v>
      </c>
      <c r="DD27" s="152">
        <f>IF(AND(DD$4&gt;=Supuestos!$H$36,DD$4&lt;EDATE(Supuestos!$H$36,Supuestos!$E$36)),DC27+1,0)</f>
        <v>0</v>
      </c>
      <c r="DE27" s="152">
        <f>IF(AND(DE$4&gt;=Supuestos!$H$36,DE$4&lt;EDATE(Supuestos!$H$36,Supuestos!$E$36)),DD27+1,0)</f>
        <v>0</v>
      </c>
      <c r="DF27" s="152">
        <f>IF(AND(DF$4&gt;=Supuestos!$H$36,DF$4&lt;EDATE(Supuestos!$H$36,Supuestos!$E$36)),DE27+1,0)</f>
        <v>0</v>
      </c>
    </row>
    <row r="28" spans="1:111" ht="13.8" x14ac:dyDescent="0.3">
      <c r="A28" s="16" t="s">
        <v>319</v>
      </c>
      <c r="C28" s="17">
        <f>IF(C27=1,Supuestos!$C$36,0)</f>
        <v>0</v>
      </c>
      <c r="D28" s="17">
        <f>IF(D27=1,Supuestos!$C$36,IF(D27=0,0,C32))</f>
        <v>0</v>
      </c>
      <c r="E28" s="17">
        <f>IF(E27=1,Supuestos!$C$36,IF(E27=0,0,D32))</f>
        <v>0</v>
      </c>
      <c r="F28" s="17">
        <f>IF(F27=1,Supuestos!$C$36,IF(F27=0,0,E32))</f>
        <v>0</v>
      </c>
      <c r="G28" s="17">
        <f>IF(G27=1,Supuestos!$C$36,IF(G27=0,0,F32))</f>
        <v>0</v>
      </c>
      <c r="H28" s="17">
        <f>IF(H27=1,Supuestos!$C$36,IF(H27=0,0,G32))</f>
        <v>0</v>
      </c>
      <c r="I28" s="17">
        <f>IF(I27=1,Supuestos!$C$36,IF(I27=0,0,H32))</f>
        <v>0</v>
      </c>
      <c r="J28" s="17">
        <f>IF(J27=1,Supuestos!$C$36,IF(J27=0,0,I32))</f>
        <v>0</v>
      </c>
      <c r="K28" s="17">
        <f>IF(K27=1,Supuestos!$C$36,IF(K27=0,0,J32))</f>
        <v>0</v>
      </c>
      <c r="L28" s="17">
        <f>IF(L27=1,Supuestos!$C$36,IF(L27=0,0,K32))</f>
        <v>0</v>
      </c>
      <c r="M28" s="17">
        <f>IF(M27=1,Supuestos!$C$36,IF(M27=0,0,L32))</f>
        <v>0</v>
      </c>
      <c r="N28" s="17">
        <f>IF(N27=1,Supuestos!$C$36,IF(N27=0,0,M32))</f>
        <v>0</v>
      </c>
      <c r="O28" s="17">
        <f>IF(O27=1,Supuestos!$C$36,IF(O27=0,0,N32))</f>
        <v>0</v>
      </c>
      <c r="P28" s="17">
        <f>IF(P27=1,Supuestos!$C$36,IF(P27=0,0,O32))</f>
        <v>0</v>
      </c>
      <c r="Q28" s="17">
        <f>IF(Q27=1,Supuestos!$C$36,IF(Q27=0,0,P32))</f>
        <v>0</v>
      </c>
      <c r="R28" s="17">
        <f>IF(R27=1,Supuestos!$C$36,IF(R27=0,0,Q32))</f>
        <v>0</v>
      </c>
      <c r="S28" s="17">
        <f>IF(S27=1,Supuestos!$C$36,IF(S27=0,0,R32))</f>
        <v>0</v>
      </c>
      <c r="T28" s="17">
        <f>IF(T27=1,Supuestos!$C$36,IF(T27=0,0,S32))</f>
        <v>0</v>
      </c>
      <c r="U28" s="17">
        <f>IF(U27=1,Supuestos!$C$36,IF(U27=0,0,T32))</f>
        <v>0</v>
      </c>
      <c r="V28" s="17">
        <f>IF(V27=1,Supuestos!$C$36,IF(V27=0,0,U32))</f>
        <v>0</v>
      </c>
      <c r="W28" s="17">
        <f>IF(W27=1,Supuestos!$C$36,IF(W27=0,0,V32))</f>
        <v>0</v>
      </c>
      <c r="X28" s="17">
        <f>IF(X27=1,Supuestos!$C$36,IF(X27=0,0,W32))</f>
        <v>0</v>
      </c>
      <c r="Y28" s="17">
        <f>IF(Y27=1,Supuestos!$C$36,IF(Y27=0,0,X32))</f>
        <v>0</v>
      </c>
      <c r="Z28" s="17">
        <f>IF(Z27=1,Supuestos!$C$36,IF(Z27=0,0,Y32))</f>
        <v>0</v>
      </c>
      <c r="AA28" s="17">
        <f>IF(AA27=1,Supuestos!$C$36,IF(AA27=0,0,Z32))</f>
        <v>0</v>
      </c>
      <c r="AB28" s="17">
        <f>IF(AB27=1,Supuestos!$C$36,IF(AB27=0,0,AA32))</f>
        <v>0</v>
      </c>
      <c r="AC28" s="17">
        <f>IF(AC27=1,Supuestos!$C$36,IF(AC27=0,0,AB32))</f>
        <v>0</v>
      </c>
      <c r="AD28" s="17">
        <f>IF(AD27=1,Supuestos!$C$36,IF(AD27=0,0,AC32))</f>
        <v>0</v>
      </c>
      <c r="AE28" s="17">
        <f>IF(AE27=1,Supuestos!$C$36,IF(AE27=0,0,AD32))</f>
        <v>0</v>
      </c>
      <c r="AF28" s="17">
        <f>IF(AF27=1,Supuestos!$C$36,IF(AF27=0,0,AE32))</f>
        <v>0</v>
      </c>
      <c r="AG28" s="17">
        <f>IF(AG27=1,Supuestos!$C$36,IF(AG27=0,0,AF32))</f>
        <v>0</v>
      </c>
      <c r="AH28" s="17">
        <f>IF(AH27=1,Supuestos!$C$36,IF(AH27=0,0,AG32))</f>
        <v>0</v>
      </c>
      <c r="AI28" s="17">
        <f>IF(AI27=1,Supuestos!$C$36,IF(AI27=0,0,AH32))</f>
        <v>0</v>
      </c>
      <c r="AJ28" s="17">
        <f>IF(AJ27=1,Supuestos!$C$36,IF(AJ27=0,0,AI32))</f>
        <v>0</v>
      </c>
      <c r="AK28" s="17">
        <f>IF(AK27=1,Supuestos!$C$36,IF(AK27=0,0,AJ32))</f>
        <v>0</v>
      </c>
      <c r="AL28" s="17">
        <f>IF(AL27=1,Supuestos!$C$36,IF(AL27=0,0,AK32))</f>
        <v>0</v>
      </c>
      <c r="AM28" s="17">
        <f>IF(AM27=1,Supuestos!$C$36,IF(AM27=0,0,AL32))</f>
        <v>0</v>
      </c>
      <c r="AN28" s="17">
        <f>IF(AN27=1,Supuestos!$C$36,IF(AN27=0,0,AM32))</f>
        <v>0</v>
      </c>
      <c r="AO28" s="17">
        <f>IF(AO27=1,Supuestos!$C$36,IF(AO27=0,0,AN32))</f>
        <v>0</v>
      </c>
      <c r="AP28" s="17">
        <f>IF(AP27=1,Supuestos!$C$36,IF(AP27=0,0,AO32))</f>
        <v>0</v>
      </c>
      <c r="AQ28" s="17">
        <f>IF(AQ27=1,Supuestos!$C$36,IF(AQ27=0,0,AP32))</f>
        <v>0</v>
      </c>
      <c r="AR28" s="17">
        <f>IF(AR27=1,Supuestos!$C$36,IF(AR27=0,0,AQ32))</f>
        <v>0</v>
      </c>
      <c r="AS28" s="17">
        <f>IF(AS27=1,Supuestos!$C$36,IF(AS27=0,0,AR32))</f>
        <v>0</v>
      </c>
      <c r="AT28" s="17">
        <f>IF(AT27=1,Supuestos!$C$36,IF(AT27=0,0,AS32))</f>
        <v>0</v>
      </c>
      <c r="AU28" s="17">
        <f>IF(AU27=1,Supuestos!$C$36,IF(AU27=0,0,AT32))</f>
        <v>0</v>
      </c>
      <c r="AV28" s="17">
        <f>IF(AV27=1,Supuestos!$C$36,IF(AV27=0,0,AU32))</f>
        <v>0</v>
      </c>
      <c r="AW28" s="17">
        <f>IF(AW27=1,Supuestos!$C$36,IF(AW27=0,0,AV32))</f>
        <v>0</v>
      </c>
      <c r="AX28" s="17">
        <f>IF(AX27=1,Supuestos!$C$36,IF(AX27=0,0,AW32))</f>
        <v>0</v>
      </c>
      <c r="AY28" s="17">
        <f>IF(AY27=1,Supuestos!$C$36,IF(AY27=0,0,AX32))</f>
        <v>0</v>
      </c>
      <c r="AZ28" s="17">
        <f>IF(AZ27=1,Supuestos!$C$36,IF(AZ27=0,0,AY32))</f>
        <v>0</v>
      </c>
      <c r="BA28" s="17">
        <f>IF(BA27=1,Supuestos!$C$36,IF(BA27=0,0,AZ32))</f>
        <v>0</v>
      </c>
      <c r="BB28" s="17">
        <f>IF(BB27=1,Supuestos!$C$36,IF(BB27=0,0,BA32))</f>
        <v>0</v>
      </c>
      <c r="BC28" s="17">
        <f>IF(BC27=1,Supuestos!$C$36,IF(BC27=0,0,BB32))</f>
        <v>0</v>
      </c>
      <c r="BD28" s="17">
        <f>IF(BD27=1,Supuestos!$C$36,IF(BD27=0,0,BC32))</f>
        <v>0</v>
      </c>
      <c r="BE28" s="17">
        <f>IF(BE27=1,Supuestos!$C$36,IF(BE27=0,0,BD32))</f>
        <v>0</v>
      </c>
      <c r="BF28" s="17">
        <f>IF(BF27=1,Supuestos!$C$36,IF(BF27=0,0,BE32))</f>
        <v>0</v>
      </c>
      <c r="BG28" s="17">
        <f>IF(BG27=1,Supuestos!$C$36,IF(BG27=0,0,BF32))</f>
        <v>0</v>
      </c>
      <c r="BH28" s="17">
        <f>IF(BH27=1,Supuestos!$C$36,IF(BH27=0,0,BG32))</f>
        <v>0</v>
      </c>
      <c r="BI28" s="17">
        <f>IF(BI27=1,Supuestos!$C$36,IF(BI27=0,0,BH32))</f>
        <v>0</v>
      </c>
      <c r="BJ28" s="17">
        <f>IF(BJ27=1,Supuestos!$C$36,IF(BJ27=0,0,BI32))</f>
        <v>0</v>
      </c>
      <c r="BK28" s="17">
        <f>IF(BK27=1,Supuestos!$C$36,IF(BK27=0,0,BJ32))</f>
        <v>1050000</v>
      </c>
      <c r="BL28" s="17">
        <f>IF(BL27=1,Supuestos!$C$36,IF(BL27=0,0,BK32))</f>
        <v>1023619.0298886189</v>
      </c>
      <c r="BM28" s="17">
        <f>IF(BM27=1,Supuestos!$C$36,IF(BM27=0,0,BL32))</f>
        <v>997088.8979367672</v>
      </c>
      <c r="BN28" s="17">
        <f>IF(BN27=1,Supuestos!$C$36,IF(BN27=0,0,BM32))</f>
        <v>970408.76076171268</v>
      </c>
      <c r="BO28" s="17">
        <f>IF(BO27=1,Supuestos!$C$36,IF(BO27=0,0,BN32))</f>
        <v>943577.77021211456</v>
      </c>
      <c r="BP28" s="17">
        <f>IF(BP27=1,Supuestos!$C$36,IF(BP27=0,0,BO32))</f>
        <v>916595.0733410609</v>
      </c>
      <c r="BQ28" s="17">
        <f>IF(BQ27=1,Supuestos!$C$36,IF(BQ27=0,0,BP32))</f>
        <v>889459.81237895403</v>
      </c>
      <c r="BR28" s="17">
        <f>IF(BR27=1,Supuestos!$C$36,IF(BR27=0,0,BQ32))</f>
        <v>862171.12470624223</v>
      </c>
      <c r="BS28" s="17">
        <f>IF(BS27=1,Supuestos!$C$36,IF(BS27=0,0,BR32))</f>
        <v>834728.14282599743</v>
      </c>
      <c r="BT28" s="17">
        <f>IF(BT27=1,Supuestos!$C$36,IF(BT27=0,0,BS32))</f>
        <v>807129.99433633778</v>
      </c>
      <c r="BU28" s="17">
        <f>IF(BU27=1,Supuestos!$C$36,IF(BU27=0,0,BT32))</f>
        <v>779375.80190269439</v>
      </c>
      <c r="BV28" s="17">
        <f>IF(BV27=1,Supuestos!$C$36,IF(BV27=0,0,BU32))</f>
        <v>751464.68322992115</v>
      </c>
      <c r="BW28" s="17">
        <f>IF(BW27=1,Supuestos!$C$36,IF(BW27=0,0,BV32))</f>
        <v>723395.75103424699</v>
      </c>
      <c r="BX28" s="17">
        <f>IF(BX27=1,Supuestos!$C$36,IF(BX27=0,0,BW32))</f>
        <v>695168.11301506916</v>
      </c>
      <c r="BY28" s="17">
        <f>IF(BY27=1,Supuestos!$C$36,IF(BY27=0,0,BX32))</f>
        <v>666780.87182658794</v>
      </c>
      <c r="BZ28" s="17">
        <f>IF(BZ27=1,Supuestos!$C$36,IF(BZ27=0,0,BY32))</f>
        <v>638233.12504927965</v>
      </c>
      <c r="CA28" s="17">
        <f>IF(CA27=1,Supuestos!$C$36,IF(CA27=0,0,BZ32))</f>
        <v>609523.96516120969</v>
      </c>
      <c r="CB28" s="17">
        <f>IF(CB27=1,Supuestos!$C$36,IF(CB27=0,0,CA32))</f>
        <v>580652.47950918227</v>
      </c>
      <c r="CC28" s="17">
        <f>IF(CC27=1,Supuestos!$C$36,IF(CC27=0,0,CB32))</f>
        <v>551617.75027972786</v>
      </c>
      <c r="CD28" s="17">
        <f>IF(CD27=1,Supuestos!$C$36,IF(CD27=0,0,CC32))</f>
        <v>522418.85446992621</v>
      </c>
      <c r="CE28" s="17">
        <f>IF(CE27=1,Supuestos!$C$36,IF(CE27=0,0,CD32))</f>
        <v>493054.86385806423</v>
      </c>
      <c r="CF28" s="17">
        <f>IF(CF27=1,Supuestos!$C$36,IF(CF27=0,0,CE32))</f>
        <v>463524.84497412841</v>
      </c>
      <c r="CG28" s="17">
        <f>IF(CG27=1,Supuestos!$C$36,IF(CG27=0,0,CF32))</f>
        <v>433827.85907012998</v>
      </c>
      <c r="CH28" s="17">
        <f>IF(CH27=1,Supuestos!$C$36,IF(CH27=0,0,CG32))</f>
        <v>403962.96209026262</v>
      </c>
      <c r="CI28" s="17">
        <f>IF(CI27=1,Supuestos!$C$36,IF(CI27=0,0,CH32))</f>
        <v>373929.20464089123</v>
      </c>
      <c r="CJ28" s="17">
        <f>IF(CJ27=1,Supuestos!$C$36,IF(CJ27=0,0,CI32))</f>
        <v>343725.63196037099</v>
      </c>
      <c r="CK28" s="17">
        <f>IF(CK27=1,Supuestos!$C$36,IF(CK27=0,0,CJ32))</f>
        <v>313351.28388869605</v>
      </c>
      <c r="CL28" s="17">
        <f>IF(CL27=1,Supuestos!$C$36,IF(CL27=0,0,CK32))</f>
        <v>282805.19483697618</v>
      </c>
      <c r="CM28" s="17">
        <f>IF(CM27=1,Supuestos!$C$36,IF(CM27=0,0,CL32))</f>
        <v>252086.39375674128</v>
      </c>
      <c r="CN28" s="17">
        <f>IF(CN27=1,Supuestos!$C$36,IF(CN27=0,0,CM32))</f>
        <v>221193.90410907194</v>
      </c>
      <c r="CO28" s="17">
        <f>IF(CO27=1,Supuestos!$C$36,IF(CO27=0,0,CN32))</f>
        <v>190126.74383355578</v>
      </c>
      <c r="CP28" s="17">
        <f>IF(CP27=1,Supuestos!$C$36,IF(CP27=0,0,CO32))</f>
        <v>158883.92531706803</v>
      </c>
      <c r="CQ28" s="17">
        <f>IF(CQ27=1,Supuestos!$C$36,IF(CQ27=0,0,CP32))</f>
        <v>127464.45536237574</v>
      </c>
      <c r="CR28" s="17">
        <f>IF(CR27=1,Supuestos!$C$36,IF(CR27=0,0,CQ32))</f>
        <v>95867.335156564397</v>
      </c>
      <c r="CS28" s="17">
        <f>IF(CS27=1,Supuestos!$C$36,IF(CS27=0,0,CR32))</f>
        <v>64091.560239286075</v>
      </c>
      <c r="CT28" s="17">
        <f>IF(CT27=1,Supuestos!$C$36,IF(CT27=0,0,CS32))</f>
        <v>32136.120470827995</v>
      </c>
      <c r="CU28" s="17">
        <f>IF(CU27=1,Supuestos!$C$36,IF(CU27=0,0,CT32))</f>
        <v>0</v>
      </c>
      <c r="CV28" s="17">
        <f>IF(CV27=1,Supuestos!$C$36,IF(CV27=0,0,CU32))</f>
        <v>0</v>
      </c>
      <c r="CW28" s="17">
        <f>IF(CW27=1,Supuestos!$C$36,IF(CW27=0,0,CV32))</f>
        <v>0</v>
      </c>
      <c r="CX28" s="17">
        <f>IF(CX27=1,Supuestos!$C$36,IF(CX27=0,0,CW32))</f>
        <v>0</v>
      </c>
      <c r="CY28" s="17">
        <f>IF(CY27=1,Supuestos!$C$36,IF(CY27=0,0,CX32))</f>
        <v>0</v>
      </c>
      <c r="CZ28" s="17">
        <f>IF(CZ27=1,Supuestos!$C$36,IF(CZ27=0,0,CY32))</f>
        <v>0</v>
      </c>
      <c r="DA28" s="17">
        <f>IF(DA27=1,Supuestos!$C$36,IF(DA27=0,0,CZ32))</f>
        <v>0</v>
      </c>
      <c r="DB28" s="17">
        <f>IF(DB27=1,Supuestos!$C$36,IF(DB27=0,0,DA32))</f>
        <v>0</v>
      </c>
      <c r="DC28" s="17">
        <f>IF(DC27=1,Supuestos!$C$36,IF(DC27=0,0,DB32))</f>
        <v>0</v>
      </c>
      <c r="DD28" s="17">
        <f>IF(DD27=1,Supuestos!$C$36,IF(DD27=0,0,DC32))</f>
        <v>0</v>
      </c>
      <c r="DE28" s="17">
        <f>IF(DE27=1,Supuestos!$C$36,IF(DE27=0,0,DD32))</f>
        <v>0</v>
      </c>
      <c r="DF28" s="17">
        <f>IF(DF27=1,Supuestos!$C$36,IF(DF27=0,0,DE32))</f>
        <v>0</v>
      </c>
    </row>
    <row r="29" spans="1:111" ht="13.8" x14ac:dyDescent="0.3">
      <c r="A29" s="16" t="s">
        <v>320</v>
      </c>
      <c r="C29" s="17">
        <f>C28*Supuestos!$F$36</f>
        <v>0</v>
      </c>
      <c r="D29" s="17">
        <f>D28*Supuestos!$F$36</f>
        <v>0</v>
      </c>
      <c r="E29" s="17">
        <f>E28*Supuestos!$F$36</f>
        <v>0</v>
      </c>
      <c r="F29" s="17">
        <f>F28*Supuestos!$F$36</f>
        <v>0</v>
      </c>
      <c r="G29" s="17">
        <f>G28*Supuestos!$F$36</f>
        <v>0</v>
      </c>
      <c r="H29" s="17">
        <f>H28*Supuestos!$F$36</f>
        <v>0</v>
      </c>
      <c r="I29" s="17">
        <f>I28*Supuestos!$F$36</f>
        <v>0</v>
      </c>
      <c r="J29" s="17">
        <f>J28*Supuestos!$F$36</f>
        <v>0</v>
      </c>
      <c r="K29" s="17">
        <f>K28*Supuestos!$F$36</f>
        <v>0</v>
      </c>
      <c r="L29" s="17">
        <f>L28*Supuestos!$F$36</f>
        <v>0</v>
      </c>
      <c r="M29" s="17">
        <f>M28*Supuestos!$F$36</f>
        <v>0</v>
      </c>
      <c r="N29" s="17">
        <f>N28*Supuestos!$F$36</f>
        <v>0</v>
      </c>
      <c r="O29" s="17">
        <f>O28*Supuestos!$F$36</f>
        <v>0</v>
      </c>
      <c r="P29" s="17">
        <f>P28*Supuestos!$F$36</f>
        <v>0</v>
      </c>
      <c r="Q29" s="17">
        <f>Q28*Supuestos!$F$36</f>
        <v>0</v>
      </c>
      <c r="R29" s="17">
        <f>R28*Supuestos!$F$36</f>
        <v>0</v>
      </c>
      <c r="S29" s="17">
        <f>S28*Supuestos!$F$36</f>
        <v>0</v>
      </c>
      <c r="T29" s="17">
        <f>T28*Supuestos!$F$36</f>
        <v>0</v>
      </c>
      <c r="U29" s="17">
        <f>U28*Supuestos!$F$36</f>
        <v>0</v>
      </c>
      <c r="V29" s="17">
        <f>V28*Supuestos!$F$36</f>
        <v>0</v>
      </c>
      <c r="W29" s="17">
        <f>W28*Supuestos!$F$36</f>
        <v>0</v>
      </c>
      <c r="X29" s="17">
        <f>X28*Supuestos!$F$36</f>
        <v>0</v>
      </c>
      <c r="Y29" s="17">
        <f>Y28*Supuestos!$F$36</f>
        <v>0</v>
      </c>
      <c r="Z29" s="17">
        <f>Z28*Supuestos!$F$36</f>
        <v>0</v>
      </c>
      <c r="AA29" s="17">
        <f>AA28*Supuestos!$F$36</f>
        <v>0</v>
      </c>
      <c r="AB29" s="17">
        <f>AB28*Supuestos!$F$36</f>
        <v>0</v>
      </c>
      <c r="AC29" s="17">
        <f>AC28*Supuestos!$F$36</f>
        <v>0</v>
      </c>
      <c r="AD29" s="17">
        <f>AD28*Supuestos!$F$36</f>
        <v>0</v>
      </c>
      <c r="AE29" s="17">
        <f>AE28*Supuestos!$F$36</f>
        <v>0</v>
      </c>
      <c r="AF29" s="17">
        <f>AF28*Supuestos!$F$36</f>
        <v>0</v>
      </c>
      <c r="AG29" s="17">
        <f>AG28*Supuestos!$F$36</f>
        <v>0</v>
      </c>
      <c r="AH29" s="17">
        <f>AH28*Supuestos!$F$36</f>
        <v>0</v>
      </c>
      <c r="AI29" s="17">
        <f>AI28*Supuestos!$F$36</f>
        <v>0</v>
      </c>
      <c r="AJ29" s="17">
        <f>AJ28*Supuestos!$F$36</f>
        <v>0</v>
      </c>
      <c r="AK29" s="17">
        <f>AK28*Supuestos!$F$36</f>
        <v>0</v>
      </c>
      <c r="AL29" s="17">
        <f>AL28*Supuestos!$F$36</f>
        <v>0</v>
      </c>
      <c r="AM29" s="17">
        <f>AM28*Supuestos!$F$36</f>
        <v>0</v>
      </c>
      <c r="AN29" s="17">
        <f>AN28*Supuestos!$F$36</f>
        <v>0</v>
      </c>
      <c r="AO29" s="17">
        <f>AO28*Supuestos!$F$36</f>
        <v>0</v>
      </c>
      <c r="AP29" s="17">
        <f>AP28*Supuestos!$F$36</f>
        <v>0</v>
      </c>
      <c r="AQ29" s="17">
        <f>AQ28*Supuestos!$F$36</f>
        <v>0</v>
      </c>
      <c r="AR29" s="17">
        <f>AR28*Supuestos!$F$36</f>
        <v>0</v>
      </c>
      <c r="AS29" s="17">
        <f>AS28*Supuestos!$F$36</f>
        <v>0</v>
      </c>
      <c r="AT29" s="17">
        <f>AT28*Supuestos!$F$36</f>
        <v>0</v>
      </c>
      <c r="AU29" s="17">
        <f>AU28*Supuestos!$F$36</f>
        <v>0</v>
      </c>
      <c r="AV29" s="17">
        <f>AV28*Supuestos!$F$36</f>
        <v>0</v>
      </c>
      <c r="AW29" s="17">
        <f>AW28*Supuestos!$F$36</f>
        <v>0</v>
      </c>
      <c r="AX29" s="17">
        <f>AX28*Supuestos!$F$36</f>
        <v>0</v>
      </c>
      <c r="AY29" s="17">
        <f>AY28*Supuestos!$F$36</f>
        <v>0</v>
      </c>
      <c r="AZ29" s="17">
        <f>AZ28*Supuestos!$F$36</f>
        <v>0</v>
      </c>
      <c r="BA29" s="17">
        <f>BA28*Supuestos!$F$36</f>
        <v>0</v>
      </c>
      <c r="BB29" s="17">
        <f>BB28*Supuestos!$F$36</f>
        <v>0</v>
      </c>
      <c r="BC29" s="17">
        <f>BC28*Supuestos!$F$36</f>
        <v>0</v>
      </c>
      <c r="BD29" s="17">
        <f>BD28*Supuestos!$F$36</f>
        <v>0</v>
      </c>
      <c r="BE29" s="17">
        <f>BE28*Supuestos!$F$36</f>
        <v>0</v>
      </c>
      <c r="BF29" s="17">
        <f>BF28*Supuestos!$F$36</f>
        <v>0</v>
      </c>
      <c r="BG29" s="17">
        <f>BG28*Supuestos!$F$36</f>
        <v>0</v>
      </c>
      <c r="BH29" s="17">
        <f>BH28*Supuestos!$F$36</f>
        <v>0</v>
      </c>
      <c r="BI29" s="17">
        <f>BI28*Supuestos!$F$36</f>
        <v>0</v>
      </c>
      <c r="BJ29" s="17">
        <f>BJ28*Supuestos!$F$36</f>
        <v>0</v>
      </c>
      <c r="BK29" s="17">
        <f>BK28*Supuestos!$F$36</f>
        <v>5936.852656775538</v>
      </c>
      <c r="BL29" s="17">
        <f>BL28*Supuestos!$F$36</f>
        <v>5787.6908163049957</v>
      </c>
      <c r="BM29" s="17">
        <f>BM28*Supuestos!$F$36</f>
        <v>5637.6855931021801</v>
      </c>
      <c r="BN29" s="17">
        <f>BN28*Supuestos!$F$36</f>
        <v>5486.8322185585057</v>
      </c>
      <c r="BO29" s="17">
        <f>BO28*Supuestos!$F$36</f>
        <v>5335.1258971029811</v>
      </c>
      <c r="BP29" s="17">
        <f>BP28*Supuestos!$F$36</f>
        <v>5182.5618060497582</v>
      </c>
      <c r="BQ29" s="17">
        <f>BQ28*Supuestos!$F$36</f>
        <v>5029.1350954448235</v>
      </c>
      <c r="BR29" s="17">
        <f>BR28*Supuestos!$F$36</f>
        <v>4874.8408879118169</v>
      </c>
      <c r="BS29" s="17">
        <f>BS28*Supuestos!$F$36</f>
        <v>4719.6742784969838</v>
      </c>
      <c r="BT29" s="17">
        <f>BT28*Supuestos!$F$36</f>
        <v>4563.6303345132492</v>
      </c>
      <c r="BU29" s="17">
        <f>BU28*Supuestos!$F$36</f>
        <v>4406.7040953834057</v>
      </c>
      <c r="BV29" s="17">
        <f>BV28*Supuestos!$F$36</f>
        <v>4248.8905724824235</v>
      </c>
      <c r="BW29" s="17">
        <f>BW28*Supuestos!$F$36</f>
        <v>4090.1847489788615</v>
      </c>
      <c r="BX29" s="17">
        <f>BX28*Supuestos!$F$36</f>
        <v>3930.5815796753814</v>
      </c>
      <c r="BY29" s="17">
        <f>BY28*Supuestos!$F$36</f>
        <v>3770.0759908483692</v>
      </c>
      <c r="BZ29" s="17">
        <f>BZ28*Supuestos!$F$36</f>
        <v>3608.6628800866379</v>
      </c>
      <c r="CA29" s="17">
        <f>CA28*Supuestos!$F$36</f>
        <v>3446.3371161292266</v>
      </c>
      <c r="CB29" s="17">
        <f>CB28*Supuestos!$F$36</f>
        <v>3283.0935387022782</v>
      </c>
      <c r="CC29" s="17">
        <f>CC28*Supuestos!$F$36</f>
        <v>3118.9269583549976</v>
      </c>
      <c r="CD29" s="17">
        <f>CD28*Supuestos!$F$36</f>
        <v>2953.8321562946803</v>
      </c>
      <c r="CE29" s="17">
        <f>CE28*Supuestos!$F$36</f>
        <v>2787.8038842208093</v>
      </c>
      <c r="CF29" s="17">
        <f>CF28*Supuestos!$F$36</f>
        <v>2620.8368641582128</v>
      </c>
      <c r="CG29" s="17">
        <f>CG28*Supuestos!$F$36</f>
        <v>2452.9257882892807</v>
      </c>
      <c r="CH29" s="17">
        <f>CH28*Supuestos!$F$36</f>
        <v>2284.0653187852299</v>
      </c>
      <c r="CI29" s="17">
        <f>CI28*Supuestos!$F$36</f>
        <v>2114.2500876364179</v>
      </c>
      <c r="CJ29" s="17">
        <f>CJ28*Supuestos!$F$36</f>
        <v>1943.4746964816943</v>
      </c>
      <c r="CK29" s="17">
        <f>CK28*Supuestos!$F$36</f>
        <v>1771.7337164367914</v>
      </c>
      <c r="CL29" s="17">
        <f>CL28*Supuestos!$F$36</f>
        <v>1599.0216879217387</v>
      </c>
      <c r="CM29" s="17">
        <f>CM28*Supuestos!$F$36</f>
        <v>1425.3331204873084</v>
      </c>
      <c r="CN29" s="17">
        <f>CN28*Supuestos!$F$36</f>
        <v>1250.6624926404736</v>
      </c>
      <c r="CO29" s="17">
        <f>CO28*Supuestos!$F$36</f>
        <v>1075.0042516688836</v>
      </c>
      <c r="CP29" s="17">
        <f>CP28*Supuestos!$F$36</f>
        <v>898.35281346434419</v>
      </c>
      <c r="CQ29" s="17">
        <f>CQ28*Supuestos!$F$36</f>
        <v>720.70256234530223</v>
      </c>
      <c r="CR29" s="17">
        <f>CR28*Supuestos!$F$36</f>
        <v>542.04785087832408</v>
      </c>
      <c r="CS29" s="17">
        <f>CS28*Supuestos!$F$36</f>
        <v>362.38299969856661</v>
      </c>
      <c r="CT29" s="17">
        <f>CT28*Supuestos!$F$36</f>
        <v>181.70229732923229</v>
      </c>
      <c r="CU29" s="17">
        <f>CU28*Supuestos!$F$36</f>
        <v>0</v>
      </c>
      <c r="CV29" s="17">
        <f>CV28*Supuestos!$F$36</f>
        <v>0</v>
      </c>
      <c r="CW29" s="17">
        <f>CW28*Supuestos!$F$36</f>
        <v>0</v>
      </c>
      <c r="CX29" s="17">
        <f>CX28*Supuestos!$F$36</f>
        <v>0</v>
      </c>
      <c r="CY29" s="17">
        <f>CY28*Supuestos!$F$36</f>
        <v>0</v>
      </c>
      <c r="CZ29" s="17">
        <f>CZ28*Supuestos!$F$36</f>
        <v>0</v>
      </c>
      <c r="DA29" s="17">
        <f>DA28*Supuestos!$F$36</f>
        <v>0</v>
      </c>
      <c r="DB29" s="17">
        <f>DB28*Supuestos!$F$36</f>
        <v>0</v>
      </c>
      <c r="DC29" s="17">
        <f>DC28*Supuestos!$F$36</f>
        <v>0</v>
      </c>
      <c r="DD29" s="17">
        <f>DD28*Supuestos!$F$36</f>
        <v>0</v>
      </c>
      <c r="DE29" s="17">
        <f>DE28*Supuestos!$F$36</f>
        <v>0</v>
      </c>
      <c r="DF29" s="17">
        <f>DF28*Supuestos!$F$36</f>
        <v>0</v>
      </c>
      <c r="DG29" s="32">
        <f>SUM(C29:DF29)</f>
        <v>113441.6196536397</v>
      </c>
    </row>
    <row r="30" spans="1:111" ht="13.8" x14ac:dyDescent="0.3">
      <c r="A30" s="16" t="s">
        <v>321</v>
      </c>
      <c r="C30" s="17">
        <f>IF(C27&gt;0,Supuestos!$G$36,0)</f>
        <v>0</v>
      </c>
      <c r="D30" s="17">
        <f>IF(D27&gt;0,Supuestos!$G$36,0)</f>
        <v>0</v>
      </c>
      <c r="E30" s="17">
        <f>IF(E27&gt;0,Supuestos!$G$36,0)</f>
        <v>0</v>
      </c>
      <c r="F30" s="17">
        <f>IF(F27&gt;0,Supuestos!$G$36,0)</f>
        <v>0</v>
      </c>
      <c r="G30" s="17">
        <f>IF(G27&gt;0,Supuestos!$G$36,0)</f>
        <v>0</v>
      </c>
      <c r="H30" s="17">
        <f>IF(H27&gt;0,Supuestos!$G$36,0)</f>
        <v>0</v>
      </c>
      <c r="I30" s="17">
        <f>IF(I27&gt;0,Supuestos!$G$36,0)</f>
        <v>0</v>
      </c>
      <c r="J30" s="17">
        <f>IF(J27&gt;0,Supuestos!$G$36,0)</f>
        <v>0</v>
      </c>
      <c r="K30" s="17">
        <f>IF(K27&gt;0,Supuestos!$G$36,0)</f>
        <v>0</v>
      </c>
      <c r="L30" s="17">
        <f>IF(L27&gt;0,Supuestos!$G$36,0)</f>
        <v>0</v>
      </c>
      <c r="M30" s="17">
        <f>IF(M27&gt;0,Supuestos!$G$36,0)</f>
        <v>0</v>
      </c>
      <c r="N30" s="17">
        <f>IF(N27&gt;0,Supuestos!$G$36,0)</f>
        <v>0</v>
      </c>
      <c r="O30" s="17">
        <f>IF(O27&gt;0,Supuestos!$G$36,0)</f>
        <v>0</v>
      </c>
      <c r="P30" s="17">
        <f>IF(P27&gt;0,Supuestos!$G$36,0)</f>
        <v>0</v>
      </c>
      <c r="Q30" s="17">
        <f>IF(Q27&gt;0,Supuestos!$G$36,0)</f>
        <v>0</v>
      </c>
      <c r="R30" s="17">
        <f>IF(R27&gt;0,Supuestos!$G$36,0)</f>
        <v>0</v>
      </c>
      <c r="S30" s="17">
        <f>IF(S27&gt;0,Supuestos!$G$36,0)</f>
        <v>0</v>
      </c>
      <c r="T30" s="17">
        <f>IF(T27&gt;0,Supuestos!$G$36,0)</f>
        <v>0</v>
      </c>
      <c r="U30" s="17">
        <f>IF(U27&gt;0,Supuestos!$G$36,0)</f>
        <v>0</v>
      </c>
      <c r="V30" s="17">
        <f>IF(V27&gt;0,Supuestos!$G$36,0)</f>
        <v>0</v>
      </c>
      <c r="W30" s="17">
        <f>IF(W27&gt;0,Supuestos!$G$36,0)</f>
        <v>0</v>
      </c>
      <c r="X30" s="17">
        <f>IF(X27&gt;0,Supuestos!$G$36,0)</f>
        <v>0</v>
      </c>
      <c r="Y30" s="17">
        <f>IF(Y27&gt;0,Supuestos!$G$36,0)</f>
        <v>0</v>
      </c>
      <c r="Z30" s="17">
        <f>IF(Z27&gt;0,Supuestos!$G$36,0)</f>
        <v>0</v>
      </c>
      <c r="AA30" s="17">
        <f>IF(AA27&gt;0,Supuestos!$G$36,0)</f>
        <v>0</v>
      </c>
      <c r="AB30" s="17">
        <f>IF(AB27&gt;0,Supuestos!$G$36,0)</f>
        <v>0</v>
      </c>
      <c r="AC30" s="17">
        <f>IF(AC27&gt;0,Supuestos!$G$36,0)</f>
        <v>0</v>
      </c>
      <c r="AD30" s="17">
        <f>IF(AD27&gt;0,Supuestos!$G$36,0)</f>
        <v>0</v>
      </c>
      <c r="AE30" s="17">
        <f>IF(AE27&gt;0,Supuestos!$G$36,0)</f>
        <v>0</v>
      </c>
      <c r="AF30" s="17">
        <f>IF(AF27&gt;0,Supuestos!$G$36,0)</f>
        <v>0</v>
      </c>
      <c r="AG30" s="17">
        <f>IF(AG27&gt;0,Supuestos!$G$36,0)</f>
        <v>0</v>
      </c>
      <c r="AH30" s="17">
        <f>IF(AH27&gt;0,Supuestos!$G$36,0)</f>
        <v>0</v>
      </c>
      <c r="AI30" s="17">
        <f>IF(AI27&gt;0,Supuestos!$G$36,0)</f>
        <v>0</v>
      </c>
      <c r="AJ30" s="17">
        <f>IF(AJ27&gt;0,Supuestos!$G$36,0)</f>
        <v>0</v>
      </c>
      <c r="AK30" s="17">
        <f>IF(AK27&gt;0,Supuestos!$G$36,0)</f>
        <v>0</v>
      </c>
      <c r="AL30" s="17">
        <f>IF(AL27&gt;0,Supuestos!$G$36,0)</f>
        <v>0</v>
      </c>
      <c r="AM30" s="17">
        <f>IF(AM27&gt;0,Supuestos!$G$36,0)</f>
        <v>0</v>
      </c>
      <c r="AN30" s="17">
        <f>IF(AN27&gt;0,Supuestos!$G$36,0)</f>
        <v>0</v>
      </c>
      <c r="AO30" s="17">
        <f>IF(AO27&gt;0,Supuestos!$G$36,0)</f>
        <v>0</v>
      </c>
      <c r="AP30" s="17">
        <f>IF(AP27&gt;0,Supuestos!$G$36,0)</f>
        <v>0</v>
      </c>
      <c r="AQ30" s="17">
        <f>IF(AQ27&gt;0,Supuestos!$G$36,0)</f>
        <v>0</v>
      </c>
      <c r="AR30" s="17">
        <f>IF(AR27&gt;0,Supuestos!$G$36,0)</f>
        <v>0</v>
      </c>
      <c r="AS30" s="17">
        <f>IF(AS27&gt;0,Supuestos!$G$36,0)</f>
        <v>0</v>
      </c>
      <c r="AT30" s="17">
        <f>IF(AT27&gt;0,Supuestos!$G$36,0)</f>
        <v>0</v>
      </c>
      <c r="AU30" s="17">
        <f>IF(AU27&gt;0,Supuestos!$G$36,0)</f>
        <v>0</v>
      </c>
      <c r="AV30" s="17">
        <f>IF(AV27&gt;0,Supuestos!$G$36,0)</f>
        <v>0</v>
      </c>
      <c r="AW30" s="17">
        <f>IF(AW27&gt;0,Supuestos!$G$36,0)</f>
        <v>0</v>
      </c>
      <c r="AX30" s="17">
        <f>IF(AX27&gt;0,Supuestos!$G$36,0)</f>
        <v>0</v>
      </c>
      <c r="AY30" s="17">
        <f>IF(AY27&gt;0,Supuestos!$G$36,0)</f>
        <v>0</v>
      </c>
      <c r="AZ30" s="17">
        <f>IF(AZ27&gt;0,Supuestos!$G$36,0)</f>
        <v>0</v>
      </c>
      <c r="BA30" s="17">
        <f>IF(BA27&gt;0,Supuestos!$G$36,0)</f>
        <v>0</v>
      </c>
      <c r="BB30" s="17">
        <f>IF(BB27&gt;0,Supuestos!$G$36,0)</f>
        <v>0</v>
      </c>
      <c r="BC30" s="17">
        <f>IF(BC27&gt;0,Supuestos!$G$36,0)</f>
        <v>0</v>
      </c>
      <c r="BD30" s="17">
        <f>IF(BD27&gt;0,Supuestos!$G$36,0)</f>
        <v>0</v>
      </c>
      <c r="BE30" s="17">
        <f>IF(BE27&gt;0,Supuestos!$G$36,0)</f>
        <v>0</v>
      </c>
      <c r="BF30" s="17">
        <f>IF(BF27&gt;0,Supuestos!$G$36,0)</f>
        <v>0</v>
      </c>
      <c r="BG30" s="17">
        <f>IF(BG27&gt;0,Supuestos!$G$36,0)</f>
        <v>0</v>
      </c>
      <c r="BH30" s="17">
        <f>IF(BH27&gt;0,Supuestos!$G$36,0)</f>
        <v>0</v>
      </c>
      <c r="BI30" s="17">
        <f>IF(BI27&gt;0,Supuestos!$G$36,0)</f>
        <v>0</v>
      </c>
      <c r="BJ30" s="17">
        <f>IF(BJ27&gt;0,Supuestos!$G$36,0)</f>
        <v>0</v>
      </c>
      <c r="BK30" s="17">
        <f>IF(BK27&gt;0,Supuestos!$G$36,0)</f>
        <v>32317.822768156646</v>
      </c>
      <c r="BL30" s="17">
        <f>IF(BL27&gt;0,Supuestos!$G$36,0)</f>
        <v>32317.822768156646</v>
      </c>
      <c r="BM30" s="17">
        <f>IF(BM27&gt;0,Supuestos!$G$36,0)</f>
        <v>32317.822768156646</v>
      </c>
      <c r="BN30" s="17">
        <f>IF(BN27&gt;0,Supuestos!$G$36,0)</f>
        <v>32317.822768156646</v>
      </c>
      <c r="BO30" s="17">
        <f>IF(BO27&gt;0,Supuestos!$G$36,0)</f>
        <v>32317.822768156646</v>
      </c>
      <c r="BP30" s="17">
        <f>IF(BP27&gt;0,Supuestos!$G$36,0)</f>
        <v>32317.822768156646</v>
      </c>
      <c r="BQ30" s="17">
        <f>IF(BQ27&gt;0,Supuestos!$G$36,0)</f>
        <v>32317.822768156646</v>
      </c>
      <c r="BR30" s="17">
        <f>IF(BR27&gt;0,Supuestos!$G$36,0)</f>
        <v>32317.822768156646</v>
      </c>
      <c r="BS30" s="17">
        <f>IF(BS27&gt;0,Supuestos!$G$36,0)</f>
        <v>32317.822768156646</v>
      </c>
      <c r="BT30" s="17">
        <f>IF(BT27&gt;0,Supuestos!$G$36,0)</f>
        <v>32317.822768156646</v>
      </c>
      <c r="BU30" s="17">
        <f>IF(BU27&gt;0,Supuestos!$G$36,0)</f>
        <v>32317.822768156646</v>
      </c>
      <c r="BV30" s="17">
        <f>IF(BV27&gt;0,Supuestos!$G$36,0)</f>
        <v>32317.822768156646</v>
      </c>
      <c r="BW30" s="17">
        <f>IF(BW27&gt;0,Supuestos!$G$36,0)</f>
        <v>32317.822768156646</v>
      </c>
      <c r="BX30" s="17">
        <f>IF(BX27&gt;0,Supuestos!$G$36,0)</f>
        <v>32317.822768156646</v>
      </c>
      <c r="BY30" s="17">
        <f>IF(BY27&gt;0,Supuestos!$G$36,0)</f>
        <v>32317.822768156646</v>
      </c>
      <c r="BZ30" s="17">
        <f>IF(BZ27&gt;0,Supuestos!$G$36,0)</f>
        <v>32317.822768156646</v>
      </c>
      <c r="CA30" s="17">
        <f>IF(CA27&gt;0,Supuestos!$G$36,0)</f>
        <v>32317.822768156646</v>
      </c>
      <c r="CB30" s="17">
        <f>IF(CB27&gt;0,Supuestos!$G$36,0)</f>
        <v>32317.822768156646</v>
      </c>
      <c r="CC30" s="17">
        <f>IF(CC27&gt;0,Supuestos!$G$36,0)</f>
        <v>32317.822768156646</v>
      </c>
      <c r="CD30" s="17">
        <f>IF(CD27&gt;0,Supuestos!$G$36,0)</f>
        <v>32317.822768156646</v>
      </c>
      <c r="CE30" s="17">
        <f>IF(CE27&gt;0,Supuestos!$G$36,0)</f>
        <v>32317.822768156646</v>
      </c>
      <c r="CF30" s="17">
        <f>IF(CF27&gt;0,Supuestos!$G$36,0)</f>
        <v>32317.822768156646</v>
      </c>
      <c r="CG30" s="17">
        <f>IF(CG27&gt;0,Supuestos!$G$36,0)</f>
        <v>32317.822768156646</v>
      </c>
      <c r="CH30" s="17">
        <f>IF(CH27&gt;0,Supuestos!$G$36,0)</f>
        <v>32317.822768156646</v>
      </c>
      <c r="CI30" s="17">
        <f>IF(CI27&gt;0,Supuestos!$G$36,0)</f>
        <v>32317.822768156646</v>
      </c>
      <c r="CJ30" s="17">
        <f>IF(CJ27&gt;0,Supuestos!$G$36,0)</f>
        <v>32317.822768156646</v>
      </c>
      <c r="CK30" s="17">
        <f>IF(CK27&gt;0,Supuestos!$G$36,0)</f>
        <v>32317.822768156646</v>
      </c>
      <c r="CL30" s="17">
        <f>IF(CL27&gt;0,Supuestos!$G$36,0)</f>
        <v>32317.822768156646</v>
      </c>
      <c r="CM30" s="17">
        <f>IF(CM27&gt;0,Supuestos!$G$36,0)</f>
        <v>32317.822768156646</v>
      </c>
      <c r="CN30" s="17">
        <f>IF(CN27&gt;0,Supuestos!$G$36,0)</f>
        <v>32317.822768156646</v>
      </c>
      <c r="CO30" s="17">
        <f>IF(CO27&gt;0,Supuestos!$G$36,0)</f>
        <v>32317.822768156646</v>
      </c>
      <c r="CP30" s="17">
        <f>IF(CP27&gt;0,Supuestos!$G$36,0)</f>
        <v>32317.822768156646</v>
      </c>
      <c r="CQ30" s="17">
        <f>IF(CQ27&gt;0,Supuestos!$G$36,0)</f>
        <v>32317.822768156646</v>
      </c>
      <c r="CR30" s="17">
        <f>IF(CR27&gt;0,Supuestos!$G$36,0)</f>
        <v>32317.822768156646</v>
      </c>
      <c r="CS30" s="17">
        <f>IF(CS27&gt;0,Supuestos!$G$36,0)</f>
        <v>32317.822768156646</v>
      </c>
      <c r="CT30" s="17">
        <f>IF(CT27&gt;0,Supuestos!$G$36,0)</f>
        <v>32317.822768156646</v>
      </c>
      <c r="CU30" s="17">
        <f>IF(CU27&gt;0,Supuestos!$G$36,0)</f>
        <v>0</v>
      </c>
      <c r="CV30" s="17">
        <f>IF(CV27&gt;0,Supuestos!$G$36,0)</f>
        <v>0</v>
      </c>
      <c r="CW30" s="17">
        <f>IF(CW27&gt;0,Supuestos!$G$36,0)</f>
        <v>0</v>
      </c>
      <c r="CX30" s="17">
        <f>IF(CX27&gt;0,Supuestos!$G$36,0)</f>
        <v>0</v>
      </c>
      <c r="CY30" s="17">
        <f>IF(CY27&gt;0,Supuestos!$G$36,0)</f>
        <v>0</v>
      </c>
      <c r="CZ30" s="17">
        <f>IF(CZ27&gt;0,Supuestos!$G$36,0)</f>
        <v>0</v>
      </c>
      <c r="DA30" s="17">
        <f>IF(DA27&gt;0,Supuestos!$G$36,0)</f>
        <v>0</v>
      </c>
      <c r="DB30" s="17">
        <f>IF(DB27&gt;0,Supuestos!$G$36,0)</f>
        <v>0</v>
      </c>
      <c r="DC30" s="17">
        <f>IF(DC27&gt;0,Supuestos!$G$36,0)</f>
        <v>0</v>
      </c>
      <c r="DD30" s="17">
        <f>IF(DD27&gt;0,Supuestos!$G$36,0)</f>
        <v>0</v>
      </c>
      <c r="DE30" s="17">
        <f>IF(DE27&gt;0,Supuestos!$G$36,0)</f>
        <v>0</v>
      </c>
      <c r="DF30" s="17">
        <f>IF(DF27&gt;0,Supuestos!$G$36,0)</f>
        <v>0</v>
      </c>
      <c r="DG30" s="32">
        <f>SUM(C30:DF30)</f>
        <v>1163441.6196536392</v>
      </c>
    </row>
    <row r="31" spans="1:111" ht="13.8" x14ac:dyDescent="0.3">
      <c r="A31" s="16" t="s">
        <v>322</v>
      </c>
      <c r="C31" s="37">
        <f t="shared" ref="C31:AH31" si="8">C30-C29</f>
        <v>0</v>
      </c>
      <c r="D31" s="37">
        <f t="shared" si="8"/>
        <v>0</v>
      </c>
      <c r="E31" s="37">
        <f t="shared" si="8"/>
        <v>0</v>
      </c>
      <c r="F31" s="37">
        <f t="shared" si="8"/>
        <v>0</v>
      </c>
      <c r="G31" s="37">
        <f t="shared" si="8"/>
        <v>0</v>
      </c>
      <c r="H31" s="37">
        <f t="shared" si="8"/>
        <v>0</v>
      </c>
      <c r="I31" s="37">
        <f t="shared" si="8"/>
        <v>0</v>
      </c>
      <c r="J31" s="37">
        <f t="shared" si="8"/>
        <v>0</v>
      </c>
      <c r="K31" s="37">
        <f t="shared" si="8"/>
        <v>0</v>
      </c>
      <c r="L31" s="37">
        <f t="shared" si="8"/>
        <v>0</v>
      </c>
      <c r="M31" s="37">
        <f t="shared" si="8"/>
        <v>0</v>
      </c>
      <c r="N31" s="37">
        <f t="shared" si="8"/>
        <v>0</v>
      </c>
      <c r="O31" s="37">
        <f t="shared" si="8"/>
        <v>0</v>
      </c>
      <c r="P31" s="37">
        <f t="shared" si="8"/>
        <v>0</v>
      </c>
      <c r="Q31" s="37">
        <f t="shared" si="8"/>
        <v>0</v>
      </c>
      <c r="R31" s="37">
        <f t="shared" si="8"/>
        <v>0</v>
      </c>
      <c r="S31" s="37">
        <f t="shared" si="8"/>
        <v>0</v>
      </c>
      <c r="T31" s="37">
        <f t="shared" si="8"/>
        <v>0</v>
      </c>
      <c r="U31" s="37">
        <f t="shared" si="8"/>
        <v>0</v>
      </c>
      <c r="V31" s="37">
        <f t="shared" si="8"/>
        <v>0</v>
      </c>
      <c r="W31" s="37">
        <f t="shared" si="8"/>
        <v>0</v>
      </c>
      <c r="X31" s="37">
        <f t="shared" si="8"/>
        <v>0</v>
      </c>
      <c r="Y31" s="37">
        <f t="shared" si="8"/>
        <v>0</v>
      </c>
      <c r="Z31" s="37">
        <f t="shared" si="8"/>
        <v>0</v>
      </c>
      <c r="AA31" s="37">
        <f t="shared" si="8"/>
        <v>0</v>
      </c>
      <c r="AB31" s="37">
        <f t="shared" si="8"/>
        <v>0</v>
      </c>
      <c r="AC31" s="37">
        <f t="shared" si="8"/>
        <v>0</v>
      </c>
      <c r="AD31" s="37">
        <f t="shared" si="8"/>
        <v>0</v>
      </c>
      <c r="AE31" s="37">
        <f t="shared" si="8"/>
        <v>0</v>
      </c>
      <c r="AF31" s="37">
        <f t="shared" si="8"/>
        <v>0</v>
      </c>
      <c r="AG31" s="37">
        <f t="shared" si="8"/>
        <v>0</v>
      </c>
      <c r="AH31" s="37">
        <f t="shared" si="8"/>
        <v>0</v>
      </c>
      <c r="AI31" s="37">
        <f t="shared" ref="AI31:BN31" si="9">AI30-AI29</f>
        <v>0</v>
      </c>
      <c r="AJ31" s="37">
        <f t="shared" si="9"/>
        <v>0</v>
      </c>
      <c r="AK31" s="37">
        <f t="shared" si="9"/>
        <v>0</v>
      </c>
      <c r="AL31" s="37">
        <f t="shared" si="9"/>
        <v>0</v>
      </c>
      <c r="AM31" s="37">
        <f t="shared" si="9"/>
        <v>0</v>
      </c>
      <c r="AN31" s="37">
        <f t="shared" si="9"/>
        <v>0</v>
      </c>
      <c r="AO31" s="37">
        <f t="shared" si="9"/>
        <v>0</v>
      </c>
      <c r="AP31" s="37">
        <f t="shared" si="9"/>
        <v>0</v>
      </c>
      <c r="AQ31" s="37">
        <f t="shared" si="9"/>
        <v>0</v>
      </c>
      <c r="AR31" s="37">
        <f t="shared" si="9"/>
        <v>0</v>
      </c>
      <c r="AS31" s="37">
        <f t="shared" si="9"/>
        <v>0</v>
      </c>
      <c r="AT31" s="37">
        <f t="shared" si="9"/>
        <v>0</v>
      </c>
      <c r="AU31" s="37">
        <f t="shared" si="9"/>
        <v>0</v>
      </c>
      <c r="AV31" s="37">
        <f t="shared" si="9"/>
        <v>0</v>
      </c>
      <c r="AW31" s="37">
        <f t="shared" si="9"/>
        <v>0</v>
      </c>
      <c r="AX31" s="37">
        <f t="shared" si="9"/>
        <v>0</v>
      </c>
      <c r="AY31" s="37">
        <f t="shared" si="9"/>
        <v>0</v>
      </c>
      <c r="AZ31" s="37">
        <f t="shared" si="9"/>
        <v>0</v>
      </c>
      <c r="BA31" s="37">
        <f t="shared" si="9"/>
        <v>0</v>
      </c>
      <c r="BB31" s="37">
        <f t="shared" si="9"/>
        <v>0</v>
      </c>
      <c r="BC31" s="37">
        <f t="shared" si="9"/>
        <v>0</v>
      </c>
      <c r="BD31" s="37">
        <f t="shared" si="9"/>
        <v>0</v>
      </c>
      <c r="BE31" s="37">
        <f t="shared" si="9"/>
        <v>0</v>
      </c>
      <c r="BF31" s="37">
        <f t="shared" si="9"/>
        <v>0</v>
      </c>
      <c r="BG31" s="37">
        <f t="shared" si="9"/>
        <v>0</v>
      </c>
      <c r="BH31" s="37">
        <f t="shared" si="9"/>
        <v>0</v>
      </c>
      <c r="BI31" s="37">
        <f t="shared" si="9"/>
        <v>0</v>
      </c>
      <c r="BJ31" s="37">
        <f t="shared" si="9"/>
        <v>0</v>
      </c>
      <c r="BK31" s="37">
        <f t="shared" si="9"/>
        <v>26380.97011138111</v>
      </c>
      <c r="BL31" s="37">
        <f t="shared" si="9"/>
        <v>26530.13195185165</v>
      </c>
      <c r="BM31" s="37">
        <f t="shared" si="9"/>
        <v>26680.137175054464</v>
      </c>
      <c r="BN31" s="37">
        <f t="shared" si="9"/>
        <v>26830.99054959814</v>
      </c>
      <c r="BO31" s="37">
        <f t="shared" ref="BO31:CT31" si="10">BO30-BO29</f>
        <v>26982.696871053664</v>
      </c>
      <c r="BP31" s="37">
        <f t="shared" si="10"/>
        <v>27135.260962106888</v>
      </c>
      <c r="BQ31" s="37">
        <f t="shared" si="10"/>
        <v>27288.687672711822</v>
      </c>
      <c r="BR31" s="37">
        <f t="shared" si="10"/>
        <v>27442.981880244828</v>
      </c>
      <c r="BS31" s="37">
        <f t="shared" si="10"/>
        <v>27598.148489659663</v>
      </c>
      <c r="BT31" s="37">
        <f t="shared" si="10"/>
        <v>27754.192433643395</v>
      </c>
      <c r="BU31" s="37">
        <f t="shared" si="10"/>
        <v>27911.118672773242</v>
      </c>
      <c r="BV31" s="37">
        <f t="shared" si="10"/>
        <v>28068.932195674221</v>
      </c>
      <c r="BW31" s="37">
        <f t="shared" si="10"/>
        <v>28227.638019177786</v>
      </c>
      <c r="BX31" s="37">
        <f t="shared" si="10"/>
        <v>28387.241188481265</v>
      </c>
      <c r="BY31" s="37">
        <f t="shared" si="10"/>
        <v>28547.746777308275</v>
      </c>
      <c r="BZ31" s="37">
        <f t="shared" si="10"/>
        <v>28709.159888070008</v>
      </c>
      <c r="CA31" s="37">
        <f t="shared" si="10"/>
        <v>28871.485652027419</v>
      </c>
      <c r="CB31" s="37">
        <f t="shared" si="10"/>
        <v>29034.729229454366</v>
      </c>
      <c r="CC31" s="37">
        <f t="shared" si="10"/>
        <v>29198.895809801648</v>
      </c>
      <c r="CD31" s="37">
        <f t="shared" si="10"/>
        <v>29363.990611861966</v>
      </c>
      <c r="CE31" s="37">
        <f t="shared" si="10"/>
        <v>29530.018883935838</v>
      </c>
      <c r="CF31" s="37">
        <f t="shared" si="10"/>
        <v>29696.985903998433</v>
      </c>
      <c r="CG31" s="37">
        <f t="shared" si="10"/>
        <v>29864.896979867364</v>
      </c>
      <c r="CH31" s="37">
        <f t="shared" si="10"/>
        <v>30033.757449371416</v>
      </c>
      <c r="CI31" s="37">
        <f t="shared" si="10"/>
        <v>30203.572680520228</v>
      </c>
      <c r="CJ31" s="37">
        <f t="shared" si="10"/>
        <v>30374.348071674951</v>
      </c>
      <c r="CK31" s="37">
        <f t="shared" si="10"/>
        <v>30546.089051719853</v>
      </c>
      <c r="CL31" s="37">
        <f t="shared" si="10"/>
        <v>30718.801080234909</v>
      </c>
      <c r="CM31" s="37">
        <f t="shared" si="10"/>
        <v>30892.489647669339</v>
      </c>
      <c r="CN31" s="37">
        <f t="shared" si="10"/>
        <v>31067.160275516173</v>
      </c>
      <c r="CO31" s="37">
        <f t="shared" si="10"/>
        <v>31242.818516487761</v>
      </c>
      <c r="CP31" s="37">
        <f t="shared" si="10"/>
        <v>31419.4699546923</v>
      </c>
      <c r="CQ31" s="37">
        <f t="shared" si="10"/>
        <v>31597.120205811345</v>
      </c>
      <c r="CR31" s="37">
        <f t="shared" si="10"/>
        <v>31775.774917278322</v>
      </c>
      <c r="CS31" s="37">
        <f t="shared" si="10"/>
        <v>31955.43976845808</v>
      </c>
      <c r="CT31" s="37">
        <f t="shared" si="10"/>
        <v>32136.120470827413</v>
      </c>
      <c r="CU31" s="37">
        <f t="shared" ref="CU31:DZ31" si="11">CU30-CU29</f>
        <v>0</v>
      </c>
      <c r="CV31" s="37">
        <f t="shared" si="11"/>
        <v>0</v>
      </c>
      <c r="CW31" s="37">
        <f t="shared" si="11"/>
        <v>0</v>
      </c>
      <c r="CX31" s="37">
        <f t="shared" si="11"/>
        <v>0</v>
      </c>
      <c r="CY31" s="37">
        <f t="shared" si="11"/>
        <v>0</v>
      </c>
      <c r="CZ31" s="37">
        <f t="shared" si="11"/>
        <v>0</v>
      </c>
      <c r="DA31" s="37">
        <f t="shared" si="11"/>
        <v>0</v>
      </c>
      <c r="DB31" s="37">
        <f t="shared" si="11"/>
        <v>0</v>
      </c>
      <c r="DC31" s="37">
        <f t="shared" si="11"/>
        <v>0</v>
      </c>
      <c r="DD31" s="37">
        <f t="shared" si="11"/>
        <v>0</v>
      </c>
      <c r="DE31" s="37">
        <f t="shared" si="11"/>
        <v>0</v>
      </c>
      <c r="DF31" s="37">
        <f t="shared" si="11"/>
        <v>0</v>
      </c>
      <c r="DG31" s="32">
        <f>SUM(C31:DF31)</f>
        <v>1049999.9999999998</v>
      </c>
    </row>
    <row r="32" spans="1:111" ht="13.8" x14ac:dyDescent="0.3">
      <c r="A32" s="16" t="s">
        <v>323</v>
      </c>
      <c r="C32" s="32">
        <f t="shared" ref="C32:AH32" si="12">C28-C31</f>
        <v>0</v>
      </c>
      <c r="D32" s="32">
        <f t="shared" si="12"/>
        <v>0</v>
      </c>
      <c r="E32" s="32">
        <f t="shared" si="12"/>
        <v>0</v>
      </c>
      <c r="F32" s="32">
        <f t="shared" si="12"/>
        <v>0</v>
      </c>
      <c r="G32" s="32">
        <f t="shared" si="12"/>
        <v>0</v>
      </c>
      <c r="H32" s="32">
        <f t="shared" si="12"/>
        <v>0</v>
      </c>
      <c r="I32" s="32">
        <f t="shared" si="12"/>
        <v>0</v>
      </c>
      <c r="J32" s="32">
        <f t="shared" si="12"/>
        <v>0</v>
      </c>
      <c r="K32" s="32">
        <f t="shared" si="12"/>
        <v>0</v>
      </c>
      <c r="L32" s="32">
        <f t="shared" si="12"/>
        <v>0</v>
      </c>
      <c r="M32" s="32">
        <f t="shared" si="12"/>
        <v>0</v>
      </c>
      <c r="N32" s="32">
        <f t="shared" si="12"/>
        <v>0</v>
      </c>
      <c r="O32" s="32">
        <f t="shared" si="12"/>
        <v>0</v>
      </c>
      <c r="P32" s="32">
        <f t="shared" si="12"/>
        <v>0</v>
      </c>
      <c r="Q32" s="32">
        <f t="shared" si="12"/>
        <v>0</v>
      </c>
      <c r="R32" s="32">
        <f t="shared" si="12"/>
        <v>0</v>
      </c>
      <c r="S32" s="32">
        <f t="shared" si="12"/>
        <v>0</v>
      </c>
      <c r="T32" s="32">
        <f t="shared" si="12"/>
        <v>0</v>
      </c>
      <c r="U32" s="32">
        <f t="shared" si="12"/>
        <v>0</v>
      </c>
      <c r="V32" s="32">
        <f t="shared" si="12"/>
        <v>0</v>
      </c>
      <c r="W32" s="32">
        <f t="shared" si="12"/>
        <v>0</v>
      </c>
      <c r="X32" s="32">
        <f t="shared" si="12"/>
        <v>0</v>
      </c>
      <c r="Y32" s="32">
        <f t="shared" si="12"/>
        <v>0</v>
      </c>
      <c r="Z32" s="32">
        <f t="shared" si="12"/>
        <v>0</v>
      </c>
      <c r="AA32" s="32">
        <f t="shared" si="12"/>
        <v>0</v>
      </c>
      <c r="AB32" s="32">
        <f t="shared" si="12"/>
        <v>0</v>
      </c>
      <c r="AC32" s="32">
        <f t="shared" si="12"/>
        <v>0</v>
      </c>
      <c r="AD32" s="32">
        <f t="shared" si="12"/>
        <v>0</v>
      </c>
      <c r="AE32" s="32">
        <f t="shared" si="12"/>
        <v>0</v>
      </c>
      <c r="AF32" s="32">
        <f t="shared" si="12"/>
        <v>0</v>
      </c>
      <c r="AG32" s="32">
        <f t="shared" si="12"/>
        <v>0</v>
      </c>
      <c r="AH32" s="32">
        <f t="shared" si="12"/>
        <v>0</v>
      </c>
      <c r="AI32" s="32">
        <f t="shared" ref="AI32:BN32" si="13">AI28-AI31</f>
        <v>0</v>
      </c>
      <c r="AJ32" s="32">
        <f t="shared" si="13"/>
        <v>0</v>
      </c>
      <c r="AK32" s="32">
        <f t="shared" si="13"/>
        <v>0</v>
      </c>
      <c r="AL32" s="32">
        <f t="shared" si="13"/>
        <v>0</v>
      </c>
      <c r="AM32" s="32">
        <f t="shared" si="13"/>
        <v>0</v>
      </c>
      <c r="AN32" s="32">
        <f t="shared" si="13"/>
        <v>0</v>
      </c>
      <c r="AO32" s="32">
        <f t="shared" si="13"/>
        <v>0</v>
      </c>
      <c r="AP32" s="32">
        <f t="shared" si="13"/>
        <v>0</v>
      </c>
      <c r="AQ32" s="32">
        <f t="shared" si="13"/>
        <v>0</v>
      </c>
      <c r="AR32" s="32">
        <f t="shared" si="13"/>
        <v>0</v>
      </c>
      <c r="AS32" s="32">
        <f t="shared" si="13"/>
        <v>0</v>
      </c>
      <c r="AT32" s="32">
        <f t="shared" si="13"/>
        <v>0</v>
      </c>
      <c r="AU32" s="32">
        <f t="shared" si="13"/>
        <v>0</v>
      </c>
      <c r="AV32" s="32">
        <f t="shared" si="13"/>
        <v>0</v>
      </c>
      <c r="AW32" s="32">
        <f t="shared" si="13"/>
        <v>0</v>
      </c>
      <c r="AX32" s="32">
        <f t="shared" si="13"/>
        <v>0</v>
      </c>
      <c r="AY32" s="32">
        <f t="shared" si="13"/>
        <v>0</v>
      </c>
      <c r="AZ32" s="32">
        <f t="shared" si="13"/>
        <v>0</v>
      </c>
      <c r="BA32" s="32">
        <f t="shared" si="13"/>
        <v>0</v>
      </c>
      <c r="BB32" s="32">
        <f t="shared" si="13"/>
        <v>0</v>
      </c>
      <c r="BC32" s="32">
        <f t="shared" si="13"/>
        <v>0</v>
      </c>
      <c r="BD32" s="32">
        <f t="shared" si="13"/>
        <v>0</v>
      </c>
      <c r="BE32" s="32">
        <f t="shared" si="13"/>
        <v>0</v>
      </c>
      <c r="BF32" s="32">
        <f t="shared" si="13"/>
        <v>0</v>
      </c>
      <c r="BG32" s="32">
        <f t="shared" si="13"/>
        <v>0</v>
      </c>
      <c r="BH32" s="32">
        <f t="shared" si="13"/>
        <v>0</v>
      </c>
      <c r="BI32" s="32">
        <f t="shared" si="13"/>
        <v>0</v>
      </c>
      <c r="BJ32" s="32">
        <f t="shared" si="13"/>
        <v>0</v>
      </c>
      <c r="BK32" s="32">
        <f t="shared" si="13"/>
        <v>1023619.0298886189</v>
      </c>
      <c r="BL32" s="32">
        <f t="shared" si="13"/>
        <v>997088.8979367672</v>
      </c>
      <c r="BM32" s="32">
        <f t="shared" si="13"/>
        <v>970408.76076171268</v>
      </c>
      <c r="BN32" s="32">
        <f t="shared" si="13"/>
        <v>943577.77021211456</v>
      </c>
      <c r="BO32" s="32">
        <f t="shared" ref="BO32:CT32" si="14">BO28-BO31</f>
        <v>916595.0733410609</v>
      </c>
      <c r="BP32" s="32">
        <f t="shared" si="14"/>
        <v>889459.81237895403</v>
      </c>
      <c r="BQ32" s="32">
        <f t="shared" si="14"/>
        <v>862171.12470624223</v>
      </c>
      <c r="BR32" s="32">
        <f t="shared" si="14"/>
        <v>834728.14282599743</v>
      </c>
      <c r="BS32" s="32">
        <f t="shared" si="14"/>
        <v>807129.99433633778</v>
      </c>
      <c r="BT32" s="32">
        <f t="shared" si="14"/>
        <v>779375.80190269439</v>
      </c>
      <c r="BU32" s="32">
        <f t="shared" si="14"/>
        <v>751464.68322992115</v>
      </c>
      <c r="BV32" s="32">
        <f t="shared" si="14"/>
        <v>723395.75103424699</v>
      </c>
      <c r="BW32" s="32">
        <f t="shared" si="14"/>
        <v>695168.11301506916</v>
      </c>
      <c r="BX32" s="32">
        <f t="shared" si="14"/>
        <v>666780.87182658794</v>
      </c>
      <c r="BY32" s="32">
        <f t="shared" si="14"/>
        <v>638233.12504927965</v>
      </c>
      <c r="BZ32" s="32">
        <f t="shared" si="14"/>
        <v>609523.96516120969</v>
      </c>
      <c r="CA32" s="32">
        <f t="shared" si="14"/>
        <v>580652.47950918227</v>
      </c>
      <c r="CB32" s="32">
        <f t="shared" si="14"/>
        <v>551617.75027972786</v>
      </c>
      <c r="CC32" s="32">
        <f t="shared" si="14"/>
        <v>522418.85446992621</v>
      </c>
      <c r="CD32" s="32">
        <f t="shared" si="14"/>
        <v>493054.86385806423</v>
      </c>
      <c r="CE32" s="32">
        <f t="shared" si="14"/>
        <v>463524.84497412841</v>
      </c>
      <c r="CF32" s="32">
        <f t="shared" si="14"/>
        <v>433827.85907012998</v>
      </c>
      <c r="CG32" s="32">
        <f t="shared" si="14"/>
        <v>403962.96209026262</v>
      </c>
      <c r="CH32" s="32">
        <f t="shared" si="14"/>
        <v>373929.20464089123</v>
      </c>
      <c r="CI32" s="32">
        <f t="shared" si="14"/>
        <v>343725.63196037099</v>
      </c>
      <c r="CJ32" s="32">
        <f t="shared" si="14"/>
        <v>313351.28388869605</v>
      </c>
      <c r="CK32" s="32">
        <f t="shared" si="14"/>
        <v>282805.19483697618</v>
      </c>
      <c r="CL32" s="32">
        <f t="shared" si="14"/>
        <v>252086.39375674128</v>
      </c>
      <c r="CM32" s="32">
        <f t="shared" si="14"/>
        <v>221193.90410907194</v>
      </c>
      <c r="CN32" s="32">
        <f t="shared" si="14"/>
        <v>190126.74383355578</v>
      </c>
      <c r="CO32" s="32">
        <f t="shared" si="14"/>
        <v>158883.92531706803</v>
      </c>
      <c r="CP32" s="32">
        <f t="shared" si="14"/>
        <v>127464.45536237574</v>
      </c>
      <c r="CQ32" s="32">
        <f t="shared" si="14"/>
        <v>95867.335156564397</v>
      </c>
      <c r="CR32" s="32">
        <f t="shared" si="14"/>
        <v>64091.560239286075</v>
      </c>
      <c r="CS32" s="32">
        <f t="shared" si="14"/>
        <v>32136.120470827995</v>
      </c>
      <c r="CT32" s="32">
        <f t="shared" si="14"/>
        <v>5.8207660913467407E-10</v>
      </c>
      <c r="CU32" s="32">
        <f t="shared" ref="CU32:DZ32" si="15">CU28-CU31</f>
        <v>0</v>
      </c>
      <c r="CV32" s="32">
        <f t="shared" si="15"/>
        <v>0</v>
      </c>
      <c r="CW32" s="32">
        <f t="shared" si="15"/>
        <v>0</v>
      </c>
      <c r="CX32" s="32">
        <f t="shared" si="15"/>
        <v>0</v>
      </c>
      <c r="CY32" s="32">
        <f t="shared" si="15"/>
        <v>0</v>
      </c>
      <c r="CZ32" s="32">
        <f t="shared" si="15"/>
        <v>0</v>
      </c>
      <c r="DA32" s="32">
        <f t="shared" si="15"/>
        <v>0</v>
      </c>
      <c r="DB32" s="32">
        <f t="shared" si="15"/>
        <v>0</v>
      </c>
      <c r="DC32" s="32">
        <f t="shared" si="15"/>
        <v>0</v>
      </c>
      <c r="DD32" s="32">
        <f t="shared" si="15"/>
        <v>0</v>
      </c>
      <c r="DE32" s="32">
        <f t="shared" si="15"/>
        <v>0</v>
      </c>
      <c r="DF32" s="32">
        <f t="shared" si="15"/>
        <v>0</v>
      </c>
    </row>
    <row r="34" spans="1:111" ht="13.8" x14ac:dyDescent="0.3">
      <c r="A34" s="26" t="s">
        <v>325</v>
      </c>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row>
    <row r="35" spans="1:111" ht="13.8" x14ac:dyDescent="0.3">
      <c r="A35" s="16" t="s">
        <v>317</v>
      </c>
      <c r="C35" s="17">
        <f>IF(C$4=Supuestos!$I$37,Supuestos!$C$37,0)</f>
        <v>0</v>
      </c>
      <c r="D35" s="17">
        <f>IF(D$4=Supuestos!$I$37,Supuestos!$C$37,0)</f>
        <v>0</v>
      </c>
      <c r="E35" s="17">
        <f>IF(E$4=Supuestos!$I$37,Supuestos!$C$37,0)</f>
        <v>0</v>
      </c>
      <c r="F35" s="17">
        <f>IF(F$4=Supuestos!$I$37,Supuestos!$C$37,0)</f>
        <v>0</v>
      </c>
      <c r="G35" s="17">
        <f>IF(G$4=Supuestos!$I$37,Supuestos!$C$37,0)</f>
        <v>0</v>
      </c>
      <c r="H35" s="17">
        <f>IF(H$4=Supuestos!$I$37,Supuestos!$C$37,0)</f>
        <v>0</v>
      </c>
      <c r="I35" s="17">
        <f>IF(I$4=Supuestos!$I$37,Supuestos!$C$37,0)</f>
        <v>0</v>
      </c>
      <c r="J35" s="17">
        <f>IF(J$4=Supuestos!$I$37,Supuestos!$C$37,0)</f>
        <v>0</v>
      </c>
      <c r="K35" s="17">
        <f>IF(K$4=Supuestos!$I$37,Supuestos!$C$37,0)</f>
        <v>0</v>
      </c>
      <c r="L35" s="17">
        <f>IF(L$4=Supuestos!$I$37,Supuestos!$C$37,0)</f>
        <v>0</v>
      </c>
      <c r="M35" s="17">
        <f>IF(M$4=Supuestos!$I$37,Supuestos!$C$37,0)</f>
        <v>1020000</v>
      </c>
      <c r="N35" s="17">
        <f>IF(N$4=Supuestos!$I$37,Supuestos!$C$37,0)</f>
        <v>0</v>
      </c>
      <c r="O35" s="17">
        <f>IF(O$4=Supuestos!$I$37,Supuestos!$C$37,0)</f>
        <v>0</v>
      </c>
      <c r="P35" s="17">
        <f>IF(P$4=Supuestos!$I$37,Supuestos!$C$37,0)</f>
        <v>0</v>
      </c>
      <c r="Q35" s="17">
        <f>IF(Q$4=Supuestos!$I$37,Supuestos!$C$37,0)</f>
        <v>0</v>
      </c>
      <c r="R35" s="17">
        <f>IF(R$4=Supuestos!$I$37,Supuestos!$C$37,0)</f>
        <v>0</v>
      </c>
      <c r="S35" s="17">
        <f>IF(S$4=Supuestos!$I$37,Supuestos!$C$37,0)</f>
        <v>0</v>
      </c>
      <c r="T35" s="17">
        <f>IF(T$4=Supuestos!$I$37,Supuestos!$C$37,0)</f>
        <v>0</v>
      </c>
      <c r="U35" s="17">
        <f>IF(U$4=Supuestos!$I$37,Supuestos!$C$37,0)</f>
        <v>0</v>
      </c>
      <c r="V35" s="17">
        <f>IF(V$4=Supuestos!$I$37,Supuestos!$C$37,0)</f>
        <v>0</v>
      </c>
      <c r="W35" s="17">
        <f>IF(W$4=Supuestos!$I$37,Supuestos!$C$37,0)</f>
        <v>0</v>
      </c>
      <c r="X35" s="17">
        <f>IF(X$4=Supuestos!$I$37,Supuestos!$C$37,0)</f>
        <v>0</v>
      </c>
      <c r="Y35" s="17">
        <f>IF(Y$4=Supuestos!$I$37,Supuestos!$C$37,0)</f>
        <v>0</v>
      </c>
      <c r="Z35" s="17">
        <f>IF(Z$4=Supuestos!$I$37,Supuestos!$C$37,0)</f>
        <v>0</v>
      </c>
      <c r="AA35" s="17">
        <f>IF(AA$4=Supuestos!$I$37,Supuestos!$C$37,0)</f>
        <v>0</v>
      </c>
      <c r="AB35" s="17">
        <f>IF(AB$4=Supuestos!$I$37,Supuestos!$C$37,0)</f>
        <v>0</v>
      </c>
      <c r="AC35" s="17">
        <f>IF(AC$4=Supuestos!$I$37,Supuestos!$C$37,0)</f>
        <v>0</v>
      </c>
      <c r="AD35" s="17">
        <f>IF(AD$4=Supuestos!$I$37,Supuestos!$C$37,0)</f>
        <v>0</v>
      </c>
      <c r="AE35" s="17">
        <f>IF(AE$4=Supuestos!$I$37,Supuestos!$C$37,0)</f>
        <v>0</v>
      </c>
      <c r="AF35" s="17">
        <f>IF(AF$4=Supuestos!$I$37,Supuestos!$C$37,0)</f>
        <v>0</v>
      </c>
      <c r="AG35" s="17">
        <f>IF(AG$4=Supuestos!$I$37,Supuestos!$C$37,0)</f>
        <v>0</v>
      </c>
      <c r="AH35" s="17">
        <f>IF(AH$4=Supuestos!$I$37,Supuestos!$C$37,0)</f>
        <v>0</v>
      </c>
      <c r="AI35" s="17">
        <f>IF(AI$4=Supuestos!$I$37,Supuestos!$C$37,0)</f>
        <v>0</v>
      </c>
      <c r="AJ35" s="17">
        <f>IF(AJ$4=Supuestos!$I$37,Supuestos!$C$37,0)</f>
        <v>0</v>
      </c>
      <c r="AK35" s="17">
        <f>IF(AK$4=Supuestos!$I$37,Supuestos!$C$37,0)</f>
        <v>0</v>
      </c>
      <c r="AL35" s="17">
        <f>IF(AL$4=Supuestos!$I$37,Supuestos!$C$37,0)</f>
        <v>0</v>
      </c>
      <c r="AM35" s="17">
        <f>IF(AM$4=Supuestos!$I$37,Supuestos!$C$37,0)</f>
        <v>0</v>
      </c>
      <c r="AN35" s="17">
        <f>IF(AN$4=Supuestos!$I$37,Supuestos!$C$37,0)</f>
        <v>0</v>
      </c>
      <c r="AO35" s="17">
        <f>IF(AO$4=Supuestos!$I$37,Supuestos!$C$37,0)</f>
        <v>0</v>
      </c>
      <c r="AP35" s="17">
        <f>IF(AP$4=Supuestos!$I$37,Supuestos!$C$37,0)</f>
        <v>0</v>
      </c>
      <c r="AQ35" s="17">
        <f>IF(AQ$4=Supuestos!$I$37,Supuestos!$C$37,0)</f>
        <v>0</v>
      </c>
      <c r="AR35" s="17">
        <f>IF(AR$4=Supuestos!$I$37,Supuestos!$C$37,0)</f>
        <v>0</v>
      </c>
      <c r="AS35" s="17">
        <f>IF(AS$4=Supuestos!$I$37,Supuestos!$C$37,0)</f>
        <v>0</v>
      </c>
      <c r="AT35" s="17">
        <f>IF(AT$4=Supuestos!$I$37,Supuestos!$C$37,0)</f>
        <v>0</v>
      </c>
      <c r="AU35" s="17">
        <f>IF(AU$4=Supuestos!$I$37,Supuestos!$C$37,0)</f>
        <v>0</v>
      </c>
      <c r="AV35" s="17">
        <f>IF(AV$4=Supuestos!$I$37,Supuestos!$C$37,0)</f>
        <v>0</v>
      </c>
      <c r="AW35" s="17">
        <f>IF(AW$4=Supuestos!$I$37,Supuestos!$C$37,0)</f>
        <v>0</v>
      </c>
      <c r="AX35" s="17">
        <f>IF(AX$4=Supuestos!$I$37,Supuestos!$C$37,0)</f>
        <v>0</v>
      </c>
      <c r="AY35" s="17">
        <f>IF(AY$4=Supuestos!$I$37,Supuestos!$C$37,0)</f>
        <v>0</v>
      </c>
      <c r="AZ35" s="17">
        <f>IF(AZ$4=Supuestos!$I$37,Supuestos!$C$37,0)</f>
        <v>0</v>
      </c>
      <c r="BA35" s="17">
        <f>IF(BA$4=Supuestos!$I$37,Supuestos!$C$37,0)</f>
        <v>0</v>
      </c>
      <c r="BB35" s="17">
        <f>IF(BB$4=Supuestos!$I$37,Supuestos!$C$37,0)</f>
        <v>0</v>
      </c>
      <c r="BC35" s="17">
        <f>IF(BC$4=Supuestos!$I$37,Supuestos!$C$37,0)</f>
        <v>0</v>
      </c>
      <c r="BD35" s="17">
        <f>IF(BD$4=Supuestos!$I$37,Supuestos!$C$37,0)</f>
        <v>0</v>
      </c>
      <c r="BE35" s="17">
        <f>IF(BE$4=Supuestos!$I$37,Supuestos!$C$37,0)</f>
        <v>0</v>
      </c>
      <c r="BF35" s="17">
        <f>IF(BF$4=Supuestos!$I$37,Supuestos!$C$37,0)</f>
        <v>0</v>
      </c>
      <c r="BG35" s="17">
        <f>IF(BG$4=Supuestos!$I$37,Supuestos!$C$37,0)</f>
        <v>0</v>
      </c>
      <c r="BH35" s="17">
        <f>IF(BH$4=Supuestos!$I$37,Supuestos!$C$37,0)</f>
        <v>0</v>
      </c>
      <c r="BI35" s="17">
        <f>IF(BI$4=Supuestos!$I$37,Supuestos!$C$37,0)</f>
        <v>0</v>
      </c>
      <c r="BJ35" s="17">
        <f>IF(BJ$4=Supuestos!$I$37,Supuestos!$C$37,0)</f>
        <v>0</v>
      </c>
      <c r="BK35" s="17">
        <f>IF(BK$4=Supuestos!$I$37,Supuestos!$C$37,0)</f>
        <v>0</v>
      </c>
      <c r="BL35" s="17">
        <f>IF(BL$4=Supuestos!$I$37,Supuestos!$C$37,0)</f>
        <v>0</v>
      </c>
      <c r="BM35" s="17">
        <f>IF(BM$4=Supuestos!$I$37,Supuestos!$C$37,0)</f>
        <v>0</v>
      </c>
      <c r="BN35" s="17">
        <f>IF(BN$4=Supuestos!$I$37,Supuestos!$C$37,0)</f>
        <v>0</v>
      </c>
      <c r="BO35" s="17">
        <f>IF(BO$4=Supuestos!$I$37,Supuestos!$C$37,0)</f>
        <v>0</v>
      </c>
      <c r="BP35" s="17">
        <f>IF(BP$4=Supuestos!$I$37,Supuestos!$C$37,0)</f>
        <v>0</v>
      </c>
      <c r="BQ35" s="17">
        <f>IF(BQ$4=Supuestos!$I$37,Supuestos!$C$37,0)</f>
        <v>0</v>
      </c>
      <c r="BR35" s="17">
        <f>IF(BR$4=Supuestos!$I$37,Supuestos!$C$37,0)</f>
        <v>0</v>
      </c>
      <c r="BS35" s="17">
        <f>IF(BS$4=Supuestos!$I$37,Supuestos!$C$37,0)</f>
        <v>0</v>
      </c>
      <c r="BT35" s="17">
        <f>IF(BT$4=Supuestos!$I$37,Supuestos!$C$37,0)</f>
        <v>0</v>
      </c>
      <c r="BU35" s="17">
        <f>IF(BU$4=Supuestos!$I$37,Supuestos!$C$37,0)</f>
        <v>0</v>
      </c>
      <c r="BV35" s="17">
        <f>IF(BV$4=Supuestos!$I$37,Supuestos!$C$37,0)</f>
        <v>0</v>
      </c>
      <c r="BW35" s="17">
        <f>IF(BW$4=Supuestos!$I$37,Supuestos!$C$37,0)</f>
        <v>0</v>
      </c>
      <c r="BX35" s="17">
        <f>IF(BX$4=Supuestos!$I$37,Supuestos!$C$37,0)</f>
        <v>0</v>
      </c>
      <c r="BY35" s="17">
        <f>IF(BY$4=Supuestos!$I$37,Supuestos!$C$37,0)</f>
        <v>0</v>
      </c>
      <c r="BZ35" s="17">
        <f>IF(BZ$4=Supuestos!$I$37,Supuestos!$C$37,0)</f>
        <v>0</v>
      </c>
      <c r="CA35" s="17">
        <f>IF(CA$4=Supuestos!$I$37,Supuestos!$C$37,0)</f>
        <v>0</v>
      </c>
      <c r="CB35" s="17">
        <f>IF(CB$4=Supuestos!$I$37,Supuestos!$C$37,0)</f>
        <v>0</v>
      </c>
      <c r="CC35" s="17">
        <f>IF(CC$4=Supuestos!$I$37,Supuestos!$C$37,0)</f>
        <v>0</v>
      </c>
      <c r="CD35" s="17">
        <f>IF(CD$4=Supuestos!$I$37,Supuestos!$C$37,0)</f>
        <v>0</v>
      </c>
      <c r="CE35" s="17">
        <f>IF(CE$4=Supuestos!$I$37,Supuestos!$C$37,0)</f>
        <v>0</v>
      </c>
      <c r="CF35" s="17">
        <f>IF(CF$4=Supuestos!$I$37,Supuestos!$C$37,0)</f>
        <v>0</v>
      </c>
      <c r="CG35" s="17">
        <f>IF(CG$4=Supuestos!$I$37,Supuestos!$C$37,0)</f>
        <v>0</v>
      </c>
      <c r="CH35" s="17">
        <f>IF(CH$4=Supuestos!$I$37,Supuestos!$C$37,0)</f>
        <v>0</v>
      </c>
      <c r="CI35" s="17">
        <f>IF(CI$4=Supuestos!$I$37,Supuestos!$C$37,0)</f>
        <v>0</v>
      </c>
      <c r="CJ35" s="17">
        <f>IF(CJ$4=Supuestos!$I$37,Supuestos!$C$37,0)</f>
        <v>0</v>
      </c>
      <c r="CK35" s="17">
        <f>IF(CK$4=Supuestos!$I$37,Supuestos!$C$37,0)</f>
        <v>0</v>
      </c>
      <c r="CL35" s="17">
        <f>IF(CL$4=Supuestos!$I$37,Supuestos!$C$37,0)</f>
        <v>0</v>
      </c>
      <c r="CM35" s="17">
        <f>IF(CM$4=Supuestos!$I$37,Supuestos!$C$37,0)</f>
        <v>0</v>
      </c>
      <c r="CN35" s="17">
        <f>IF(CN$4=Supuestos!$I$37,Supuestos!$C$37,0)</f>
        <v>0</v>
      </c>
      <c r="CO35" s="17">
        <f>IF(CO$4=Supuestos!$I$37,Supuestos!$C$37,0)</f>
        <v>0</v>
      </c>
      <c r="CP35" s="17">
        <f>IF(CP$4=Supuestos!$I$37,Supuestos!$C$37,0)</f>
        <v>0</v>
      </c>
      <c r="CQ35" s="17">
        <f>IF(CQ$4=Supuestos!$I$37,Supuestos!$C$37,0)</f>
        <v>0</v>
      </c>
      <c r="CR35" s="17">
        <f>IF(CR$4=Supuestos!$I$37,Supuestos!$C$37,0)</f>
        <v>0</v>
      </c>
      <c r="CS35" s="17">
        <f>IF(CS$4=Supuestos!$I$37,Supuestos!$C$37,0)</f>
        <v>0</v>
      </c>
      <c r="CT35" s="17">
        <f>IF(CT$4=Supuestos!$I$37,Supuestos!$C$37,0)</f>
        <v>0</v>
      </c>
      <c r="CU35" s="17">
        <f>IF(CU$4=Supuestos!$I$37,Supuestos!$C$37,0)</f>
        <v>0</v>
      </c>
      <c r="CV35" s="17">
        <f>IF(CV$4=Supuestos!$I$37,Supuestos!$C$37,0)</f>
        <v>0</v>
      </c>
      <c r="CW35" s="17">
        <f>IF(CW$4=Supuestos!$I$37,Supuestos!$C$37,0)</f>
        <v>0</v>
      </c>
      <c r="CX35" s="17">
        <f>IF(CX$4=Supuestos!$I$37,Supuestos!$C$37,0)</f>
        <v>0</v>
      </c>
      <c r="CY35" s="17">
        <f>IF(CY$4=Supuestos!$I$37,Supuestos!$C$37,0)</f>
        <v>0</v>
      </c>
      <c r="CZ35" s="17">
        <f>IF(CZ$4=Supuestos!$I$37,Supuestos!$C$37,0)</f>
        <v>0</v>
      </c>
      <c r="DA35" s="17">
        <f>IF(DA$4=Supuestos!$I$37,Supuestos!$C$37,0)</f>
        <v>0</v>
      </c>
      <c r="DB35" s="17">
        <f>IF(DB$4=Supuestos!$I$37,Supuestos!$C$37,0)</f>
        <v>0</v>
      </c>
      <c r="DC35" s="17">
        <f>IF(DC$4=Supuestos!$I$37,Supuestos!$C$37,0)</f>
        <v>0</v>
      </c>
      <c r="DD35" s="17">
        <f>IF(DD$4=Supuestos!$I$37,Supuestos!$C$37,0)</f>
        <v>0</v>
      </c>
      <c r="DE35" s="17">
        <f>IF(DE$4=Supuestos!$I$37,Supuestos!$C$37,0)</f>
        <v>0</v>
      </c>
      <c r="DF35" s="17">
        <f>IF(DF$4=Supuestos!$I$37,Supuestos!$C$37,0)</f>
        <v>0</v>
      </c>
      <c r="DG35" s="32">
        <f>SUM(C35:DF35)</f>
        <v>1020000</v>
      </c>
    </row>
    <row r="36" spans="1:111" ht="13.8" x14ac:dyDescent="0.3">
      <c r="A36" s="16" t="s">
        <v>318</v>
      </c>
      <c r="C36" s="152">
        <f>IF(AND(C$4&gt;=Supuestos!$H$37,C$4&lt;EDATE(Supuestos!$H$37,Supuestos!$E$37)),1,0)</f>
        <v>0</v>
      </c>
      <c r="D36" s="152">
        <f>IF(AND(D$4&gt;=Supuestos!$H$37,D$4&lt;EDATE(Supuestos!$H$37,Supuestos!$E$37)),C36+1,0)</f>
        <v>0</v>
      </c>
      <c r="E36" s="152">
        <f>IF(AND(E$4&gt;=Supuestos!$H$37,E$4&lt;EDATE(Supuestos!$H$37,Supuestos!$E$37)),D36+1,0)</f>
        <v>0</v>
      </c>
      <c r="F36" s="152">
        <f>IF(AND(F$4&gt;=Supuestos!$H$37,F$4&lt;EDATE(Supuestos!$H$37,Supuestos!$E$37)),E36+1,0)</f>
        <v>0</v>
      </c>
      <c r="G36" s="152">
        <f>IF(AND(G$4&gt;=Supuestos!$H$37,G$4&lt;EDATE(Supuestos!$H$37,Supuestos!$E$37)),F36+1,0)</f>
        <v>0</v>
      </c>
      <c r="H36" s="152">
        <f>IF(AND(H$4&gt;=Supuestos!$H$37,H$4&lt;EDATE(Supuestos!$H$37,Supuestos!$E$37)),G36+1,0)</f>
        <v>0</v>
      </c>
      <c r="I36" s="152">
        <f>IF(AND(I$4&gt;=Supuestos!$H$37,I$4&lt;EDATE(Supuestos!$H$37,Supuestos!$E$37)),H36+1,0)</f>
        <v>0</v>
      </c>
      <c r="J36" s="152">
        <f>IF(AND(J$4&gt;=Supuestos!$H$37,J$4&lt;EDATE(Supuestos!$H$37,Supuestos!$E$37)),I36+1,0)</f>
        <v>0</v>
      </c>
      <c r="K36" s="152">
        <f>IF(AND(K$4&gt;=Supuestos!$H$37,K$4&lt;EDATE(Supuestos!$H$37,Supuestos!$E$37)),J36+1,0)</f>
        <v>0</v>
      </c>
      <c r="L36" s="152">
        <f>IF(AND(L$4&gt;=Supuestos!$H$37,L$4&lt;EDATE(Supuestos!$H$37,Supuestos!$E$37)),K36+1,0)</f>
        <v>0</v>
      </c>
      <c r="M36" s="152">
        <f>IF(AND(M$4&gt;=Supuestos!$H$37,M$4&lt;EDATE(Supuestos!$H$37,Supuestos!$E$37)),L36+1,0)</f>
        <v>1</v>
      </c>
      <c r="N36" s="152">
        <f>IF(AND(N$4&gt;=Supuestos!$H$37,N$4&lt;EDATE(Supuestos!$H$37,Supuestos!$E$37)),M36+1,0)</f>
        <v>2</v>
      </c>
      <c r="O36" s="152">
        <f>IF(AND(O$4&gt;=Supuestos!$H$37,O$4&lt;EDATE(Supuestos!$H$37,Supuestos!$E$37)),N36+1,0)</f>
        <v>3</v>
      </c>
      <c r="P36" s="152">
        <f>IF(AND(P$4&gt;=Supuestos!$H$37,P$4&lt;EDATE(Supuestos!$H$37,Supuestos!$E$37)),O36+1,0)</f>
        <v>4</v>
      </c>
      <c r="Q36" s="152">
        <f>IF(AND(Q$4&gt;=Supuestos!$H$37,Q$4&lt;EDATE(Supuestos!$H$37,Supuestos!$E$37)),P36+1,0)</f>
        <v>5</v>
      </c>
      <c r="R36" s="152">
        <f>IF(AND(R$4&gt;=Supuestos!$H$37,R$4&lt;EDATE(Supuestos!$H$37,Supuestos!$E$37)),Q36+1,0)</f>
        <v>6</v>
      </c>
      <c r="S36" s="152">
        <f>IF(AND(S$4&gt;=Supuestos!$H$37,S$4&lt;EDATE(Supuestos!$H$37,Supuestos!$E$37)),R36+1,0)</f>
        <v>7</v>
      </c>
      <c r="T36" s="152">
        <f>IF(AND(T$4&gt;=Supuestos!$H$37,T$4&lt;EDATE(Supuestos!$H$37,Supuestos!$E$37)),S36+1,0)</f>
        <v>8</v>
      </c>
      <c r="U36" s="152">
        <f>IF(AND(U$4&gt;=Supuestos!$H$37,U$4&lt;EDATE(Supuestos!$H$37,Supuestos!$E$37)),T36+1,0)</f>
        <v>9</v>
      </c>
      <c r="V36" s="152">
        <f>IF(AND(V$4&gt;=Supuestos!$H$37,V$4&lt;EDATE(Supuestos!$H$37,Supuestos!$E$37)),U36+1,0)</f>
        <v>10</v>
      </c>
      <c r="W36" s="152">
        <f>IF(AND(W$4&gt;=Supuestos!$H$37,W$4&lt;EDATE(Supuestos!$H$37,Supuestos!$E$37)),V36+1,0)</f>
        <v>11</v>
      </c>
      <c r="X36" s="152">
        <f>IF(AND(X$4&gt;=Supuestos!$H$37,X$4&lt;EDATE(Supuestos!$H$37,Supuestos!$E$37)),W36+1,0)</f>
        <v>12</v>
      </c>
      <c r="Y36" s="152">
        <f>IF(AND(Y$4&gt;=Supuestos!$H$37,Y$4&lt;EDATE(Supuestos!$H$37,Supuestos!$E$37)),X36+1,0)</f>
        <v>13</v>
      </c>
      <c r="Z36" s="152">
        <f>IF(AND(Z$4&gt;=Supuestos!$H$37,Z$4&lt;EDATE(Supuestos!$H$37,Supuestos!$E$37)),Y36+1,0)</f>
        <v>14</v>
      </c>
      <c r="AA36" s="152">
        <f>IF(AND(AA$4&gt;=Supuestos!$H$37,AA$4&lt;EDATE(Supuestos!$H$37,Supuestos!$E$37)),Z36+1,0)</f>
        <v>15</v>
      </c>
      <c r="AB36" s="152">
        <f>IF(AND(AB$4&gt;=Supuestos!$H$37,AB$4&lt;EDATE(Supuestos!$H$37,Supuestos!$E$37)),AA36+1,0)</f>
        <v>16</v>
      </c>
      <c r="AC36" s="152">
        <f>IF(AND(AC$4&gt;=Supuestos!$H$37,AC$4&lt;EDATE(Supuestos!$H$37,Supuestos!$E$37)),AB36+1,0)</f>
        <v>17</v>
      </c>
      <c r="AD36" s="152">
        <f>IF(AND(AD$4&gt;=Supuestos!$H$37,AD$4&lt;EDATE(Supuestos!$H$37,Supuestos!$E$37)),AC36+1,0)</f>
        <v>18</v>
      </c>
      <c r="AE36" s="152">
        <f>IF(AND(AE$4&gt;=Supuestos!$H$37,AE$4&lt;EDATE(Supuestos!$H$37,Supuestos!$E$37)),AD36+1,0)</f>
        <v>19</v>
      </c>
      <c r="AF36" s="152">
        <f>IF(AND(AF$4&gt;=Supuestos!$H$37,AF$4&lt;EDATE(Supuestos!$H$37,Supuestos!$E$37)),AE36+1,0)</f>
        <v>20</v>
      </c>
      <c r="AG36" s="152">
        <f>IF(AND(AG$4&gt;=Supuestos!$H$37,AG$4&lt;EDATE(Supuestos!$H$37,Supuestos!$E$37)),AF36+1,0)</f>
        <v>21</v>
      </c>
      <c r="AH36" s="152">
        <f>IF(AND(AH$4&gt;=Supuestos!$H$37,AH$4&lt;EDATE(Supuestos!$H$37,Supuestos!$E$37)),AG36+1,0)</f>
        <v>22</v>
      </c>
      <c r="AI36" s="152">
        <f>IF(AND(AI$4&gt;=Supuestos!$H$37,AI$4&lt;EDATE(Supuestos!$H$37,Supuestos!$E$37)),AH36+1,0)</f>
        <v>23</v>
      </c>
      <c r="AJ36" s="152">
        <f>IF(AND(AJ$4&gt;=Supuestos!$H$37,AJ$4&lt;EDATE(Supuestos!$H$37,Supuestos!$E$37)),AI36+1,0)</f>
        <v>24</v>
      </c>
      <c r="AK36" s="152">
        <f>IF(AND(AK$4&gt;=Supuestos!$H$37,AK$4&lt;EDATE(Supuestos!$H$37,Supuestos!$E$37)),AJ36+1,0)</f>
        <v>25</v>
      </c>
      <c r="AL36" s="152">
        <f>IF(AND(AL$4&gt;=Supuestos!$H$37,AL$4&lt;EDATE(Supuestos!$H$37,Supuestos!$E$37)),AK36+1,0)</f>
        <v>26</v>
      </c>
      <c r="AM36" s="152">
        <f>IF(AND(AM$4&gt;=Supuestos!$H$37,AM$4&lt;EDATE(Supuestos!$H$37,Supuestos!$E$37)),AL36+1,0)</f>
        <v>27</v>
      </c>
      <c r="AN36" s="152">
        <f>IF(AND(AN$4&gt;=Supuestos!$H$37,AN$4&lt;EDATE(Supuestos!$H$37,Supuestos!$E$37)),AM36+1,0)</f>
        <v>28</v>
      </c>
      <c r="AO36" s="152">
        <f>IF(AND(AO$4&gt;=Supuestos!$H$37,AO$4&lt;EDATE(Supuestos!$H$37,Supuestos!$E$37)),AN36+1,0)</f>
        <v>29</v>
      </c>
      <c r="AP36" s="152">
        <f>IF(AND(AP$4&gt;=Supuestos!$H$37,AP$4&lt;EDATE(Supuestos!$H$37,Supuestos!$E$37)),AO36+1,0)</f>
        <v>30</v>
      </c>
      <c r="AQ36" s="152">
        <f>IF(AND(AQ$4&gt;=Supuestos!$H$37,AQ$4&lt;EDATE(Supuestos!$H$37,Supuestos!$E$37)),AP36+1,0)</f>
        <v>31</v>
      </c>
      <c r="AR36" s="152">
        <f>IF(AND(AR$4&gt;=Supuestos!$H$37,AR$4&lt;EDATE(Supuestos!$H$37,Supuestos!$E$37)),AQ36+1,0)</f>
        <v>32</v>
      </c>
      <c r="AS36" s="152">
        <f>IF(AND(AS$4&gt;=Supuestos!$H$37,AS$4&lt;EDATE(Supuestos!$H$37,Supuestos!$E$37)),AR36+1,0)</f>
        <v>33</v>
      </c>
      <c r="AT36" s="152">
        <f>IF(AND(AT$4&gt;=Supuestos!$H$37,AT$4&lt;EDATE(Supuestos!$H$37,Supuestos!$E$37)),AS36+1,0)</f>
        <v>34</v>
      </c>
      <c r="AU36" s="152">
        <f>IF(AND(AU$4&gt;=Supuestos!$H$37,AU$4&lt;EDATE(Supuestos!$H$37,Supuestos!$E$37)),AT36+1,0)</f>
        <v>35</v>
      </c>
      <c r="AV36" s="152">
        <f>IF(AND(AV$4&gt;=Supuestos!$H$37,AV$4&lt;EDATE(Supuestos!$H$37,Supuestos!$E$37)),AU36+1,0)</f>
        <v>36</v>
      </c>
      <c r="AW36" s="152">
        <f>IF(AND(AW$4&gt;=Supuestos!$H$37,AW$4&lt;EDATE(Supuestos!$H$37,Supuestos!$E$37)),AV36+1,0)</f>
        <v>0</v>
      </c>
      <c r="AX36" s="152">
        <f>IF(AND(AX$4&gt;=Supuestos!$H$37,AX$4&lt;EDATE(Supuestos!$H$37,Supuestos!$E$37)),AW36+1,0)</f>
        <v>0</v>
      </c>
      <c r="AY36" s="152">
        <f>IF(AND(AY$4&gt;=Supuestos!$H$37,AY$4&lt;EDATE(Supuestos!$H$37,Supuestos!$E$37)),AX36+1,0)</f>
        <v>0</v>
      </c>
      <c r="AZ36" s="152">
        <f>IF(AND(AZ$4&gt;=Supuestos!$H$37,AZ$4&lt;EDATE(Supuestos!$H$37,Supuestos!$E$37)),AY36+1,0)</f>
        <v>0</v>
      </c>
      <c r="BA36" s="152">
        <f>IF(AND(BA$4&gt;=Supuestos!$H$37,BA$4&lt;EDATE(Supuestos!$H$37,Supuestos!$E$37)),AZ36+1,0)</f>
        <v>0</v>
      </c>
      <c r="BB36" s="152">
        <f>IF(AND(BB$4&gt;=Supuestos!$H$37,BB$4&lt;EDATE(Supuestos!$H$37,Supuestos!$E$37)),BA36+1,0)</f>
        <v>0</v>
      </c>
      <c r="BC36" s="152">
        <f>IF(AND(BC$4&gt;=Supuestos!$H$37,BC$4&lt;EDATE(Supuestos!$H$37,Supuestos!$E$37)),BB36+1,0)</f>
        <v>0</v>
      </c>
      <c r="BD36" s="152">
        <f>IF(AND(BD$4&gt;=Supuestos!$H$37,BD$4&lt;EDATE(Supuestos!$H$37,Supuestos!$E$37)),BC36+1,0)</f>
        <v>0</v>
      </c>
      <c r="BE36" s="152">
        <f>IF(AND(BE$4&gt;=Supuestos!$H$37,BE$4&lt;EDATE(Supuestos!$H$37,Supuestos!$E$37)),BD36+1,0)</f>
        <v>0</v>
      </c>
      <c r="BF36" s="152">
        <f>IF(AND(BF$4&gt;=Supuestos!$H$37,BF$4&lt;EDATE(Supuestos!$H$37,Supuestos!$E$37)),BE36+1,0)</f>
        <v>0</v>
      </c>
      <c r="BG36" s="152">
        <f>IF(AND(BG$4&gt;=Supuestos!$H$37,BG$4&lt;EDATE(Supuestos!$H$37,Supuestos!$E$37)),BF36+1,0)</f>
        <v>0</v>
      </c>
      <c r="BH36" s="152">
        <f>IF(AND(BH$4&gt;=Supuestos!$H$37,BH$4&lt;EDATE(Supuestos!$H$37,Supuestos!$E$37)),BG36+1,0)</f>
        <v>0</v>
      </c>
      <c r="BI36" s="152">
        <f>IF(AND(BI$4&gt;=Supuestos!$H$37,BI$4&lt;EDATE(Supuestos!$H$37,Supuestos!$E$37)),BH36+1,0)</f>
        <v>0</v>
      </c>
      <c r="BJ36" s="152">
        <f>IF(AND(BJ$4&gt;=Supuestos!$H$37,BJ$4&lt;EDATE(Supuestos!$H$37,Supuestos!$E$37)),BI36+1,0)</f>
        <v>0</v>
      </c>
      <c r="BK36" s="152">
        <f>IF(AND(BK$4&gt;=Supuestos!$H$37,BK$4&lt;EDATE(Supuestos!$H$37,Supuestos!$E$37)),BJ36+1,0)</f>
        <v>0</v>
      </c>
      <c r="BL36" s="152">
        <f>IF(AND(BL$4&gt;=Supuestos!$H$37,BL$4&lt;EDATE(Supuestos!$H$37,Supuestos!$E$37)),BK36+1,0)</f>
        <v>0</v>
      </c>
      <c r="BM36" s="152">
        <f>IF(AND(BM$4&gt;=Supuestos!$H$37,BM$4&lt;EDATE(Supuestos!$H$37,Supuestos!$E$37)),BL36+1,0)</f>
        <v>0</v>
      </c>
      <c r="BN36" s="152">
        <f>IF(AND(BN$4&gt;=Supuestos!$H$37,BN$4&lt;EDATE(Supuestos!$H$37,Supuestos!$E$37)),BM36+1,0)</f>
        <v>0</v>
      </c>
      <c r="BO36" s="152">
        <f>IF(AND(BO$4&gt;=Supuestos!$H$37,BO$4&lt;EDATE(Supuestos!$H$37,Supuestos!$E$37)),BN36+1,0)</f>
        <v>0</v>
      </c>
      <c r="BP36" s="152">
        <f>IF(AND(BP$4&gt;=Supuestos!$H$37,BP$4&lt;EDATE(Supuestos!$H$37,Supuestos!$E$37)),BO36+1,0)</f>
        <v>0</v>
      </c>
      <c r="BQ36" s="152">
        <f>IF(AND(BQ$4&gt;=Supuestos!$H$37,BQ$4&lt;EDATE(Supuestos!$H$37,Supuestos!$E$37)),BP36+1,0)</f>
        <v>0</v>
      </c>
      <c r="BR36" s="152">
        <f>IF(AND(BR$4&gt;=Supuestos!$H$37,BR$4&lt;EDATE(Supuestos!$H$37,Supuestos!$E$37)),BQ36+1,0)</f>
        <v>0</v>
      </c>
      <c r="BS36" s="152">
        <f>IF(AND(BS$4&gt;=Supuestos!$H$37,BS$4&lt;EDATE(Supuestos!$H$37,Supuestos!$E$37)),BR36+1,0)</f>
        <v>0</v>
      </c>
      <c r="BT36" s="152">
        <f>IF(AND(BT$4&gt;=Supuestos!$H$37,BT$4&lt;EDATE(Supuestos!$H$37,Supuestos!$E$37)),BS36+1,0)</f>
        <v>0</v>
      </c>
      <c r="BU36" s="152">
        <f>IF(AND(BU$4&gt;=Supuestos!$H$37,BU$4&lt;EDATE(Supuestos!$H$37,Supuestos!$E$37)),BT36+1,0)</f>
        <v>0</v>
      </c>
      <c r="BV36" s="152">
        <f>IF(AND(BV$4&gt;=Supuestos!$H$37,BV$4&lt;EDATE(Supuestos!$H$37,Supuestos!$E$37)),BU36+1,0)</f>
        <v>0</v>
      </c>
      <c r="BW36" s="152">
        <f>IF(AND(BW$4&gt;=Supuestos!$H$37,BW$4&lt;EDATE(Supuestos!$H$37,Supuestos!$E$37)),BV36+1,0)</f>
        <v>0</v>
      </c>
      <c r="BX36" s="152">
        <f>IF(AND(BX$4&gt;=Supuestos!$H$37,BX$4&lt;EDATE(Supuestos!$H$37,Supuestos!$E$37)),BW36+1,0)</f>
        <v>0</v>
      </c>
      <c r="BY36" s="152">
        <f>IF(AND(BY$4&gt;=Supuestos!$H$37,BY$4&lt;EDATE(Supuestos!$H$37,Supuestos!$E$37)),BX36+1,0)</f>
        <v>0</v>
      </c>
      <c r="BZ36" s="152">
        <f>IF(AND(BZ$4&gt;=Supuestos!$H$37,BZ$4&lt;EDATE(Supuestos!$H$37,Supuestos!$E$37)),BY36+1,0)</f>
        <v>0</v>
      </c>
      <c r="CA36" s="152">
        <f>IF(AND(CA$4&gt;=Supuestos!$H$37,CA$4&lt;EDATE(Supuestos!$H$37,Supuestos!$E$37)),BZ36+1,0)</f>
        <v>0</v>
      </c>
      <c r="CB36" s="152">
        <f>IF(AND(CB$4&gt;=Supuestos!$H$37,CB$4&lt;EDATE(Supuestos!$H$37,Supuestos!$E$37)),CA36+1,0)</f>
        <v>0</v>
      </c>
      <c r="CC36" s="152">
        <f>IF(AND(CC$4&gt;=Supuestos!$H$37,CC$4&lt;EDATE(Supuestos!$H$37,Supuestos!$E$37)),CB36+1,0)</f>
        <v>0</v>
      </c>
      <c r="CD36" s="152">
        <f>IF(AND(CD$4&gt;=Supuestos!$H$37,CD$4&lt;EDATE(Supuestos!$H$37,Supuestos!$E$37)),CC36+1,0)</f>
        <v>0</v>
      </c>
      <c r="CE36" s="152">
        <f>IF(AND(CE$4&gt;=Supuestos!$H$37,CE$4&lt;EDATE(Supuestos!$H$37,Supuestos!$E$37)),CD36+1,0)</f>
        <v>0</v>
      </c>
      <c r="CF36" s="152">
        <f>IF(AND(CF$4&gt;=Supuestos!$H$37,CF$4&lt;EDATE(Supuestos!$H$37,Supuestos!$E$37)),CE36+1,0)</f>
        <v>0</v>
      </c>
      <c r="CG36" s="152">
        <f>IF(AND(CG$4&gt;=Supuestos!$H$37,CG$4&lt;EDATE(Supuestos!$H$37,Supuestos!$E$37)),CF36+1,0)</f>
        <v>0</v>
      </c>
      <c r="CH36" s="152">
        <f>IF(AND(CH$4&gt;=Supuestos!$H$37,CH$4&lt;EDATE(Supuestos!$H$37,Supuestos!$E$37)),CG36+1,0)</f>
        <v>0</v>
      </c>
      <c r="CI36" s="152">
        <f>IF(AND(CI$4&gt;=Supuestos!$H$37,CI$4&lt;EDATE(Supuestos!$H$37,Supuestos!$E$37)),CH36+1,0)</f>
        <v>0</v>
      </c>
      <c r="CJ36" s="152">
        <f>IF(AND(CJ$4&gt;=Supuestos!$H$37,CJ$4&lt;EDATE(Supuestos!$H$37,Supuestos!$E$37)),CI36+1,0)</f>
        <v>0</v>
      </c>
      <c r="CK36" s="152">
        <f>IF(AND(CK$4&gt;=Supuestos!$H$37,CK$4&lt;EDATE(Supuestos!$H$37,Supuestos!$E$37)),CJ36+1,0)</f>
        <v>0</v>
      </c>
      <c r="CL36" s="152">
        <f>IF(AND(CL$4&gt;=Supuestos!$H$37,CL$4&lt;EDATE(Supuestos!$H$37,Supuestos!$E$37)),CK36+1,0)</f>
        <v>0</v>
      </c>
      <c r="CM36" s="152">
        <f>IF(AND(CM$4&gt;=Supuestos!$H$37,CM$4&lt;EDATE(Supuestos!$H$37,Supuestos!$E$37)),CL36+1,0)</f>
        <v>0</v>
      </c>
      <c r="CN36" s="152">
        <f>IF(AND(CN$4&gt;=Supuestos!$H$37,CN$4&lt;EDATE(Supuestos!$H$37,Supuestos!$E$37)),CM36+1,0)</f>
        <v>0</v>
      </c>
      <c r="CO36" s="152">
        <f>IF(AND(CO$4&gt;=Supuestos!$H$37,CO$4&lt;EDATE(Supuestos!$H$37,Supuestos!$E$37)),CN36+1,0)</f>
        <v>0</v>
      </c>
      <c r="CP36" s="152">
        <f>IF(AND(CP$4&gt;=Supuestos!$H$37,CP$4&lt;EDATE(Supuestos!$H$37,Supuestos!$E$37)),CO36+1,0)</f>
        <v>0</v>
      </c>
      <c r="CQ36" s="152">
        <f>IF(AND(CQ$4&gt;=Supuestos!$H$37,CQ$4&lt;EDATE(Supuestos!$H$37,Supuestos!$E$37)),CP36+1,0)</f>
        <v>0</v>
      </c>
      <c r="CR36" s="152">
        <f>IF(AND(CR$4&gt;=Supuestos!$H$37,CR$4&lt;EDATE(Supuestos!$H$37,Supuestos!$E$37)),CQ36+1,0)</f>
        <v>0</v>
      </c>
      <c r="CS36" s="152">
        <f>IF(AND(CS$4&gt;=Supuestos!$H$37,CS$4&lt;EDATE(Supuestos!$H$37,Supuestos!$E$37)),CR36+1,0)</f>
        <v>0</v>
      </c>
      <c r="CT36" s="152">
        <f>IF(AND(CT$4&gt;=Supuestos!$H$37,CT$4&lt;EDATE(Supuestos!$H$37,Supuestos!$E$37)),CS36+1,0)</f>
        <v>0</v>
      </c>
      <c r="CU36" s="152">
        <f>IF(AND(CU$4&gt;=Supuestos!$H$37,CU$4&lt;EDATE(Supuestos!$H$37,Supuestos!$E$37)),CT36+1,0)</f>
        <v>0</v>
      </c>
      <c r="CV36" s="152">
        <f>IF(AND(CV$4&gt;=Supuestos!$H$37,CV$4&lt;EDATE(Supuestos!$H$37,Supuestos!$E$37)),CU36+1,0)</f>
        <v>0</v>
      </c>
      <c r="CW36" s="152">
        <f>IF(AND(CW$4&gt;=Supuestos!$H$37,CW$4&lt;EDATE(Supuestos!$H$37,Supuestos!$E$37)),CV36+1,0)</f>
        <v>0</v>
      </c>
      <c r="CX36" s="152">
        <f>IF(AND(CX$4&gt;=Supuestos!$H$37,CX$4&lt;EDATE(Supuestos!$H$37,Supuestos!$E$37)),CW36+1,0)</f>
        <v>0</v>
      </c>
      <c r="CY36" s="152">
        <f>IF(AND(CY$4&gt;=Supuestos!$H$37,CY$4&lt;EDATE(Supuestos!$H$37,Supuestos!$E$37)),CX36+1,0)</f>
        <v>0</v>
      </c>
      <c r="CZ36" s="152">
        <f>IF(AND(CZ$4&gt;=Supuestos!$H$37,CZ$4&lt;EDATE(Supuestos!$H$37,Supuestos!$E$37)),CY36+1,0)</f>
        <v>0</v>
      </c>
      <c r="DA36" s="152">
        <f>IF(AND(DA$4&gt;=Supuestos!$H$37,DA$4&lt;EDATE(Supuestos!$H$37,Supuestos!$E$37)),CZ36+1,0)</f>
        <v>0</v>
      </c>
      <c r="DB36" s="152">
        <f>IF(AND(DB$4&gt;=Supuestos!$H$37,DB$4&lt;EDATE(Supuestos!$H$37,Supuestos!$E$37)),DA36+1,0)</f>
        <v>0</v>
      </c>
      <c r="DC36" s="152">
        <f>IF(AND(DC$4&gt;=Supuestos!$H$37,DC$4&lt;EDATE(Supuestos!$H$37,Supuestos!$E$37)),DB36+1,0)</f>
        <v>0</v>
      </c>
      <c r="DD36" s="152">
        <f>IF(AND(DD$4&gt;=Supuestos!$H$37,DD$4&lt;EDATE(Supuestos!$H$37,Supuestos!$E$37)),DC36+1,0)</f>
        <v>0</v>
      </c>
      <c r="DE36" s="152">
        <f>IF(AND(DE$4&gt;=Supuestos!$H$37,DE$4&lt;EDATE(Supuestos!$H$37,Supuestos!$E$37)),DD36+1,0)</f>
        <v>0</v>
      </c>
      <c r="DF36" s="152">
        <f>IF(AND(DF$4&gt;=Supuestos!$H$37,DF$4&lt;EDATE(Supuestos!$H$37,Supuestos!$E$37)),DE36+1,0)</f>
        <v>0</v>
      </c>
    </row>
    <row r="37" spans="1:111" ht="13.8" x14ac:dyDescent="0.3">
      <c r="A37" s="16" t="s">
        <v>319</v>
      </c>
      <c r="C37" s="17">
        <f>IF(C36=1,Supuestos!$C$37,0)</f>
        <v>0</v>
      </c>
      <c r="D37" s="17">
        <f>IF(D36=1,Supuestos!$C$37,IF(D36=0,0,C41))</f>
        <v>0</v>
      </c>
      <c r="E37" s="17">
        <f>IF(E36=1,Supuestos!$C$37,IF(E36=0,0,D41))</f>
        <v>0</v>
      </c>
      <c r="F37" s="17">
        <f>IF(F36=1,Supuestos!$C$37,IF(F36=0,0,E41))</f>
        <v>0</v>
      </c>
      <c r="G37" s="17">
        <f>IF(G36=1,Supuestos!$C$37,IF(G36=0,0,F41))</f>
        <v>0</v>
      </c>
      <c r="H37" s="17">
        <f>IF(H36=1,Supuestos!$C$37,IF(H36=0,0,G41))</f>
        <v>0</v>
      </c>
      <c r="I37" s="17">
        <f>IF(I36=1,Supuestos!$C$37,IF(I36=0,0,H41))</f>
        <v>0</v>
      </c>
      <c r="J37" s="17">
        <f>IF(J36=1,Supuestos!$C$37,IF(J36=0,0,I41))</f>
        <v>0</v>
      </c>
      <c r="K37" s="17">
        <f>IF(K36=1,Supuestos!$C$37,IF(K36=0,0,J41))</f>
        <v>0</v>
      </c>
      <c r="L37" s="17">
        <f>IF(L36=1,Supuestos!$C$37,IF(L36=0,0,K41))</f>
        <v>0</v>
      </c>
      <c r="M37" s="17">
        <f>IF(M36=1,Supuestos!$C$37,IF(M36=0,0,L41))</f>
        <v>1020000</v>
      </c>
      <c r="N37" s="17">
        <f>IF(N36=1,Supuestos!$C$37,IF(N36=0,0,M41))</f>
        <v>994372.77189180115</v>
      </c>
      <c r="O37" s="17">
        <f>IF(O36=1,Supuestos!$C$37,IF(O36=0,0,N41))</f>
        <v>968600.64371000242</v>
      </c>
      <c r="P37" s="17">
        <f>IF(P36=1,Supuestos!$C$37,IF(P36=0,0,O41))</f>
        <v>942682.79616852093</v>
      </c>
      <c r="Q37" s="17">
        <f>IF(Q36=1,Supuestos!$C$37,IF(Q36=0,0,P41))</f>
        <v>916618.4053489113</v>
      </c>
      <c r="R37" s="17">
        <f>IF(R36=1,Supuestos!$C$37,IF(R36=0,0,Q41))</f>
        <v>890406.64267417346</v>
      </c>
      <c r="S37" s="17">
        <f>IF(S36=1,Supuestos!$C$37,IF(S36=0,0,R41))</f>
        <v>864046.67488241254</v>
      </c>
      <c r="T37" s="17">
        <f>IF(T36=1,Supuestos!$C$37,IF(T36=0,0,S41))</f>
        <v>837537.66400034958</v>
      </c>
      <c r="U37" s="17">
        <f>IF(U36=1,Supuestos!$C$37,IF(U36=0,0,T41))</f>
        <v>810878.7673166832</v>
      </c>
      <c r="V37" s="17">
        <f>IF(V36=1,Supuestos!$C$37,IF(V36=0,0,U41))</f>
        <v>784069.13735529955</v>
      </c>
      <c r="W37" s="17">
        <f>IF(W36=1,Supuestos!$C$37,IF(W36=0,0,V41))</f>
        <v>757107.92184833169</v>
      </c>
      <c r="X37" s="17">
        <f>IF(X36=1,Supuestos!$C$37,IF(X36=0,0,W41))</f>
        <v>729994.2637090662</v>
      </c>
      <c r="Y37" s="17">
        <f>IF(Y36=1,Supuestos!$C$37,IF(Y36=0,0,X41))</f>
        <v>702727.30100469699</v>
      </c>
      <c r="Z37" s="17">
        <f>IF(Z36=1,Supuestos!$C$37,IF(Z36=0,0,Y41))</f>
        <v>675306.16692892427</v>
      </c>
      <c r="AA37" s="17">
        <f>IF(AA36=1,Supuestos!$C$37,IF(AA36=0,0,Z41))</f>
        <v>647729.98977439967</v>
      </c>
      <c r="AB37" s="17">
        <f>IF(AB36=1,Supuestos!$C$37,IF(AB36=0,0,AA41))</f>
        <v>619997.89290501445</v>
      </c>
      <c r="AC37" s="17">
        <f>IF(AC36=1,Supuestos!$C$37,IF(AC36=0,0,AB41))</f>
        <v>592108.99472803215</v>
      </c>
      <c r="AD37" s="17">
        <f>IF(AD36=1,Supuestos!$C$37,IF(AD36=0,0,AC41))</f>
        <v>564062.40866606263</v>
      </c>
      <c r="AE37" s="17">
        <f>IF(AE36=1,Supuestos!$C$37,IF(AE36=0,0,AD41))</f>
        <v>535857.24312887841</v>
      </c>
      <c r="AF37" s="17">
        <f>IF(AF36=1,Supuestos!$C$37,IF(AF36=0,0,AE41))</f>
        <v>507492.60148507112</v>
      </c>
      <c r="AG37" s="17">
        <f>IF(AG36=1,Supuestos!$C$37,IF(AG36=0,0,AF41))</f>
        <v>478967.58203354804</v>
      </c>
      <c r="AH37" s="17">
        <f>IF(AH36=1,Supuestos!$C$37,IF(AH36=0,0,AG41))</f>
        <v>450281.27797486749</v>
      </c>
      <c r="AI37" s="17">
        <f>IF(AI36=1,Supuestos!$C$37,IF(AI36=0,0,AH41))</f>
        <v>421432.77738241188</v>
      </c>
      <c r="AJ37" s="17">
        <f>IF(AJ36=1,Supuestos!$C$37,IF(AJ36=0,0,AI41))</f>
        <v>392421.16317339789</v>
      </c>
      <c r="AK37" s="17">
        <f>IF(AK36=1,Supuestos!$C$37,IF(AK36=0,0,AJ41))</f>
        <v>363245.51307972282</v>
      </c>
      <c r="AL37" s="17">
        <f>IF(AL36=1,Supuestos!$C$37,IF(AL36=0,0,AK41))</f>
        <v>333904.89961864601</v>
      </c>
      <c r="AM37" s="17">
        <f>IF(AM36=1,Supuestos!$C$37,IF(AM36=0,0,AL41))</f>
        <v>304398.39006330463</v>
      </c>
      <c r="AN37" s="17">
        <f>IF(AN36=1,Supuestos!$C$37,IF(AN36=0,0,AM41))</f>
        <v>274725.04641306249</v>
      </c>
      <c r="AO37" s="17">
        <f>IF(AO36=1,Supuestos!$C$37,IF(AO36=0,0,AN41))</f>
        <v>244883.92536369144</v>
      </c>
      <c r="AP37" s="17">
        <f>IF(AP36=1,Supuestos!$C$37,IF(AP36=0,0,AO41))</f>
        <v>214874.07827738408</v>
      </c>
      <c r="AQ37" s="17">
        <f>IF(AQ36=1,Supuestos!$C$37,IF(AQ36=0,0,AP41))</f>
        <v>184694.55115259695</v>
      </c>
      <c r="AR37" s="17">
        <f>IF(AR36=1,Supuestos!$C$37,IF(AR36=0,0,AQ41))</f>
        <v>154344.38459372311</v>
      </c>
      <c r="AS37" s="17">
        <f>IF(AS36=1,Supuestos!$C$37,IF(AS36=0,0,AR41))</f>
        <v>123822.61378059344</v>
      </c>
      <c r="AT37" s="17">
        <f>IF(AT36=1,Supuestos!$C$37,IF(AT36=0,0,AS41))</f>
        <v>93128.26843780528</v>
      </c>
      <c r="AU37" s="17">
        <f>IF(AU36=1,Supuestos!$C$37,IF(AU36=0,0,AT41))</f>
        <v>62260.372803877763</v>
      </c>
      <c r="AV37" s="17">
        <f>IF(AV36=1,Supuestos!$C$37,IF(AV36=0,0,AU41))</f>
        <v>31217.945600232772</v>
      </c>
      <c r="AW37" s="17">
        <f>IF(AW36=1,Supuestos!$C$37,IF(AW36=0,0,AV41))</f>
        <v>0</v>
      </c>
      <c r="AX37" s="17">
        <f>IF(AX36=1,Supuestos!$C$37,IF(AX36=0,0,AW41))</f>
        <v>0</v>
      </c>
      <c r="AY37" s="17">
        <f>IF(AY36=1,Supuestos!$C$37,IF(AY36=0,0,AX41))</f>
        <v>0</v>
      </c>
      <c r="AZ37" s="17">
        <f>IF(AZ36=1,Supuestos!$C$37,IF(AZ36=0,0,AY41))</f>
        <v>0</v>
      </c>
      <c r="BA37" s="17">
        <f>IF(BA36=1,Supuestos!$C$37,IF(BA36=0,0,AZ41))</f>
        <v>0</v>
      </c>
      <c r="BB37" s="17">
        <f>IF(BB36=1,Supuestos!$C$37,IF(BB36=0,0,BA41))</f>
        <v>0</v>
      </c>
      <c r="BC37" s="17">
        <f>IF(BC36=1,Supuestos!$C$37,IF(BC36=0,0,BB41))</f>
        <v>0</v>
      </c>
      <c r="BD37" s="17">
        <f>IF(BD36=1,Supuestos!$C$37,IF(BD36=0,0,BC41))</f>
        <v>0</v>
      </c>
      <c r="BE37" s="17">
        <f>IF(BE36=1,Supuestos!$C$37,IF(BE36=0,0,BD41))</f>
        <v>0</v>
      </c>
      <c r="BF37" s="17">
        <f>IF(BF36=1,Supuestos!$C$37,IF(BF36=0,0,BE41))</f>
        <v>0</v>
      </c>
      <c r="BG37" s="17">
        <f>IF(BG36=1,Supuestos!$C$37,IF(BG36=0,0,BF41))</f>
        <v>0</v>
      </c>
      <c r="BH37" s="17">
        <f>IF(BH36=1,Supuestos!$C$37,IF(BH36=0,0,BG41))</f>
        <v>0</v>
      </c>
      <c r="BI37" s="17">
        <f>IF(BI36=1,Supuestos!$C$37,IF(BI36=0,0,BH41))</f>
        <v>0</v>
      </c>
      <c r="BJ37" s="17">
        <f>IF(BJ36=1,Supuestos!$C$37,IF(BJ36=0,0,BI41))</f>
        <v>0</v>
      </c>
      <c r="BK37" s="17">
        <f>IF(BK36=1,Supuestos!$C$37,IF(BK36=0,0,BJ41))</f>
        <v>0</v>
      </c>
      <c r="BL37" s="17">
        <f>IF(BL36=1,Supuestos!$C$37,IF(BL36=0,0,BK41))</f>
        <v>0</v>
      </c>
      <c r="BM37" s="17">
        <f>IF(BM36=1,Supuestos!$C$37,IF(BM36=0,0,BL41))</f>
        <v>0</v>
      </c>
      <c r="BN37" s="17">
        <f>IF(BN36=1,Supuestos!$C$37,IF(BN36=0,0,BM41))</f>
        <v>0</v>
      </c>
      <c r="BO37" s="17">
        <f>IF(BO36=1,Supuestos!$C$37,IF(BO36=0,0,BN41))</f>
        <v>0</v>
      </c>
      <c r="BP37" s="17">
        <f>IF(BP36=1,Supuestos!$C$37,IF(BP36=0,0,BO41))</f>
        <v>0</v>
      </c>
      <c r="BQ37" s="17">
        <f>IF(BQ36=1,Supuestos!$C$37,IF(BQ36=0,0,BP41))</f>
        <v>0</v>
      </c>
      <c r="BR37" s="17">
        <f>IF(BR36=1,Supuestos!$C$37,IF(BR36=0,0,BQ41))</f>
        <v>0</v>
      </c>
      <c r="BS37" s="17">
        <f>IF(BS36=1,Supuestos!$C$37,IF(BS36=0,0,BR41))</f>
        <v>0</v>
      </c>
      <c r="BT37" s="17">
        <f>IF(BT36=1,Supuestos!$C$37,IF(BT36=0,0,BS41))</f>
        <v>0</v>
      </c>
      <c r="BU37" s="17">
        <f>IF(BU36=1,Supuestos!$C$37,IF(BU36=0,0,BT41))</f>
        <v>0</v>
      </c>
      <c r="BV37" s="17">
        <f>IF(BV36=1,Supuestos!$C$37,IF(BV36=0,0,BU41))</f>
        <v>0</v>
      </c>
      <c r="BW37" s="17">
        <f>IF(BW36=1,Supuestos!$C$37,IF(BW36=0,0,BV41))</f>
        <v>0</v>
      </c>
      <c r="BX37" s="17">
        <f>IF(BX36=1,Supuestos!$C$37,IF(BX36=0,0,BW41))</f>
        <v>0</v>
      </c>
      <c r="BY37" s="17">
        <f>IF(BY36=1,Supuestos!$C$37,IF(BY36=0,0,BX41))</f>
        <v>0</v>
      </c>
      <c r="BZ37" s="17">
        <f>IF(BZ36=1,Supuestos!$C$37,IF(BZ36=0,0,BY41))</f>
        <v>0</v>
      </c>
      <c r="CA37" s="17">
        <f>IF(CA36=1,Supuestos!$C$37,IF(CA36=0,0,BZ41))</f>
        <v>0</v>
      </c>
      <c r="CB37" s="17">
        <f>IF(CB36=1,Supuestos!$C$37,IF(CB36=0,0,CA41))</f>
        <v>0</v>
      </c>
      <c r="CC37" s="17">
        <f>IF(CC36=1,Supuestos!$C$37,IF(CC36=0,0,CB41))</f>
        <v>0</v>
      </c>
      <c r="CD37" s="17">
        <f>IF(CD36=1,Supuestos!$C$37,IF(CD36=0,0,CC41))</f>
        <v>0</v>
      </c>
      <c r="CE37" s="17">
        <f>IF(CE36=1,Supuestos!$C$37,IF(CE36=0,0,CD41))</f>
        <v>0</v>
      </c>
      <c r="CF37" s="17">
        <f>IF(CF36=1,Supuestos!$C$37,IF(CF36=0,0,CE41))</f>
        <v>0</v>
      </c>
      <c r="CG37" s="17">
        <f>IF(CG36=1,Supuestos!$C$37,IF(CG36=0,0,CF41))</f>
        <v>0</v>
      </c>
      <c r="CH37" s="17">
        <f>IF(CH36=1,Supuestos!$C$37,IF(CH36=0,0,CG41))</f>
        <v>0</v>
      </c>
      <c r="CI37" s="17">
        <f>IF(CI36=1,Supuestos!$C$37,IF(CI36=0,0,CH41))</f>
        <v>0</v>
      </c>
      <c r="CJ37" s="17">
        <f>IF(CJ36=1,Supuestos!$C$37,IF(CJ36=0,0,CI41))</f>
        <v>0</v>
      </c>
      <c r="CK37" s="17">
        <f>IF(CK36=1,Supuestos!$C$37,IF(CK36=0,0,CJ41))</f>
        <v>0</v>
      </c>
      <c r="CL37" s="17">
        <f>IF(CL36=1,Supuestos!$C$37,IF(CL36=0,0,CK41))</f>
        <v>0</v>
      </c>
      <c r="CM37" s="17">
        <f>IF(CM36=1,Supuestos!$C$37,IF(CM36=0,0,CL41))</f>
        <v>0</v>
      </c>
      <c r="CN37" s="17">
        <f>IF(CN36=1,Supuestos!$C$37,IF(CN36=0,0,CM41))</f>
        <v>0</v>
      </c>
      <c r="CO37" s="17">
        <f>IF(CO36=1,Supuestos!$C$37,IF(CO36=0,0,CN41))</f>
        <v>0</v>
      </c>
      <c r="CP37" s="17">
        <f>IF(CP36=1,Supuestos!$C$37,IF(CP36=0,0,CO41))</f>
        <v>0</v>
      </c>
      <c r="CQ37" s="17">
        <f>IF(CQ36=1,Supuestos!$C$37,IF(CQ36=0,0,CP41))</f>
        <v>0</v>
      </c>
      <c r="CR37" s="17">
        <f>IF(CR36=1,Supuestos!$C$37,IF(CR36=0,0,CQ41))</f>
        <v>0</v>
      </c>
      <c r="CS37" s="17">
        <f>IF(CS36=1,Supuestos!$C$37,IF(CS36=0,0,CR41))</f>
        <v>0</v>
      </c>
      <c r="CT37" s="17">
        <f>IF(CT36=1,Supuestos!$C$37,IF(CT36=0,0,CS41))</f>
        <v>0</v>
      </c>
      <c r="CU37" s="17">
        <f>IF(CU36=1,Supuestos!$C$37,IF(CU36=0,0,CT41))</f>
        <v>0</v>
      </c>
      <c r="CV37" s="17">
        <f>IF(CV36=1,Supuestos!$C$37,IF(CV36=0,0,CU41))</f>
        <v>0</v>
      </c>
      <c r="CW37" s="17">
        <f>IF(CW36=1,Supuestos!$C$37,IF(CW36=0,0,CV41))</f>
        <v>0</v>
      </c>
      <c r="CX37" s="17">
        <f>IF(CX36=1,Supuestos!$C$37,IF(CX36=0,0,CW41))</f>
        <v>0</v>
      </c>
      <c r="CY37" s="17">
        <f>IF(CY36=1,Supuestos!$C$37,IF(CY36=0,0,CX41))</f>
        <v>0</v>
      </c>
      <c r="CZ37" s="17">
        <f>IF(CZ36=1,Supuestos!$C$37,IF(CZ36=0,0,CY41))</f>
        <v>0</v>
      </c>
      <c r="DA37" s="17">
        <f>IF(DA36=1,Supuestos!$C$37,IF(DA36=0,0,CZ41))</f>
        <v>0</v>
      </c>
      <c r="DB37" s="17">
        <f>IF(DB36=1,Supuestos!$C$37,IF(DB36=0,0,DA41))</f>
        <v>0</v>
      </c>
      <c r="DC37" s="17">
        <f>IF(DC36=1,Supuestos!$C$37,IF(DC36=0,0,DB41))</f>
        <v>0</v>
      </c>
      <c r="DD37" s="17">
        <f>IF(DD36=1,Supuestos!$C$37,IF(DD36=0,0,DC41))</f>
        <v>0</v>
      </c>
      <c r="DE37" s="17">
        <f>IF(DE36=1,Supuestos!$C$37,IF(DE36=0,0,DD41))</f>
        <v>0</v>
      </c>
      <c r="DF37" s="17">
        <f>IF(DF36=1,Supuestos!$C$37,IF(DF36=0,0,DE41))</f>
        <v>0</v>
      </c>
    </row>
    <row r="38" spans="1:111" ht="13.8" x14ac:dyDescent="0.3">
      <c r="A38" s="16" t="s">
        <v>320</v>
      </c>
      <c r="C38" s="17">
        <f>C37*Supuestos!$F$37</f>
        <v>0</v>
      </c>
      <c r="D38" s="17">
        <f>D37*Supuestos!$F$37</f>
        <v>0</v>
      </c>
      <c r="E38" s="17">
        <f>E37*Supuestos!$F$37</f>
        <v>0</v>
      </c>
      <c r="F38" s="17">
        <f>F37*Supuestos!$F$37</f>
        <v>0</v>
      </c>
      <c r="G38" s="17">
        <f>G37*Supuestos!$F$37</f>
        <v>0</v>
      </c>
      <c r="H38" s="17">
        <f>H37*Supuestos!$F$37</f>
        <v>0</v>
      </c>
      <c r="I38" s="17">
        <f>I37*Supuestos!$F$37</f>
        <v>0</v>
      </c>
      <c r="J38" s="17">
        <f>J37*Supuestos!$F$37</f>
        <v>0</v>
      </c>
      <c r="K38" s="17">
        <f>K37*Supuestos!$F$37</f>
        <v>0</v>
      </c>
      <c r="L38" s="17">
        <f>L37*Supuestos!$F$37</f>
        <v>0</v>
      </c>
      <c r="M38" s="17">
        <f>M37*Supuestos!$F$37</f>
        <v>5767.2282951533789</v>
      </c>
      <c r="N38" s="17">
        <f>N37*Supuestos!$F$37</f>
        <v>5622.3282215534236</v>
      </c>
      <c r="O38" s="17">
        <f>O37*Supuestos!$F$37</f>
        <v>5476.608861870689</v>
      </c>
      <c r="P38" s="17">
        <f>P37*Supuestos!$F$37</f>
        <v>5330.0655837425484</v>
      </c>
      <c r="Q38" s="17">
        <f>Q37*Supuestos!$F$37</f>
        <v>5182.6937286143248</v>
      </c>
      <c r="R38" s="17">
        <f>R37*Supuestos!$F$37</f>
        <v>5034.4886115911941</v>
      </c>
      <c r="S38" s="17">
        <f>S37*Supuestos!$F$37</f>
        <v>4885.4455212892572</v>
      </c>
      <c r="T38" s="17">
        <f>T37*Supuestos!$F$37</f>
        <v>4735.5597196857643</v>
      </c>
      <c r="U38" s="17">
        <f>U37*Supuestos!$F$37</f>
        <v>4584.8264419684983</v>
      </c>
      <c r="V38" s="17">
        <f>V37*Supuestos!$F$37</f>
        <v>4433.240896384299</v>
      </c>
      <c r="W38" s="17">
        <f>W37*Supuestos!$F$37</f>
        <v>4280.7982640867376</v>
      </c>
      <c r="X38" s="17">
        <f>X37*Supuestos!$F$37</f>
        <v>4127.4936989829257</v>
      </c>
      <c r="Y38" s="17">
        <f>Y37*Supuestos!$F$37</f>
        <v>3973.3223275794649</v>
      </c>
      <c r="Z38" s="17">
        <f>Z37*Supuestos!$F$37</f>
        <v>3818.2792488275131</v>
      </c>
      <c r="AA38" s="17">
        <f>AA37*Supuestos!$F$37</f>
        <v>3662.3595339669869</v>
      </c>
      <c r="AB38" s="17">
        <f>AB37*Supuestos!$F$37</f>
        <v>3505.5582263698766</v>
      </c>
      <c r="AC38" s="17">
        <f>AC37*Supuestos!$F$37</f>
        <v>3347.8703413826765</v>
      </c>
      <c r="AD38" s="17">
        <f>AD37*Supuestos!$F$37</f>
        <v>3189.2908661679267</v>
      </c>
      <c r="AE38" s="17">
        <f>AE37*Supuestos!$F$37</f>
        <v>3029.814759544854</v>
      </c>
      <c r="AF38" s="17">
        <f>AF37*Supuestos!$F$37</f>
        <v>2869.4369518291178</v>
      </c>
      <c r="AG38" s="17">
        <f>AG37*Supuestos!$F$37</f>
        <v>2708.1523446716428</v>
      </c>
      <c r="AH38" s="17">
        <f>AH37*Supuestos!$F$37</f>
        <v>2545.9558108965489</v>
      </c>
      <c r="AI38" s="17">
        <f>AI37*Supuestos!$F$37</f>
        <v>2382.8421943381577</v>
      </c>
      <c r="AJ38" s="17">
        <f>AJ37*Supuestos!$F$37</f>
        <v>2218.8063096770798</v>
      </c>
      <c r="AK38" s="17">
        <f>AK37*Supuestos!$F$37</f>
        <v>2053.842942275377</v>
      </c>
      <c r="AL38" s="17">
        <f>AL37*Supuestos!$F$37</f>
        <v>1887.9468480107882</v>
      </c>
      <c r="AM38" s="17">
        <f>AM37*Supuestos!$F$37</f>
        <v>1721.1127531100251</v>
      </c>
      <c r="AN38" s="17">
        <f>AN37*Supuestos!$F$37</f>
        <v>1553.3353539811171</v>
      </c>
      <c r="AO38" s="17">
        <f>AO37*Supuestos!$F$37</f>
        <v>1384.6093170448132</v>
      </c>
      <c r="AP38" s="17">
        <f>AP37*Supuestos!$F$37</f>
        <v>1214.9292785650309</v>
      </c>
      <c r="AQ38" s="17">
        <f>AQ37*Supuestos!$F$37</f>
        <v>1044.2898444783434</v>
      </c>
      <c r="AR38" s="17">
        <f>AR37*Supuestos!$F$37</f>
        <v>872.68559022250508</v>
      </c>
      <c r="AS38" s="17">
        <f>AS37*Supuestos!$F$37</f>
        <v>700.11106056400706</v>
      </c>
      <c r="AT38" s="17">
        <f>AT37*Supuestos!$F$37</f>
        <v>526.56076942465688</v>
      </c>
      <c r="AU38" s="17">
        <f>AU37*Supuestos!$F$37</f>
        <v>352.02919970717818</v>
      </c>
      <c r="AV38" s="17">
        <f>AV37*Supuestos!$F$37</f>
        <v>176.51080311982489</v>
      </c>
      <c r="AW38" s="17">
        <f>AW37*Supuestos!$F$37</f>
        <v>0</v>
      </c>
      <c r="AX38" s="17">
        <f>AX37*Supuestos!$F$37</f>
        <v>0</v>
      </c>
      <c r="AY38" s="17">
        <f>AY37*Supuestos!$F$37</f>
        <v>0</v>
      </c>
      <c r="AZ38" s="17">
        <f>AZ37*Supuestos!$F$37</f>
        <v>0</v>
      </c>
      <c r="BA38" s="17">
        <f>BA37*Supuestos!$F$37</f>
        <v>0</v>
      </c>
      <c r="BB38" s="17">
        <f>BB37*Supuestos!$F$37</f>
        <v>0</v>
      </c>
      <c r="BC38" s="17">
        <f>BC37*Supuestos!$F$37</f>
        <v>0</v>
      </c>
      <c r="BD38" s="17">
        <f>BD37*Supuestos!$F$37</f>
        <v>0</v>
      </c>
      <c r="BE38" s="17">
        <f>BE37*Supuestos!$F$37</f>
        <v>0</v>
      </c>
      <c r="BF38" s="17">
        <f>BF37*Supuestos!$F$37</f>
        <v>0</v>
      </c>
      <c r="BG38" s="17">
        <f>BG37*Supuestos!$F$37</f>
        <v>0</v>
      </c>
      <c r="BH38" s="17">
        <f>BH37*Supuestos!$F$37</f>
        <v>0</v>
      </c>
      <c r="BI38" s="17">
        <f>BI37*Supuestos!$F$37</f>
        <v>0</v>
      </c>
      <c r="BJ38" s="17">
        <f>BJ37*Supuestos!$F$37</f>
        <v>0</v>
      </c>
      <c r="BK38" s="17">
        <f>BK37*Supuestos!$F$37</f>
        <v>0</v>
      </c>
      <c r="BL38" s="17">
        <f>BL37*Supuestos!$F$37</f>
        <v>0</v>
      </c>
      <c r="BM38" s="17">
        <f>BM37*Supuestos!$F$37</f>
        <v>0</v>
      </c>
      <c r="BN38" s="17">
        <f>BN37*Supuestos!$F$37</f>
        <v>0</v>
      </c>
      <c r="BO38" s="17">
        <f>BO37*Supuestos!$F$37</f>
        <v>0</v>
      </c>
      <c r="BP38" s="17">
        <f>BP37*Supuestos!$F$37</f>
        <v>0</v>
      </c>
      <c r="BQ38" s="17">
        <f>BQ37*Supuestos!$F$37</f>
        <v>0</v>
      </c>
      <c r="BR38" s="17">
        <f>BR37*Supuestos!$F$37</f>
        <v>0</v>
      </c>
      <c r="BS38" s="17">
        <f>BS37*Supuestos!$F$37</f>
        <v>0</v>
      </c>
      <c r="BT38" s="17">
        <f>BT37*Supuestos!$F$37</f>
        <v>0</v>
      </c>
      <c r="BU38" s="17">
        <f>BU37*Supuestos!$F$37</f>
        <v>0</v>
      </c>
      <c r="BV38" s="17">
        <f>BV37*Supuestos!$F$37</f>
        <v>0</v>
      </c>
      <c r="BW38" s="17">
        <f>BW37*Supuestos!$F$37</f>
        <v>0</v>
      </c>
      <c r="BX38" s="17">
        <f>BX37*Supuestos!$F$37</f>
        <v>0</v>
      </c>
      <c r="BY38" s="17">
        <f>BY37*Supuestos!$F$37</f>
        <v>0</v>
      </c>
      <c r="BZ38" s="17">
        <f>BZ37*Supuestos!$F$37</f>
        <v>0</v>
      </c>
      <c r="CA38" s="17">
        <f>CA37*Supuestos!$F$37</f>
        <v>0</v>
      </c>
      <c r="CB38" s="17">
        <f>CB37*Supuestos!$F$37</f>
        <v>0</v>
      </c>
      <c r="CC38" s="17">
        <f>CC37*Supuestos!$F$37</f>
        <v>0</v>
      </c>
      <c r="CD38" s="17">
        <f>CD37*Supuestos!$F$37</f>
        <v>0</v>
      </c>
      <c r="CE38" s="17">
        <f>CE37*Supuestos!$F$37</f>
        <v>0</v>
      </c>
      <c r="CF38" s="17">
        <f>CF37*Supuestos!$F$37</f>
        <v>0</v>
      </c>
      <c r="CG38" s="17">
        <f>CG37*Supuestos!$F$37</f>
        <v>0</v>
      </c>
      <c r="CH38" s="17">
        <f>CH37*Supuestos!$F$37</f>
        <v>0</v>
      </c>
      <c r="CI38" s="17">
        <f>CI37*Supuestos!$F$37</f>
        <v>0</v>
      </c>
      <c r="CJ38" s="17">
        <f>CJ37*Supuestos!$F$37</f>
        <v>0</v>
      </c>
      <c r="CK38" s="17">
        <f>CK37*Supuestos!$F$37</f>
        <v>0</v>
      </c>
      <c r="CL38" s="17">
        <f>CL37*Supuestos!$F$37</f>
        <v>0</v>
      </c>
      <c r="CM38" s="17">
        <f>CM37*Supuestos!$F$37</f>
        <v>0</v>
      </c>
      <c r="CN38" s="17">
        <f>CN37*Supuestos!$F$37</f>
        <v>0</v>
      </c>
      <c r="CO38" s="17">
        <f>CO37*Supuestos!$F$37</f>
        <v>0</v>
      </c>
      <c r="CP38" s="17">
        <f>CP37*Supuestos!$F$37</f>
        <v>0</v>
      </c>
      <c r="CQ38" s="17">
        <f>CQ37*Supuestos!$F$37</f>
        <v>0</v>
      </c>
      <c r="CR38" s="17">
        <f>CR37*Supuestos!$F$37</f>
        <v>0</v>
      </c>
      <c r="CS38" s="17">
        <f>CS37*Supuestos!$F$37</f>
        <v>0</v>
      </c>
      <c r="CT38" s="17">
        <f>CT37*Supuestos!$F$37</f>
        <v>0</v>
      </c>
      <c r="CU38" s="17">
        <f>CU37*Supuestos!$F$37</f>
        <v>0</v>
      </c>
      <c r="CV38" s="17">
        <f>CV37*Supuestos!$F$37</f>
        <v>0</v>
      </c>
      <c r="CW38" s="17">
        <f>CW37*Supuestos!$F$37</f>
        <v>0</v>
      </c>
      <c r="CX38" s="17">
        <f>CX37*Supuestos!$F$37</f>
        <v>0</v>
      </c>
      <c r="CY38" s="17">
        <f>CY37*Supuestos!$F$37</f>
        <v>0</v>
      </c>
      <c r="CZ38" s="17">
        <f>CZ37*Supuestos!$F$37</f>
        <v>0</v>
      </c>
      <c r="DA38" s="17">
        <f>DA37*Supuestos!$F$37</f>
        <v>0</v>
      </c>
      <c r="DB38" s="17">
        <f>DB37*Supuestos!$F$37</f>
        <v>0</v>
      </c>
      <c r="DC38" s="17">
        <f>DC37*Supuestos!$F$37</f>
        <v>0</v>
      </c>
      <c r="DD38" s="17">
        <f>DD37*Supuestos!$F$37</f>
        <v>0</v>
      </c>
      <c r="DE38" s="17">
        <f>DE37*Supuestos!$F$37</f>
        <v>0</v>
      </c>
      <c r="DF38" s="17">
        <f>DF37*Supuestos!$F$37</f>
        <v>0</v>
      </c>
      <c r="DG38" s="32">
        <f>SUM(C38:DF38)</f>
        <v>110200.43052067855</v>
      </c>
    </row>
    <row r="39" spans="1:111" ht="13.8" x14ac:dyDescent="0.3">
      <c r="A39" s="16" t="s">
        <v>321</v>
      </c>
      <c r="C39" s="17">
        <f>IF(C36&gt;0,Supuestos!$G$37,0)</f>
        <v>0</v>
      </c>
      <c r="D39" s="17">
        <f>IF(D36&gt;0,Supuestos!$G$37,0)</f>
        <v>0</v>
      </c>
      <c r="E39" s="17">
        <f>IF(E36&gt;0,Supuestos!$G$37,0)</f>
        <v>0</v>
      </c>
      <c r="F39" s="17">
        <f>IF(F36&gt;0,Supuestos!$G$37,0)</f>
        <v>0</v>
      </c>
      <c r="G39" s="17">
        <f>IF(G36&gt;0,Supuestos!$G$37,0)</f>
        <v>0</v>
      </c>
      <c r="H39" s="17">
        <f>IF(H36&gt;0,Supuestos!$G$37,0)</f>
        <v>0</v>
      </c>
      <c r="I39" s="17">
        <f>IF(I36&gt;0,Supuestos!$G$37,0)</f>
        <v>0</v>
      </c>
      <c r="J39" s="17">
        <f>IF(J36&gt;0,Supuestos!$G$37,0)</f>
        <v>0</v>
      </c>
      <c r="K39" s="17">
        <f>IF(K36&gt;0,Supuestos!$G$37,0)</f>
        <v>0</v>
      </c>
      <c r="L39" s="17">
        <f>IF(L36&gt;0,Supuestos!$G$37,0)</f>
        <v>0</v>
      </c>
      <c r="M39" s="17">
        <f>IF(M36&gt;0,Supuestos!$G$37,0)</f>
        <v>31394.456403352171</v>
      </c>
      <c r="N39" s="17">
        <f>IF(N36&gt;0,Supuestos!$G$37,0)</f>
        <v>31394.456403352171</v>
      </c>
      <c r="O39" s="17">
        <f>IF(O36&gt;0,Supuestos!$G$37,0)</f>
        <v>31394.456403352171</v>
      </c>
      <c r="P39" s="17">
        <f>IF(P36&gt;0,Supuestos!$G$37,0)</f>
        <v>31394.456403352171</v>
      </c>
      <c r="Q39" s="17">
        <f>IF(Q36&gt;0,Supuestos!$G$37,0)</f>
        <v>31394.456403352171</v>
      </c>
      <c r="R39" s="17">
        <f>IF(R36&gt;0,Supuestos!$G$37,0)</f>
        <v>31394.456403352171</v>
      </c>
      <c r="S39" s="17">
        <f>IF(S36&gt;0,Supuestos!$G$37,0)</f>
        <v>31394.456403352171</v>
      </c>
      <c r="T39" s="17">
        <f>IF(T36&gt;0,Supuestos!$G$37,0)</f>
        <v>31394.456403352171</v>
      </c>
      <c r="U39" s="17">
        <f>IF(U36&gt;0,Supuestos!$G$37,0)</f>
        <v>31394.456403352171</v>
      </c>
      <c r="V39" s="17">
        <f>IF(V36&gt;0,Supuestos!$G$37,0)</f>
        <v>31394.456403352171</v>
      </c>
      <c r="W39" s="17">
        <f>IF(W36&gt;0,Supuestos!$G$37,0)</f>
        <v>31394.456403352171</v>
      </c>
      <c r="X39" s="17">
        <f>IF(X36&gt;0,Supuestos!$G$37,0)</f>
        <v>31394.456403352171</v>
      </c>
      <c r="Y39" s="17">
        <f>IF(Y36&gt;0,Supuestos!$G$37,0)</f>
        <v>31394.456403352171</v>
      </c>
      <c r="Z39" s="17">
        <f>IF(Z36&gt;0,Supuestos!$G$37,0)</f>
        <v>31394.456403352171</v>
      </c>
      <c r="AA39" s="17">
        <f>IF(AA36&gt;0,Supuestos!$G$37,0)</f>
        <v>31394.456403352171</v>
      </c>
      <c r="AB39" s="17">
        <f>IF(AB36&gt;0,Supuestos!$G$37,0)</f>
        <v>31394.456403352171</v>
      </c>
      <c r="AC39" s="17">
        <f>IF(AC36&gt;0,Supuestos!$G$37,0)</f>
        <v>31394.456403352171</v>
      </c>
      <c r="AD39" s="17">
        <f>IF(AD36&gt;0,Supuestos!$G$37,0)</f>
        <v>31394.456403352171</v>
      </c>
      <c r="AE39" s="17">
        <f>IF(AE36&gt;0,Supuestos!$G$37,0)</f>
        <v>31394.456403352171</v>
      </c>
      <c r="AF39" s="17">
        <f>IF(AF36&gt;0,Supuestos!$G$37,0)</f>
        <v>31394.456403352171</v>
      </c>
      <c r="AG39" s="17">
        <f>IF(AG36&gt;0,Supuestos!$G$37,0)</f>
        <v>31394.456403352171</v>
      </c>
      <c r="AH39" s="17">
        <f>IF(AH36&gt;0,Supuestos!$G$37,0)</f>
        <v>31394.456403352171</v>
      </c>
      <c r="AI39" s="17">
        <f>IF(AI36&gt;0,Supuestos!$G$37,0)</f>
        <v>31394.456403352171</v>
      </c>
      <c r="AJ39" s="17">
        <f>IF(AJ36&gt;0,Supuestos!$G$37,0)</f>
        <v>31394.456403352171</v>
      </c>
      <c r="AK39" s="17">
        <f>IF(AK36&gt;0,Supuestos!$G$37,0)</f>
        <v>31394.456403352171</v>
      </c>
      <c r="AL39" s="17">
        <f>IF(AL36&gt;0,Supuestos!$G$37,0)</f>
        <v>31394.456403352171</v>
      </c>
      <c r="AM39" s="17">
        <f>IF(AM36&gt;0,Supuestos!$G$37,0)</f>
        <v>31394.456403352171</v>
      </c>
      <c r="AN39" s="17">
        <f>IF(AN36&gt;0,Supuestos!$G$37,0)</f>
        <v>31394.456403352171</v>
      </c>
      <c r="AO39" s="17">
        <f>IF(AO36&gt;0,Supuestos!$G$37,0)</f>
        <v>31394.456403352171</v>
      </c>
      <c r="AP39" s="17">
        <f>IF(AP36&gt;0,Supuestos!$G$37,0)</f>
        <v>31394.456403352171</v>
      </c>
      <c r="AQ39" s="17">
        <f>IF(AQ36&gt;0,Supuestos!$G$37,0)</f>
        <v>31394.456403352171</v>
      </c>
      <c r="AR39" s="17">
        <f>IF(AR36&gt;0,Supuestos!$G$37,0)</f>
        <v>31394.456403352171</v>
      </c>
      <c r="AS39" s="17">
        <f>IF(AS36&gt;0,Supuestos!$G$37,0)</f>
        <v>31394.456403352171</v>
      </c>
      <c r="AT39" s="17">
        <f>IF(AT36&gt;0,Supuestos!$G$37,0)</f>
        <v>31394.456403352171</v>
      </c>
      <c r="AU39" s="17">
        <f>IF(AU36&gt;0,Supuestos!$G$37,0)</f>
        <v>31394.456403352171</v>
      </c>
      <c r="AV39" s="17">
        <f>IF(AV36&gt;0,Supuestos!$G$37,0)</f>
        <v>31394.456403352171</v>
      </c>
      <c r="AW39" s="17">
        <f>IF(AW36&gt;0,Supuestos!$G$37,0)</f>
        <v>0</v>
      </c>
      <c r="AX39" s="17">
        <f>IF(AX36&gt;0,Supuestos!$G$37,0)</f>
        <v>0</v>
      </c>
      <c r="AY39" s="17">
        <f>IF(AY36&gt;0,Supuestos!$G$37,0)</f>
        <v>0</v>
      </c>
      <c r="AZ39" s="17">
        <f>IF(AZ36&gt;0,Supuestos!$G$37,0)</f>
        <v>0</v>
      </c>
      <c r="BA39" s="17">
        <f>IF(BA36&gt;0,Supuestos!$G$37,0)</f>
        <v>0</v>
      </c>
      <c r="BB39" s="17">
        <f>IF(BB36&gt;0,Supuestos!$G$37,0)</f>
        <v>0</v>
      </c>
      <c r="BC39" s="17">
        <f>IF(BC36&gt;0,Supuestos!$G$37,0)</f>
        <v>0</v>
      </c>
      <c r="BD39" s="17">
        <f>IF(BD36&gt;0,Supuestos!$G$37,0)</f>
        <v>0</v>
      </c>
      <c r="BE39" s="17">
        <f>IF(BE36&gt;0,Supuestos!$G$37,0)</f>
        <v>0</v>
      </c>
      <c r="BF39" s="17">
        <f>IF(BF36&gt;0,Supuestos!$G$37,0)</f>
        <v>0</v>
      </c>
      <c r="BG39" s="17">
        <f>IF(BG36&gt;0,Supuestos!$G$37,0)</f>
        <v>0</v>
      </c>
      <c r="BH39" s="17">
        <f>IF(BH36&gt;0,Supuestos!$G$37,0)</f>
        <v>0</v>
      </c>
      <c r="BI39" s="17">
        <f>IF(BI36&gt;0,Supuestos!$G$37,0)</f>
        <v>0</v>
      </c>
      <c r="BJ39" s="17">
        <f>IF(BJ36&gt;0,Supuestos!$G$37,0)</f>
        <v>0</v>
      </c>
      <c r="BK39" s="17">
        <f>IF(BK36&gt;0,Supuestos!$G$37,0)</f>
        <v>0</v>
      </c>
      <c r="BL39" s="17">
        <f>IF(BL36&gt;0,Supuestos!$G$37,0)</f>
        <v>0</v>
      </c>
      <c r="BM39" s="17">
        <f>IF(BM36&gt;0,Supuestos!$G$37,0)</f>
        <v>0</v>
      </c>
      <c r="BN39" s="17">
        <f>IF(BN36&gt;0,Supuestos!$G$37,0)</f>
        <v>0</v>
      </c>
      <c r="BO39" s="17">
        <f>IF(BO36&gt;0,Supuestos!$G$37,0)</f>
        <v>0</v>
      </c>
      <c r="BP39" s="17">
        <f>IF(BP36&gt;0,Supuestos!$G$37,0)</f>
        <v>0</v>
      </c>
      <c r="BQ39" s="17">
        <f>IF(BQ36&gt;0,Supuestos!$G$37,0)</f>
        <v>0</v>
      </c>
      <c r="BR39" s="17">
        <f>IF(BR36&gt;0,Supuestos!$G$37,0)</f>
        <v>0</v>
      </c>
      <c r="BS39" s="17">
        <f>IF(BS36&gt;0,Supuestos!$G$37,0)</f>
        <v>0</v>
      </c>
      <c r="BT39" s="17">
        <f>IF(BT36&gt;0,Supuestos!$G$37,0)</f>
        <v>0</v>
      </c>
      <c r="BU39" s="17">
        <f>IF(BU36&gt;0,Supuestos!$G$37,0)</f>
        <v>0</v>
      </c>
      <c r="BV39" s="17">
        <f>IF(BV36&gt;0,Supuestos!$G$37,0)</f>
        <v>0</v>
      </c>
      <c r="BW39" s="17">
        <f>IF(BW36&gt;0,Supuestos!$G$37,0)</f>
        <v>0</v>
      </c>
      <c r="BX39" s="17">
        <f>IF(BX36&gt;0,Supuestos!$G$37,0)</f>
        <v>0</v>
      </c>
      <c r="BY39" s="17">
        <f>IF(BY36&gt;0,Supuestos!$G$37,0)</f>
        <v>0</v>
      </c>
      <c r="BZ39" s="17">
        <f>IF(BZ36&gt;0,Supuestos!$G$37,0)</f>
        <v>0</v>
      </c>
      <c r="CA39" s="17">
        <f>IF(CA36&gt;0,Supuestos!$G$37,0)</f>
        <v>0</v>
      </c>
      <c r="CB39" s="17">
        <f>IF(CB36&gt;0,Supuestos!$G$37,0)</f>
        <v>0</v>
      </c>
      <c r="CC39" s="17">
        <f>IF(CC36&gt;0,Supuestos!$G$37,0)</f>
        <v>0</v>
      </c>
      <c r="CD39" s="17">
        <f>IF(CD36&gt;0,Supuestos!$G$37,0)</f>
        <v>0</v>
      </c>
      <c r="CE39" s="17">
        <f>IF(CE36&gt;0,Supuestos!$G$37,0)</f>
        <v>0</v>
      </c>
      <c r="CF39" s="17">
        <f>IF(CF36&gt;0,Supuestos!$G$37,0)</f>
        <v>0</v>
      </c>
      <c r="CG39" s="17">
        <f>IF(CG36&gt;0,Supuestos!$G$37,0)</f>
        <v>0</v>
      </c>
      <c r="CH39" s="17">
        <f>IF(CH36&gt;0,Supuestos!$G$37,0)</f>
        <v>0</v>
      </c>
      <c r="CI39" s="17">
        <f>IF(CI36&gt;0,Supuestos!$G$37,0)</f>
        <v>0</v>
      </c>
      <c r="CJ39" s="17">
        <f>IF(CJ36&gt;0,Supuestos!$G$37,0)</f>
        <v>0</v>
      </c>
      <c r="CK39" s="17">
        <f>IF(CK36&gt;0,Supuestos!$G$37,0)</f>
        <v>0</v>
      </c>
      <c r="CL39" s="17">
        <f>IF(CL36&gt;0,Supuestos!$G$37,0)</f>
        <v>0</v>
      </c>
      <c r="CM39" s="17">
        <f>IF(CM36&gt;0,Supuestos!$G$37,0)</f>
        <v>0</v>
      </c>
      <c r="CN39" s="17">
        <f>IF(CN36&gt;0,Supuestos!$G$37,0)</f>
        <v>0</v>
      </c>
      <c r="CO39" s="17">
        <f>IF(CO36&gt;0,Supuestos!$G$37,0)</f>
        <v>0</v>
      </c>
      <c r="CP39" s="17">
        <f>IF(CP36&gt;0,Supuestos!$G$37,0)</f>
        <v>0</v>
      </c>
      <c r="CQ39" s="17">
        <f>IF(CQ36&gt;0,Supuestos!$G$37,0)</f>
        <v>0</v>
      </c>
      <c r="CR39" s="17">
        <f>IF(CR36&gt;0,Supuestos!$G$37,0)</f>
        <v>0</v>
      </c>
      <c r="CS39" s="17">
        <f>IF(CS36&gt;0,Supuestos!$G$37,0)</f>
        <v>0</v>
      </c>
      <c r="CT39" s="17">
        <f>IF(CT36&gt;0,Supuestos!$G$37,0)</f>
        <v>0</v>
      </c>
      <c r="CU39" s="17">
        <f>IF(CU36&gt;0,Supuestos!$G$37,0)</f>
        <v>0</v>
      </c>
      <c r="CV39" s="17">
        <f>IF(CV36&gt;0,Supuestos!$G$37,0)</f>
        <v>0</v>
      </c>
      <c r="CW39" s="17">
        <f>IF(CW36&gt;0,Supuestos!$G$37,0)</f>
        <v>0</v>
      </c>
      <c r="CX39" s="17">
        <f>IF(CX36&gt;0,Supuestos!$G$37,0)</f>
        <v>0</v>
      </c>
      <c r="CY39" s="17">
        <f>IF(CY36&gt;0,Supuestos!$G$37,0)</f>
        <v>0</v>
      </c>
      <c r="CZ39" s="17">
        <f>IF(CZ36&gt;0,Supuestos!$G$37,0)</f>
        <v>0</v>
      </c>
      <c r="DA39" s="17">
        <f>IF(DA36&gt;0,Supuestos!$G$37,0)</f>
        <v>0</v>
      </c>
      <c r="DB39" s="17">
        <f>IF(DB36&gt;0,Supuestos!$G$37,0)</f>
        <v>0</v>
      </c>
      <c r="DC39" s="17">
        <f>IF(DC36&gt;0,Supuestos!$G$37,0)</f>
        <v>0</v>
      </c>
      <c r="DD39" s="17">
        <f>IF(DD36&gt;0,Supuestos!$G$37,0)</f>
        <v>0</v>
      </c>
      <c r="DE39" s="17">
        <f>IF(DE36&gt;0,Supuestos!$G$37,0)</f>
        <v>0</v>
      </c>
      <c r="DF39" s="17">
        <f>IF(DF36&gt;0,Supuestos!$G$37,0)</f>
        <v>0</v>
      </c>
      <c r="DG39" s="32">
        <f>SUM(C39:DF39)</f>
        <v>1130200.4305206784</v>
      </c>
    </row>
    <row r="40" spans="1:111" ht="13.8" x14ac:dyDescent="0.3">
      <c r="A40" s="16" t="s">
        <v>322</v>
      </c>
      <c r="C40" s="37">
        <f t="shared" ref="C40:AH40" si="16">C39-C38</f>
        <v>0</v>
      </c>
      <c r="D40" s="37">
        <f t="shared" si="16"/>
        <v>0</v>
      </c>
      <c r="E40" s="37">
        <f t="shared" si="16"/>
        <v>0</v>
      </c>
      <c r="F40" s="37">
        <f t="shared" si="16"/>
        <v>0</v>
      </c>
      <c r="G40" s="37">
        <f t="shared" si="16"/>
        <v>0</v>
      </c>
      <c r="H40" s="37">
        <f t="shared" si="16"/>
        <v>0</v>
      </c>
      <c r="I40" s="37">
        <f t="shared" si="16"/>
        <v>0</v>
      </c>
      <c r="J40" s="37">
        <f t="shared" si="16"/>
        <v>0</v>
      </c>
      <c r="K40" s="37">
        <f t="shared" si="16"/>
        <v>0</v>
      </c>
      <c r="L40" s="37">
        <f t="shared" si="16"/>
        <v>0</v>
      </c>
      <c r="M40" s="37">
        <f t="shared" si="16"/>
        <v>25627.228108198793</v>
      </c>
      <c r="N40" s="37">
        <f t="shared" si="16"/>
        <v>25772.128181798747</v>
      </c>
      <c r="O40" s="37">
        <f t="shared" si="16"/>
        <v>25917.847541481482</v>
      </c>
      <c r="P40" s="37">
        <f t="shared" si="16"/>
        <v>26064.390819609624</v>
      </c>
      <c r="Q40" s="37">
        <f t="shared" si="16"/>
        <v>26211.762674737845</v>
      </c>
      <c r="R40" s="37">
        <f t="shared" si="16"/>
        <v>26359.967791760977</v>
      </c>
      <c r="S40" s="37">
        <f t="shared" si="16"/>
        <v>26509.010882062914</v>
      </c>
      <c r="T40" s="37">
        <f t="shared" si="16"/>
        <v>26658.896683666408</v>
      </c>
      <c r="U40" s="37">
        <f t="shared" si="16"/>
        <v>26809.629961383675</v>
      </c>
      <c r="V40" s="37">
        <f t="shared" si="16"/>
        <v>26961.21550696787</v>
      </c>
      <c r="W40" s="37">
        <f t="shared" si="16"/>
        <v>27113.658139265433</v>
      </c>
      <c r="X40" s="37">
        <f t="shared" si="16"/>
        <v>27266.962704369245</v>
      </c>
      <c r="Y40" s="37">
        <f t="shared" si="16"/>
        <v>27421.134075772705</v>
      </c>
      <c r="Z40" s="37">
        <f t="shared" si="16"/>
        <v>27576.177154524659</v>
      </c>
      <c r="AA40" s="37">
        <f t="shared" si="16"/>
        <v>27732.096869385183</v>
      </c>
      <c r="AB40" s="37">
        <f t="shared" si="16"/>
        <v>27888.898176982293</v>
      </c>
      <c r="AC40" s="37">
        <f t="shared" si="16"/>
        <v>28046.586061969494</v>
      </c>
      <c r="AD40" s="37">
        <f t="shared" si="16"/>
        <v>28205.165537184243</v>
      </c>
      <c r="AE40" s="37">
        <f t="shared" si="16"/>
        <v>28364.641643807317</v>
      </c>
      <c r="AF40" s="37">
        <f t="shared" si="16"/>
        <v>28525.019451523054</v>
      </c>
      <c r="AG40" s="37">
        <f t="shared" si="16"/>
        <v>28686.304058680529</v>
      </c>
      <c r="AH40" s="37">
        <f t="shared" si="16"/>
        <v>28848.500592455621</v>
      </c>
      <c r="AI40" s="37">
        <f t="shared" ref="AI40:BN40" si="17">AI39-AI38</f>
        <v>29011.614209014013</v>
      </c>
      <c r="AJ40" s="37">
        <f t="shared" si="17"/>
        <v>29175.650093675093</v>
      </c>
      <c r="AK40" s="37">
        <f t="shared" si="17"/>
        <v>29340.613461076795</v>
      </c>
      <c r="AL40" s="37">
        <f t="shared" si="17"/>
        <v>29506.509555341381</v>
      </c>
      <c r="AM40" s="37">
        <f t="shared" si="17"/>
        <v>29673.343650242146</v>
      </c>
      <c r="AN40" s="37">
        <f t="shared" si="17"/>
        <v>29841.121049371053</v>
      </c>
      <c r="AO40" s="37">
        <f t="shared" si="17"/>
        <v>30009.847086307356</v>
      </c>
      <c r="AP40" s="37">
        <f t="shared" si="17"/>
        <v>30179.527124787139</v>
      </c>
      <c r="AQ40" s="37">
        <f t="shared" si="17"/>
        <v>30350.166558873829</v>
      </c>
      <c r="AR40" s="37">
        <f t="shared" si="17"/>
        <v>30521.770813129668</v>
      </c>
      <c r="AS40" s="37">
        <f t="shared" si="17"/>
        <v>30694.345342788165</v>
      </c>
      <c r="AT40" s="37">
        <f t="shared" si="17"/>
        <v>30867.895633927514</v>
      </c>
      <c r="AU40" s="37">
        <f t="shared" si="17"/>
        <v>31042.427203644991</v>
      </c>
      <c r="AV40" s="37">
        <f t="shared" si="17"/>
        <v>31217.945600232346</v>
      </c>
      <c r="AW40" s="37">
        <f t="shared" si="17"/>
        <v>0</v>
      </c>
      <c r="AX40" s="37">
        <f t="shared" si="17"/>
        <v>0</v>
      </c>
      <c r="AY40" s="37">
        <f t="shared" si="17"/>
        <v>0</v>
      </c>
      <c r="AZ40" s="37">
        <f t="shared" si="17"/>
        <v>0</v>
      </c>
      <c r="BA40" s="37">
        <f t="shared" si="17"/>
        <v>0</v>
      </c>
      <c r="BB40" s="37">
        <f t="shared" si="17"/>
        <v>0</v>
      </c>
      <c r="BC40" s="37">
        <f t="shared" si="17"/>
        <v>0</v>
      </c>
      <c r="BD40" s="37">
        <f t="shared" si="17"/>
        <v>0</v>
      </c>
      <c r="BE40" s="37">
        <f t="shared" si="17"/>
        <v>0</v>
      </c>
      <c r="BF40" s="37">
        <f t="shared" si="17"/>
        <v>0</v>
      </c>
      <c r="BG40" s="37">
        <f t="shared" si="17"/>
        <v>0</v>
      </c>
      <c r="BH40" s="37">
        <f t="shared" si="17"/>
        <v>0</v>
      </c>
      <c r="BI40" s="37">
        <f t="shared" si="17"/>
        <v>0</v>
      </c>
      <c r="BJ40" s="37">
        <f t="shared" si="17"/>
        <v>0</v>
      </c>
      <c r="BK40" s="37">
        <f t="shared" si="17"/>
        <v>0</v>
      </c>
      <c r="BL40" s="37">
        <f t="shared" si="17"/>
        <v>0</v>
      </c>
      <c r="BM40" s="37">
        <f t="shared" si="17"/>
        <v>0</v>
      </c>
      <c r="BN40" s="37">
        <f t="shared" si="17"/>
        <v>0</v>
      </c>
      <c r="BO40" s="37">
        <f t="shared" ref="BO40:CT40" si="18">BO39-BO38</f>
        <v>0</v>
      </c>
      <c r="BP40" s="37">
        <f t="shared" si="18"/>
        <v>0</v>
      </c>
      <c r="BQ40" s="37">
        <f t="shared" si="18"/>
        <v>0</v>
      </c>
      <c r="BR40" s="37">
        <f t="shared" si="18"/>
        <v>0</v>
      </c>
      <c r="BS40" s="37">
        <f t="shared" si="18"/>
        <v>0</v>
      </c>
      <c r="BT40" s="37">
        <f t="shared" si="18"/>
        <v>0</v>
      </c>
      <c r="BU40" s="37">
        <f t="shared" si="18"/>
        <v>0</v>
      </c>
      <c r="BV40" s="37">
        <f t="shared" si="18"/>
        <v>0</v>
      </c>
      <c r="BW40" s="37">
        <f t="shared" si="18"/>
        <v>0</v>
      </c>
      <c r="BX40" s="37">
        <f t="shared" si="18"/>
        <v>0</v>
      </c>
      <c r="BY40" s="37">
        <f t="shared" si="18"/>
        <v>0</v>
      </c>
      <c r="BZ40" s="37">
        <f t="shared" si="18"/>
        <v>0</v>
      </c>
      <c r="CA40" s="37">
        <f t="shared" si="18"/>
        <v>0</v>
      </c>
      <c r="CB40" s="37">
        <f t="shared" si="18"/>
        <v>0</v>
      </c>
      <c r="CC40" s="37">
        <f t="shared" si="18"/>
        <v>0</v>
      </c>
      <c r="CD40" s="37">
        <f t="shared" si="18"/>
        <v>0</v>
      </c>
      <c r="CE40" s="37">
        <f t="shared" si="18"/>
        <v>0</v>
      </c>
      <c r="CF40" s="37">
        <f t="shared" si="18"/>
        <v>0</v>
      </c>
      <c r="CG40" s="37">
        <f t="shared" si="18"/>
        <v>0</v>
      </c>
      <c r="CH40" s="37">
        <f t="shared" si="18"/>
        <v>0</v>
      </c>
      <c r="CI40" s="37">
        <f t="shared" si="18"/>
        <v>0</v>
      </c>
      <c r="CJ40" s="37">
        <f t="shared" si="18"/>
        <v>0</v>
      </c>
      <c r="CK40" s="37">
        <f t="shared" si="18"/>
        <v>0</v>
      </c>
      <c r="CL40" s="37">
        <f t="shared" si="18"/>
        <v>0</v>
      </c>
      <c r="CM40" s="37">
        <f t="shared" si="18"/>
        <v>0</v>
      </c>
      <c r="CN40" s="37">
        <f t="shared" si="18"/>
        <v>0</v>
      </c>
      <c r="CO40" s="37">
        <f t="shared" si="18"/>
        <v>0</v>
      </c>
      <c r="CP40" s="37">
        <f t="shared" si="18"/>
        <v>0</v>
      </c>
      <c r="CQ40" s="37">
        <f t="shared" si="18"/>
        <v>0</v>
      </c>
      <c r="CR40" s="37">
        <f t="shared" si="18"/>
        <v>0</v>
      </c>
      <c r="CS40" s="37">
        <f t="shared" si="18"/>
        <v>0</v>
      </c>
      <c r="CT40" s="37">
        <f t="shared" si="18"/>
        <v>0</v>
      </c>
      <c r="CU40" s="37">
        <f t="shared" ref="CU40:DZ40" si="19">CU39-CU38</f>
        <v>0</v>
      </c>
      <c r="CV40" s="37">
        <f t="shared" si="19"/>
        <v>0</v>
      </c>
      <c r="CW40" s="37">
        <f t="shared" si="19"/>
        <v>0</v>
      </c>
      <c r="CX40" s="37">
        <f t="shared" si="19"/>
        <v>0</v>
      </c>
      <c r="CY40" s="37">
        <f t="shared" si="19"/>
        <v>0</v>
      </c>
      <c r="CZ40" s="37">
        <f t="shared" si="19"/>
        <v>0</v>
      </c>
      <c r="DA40" s="37">
        <f t="shared" si="19"/>
        <v>0</v>
      </c>
      <c r="DB40" s="37">
        <f t="shared" si="19"/>
        <v>0</v>
      </c>
      <c r="DC40" s="37">
        <f t="shared" si="19"/>
        <v>0</v>
      </c>
      <c r="DD40" s="37">
        <f t="shared" si="19"/>
        <v>0</v>
      </c>
      <c r="DE40" s="37">
        <f t="shared" si="19"/>
        <v>0</v>
      </c>
      <c r="DF40" s="37">
        <f t="shared" si="19"/>
        <v>0</v>
      </c>
      <c r="DG40" s="32">
        <f>SUM(C40:DF40)</f>
        <v>1019999.9999999995</v>
      </c>
    </row>
    <row r="41" spans="1:111" ht="13.8" x14ac:dyDescent="0.3">
      <c r="A41" s="16" t="s">
        <v>323</v>
      </c>
      <c r="C41" s="32">
        <f t="shared" ref="C41:AH41" si="20">C37-C40</f>
        <v>0</v>
      </c>
      <c r="D41" s="32">
        <f t="shared" si="20"/>
        <v>0</v>
      </c>
      <c r="E41" s="32">
        <f t="shared" si="20"/>
        <v>0</v>
      </c>
      <c r="F41" s="32">
        <f t="shared" si="20"/>
        <v>0</v>
      </c>
      <c r="G41" s="32">
        <f t="shared" si="20"/>
        <v>0</v>
      </c>
      <c r="H41" s="32">
        <f t="shared" si="20"/>
        <v>0</v>
      </c>
      <c r="I41" s="32">
        <f t="shared" si="20"/>
        <v>0</v>
      </c>
      <c r="J41" s="32">
        <f t="shared" si="20"/>
        <v>0</v>
      </c>
      <c r="K41" s="32">
        <f t="shared" si="20"/>
        <v>0</v>
      </c>
      <c r="L41" s="32">
        <f t="shared" si="20"/>
        <v>0</v>
      </c>
      <c r="M41" s="32">
        <f t="shared" si="20"/>
        <v>994372.77189180115</v>
      </c>
      <c r="N41" s="32">
        <f t="shared" si="20"/>
        <v>968600.64371000242</v>
      </c>
      <c r="O41" s="32">
        <f t="shared" si="20"/>
        <v>942682.79616852093</v>
      </c>
      <c r="P41" s="32">
        <f t="shared" si="20"/>
        <v>916618.4053489113</v>
      </c>
      <c r="Q41" s="32">
        <f t="shared" si="20"/>
        <v>890406.64267417346</v>
      </c>
      <c r="R41" s="32">
        <f t="shared" si="20"/>
        <v>864046.67488241254</v>
      </c>
      <c r="S41" s="32">
        <f t="shared" si="20"/>
        <v>837537.66400034958</v>
      </c>
      <c r="T41" s="32">
        <f t="shared" si="20"/>
        <v>810878.7673166832</v>
      </c>
      <c r="U41" s="32">
        <f t="shared" si="20"/>
        <v>784069.13735529955</v>
      </c>
      <c r="V41" s="32">
        <f t="shared" si="20"/>
        <v>757107.92184833169</v>
      </c>
      <c r="W41" s="32">
        <f t="shared" si="20"/>
        <v>729994.2637090662</v>
      </c>
      <c r="X41" s="32">
        <f t="shared" si="20"/>
        <v>702727.30100469699</v>
      </c>
      <c r="Y41" s="32">
        <f t="shared" si="20"/>
        <v>675306.16692892427</v>
      </c>
      <c r="Z41" s="32">
        <f t="shared" si="20"/>
        <v>647729.98977439967</v>
      </c>
      <c r="AA41" s="32">
        <f t="shared" si="20"/>
        <v>619997.89290501445</v>
      </c>
      <c r="AB41" s="32">
        <f t="shared" si="20"/>
        <v>592108.99472803215</v>
      </c>
      <c r="AC41" s="32">
        <f t="shared" si="20"/>
        <v>564062.40866606263</v>
      </c>
      <c r="AD41" s="32">
        <f t="shared" si="20"/>
        <v>535857.24312887841</v>
      </c>
      <c r="AE41" s="32">
        <f t="shared" si="20"/>
        <v>507492.60148507112</v>
      </c>
      <c r="AF41" s="32">
        <f t="shared" si="20"/>
        <v>478967.58203354804</v>
      </c>
      <c r="AG41" s="32">
        <f t="shared" si="20"/>
        <v>450281.27797486749</v>
      </c>
      <c r="AH41" s="32">
        <f t="shared" si="20"/>
        <v>421432.77738241188</v>
      </c>
      <c r="AI41" s="32">
        <f t="shared" ref="AI41:BN41" si="21">AI37-AI40</f>
        <v>392421.16317339789</v>
      </c>
      <c r="AJ41" s="32">
        <f t="shared" si="21"/>
        <v>363245.51307972282</v>
      </c>
      <c r="AK41" s="32">
        <f t="shared" si="21"/>
        <v>333904.89961864601</v>
      </c>
      <c r="AL41" s="32">
        <f t="shared" si="21"/>
        <v>304398.39006330463</v>
      </c>
      <c r="AM41" s="32">
        <f t="shared" si="21"/>
        <v>274725.04641306249</v>
      </c>
      <c r="AN41" s="32">
        <f t="shared" si="21"/>
        <v>244883.92536369144</v>
      </c>
      <c r="AO41" s="32">
        <f t="shared" si="21"/>
        <v>214874.07827738408</v>
      </c>
      <c r="AP41" s="32">
        <f t="shared" si="21"/>
        <v>184694.55115259695</v>
      </c>
      <c r="AQ41" s="32">
        <f t="shared" si="21"/>
        <v>154344.38459372311</v>
      </c>
      <c r="AR41" s="32">
        <f t="shared" si="21"/>
        <v>123822.61378059344</v>
      </c>
      <c r="AS41" s="32">
        <f t="shared" si="21"/>
        <v>93128.26843780528</v>
      </c>
      <c r="AT41" s="32">
        <f t="shared" si="21"/>
        <v>62260.372803877763</v>
      </c>
      <c r="AU41" s="32">
        <f t="shared" si="21"/>
        <v>31217.945600232772</v>
      </c>
      <c r="AV41" s="32">
        <f t="shared" si="21"/>
        <v>4.2564352042973042E-10</v>
      </c>
      <c r="AW41" s="32">
        <f t="shared" si="21"/>
        <v>0</v>
      </c>
      <c r="AX41" s="32">
        <f t="shared" si="21"/>
        <v>0</v>
      </c>
      <c r="AY41" s="32">
        <f t="shared" si="21"/>
        <v>0</v>
      </c>
      <c r="AZ41" s="32">
        <f t="shared" si="21"/>
        <v>0</v>
      </c>
      <c r="BA41" s="32">
        <f t="shared" si="21"/>
        <v>0</v>
      </c>
      <c r="BB41" s="32">
        <f t="shared" si="21"/>
        <v>0</v>
      </c>
      <c r="BC41" s="32">
        <f t="shared" si="21"/>
        <v>0</v>
      </c>
      <c r="BD41" s="32">
        <f t="shared" si="21"/>
        <v>0</v>
      </c>
      <c r="BE41" s="32">
        <f t="shared" si="21"/>
        <v>0</v>
      </c>
      <c r="BF41" s="32">
        <f t="shared" si="21"/>
        <v>0</v>
      </c>
      <c r="BG41" s="32">
        <f t="shared" si="21"/>
        <v>0</v>
      </c>
      <c r="BH41" s="32">
        <f t="shared" si="21"/>
        <v>0</v>
      </c>
      <c r="BI41" s="32">
        <f t="shared" si="21"/>
        <v>0</v>
      </c>
      <c r="BJ41" s="32">
        <f t="shared" si="21"/>
        <v>0</v>
      </c>
      <c r="BK41" s="32">
        <f t="shared" si="21"/>
        <v>0</v>
      </c>
      <c r="BL41" s="32">
        <f t="shared" si="21"/>
        <v>0</v>
      </c>
      <c r="BM41" s="32">
        <f t="shared" si="21"/>
        <v>0</v>
      </c>
      <c r="BN41" s="32">
        <f t="shared" si="21"/>
        <v>0</v>
      </c>
      <c r="BO41" s="32">
        <f t="shared" ref="BO41:CT41" si="22">BO37-BO40</f>
        <v>0</v>
      </c>
      <c r="BP41" s="32">
        <f t="shared" si="22"/>
        <v>0</v>
      </c>
      <c r="BQ41" s="32">
        <f t="shared" si="22"/>
        <v>0</v>
      </c>
      <c r="BR41" s="32">
        <f t="shared" si="22"/>
        <v>0</v>
      </c>
      <c r="BS41" s="32">
        <f t="shared" si="22"/>
        <v>0</v>
      </c>
      <c r="BT41" s="32">
        <f t="shared" si="22"/>
        <v>0</v>
      </c>
      <c r="BU41" s="32">
        <f t="shared" si="22"/>
        <v>0</v>
      </c>
      <c r="BV41" s="32">
        <f t="shared" si="22"/>
        <v>0</v>
      </c>
      <c r="BW41" s="32">
        <f t="shared" si="22"/>
        <v>0</v>
      </c>
      <c r="BX41" s="32">
        <f t="shared" si="22"/>
        <v>0</v>
      </c>
      <c r="BY41" s="32">
        <f t="shared" si="22"/>
        <v>0</v>
      </c>
      <c r="BZ41" s="32">
        <f t="shared" si="22"/>
        <v>0</v>
      </c>
      <c r="CA41" s="32">
        <f t="shared" si="22"/>
        <v>0</v>
      </c>
      <c r="CB41" s="32">
        <f t="shared" si="22"/>
        <v>0</v>
      </c>
      <c r="CC41" s="32">
        <f t="shared" si="22"/>
        <v>0</v>
      </c>
      <c r="CD41" s="32">
        <f t="shared" si="22"/>
        <v>0</v>
      </c>
      <c r="CE41" s="32">
        <f t="shared" si="22"/>
        <v>0</v>
      </c>
      <c r="CF41" s="32">
        <f t="shared" si="22"/>
        <v>0</v>
      </c>
      <c r="CG41" s="32">
        <f t="shared" si="22"/>
        <v>0</v>
      </c>
      <c r="CH41" s="32">
        <f t="shared" si="22"/>
        <v>0</v>
      </c>
      <c r="CI41" s="32">
        <f t="shared" si="22"/>
        <v>0</v>
      </c>
      <c r="CJ41" s="32">
        <f t="shared" si="22"/>
        <v>0</v>
      </c>
      <c r="CK41" s="32">
        <f t="shared" si="22"/>
        <v>0</v>
      </c>
      <c r="CL41" s="32">
        <f t="shared" si="22"/>
        <v>0</v>
      </c>
      <c r="CM41" s="32">
        <f t="shared" si="22"/>
        <v>0</v>
      </c>
      <c r="CN41" s="32">
        <f t="shared" si="22"/>
        <v>0</v>
      </c>
      <c r="CO41" s="32">
        <f t="shared" si="22"/>
        <v>0</v>
      </c>
      <c r="CP41" s="32">
        <f t="shared" si="22"/>
        <v>0</v>
      </c>
      <c r="CQ41" s="32">
        <f t="shared" si="22"/>
        <v>0</v>
      </c>
      <c r="CR41" s="32">
        <f t="shared" si="22"/>
        <v>0</v>
      </c>
      <c r="CS41" s="32">
        <f t="shared" si="22"/>
        <v>0</v>
      </c>
      <c r="CT41" s="32">
        <f t="shared" si="22"/>
        <v>0</v>
      </c>
      <c r="CU41" s="32">
        <f t="shared" ref="CU41:DZ41" si="23">CU37-CU40</f>
        <v>0</v>
      </c>
      <c r="CV41" s="32">
        <f t="shared" si="23"/>
        <v>0</v>
      </c>
      <c r="CW41" s="32">
        <f t="shared" si="23"/>
        <v>0</v>
      </c>
      <c r="CX41" s="32">
        <f t="shared" si="23"/>
        <v>0</v>
      </c>
      <c r="CY41" s="32">
        <f t="shared" si="23"/>
        <v>0</v>
      </c>
      <c r="CZ41" s="32">
        <f t="shared" si="23"/>
        <v>0</v>
      </c>
      <c r="DA41" s="32">
        <f t="shared" si="23"/>
        <v>0</v>
      </c>
      <c r="DB41" s="32">
        <f t="shared" si="23"/>
        <v>0</v>
      </c>
      <c r="DC41" s="32">
        <f t="shared" si="23"/>
        <v>0</v>
      </c>
      <c r="DD41" s="32">
        <f t="shared" si="23"/>
        <v>0</v>
      </c>
      <c r="DE41" s="32">
        <f t="shared" si="23"/>
        <v>0</v>
      </c>
      <c r="DF41" s="32">
        <f t="shared" si="23"/>
        <v>0</v>
      </c>
    </row>
    <row r="43" spans="1:111" ht="13.8" x14ac:dyDescent="0.3">
      <c r="A43" s="26" t="s">
        <v>326</v>
      </c>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row>
    <row r="44" spans="1:111" ht="13.8" x14ac:dyDescent="0.3">
      <c r="A44" s="16" t="s">
        <v>317</v>
      </c>
      <c r="C44" s="17">
        <f>IF(C$4=Supuestos!$I$38,Supuestos!$C$38,0)</f>
        <v>0</v>
      </c>
      <c r="D44" s="17">
        <f>IF(D$4=Supuestos!$I$38,Supuestos!$C$38,0)</f>
        <v>0</v>
      </c>
      <c r="E44" s="17">
        <f>IF(E$4=Supuestos!$I$38,Supuestos!$C$38,0)</f>
        <v>0</v>
      </c>
      <c r="F44" s="17">
        <f>IF(F$4=Supuestos!$I$38,Supuestos!$C$38,0)</f>
        <v>0</v>
      </c>
      <c r="G44" s="17">
        <f>IF(G$4=Supuestos!$I$38,Supuestos!$C$38,0)</f>
        <v>0</v>
      </c>
      <c r="H44" s="17">
        <f>IF(H$4=Supuestos!$I$38,Supuestos!$C$38,0)</f>
        <v>0</v>
      </c>
      <c r="I44" s="17">
        <f>IF(I$4=Supuestos!$I$38,Supuestos!$C$38,0)</f>
        <v>0</v>
      </c>
      <c r="J44" s="17">
        <f>IF(J$4=Supuestos!$I$38,Supuestos!$C$38,0)</f>
        <v>0</v>
      </c>
      <c r="K44" s="17">
        <f>IF(K$4=Supuestos!$I$38,Supuestos!$C$38,0)</f>
        <v>0</v>
      </c>
      <c r="L44" s="17">
        <f>IF(L$4=Supuestos!$I$38,Supuestos!$C$38,0)</f>
        <v>0</v>
      </c>
      <c r="M44" s="17">
        <f>IF(M$4=Supuestos!$I$38,Supuestos!$C$38,0)</f>
        <v>0</v>
      </c>
      <c r="N44" s="17">
        <f>IF(N$4=Supuestos!$I$38,Supuestos!$C$38,0)</f>
        <v>0</v>
      </c>
      <c r="O44" s="17">
        <f>IF(O$4=Supuestos!$I$38,Supuestos!$C$38,0)</f>
        <v>1440000</v>
      </c>
      <c r="P44" s="17">
        <f>IF(P$4=Supuestos!$I$38,Supuestos!$C$38,0)</f>
        <v>0</v>
      </c>
      <c r="Q44" s="17">
        <f>IF(Q$4=Supuestos!$I$38,Supuestos!$C$38,0)</f>
        <v>0</v>
      </c>
      <c r="R44" s="17">
        <f>IF(R$4=Supuestos!$I$38,Supuestos!$C$38,0)</f>
        <v>0</v>
      </c>
      <c r="S44" s="17">
        <f>IF(S$4=Supuestos!$I$38,Supuestos!$C$38,0)</f>
        <v>0</v>
      </c>
      <c r="T44" s="17">
        <f>IF(T$4=Supuestos!$I$38,Supuestos!$C$38,0)</f>
        <v>0</v>
      </c>
      <c r="U44" s="17">
        <f>IF(U$4=Supuestos!$I$38,Supuestos!$C$38,0)</f>
        <v>0</v>
      </c>
      <c r="V44" s="17">
        <f>IF(V$4=Supuestos!$I$38,Supuestos!$C$38,0)</f>
        <v>0</v>
      </c>
      <c r="W44" s="17">
        <f>IF(W$4=Supuestos!$I$38,Supuestos!$C$38,0)</f>
        <v>0</v>
      </c>
      <c r="X44" s="17">
        <f>IF(X$4=Supuestos!$I$38,Supuestos!$C$38,0)</f>
        <v>0</v>
      </c>
      <c r="Y44" s="17">
        <f>IF(Y$4=Supuestos!$I$38,Supuestos!$C$38,0)</f>
        <v>0</v>
      </c>
      <c r="Z44" s="17">
        <f>IF(Z$4=Supuestos!$I$38,Supuestos!$C$38,0)</f>
        <v>0</v>
      </c>
      <c r="AA44" s="17">
        <f>IF(AA$4=Supuestos!$I$38,Supuestos!$C$38,0)</f>
        <v>0</v>
      </c>
      <c r="AB44" s="17">
        <f>IF(AB$4=Supuestos!$I$38,Supuestos!$C$38,0)</f>
        <v>0</v>
      </c>
      <c r="AC44" s="17">
        <f>IF(AC$4=Supuestos!$I$38,Supuestos!$C$38,0)</f>
        <v>0</v>
      </c>
      <c r="AD44" s="17">
        <f>IF(AD$4=Supuestos!$I$38,Supuestos!$C$38,0)</f>
        <v>0</v>
      </c>
      <c r="AE44" s="17">
        <f>IF(AE$4=Supuestos!$I$38,Supuestos!$C$38,0)</f>
        <v>0</v>
      </c>
      <c r="AF44" s="17">
        <f>IF(AF$4=Supuestos!$I$38,Supuestos!$C$38,0)</f>
        <v>0</v>
      </c>
      <c r="AG44" s="17">
        <f>IF(AG$4=Supuestos!$I$38,Supuestos!$C$38,0)</f>
        <v>0</v>
      </c>
      <c r="AH44" s="17">
        <f>IF(AH$4=Supuestos!$I$38,Supuestos!$C$38,0)</f>
        <v>0</v>
      </c>
      <c r="AI44" s="17">
        <f>IF(AI$4=Supuestos!$I$38,Supuestos!$C$38,0)</f>
        <v>0</v>
      </c>
      <c r="AJ44" s="17">
        <f>IF(AJ$4=Supuestos!$I$38,Supuestos!$C$38,0)</f>
        <v>0</v>
      </c>
      <c r="AK44" s="17">
        <f>IF(AK$4=Supuestos!$I$38,Supuestos!$C$38,0)</f>
        <v>0</v>
      </c>
      <c r="AL44" s="17">
        <f>IF(AL$4=Supuestos!$I$38,Supuestos!$C$38,0)</f>
        <v>0</v>
      </c>
      <c r="AM44" s="17">
        <f>IF(AM$4=Supuestos!$I$38,Supuestos!$C$38,0)</f>
        <v>0</v>
      </c>
      <c r="AN44" s="17">
        <f>IF(AN$4=Supuestos!$I$38,Supuestos!$C$38,0)</f>
        <v>0</v>
      </c>
      <c r="AO44" s="17">
        <f>IF(AO$4=Supuestos!$I$38,Supuestos!$C$38,0)</f>
        <v>0</v>
      </c>
      <c r="AP44" s="17">
        <f>IF(AP$4=Supuestos!$I$38,Supuestos!$C$38,0)</f>
        <v>0</v>
      </c>
      <c r="AQ44" s="17">
        <f>IF(AQ$4=Supuestos!$I$38,Supuestos!$C$38,0)</f>
        <v>0</v>
      </c>
      <c r="AR44" s="17">
        <f>IF(AR$4=Supuestos!$I$38,Supuestos!$C$38,0)</f>
        <v>0</v>
      </c>
      <c r="AS44" s="17">
        <f>IF(AS$4=Supuestos!$I$38,Supuestos!$C$38,0)</f>
        <v>0</v>
      </c>
      <c r="AT44" s="17">
        <f>IF(AT$4=Supuestos!$I$38,Supuestos!$C$38,0)</f>
        <v>0</v>
      </c>
      <c r="AU44" s="17">
        <f>IF(AU$4=Supuestos!$I$38,Supuestos!$C$38,0)</f>
        <v>0</v>
      </c>
      <c r="AV44" s="17">
        <f>IF(AV$4=Supuestos!$I$38,Supuestos!$C$38,0)</f>
        <v>0</v>
      </c>
      <c r="AW44" s="17">
        <f>IF(AW$4=Supuestos!$I$38,Supuestos!$C$38,0)</f>
        <v>0</v>
      </c>
      <c r="AX44" s="17">
        <f>IF(AX$4=Supuestos!$I$38,Supuestos!$C$38,0)</f>
        <v>0</v>
      </c>
      <c r="AY44" s="17">
        <f>IF(AY$4=Supuestos!$I$38,Supuestos!$C$38,0)</f>
        <v>0</v>
      </c>
      <c r="AZ44" s="17">
        <f>IF(AZ$4=Supuestos!$I$38,Supuestos!$C$38,0)</f>
        <v>0</v>
      </c>
      <c r="BA44" s="17">
        <f>IF(BA$4=Supuestos!$I$38,Supuestos!$C$38,0)</f>
        <v>0</v>
      </c>
      <c r="BB44" s="17">
        <f>IF(BB$4=Supuestos!$I$38,Supuestos!$C$38,0)</f>
        <v>0</v>
      </c>
      <c r="BC44" s="17">
        <f>IF(BC$4=Supuestos!$I$38,Supuestos!$C$38,0)</f>
        <v>0</v>
      </c>
      <c r="BD44" s="17">
        <f>IF(BD$4=Supuestos!$I$38,Supuestos!$C$38,0)</f>
        <v>0</v>
      </c>
      <c r="BE44" s="17">
        <f>IF(BE$4=Supuestos!$I$38,Supuestos!$C$38,0)</f>
        <v>0</v>
      </c>
      <c r="BF44" s="17">
        <f>IF(BF$4=Supuestos!$I$38,Supuestos!$C$38,0)</f>
        <v>0</v>
      </c>
      <c r="BG44" s="17">
        <f>IF(BG$4=Supuestos!$I$38,Supuestos!$C$38,0)</f>
        <v>0</v>
      </c>
      <c r="BH44" s="17">
        <f>IF(BH$4=Supuestos!$I$38,Supuestos!$C$38,0)</f>
        <v>0</v>
      </c>
      <c r="BI44" s="17">
        <f>IF(BI$4=Supuestos!$I$38,Supuestos!$C$38,0)</f>
        <v>0</v>
      </c>
      <c r="BJ44" s="17">
        <f>IF(BJ$4=Supuestos!$I$38,Supuestos!$C$38,0)</f>
        <v>0</v>
      </c>
      <c r="BK44" s="17">
        <f>IF(BK$4=Supuestos!$I$38,Supuestos!$C$38,0)</f>
        <v>0</v>
      </c>
      <c r="BL44" s="17">
        <f>IF(BL$4=Supuestos!$I$38,Supuestos!$C$38,0)</f>
        <v>0</v>
      </c>
      <c r="BM44" s="17">
        <f>IF(BM$4=Supuestos!$I$38,Supuestos!$C$38,0)</f>
        <v>0</v>
      </c>
      <c r="BN44" s="17">
        <f>IF(BN$4=Supuestos!$I$38,Supuestos!$C$38,0)</f>
        <v>0</v>
      </c>
      <c r="BO44" s="17">
        <f>IF(BO$4=Supuestos!$I$38,Supuestos!$C$38,0)</f>
        <v>0</v>
      </c>
      <c r="BP44" s="17">
        <f>IF(BP$4=Supuestos!$I$38,Supuestos!$C$38,0)</f>
        <v>0</v>
      </c>
      <c r="BQ44" s="17">
        <f>IF(BQ$4=Supuestos!$I$38,Supuestos!$C$38,0)</f>
        <v>0</v>
      </c>
      <c r="BR44" s="17">
        <f>IF(BR$4=Supuestos!$I$38,Supuestos!$C$38,0)</f>
        <v>0</v>
      </c>
      <c r="BS44" s="17">
        <f>IF(BS$4=Supuestos!$I$38,Supuestos!$C$38,0)</f>
        <v>0</v>
      </c>
      <c r="BT44" s="17">
        <f>IF(BT$4=Supuestos!$I$38,Supuestos!$C$38,0)</f>
        <v>0</v>
      </c>
      <c r="BU44" s="17">
        <f>IF(BU$4=Supuestos!$I$38,Supuestos!$C$38,0)</f>
        <v>0</v>
      </c>
      <c r="BV44" s="17">
        <f>IF(BV$4=Supuestos!$I$38,Supuestos!$C$38,0)</f>
        <v>0</v>
      </c>
      <c r="BW44" s="17">
        <f>IF(BW$4=Supuestos!$I$38,Supuestos!$C$38,0)</f>
        <v>0</v>
      </c>
      <c r="BX44" s="17">
        <f>IF(BX$4=Supuestos!$I$38,Supuestos!$C$38,0)</f>
        <v>0</v>
      </c>
      <c r="BY44" s="17">
        <f>IF(BY$4=Supuestos!$I$38,Supuestos!$C$38,0)</f>
        <v>0</v>
      </c>
      <c r="BZ44" s="17">
        <f>IF(BZ$4=Supuestos!$I$38,Supuestos!$C$38,0)</f>
        <v>0</v>
      </c>
      <c r="CA44" s="17">
        <f>IF(CA$4=Supuestos!$I$38,Supuestos!$C$38,0)</f>
        <v>0</v>
      </c>
      <c r="CB44" s="17">
        <f>IF(CB$4=Supuestos!$I$38,Supuestos!$C$38,0)</f>
        <v>0</v>
      </c>
      <c r="CC44" s="17">
        <f>IF(CC$4=Supuestos!$I$38,Supuestos!$C$38,0)</f>
        <v>0</v>
      </c>
      <c r="CD44" s="17">
        <f>IF(CD$4=Supuestos!$I$38,Supuestos!$C$38,0)</f>
        <v>0</v>
      </c>
      <c r="CE44" s="17">
        <f>IF(CE$4=Supuestos!$I$38,Supuestos!$C$38,0)</f>
        <v>0</v>
      </c>
      <c r="CF44" s="17">
        <f>IF(CF$4=Supuestos!$I$38,Supuestos!$C$38,0)</f>
        <v>0</v>
      </c>
      <c r="CG44" s="17">
        <f>IF(CG$4=Supuestos!$I$38,Supuestos!$C$38,0)</f>
        <v>0</v>
      </c>
      <c r="CH44" s="17">
        <f>IF(CH$4=Supuestos!$I$38,Supuestos!$C$38,0)</f>
        <v>0</v>
      </c>
      <c r="CI44" s="17">
        <f>IF(CI$4=Supuestos!$I$38,Supuestos!$C$38,0)</f>
        <v>0</v>
      </c>
      <c r="CJ44" s="17">
        <f>IF(CJ$4=Supuestos!$I$38,Supuestos!$C$38,0)</f>
        <v>0</v>
      </c>
      <c r="CK44" s="17">
        <f>IF(CK$4=Supuestos!$I$38,Supuestos!$C$38,0)</f>
        <v>0</v>
      </c>
      <c r="CL44" s="17">
        <f>IF(CL$4=Supuestos!$I$38,Supuestos!$C$38,0)</f>
        <v>0</v>
      </c>
      <c r="CM44" s="17">
        <f>IF(CM$4=Supuestos!$I$38,Supuestos!$C$38,0)</f>
        <v>0</v>
      </c>
      <c r="CN44" s="17">
        <f>IF(CN$4=Supuestos!$I$38,Supuestos!$C$38,0)</f>
        <v>0</v>
      </c>
      <c r="CO44" s="17">
        <f>IF(CO$4=Supuestos!$I$38,Supuestos!$C$38,0)</f>
        <v>0</v>
      </c>
      <c r="CP44" s="17">
        <f>IF(CP$4=Supuestos!$I$38,Supuestos!$C$38,0)</f>
        <v>0</v>
      </c>
      <c r="CQ44" s="17">
        <f>IF(CQ$4=Supuestos!$I$38,Supuestos!$C$38,0)</f>
        <v>0</v>
      </c>
      <c r="CR44" s="17">
        <f>IF(CR$4=Supuestos!$I$38,Supuestos!$C$38,0)</f>
        <v>0</v>
      </c>
      <c r="CS44" s="17">
        <f>IF(CS$4=Supuestos!$I$38,Supuestos!$C$38,0)</f>
        <v>0</v>
      </c>
      <c r="CT44" s="17">
        <f>IF(CT$4=Supuestos!$I$38,Supuestos!$C$38,0)</f>
        <v>0</v>
      </c>
      <c r="CU44" s="17">
        <f>IF(CU$4=Supuestos!$I$38,Supuestos!$C$38,0)</f>
        <v>0</v>
      </c>
      <c r="CV44" s="17">
        <f>IF(CV$4=Supuestos!$I$38,Supuestos!$C$38,0)</f>
        <v>0</v>
      </c>
      <c r="CW44" s="17">
        <f>IF(CW$4=Supuestos!$I$38,Supuestos!$C$38,0)</f>
        <v>0</v>
      </c>
      <c r="CX44" s="17">
        <f>IF(CX$4=Supuestos!$I$38,Supuestos!$C$38,0)</f>
        <v>0</v>
      </c>
      <c r="CY44" s="17">
        <f>IF(CY$4=Supuestos!$I$38,Supuestos!$C$38,0)</f>
        <v>0</v>
      </c>
      <c r="CZ44" s="17">
        <f>IF(CZ$4=Supuestos!$I$38,Supuestos!$C$38,0)</f>
        <v>0</v>
      </c>
      <c r="DA44" s="17">
        <f>IF(DA$4=Supuestos!$I$38,Supuestos!$C$38,0)</f>
        <v>0</v>
      </c>
      <c r="DB44" s="17">
        <f>IF(DB$4=Supuestos!$I$38,Supuestos!$C$38,0)</f>
        <v>0</v>
      </c>
      <c r="DC44" s="17">
        <f>IF(DC$4=Supuestos!$I$38,Supuestos!$C$38,0)</f>
        <v>0</v>
      </c>
      <c r="DD44" s="17">
        <f>IF(DD$4=Supuestos!$I$38,Supuestos!$C$38,0)</f>
        <v>0</v>
      </c>
      <c r="DE44" s="17">
        <f>IF(DE$4=Supuestos!$I$38,Supuestos!$C$38,0)</f>
        <v>0</v>
      </c>
      <c r="DF44" s="17">
        <f>IF(DF$4=Supuestos!$I$38,Supuestos!$C$38,0)</f>
        <v>0</v>
      </c>
      <c r="DG44" s="32">
        <f>SUM(C44:DF44)</f>
        <v>1440000</v>
      </c>
    </row>
    <row r="45" spans="1:111" ht="13.8" x14ac:dyDescent="0.3">
      <c r="A45" s="16" t="s">
        <v>318</v>
      </c>
      <c r="C45" s="152">
        <f>IF(AND(C$4&gt;=Supuestos!$H$38,C$4&lt;EDATE(Supuestos!$H$38,Supuestos!$E$38)),1,0)</f>
        <v>0</v>
      </c>
      <c r="D45" s="152">
        <f>IF(AND(D$4&gt;=Supuestos!$H$38,D$4&lt;EDATE(Supuestos!$H$38,Supuestos!$E$38)),C45+1,0)</f>
        <v>0</v>
      </c>
      <c r="E45" s="152">
        <f>IF(AND(E$4&gt;=Supuestos!$H$38,E$4&lt;EDATE(Supuestos!$H$38,Supuestos!$E$38)),D45+1,0)</f>
        <v>0</v>
      </c>
      <c r="F45" s="152">
        <f>IF(AND(F$4&gt;=Supuestos!$H$38,F$4&lt;EDATE(Supuestos!$H$38,Supuestos!$E$38)),E45+1,0)</f>
        <v>0</v>
      </c>
      <c r="G45" s="152">
        <f>IF(AND(G$4&gt;=Supuestos!$H$38,G$4&lt;EDATE(Supuestos!$H$38,Supuestos!$E$38)),F45+1,0)</f>
        <v>0</v>
      </c>
      <c r="H45" s="152">
        <f>IF(AND(H$4&gt;=Supuestos!$H$38,H$4&lt;EDATE(Supuestos!$H$38,Supuestos!$E$38)),G45+1,0)</f>
        <v>0</v>
      </c>
      <c r="I45" s="152">
        <f>IF(AND(I$4&gt;=Supuestos!$H$38,I$4&lt;EDATE(Supuestos!$H$38,Supuestos!$E$38)),H45+1,0)</f>
        <v>0</v>
      </c>
      <c r="J45" s="152">
        <f>IF(AND(J$4&gt;=Supuestos!$H$38,J$4&lt;EDATE(Supuestos!$H$38,Supuestos!$E$38)),I45+1,0)</f>
        <v>0</v>
      </c>
      <c r="K45" s="152">
        <f>IF(AND(K$4&gt;=Supuestos!$H$38,K$4&lt;EDATE(Supuestos!$H$38,Supuestos!$E$38)),J45+1,0)</f>
        <v>0</v>
      </c>
      <c r="L45" s="152">
        <f>IF(AND(L$4&gt;=Supuestos!$H$38,L$4&lt;EDATE(Supuestos!$H$38,Supuestos!$E$38)),K45+1,0)</f>
        <v>0</v>
      </c>
      <c r="M45" s="152">
        <f>IF(AND(M$4&gt;=Supuestos!$H$38,M$4&lt;EDATE(Supuestos!$H$38,Supuestos!$E$38)),L45+1,0)</f>
        <v>0</v>
      </c>
      <c r="N45" s="152">
        <f>IF(AND(N$4&gt;=Supuestos!$H$38,N$4&lt;EDATE(Supuestos!$H$38,Supuestos!$E$38)),M45+1,0)</f>
        <v>0</v>
      </c>
      <c r="O45" s="152">
        <f>IF(AND(O$4&gt;=Supuestos!$H$38,O$4&lt;EDATE(Supuestos!$H$38,Supuestos!$E$38)),N45+1,0)</f>
        <v>1</v>
      </c>
      <c r="P45" s="152">
        <f>IF(AND(P$4&gt;=Supuestos!$H$38,P$4&lt;EDATE(Supuestos!$H$38,Supuestos!$E$38)),O45+1,0)</f>
        <v>2</v>
      </c>
      <c r="Q45" s="152">
        <f>IF(AND(Q$4&gt;=Supuestos!$H$38,Q$4&lt;EDATE(Supuestos!$H$38,Supuestos!$E$38)),P45+1,0)</f>
        <v>3</v>
      </c>
      <c r="R45" s="152">
        <f>IF(AND(R$4&gt;=Supuestos!$H$38,R$4&lt;EDATE(Supuestos!$H$38,Supuestos!$E$38)),Q45+1,0)</f>
        <v>4</v>
      </c>
      <c r="S45" s="152">
        <f>IF(AND(S$4&gt;=Supuestos!$H$38,S$4&lt;EDATE(Supuestos!$H$38,Supuestos!$E$38)),R45+1,0)</f>
        <v>5</v>
      </c>
      <c r="T45" s="152">
        <f>IF(AND(T$4&gt;=Supuestos!$H$38,T$4&lt;EDATE(Supuestos!$H$38,Supuestos!$E$38)),S45+1,0)</f>
        <v>6</v>
      </c>
      <c r="U45" s="152">
        <f>IF(AND(U$4&gt;=Supuestos!$H$38,U$4&lt;EDATE(Supuestos!$H$38,Supuestos!$E$38)),T45+1,0)</f>
        <v>7</v>
      </c>
      <c r="V45" s="152">
        <f>IF(AND(V$4&gt;=Supuestos!$H$38,V$4&lt;EDATE(Supuestos!$H$38,Supuestos!$E$38)),U45+1,0)</f>
        <v>8</v>
      </c>
      <c r="W45" s="152">
        <f>IF(AND(W$4&gt;=Supuestos!$H$38,W$4&lt;EDATE(Supuestos!$H$38,Supuestos!$E$38)),V45+1,0)</f>
        <v>9</v>
      </c>
      <c r="X45" s="152">
        <f>IF(AND(X$4&gt;=Supuestos!$H$38,X$4&lt;EDATE(Supuestos!$H$38,Supuestos!$E$38)),W45+1,0)</f>
        <v>10</v>
      </c>
      <c r="Y45" s="152">
        <f>IF(AND(Y$4&gt;=Supuestos!$H$38,Y$4&lt;EDATE(Supuestos!$H$38,Supuestos!$E$38)),X45+1,0)</f>
        <v>11</v>
      </c>
      <c r="Z45" s="152">
        <f>IF(AND(Z$4&gt;=Supuestos!$H$38,Z$4&lt;EDATE(Supuestos!$H$38,Supuestos!$E$38)),Y45+1,0)</f>
        <v>12</v>
      </c>
      <c r="AA45" s="152">
        <f>IF(AND(AA$4&gt;=Supuestos!$H$38,AA$4&lt;EDATE(Supuestos!$H$38,Supuestos!$E$38)),Z45+1,0)</f>
        <v>13</v>
      </c>
      <c r="AB45" s="152">
        <f>IF(AND(AB$4&gt;=Supuestos!$H$38,AB$4&lt;EDATE(Supuestos!$H$38,Supuestos!$E$38)),AA45+1,0)</f>
        <v>14</v>
      </c>
      <c r="AC45" s="152">
        <f>IF(AND(AC$4&gt;=Supuestos!$H$38,AC$4&lt;EDATE(Supuestos!$H$38,Supuestos!$E$38)),AB45+1,0)</f>
        <v>15</v>
      </c>
      <c r="AD45" s="152">
        <f>IF(AND(AD$4&gt;=Supuestos!$H$38,AD$4&lt;EDATE(Supuestos!$H$38,Supuestos!$E$38)),AC45+1,0)</f>
        <v>16</v>
      </c>
      <c r="AE45" s="152">
        <f>IF(AND(AE$4&gt;=Supuestos!$H$38,AE$4&lt;EDATE(Supuestos!$H$38,Supuestos!$E$38)),AD45+1,0)</f>
        <v>17</v>
      </c>
      <c r="AF45" s="152">
        <f>IF(AND(AF$4&gt;=Supuestos!$H$38,AF$4&lt;EDATE(Supuestos!$H$38,Supuestos!$E$38)),AE45+1,0)</f>
        <v>18</v>
      </c>
      <c r="AG45" s="152">
        <f>IF(AND(AG$4&gt;=Supuestos!$H$38,AG$4&lt;EDATE(Supuestos!$H$38,Supuestos!$E$38)),AF45+1,0)</f>
        <v>19</v>
      </c>
      <c r="AH45" s="152">
        <f>IF(AND(AH$4&gt;=Supuestos!$H$38,AH$4&lt;EDATE(Supuestos!$H$38,Supuestos!$E$38)),AG45+1,0)</f>
        <v>20</v>
      </c>
      <c r="AI45" s="152">
        <f>IF(AND(AI$4&gt;=Supuestos!$H$38,AI$4&lt;EDATE(Supuestos!$H$38,Supuestos!$E$38)),AH45+1,0)</f>
        <v>21</v>
      </c>
      <c r="AJ45" s="152">
        <f>IF(AND(AJ$4&gt;=Supuestos!$H$38,AJ$4&lt;EDATE(Supuestos!$H$38,Supuestos!$E$38)),AI45+1,0)</f>
        <v>22</v>
      </c>
      <c r="AK45" s="152">
        <f>IF(AND(AK$4&gt;=Supuestos!$H$38,AK$4&lt;EDATE(Supuestos!$H$38,Supuestos!$E$38)),AJ45+1,0)</f>
        <v>23</v>
      </c>
      <c r="AL45" s="152">
        <f>IF(AND(AL$4&gt;=Supuestos!$H$38,AL$4&lt;EDATE(Supuestos!$H$38,Supuestos!$E$38)),AK45+1,0)</f>
        <v>24</v>
      </c>
      <c r="AM45" s="152">
        <f>IF(AND(AM$4&gt;=Supuestos!$H$38,AM$4&lt;EDATE(Supuestos!$H$38,Supuestos!$E$38)),AL45+1,0)</f>
        <v>25</v>
      </c>
      <c r="AN45" s="152">
        <f>IF(AND(AN$4&gt;=Supuestos!$H$38,AN$4&lt;EDATE(Supuestos!$H$38,Supuestos!$E$38)),AM45+1,0)</f>
        <v>26</v>
      </c>
      <c r="AO45" s="152">
        <f>IF(AND(AO$4&gt;=Supuestos!$H$38,AO$4&lt;EDATE(Supuestos!$H$38,Supuestos!$E$38)),AN45+1,0)</f>
        <v>27</v>
      </c>
      <c r="AP45" s="152">
        <f>IF(AND(AP$4&gt;=Supuestos!$H$38,AP$4&lt;EDATE(Supuestos!$H$38,Supuestos!$E$38)),AO45+1,0)</f>
        <v>28</v>
      </c>
      <c r="AQ45" s="152">
        <f>IF(AND(AQ$4&gt;=Supuestos!$H$38,AQ$4&lt;EDATE(Supuestos!$H$38,Supuestos!$E$38)),AP45+1,0)</f>
        <v>29</v>
      </c>
      <c r="AR45" s="152">
        <f>IF(AND(AR$4&gt;=Supuestos!$H$38,AR$4&lt;EDATE(Supuestos!$H$38,Supuestos!$E$38)),AQ45+1,0)</f>
        <v>30</v>
      </c>
      <c r="AS45" s="152">
        <f>IF(AND(AS$4&gt;=Supuestos!$H$38,AS$4&lt;EDATE(Supuestos!$H$38,Supuestos!$E$38)),AR45+1,0)</f>
        <v>31</v>
      </c>
      <c r="AT45" s="152">
        <f>IF(AND(AT$4&gt;=Supuestos!$H$38,AT$4&lt;EDATE(Supuestos!$H$38,Supuestos!$E$38)),AS45+1,0)</f>
        <v>32</v>
      </c>
      <c r="AU45" s="152">
        <f>IF(AND(AU$4&gt;=Supuestos!$H$38,AU$4&lt;EDATE(Supuestos!$H$38,Supuestos!$E$38)),AT45+1,0)</f>
        <v>33</v>
      </c>
      <c r="AV45" s="152">
        <f>IF(AND(AV$4&gt;=Supuestos!$H$38,AV$4&lt;EDATE(Supuestos!$H$38,Supuestos!$E$38)),AU45+1,0)</f>
        <v>34</v>
      </c>
      <c r="AW45" s="152">
        <f>IF(AND(AW$4&gt;=Supuestos!$H$38,AW$4&lt;EDATE(Supuestos!$H$38,Supuestos!$E$38)),AV45+1,0)</f>
        <v>35</v>
      </c>
      <c r="AX45" s="152">
        <f>IF(AND(AX$4&gt;=Supuestos!$H$38,AX$4&lt;EDATE(Supuestos!$H$38,Supuestos!$E$38)),AW45+1,0)</f>
        <v>36</v>
      </c>
      <c r="AY45" s="152">
        <f>IF(AND(AY$4&gt;=Supuestos!$H$38,AY$4&lt;EDATE(Supuestos!$H$38,Supuestos!$E$38)),AX45+1,0)</f>
        <v>0</v>
      </c>
      <c r="AZ45" s="152">
        <f>IF(AND(AZ$4&gt;=Supuestos!$H$38,AZ$4&lt;EDATE(Supuestos!$H$38,Supuestos!$E$38)),AY45+1,0)</f>
        <v>0</v>
      </c>
      <c r="BA45" s="152">
        <f>IF(AND(BA$4&gt;=Supuestos!$H$38,BA$4&lt;EDATE(Supuestos!$H$38,Supuestos!$E$38)),AZ45+1,0)</f>
        <v>0</v>
      </c>
      <c r="BB45" s="152">
        <f>IF(AND(BB$4&gt;=Supuestos!$H$38,BB$4&lt;EDATE(Supuestos!$H$38,Supuestos!$E$38)),BA45+1,0)</f>
        <v>0</v>
      </c>
      <c r="BC45" s="152">
        <f>IF(AND(BC$4&gt;=Supuestos!$H$38,BC$4&lt;EDATE(Supuestos!$H$38,Supuestos!$E$38)),BB45+1,0)</f>
        <v>0</v>
      </c>
      <c r="BD45" s="152">
        <f>IF(AND(BD$4&gt;=Supuestos!$H$38,BD$4&lt;EDATE(Supuestos!$H$38,Supuestos!$E$38)),BC45+1,0)</f>
        <v>0</v>
      </c>
      <c r="BE45" s="152">
        <f>IF(AND(BE$4&gt;=Supuestos!$H$38,BE$4&lt;EDATE(Supuestos!$H$38,Supuestos!$E$38)),BD45+1,0)</f>
        <v>0</v>
      </c>
      <c r="BF45" s="152">
        <f>IF(AND(BF$4&gt;=Supuestos!$H$38,BF$4&lt;EDATE(Supuestos!$H$38,Supuestos!$E$38)),BE45+1,0)</f>
        <v>0</v>
      </c>
      <c r="BG45" s="152">
        <f>IF(AND(BG$4&gt;=Supuestos!$H$38,BG$4&lt;EDATE(Supuestos!$H$38,Supuestos!$E$38)),BF45+1,0)</f>
        <v>0</v>
      </c>
      <c r="BH45" s="152">
        <f>IF(AND(BH$4&gt;=Supuestos!$H$38,BH$4&lt;EDATE(Supuestos!$H$38,Supuestos!$E$38)),BG45+1,0)</f>
        <v>0</v>
      </c>
      <c r="BI45" s="152">
        <f>IF(AND(BI$4&gt;=Supuestos!$H$38,BI$4&lt;EDATE(Supuestos!$H$38,Supuestos!$E$38)),BH45+1,0)</f>
        <v>0</v>
      </c>
      <c r="BJ45" s="152">
        <f>IF(AND(BJ$4&gt;=Supuestos!$H$38,BJ$4&lt;EDATE(Supuestos!$H$38,Supuestos!$E$38)),BI45+1,0)</f>
        <v>0</v>
      </c>
      <c r="BK45" s="152">
        <f>IF(AND(BK$4&gt;=Supuestos!$H$38,BK$4&lt;EDATE(Supuestos!$H$38,Supuestos!$E$38)),BJ45+1,0)</f>
        <v>0</v>
      </c>
      <c r="BL45" s="152">
        <f>IF(AND(BL$4&gt;=Supuestos!$H$38,BL$4&lt;EDATE(Supuestos!$H$38,Supuestos!$E$38)),BK45+1,0)</f>
        <v>0</v>
      </c>
      <c r="BM45" s="152">
        <f>IF(AND(BM$4&gt;=Supuestos!$H$38,BM$4&lt;EDATE(Supuestos!$H$38,Supuestos!$E$38)),BL45+1,0)</f>
        <v>0</v>
      </c>
      <c r="BN45" s="152">
        <f>IF(AND(BN$4&gt;=Supuestos!$H$38,BN$4&lt;EDATE(Supuestos!$H$38,Supuestos!$E$38)),BM45+1,0)</f>
        <v>0</v>
      </c>
      <c r="BO45" s="152">
        <f>IF(AND(BO$4&gt;=Supuestos!$H$38,BO$4&lt;EDATE(Supuestos!$H$38,Supuestos!$E$38)),BN45+1,0)</f>
        <v>0</v>
      </c>
      <c r="BP45" s="152">
        <f>IF(AND(BP$4&gt;=Supuestos!$H$38,BP$4&lt;EDATE(Supuestos!$H$38,Supuestos!$E$38)),BO45+1,0)</f>
        <v>0</v>
      </c>
      <c r="BQ45" s="152">
        <f>IF(AND(BQ$4&gt;=Supuestos!$H$38,BQ$4&lt;EDATE(Supuestos!$H$38,Supuestos!$E$38)),BP45+1,0)</f>
        <v>0</v>
      </c>
      <c r="BR45" s="152">
        <f>IF(AND(BR$4&gt;=Supuestos!$H$38,BR$4&lt;EDATE(Supuestos!$H$38,Supuestos!$E$38)),BQ45+1,0)</f>
        <v>0</v>
      </c>
      <c r="BS45" s="152">
        <f>IF(AND(BS$4&gt;=Supuestos!$H$38,BS$4&lt;EDATE(Supuestos!$H$38,Supuestos!$E$38)),BR45+1,0)</f>
        <v>0</v>
      </c>
      <c r="BT45" s="152">
        <f>IF(AND(BT$4&gt;=Supuestos!$H$38,BT$4&lt;EDATE(Supuestos!$H$38,Supuestos!$E$38)),BS45+1,0)</f>
        <v>0</v>
      </c>
      <c r="BU45" s="152">
        <f>IF(AND(BU$4&gt;=Supuestos!$H$38,BU$4&lt;EDATE(Supuestos!$H$38,Supuestos!$E$38)),BT45+1,0)</f>
        <v>0</v>
      </c>
      <c r="BV45" s="152">
        <f>IF(AND(BV$4&gt;=Supuestos!$H$38,BV$4&lt;EDATE(Supuestos!$H$38,Supuestos!$E$38)),BU45+1,0)</f>
        <v>0</v>
      </c>
      <c r="BW45" s="152">
        <f>IF(AND(BW$4&gt;=Supuestos!$H$38,BW$4&lt;EDATE(Supuestos!$H$38,Supuestos!$E$38)),BV45+1,0)</f>
        <v>0</v>
      </c>
      <c r="BX45" s="152">
        <f>IF(AND(BX$4&gt;=Supuestos!$H$38,BX$4&lt;EDATE(Supuestos!$H$38,Supuestos!$E$38)),BW45+1,0)</f>
        <v>0</v>
      </c>
      <c r="BY45" s="152">
        <f>IF(AND(BY$4&gt;=Supuestos!$H$38,BY$4&lt;EDATE(Supuestos!$H$38,Supuestos!$E$38)),BX45+1,0)</f>
        <v>0</v>
      </c>
      <c r="BZ45" s="152">
        <f>IF(AND(BZ$4&gt;=Supuestos!$H$38,BZ$4&lt;EDATE(Supuestos!$H$38,Supuestos!$E$38)),BY45+1,0)</f>
        <v>0</v>
      </c>
      <c r="CA45" s="152">
        <f>IF(AND(CA$4&gt;=Supuestos!$H$38,CA$4&lt;EDATE(Supuestos!$H$38,Supuestos!$E$38)),BZ45+1,0)</f>
        <v>0</v>
      </c>
      <c r="CB45" s="152">
        <f>IF(AND(CB$4&gt;=Supuestos!$H$38,CB$4&lt;EDATE(Supuestos!$H$38,Supuestos!$E$38)),CA45+1,0)</f>
        <v>0</v>
      </c>
      <c r="CC45" s="152">
        <f>IF(AND(CC$4&gt;=Supuestos!$H$38,CC$4&lt;EDATE(Supuestos!$H$38,Supuestos!$E$38)),CB45+1,0)</f>
        <v>0</v>
      </c>
      <c r="CD45" s="152">
        <f>IF(AND(CD$4&gt;=Supuestos!$H$38,CD$4&lt;EDATE(Supuestos!$H$38,Supuestos!$E$38)),CC45+1,0)</f>
        <v>0</v>
      </c>
      <c r="CE45" s="152">
        <f>IF(AND(CE$4&gt;=Supuestos!$H$38,CE$4&lt;EDATE(Supuestos!$H$38,Supuestos!$E$38)),CD45+1,0)</f>
        <v>0</v>
      </c>
      <c r="CF45" s="152">
        <f>IF(AND(CF$4&gt;=Supuestos!$H$38,CF$4&lt;EDATE(Supuestos!$H$38,Supuestos!$E$38)),CE45+1,0)</f>
        <v>0</v>
      </c>
      <c r="CG45" s="152">
        <f>IF(AND(CG$4&gt;=Supuestos!$H$38,CG$4&lt;EDATE(Supuestos!$H$38,Supuestos!$E$38)),CF45+1,0)</f>
        <v>0</v>
      </c>
      <c r="CH45" s="152">
        <f>IF(AND(CH$4&gt;=Supuestos!$H$38,CH$4&lt;EDATE(Supuestos!$H$38,Supuestos!$E$38)),CG45+1,0)</f>
        <v>0</v>
      </c>
      <c r="CI45" s="152">
        <f>IF(AND(CI$4&gt;=Supuestos!$H$38,CI$4&lt;EDATE(Supuestos!$H$38,Supuestos!$E$38)),CH45+1,0)</f>
        <v>0</v>
      </c>
      <c r="CJ45" s="152">
        <f>IF(AND(CJ$4&gt;=Supuestos!$H$38,CJ$4&lt;EDATE(Supuestos!$H$38,Supuestos!$E$38)),CI45+1,0)</f>
        <v>0</v>
      </c>
      <c r="CK45" s="152">
        <f>IF(AND(CK$4&gt;=Supuestos!$H$38,CK$4&lt;EDATE(Supuestos!$H$38,Supuestos!$E$38)),CJ45+1,0)</f>
        <v>0</v>
      </c>
      <c r="CL45" s="152">
        <f>IF(AND(CL$4&gt;=Supuestos!$H$38,CL$4&lt;EDATE(Supuestos!$H$38,Supuestos!$E$38)),CK45+1,0)</f>
        <v>0</v>
      </c>
      <c r="CM45" s="152">
        <f>IF(AND(CM$4&gt;=Supuestos!$H$38,CM$4&lt;EDATE(Supuestos!$H$38,Supuestos!$E$38)),CL45+1,0)</f>
        <v>0</v>
      </c>
      <c r="CN45" s="152">
        <f>IF(AND(CN$4&gt;=Supuestos!$H$38,CN$4&lt;EDATE(Supuestos!$H$38,Supuestos!$E$38)),CM45+1,0)</f>
        <v>0</v>
      </c>
      <c r="CO45" s="152">
        <f>IF(AND(CO$4&gt;=Supuestos!$H$38,CO$4&lt;EDATE(Supuestos!$H$38,Supuestos!$E$38)),CN45+1,0)</f>
        <v>0</v>
      </c>
      <c r="CP45" s="152">
        <f>IF(AND(CP$4&gt;=Supuestos!$H$38,CP$4&lt;EDATE(Supuestos!$H$38,Supuestos!$E$38)),CO45+1,0)</f>
        <v>0</v>
      </c>
      <c r="CQ45" s="152">
        <f>IF(AND(CQ$4&gt;=Supuestos!$H$38,CQ$4&lt;EDATE(Supuestos!$H$38,Supuestos!$E$38)),CP45+1,0)</f>
        <v>0</v>
      </c>
      <c r="CR45" s="152">
        <f>IF(AND(CR$4&gt;=Supuestos!$H$38,CR$4&lt;EDATE(Supuestos!$H$38,Supuestos!$E$38)),CQ45+1,0)</f>
        <v>0</v>
      </c>
      <c r="CS45" s="152">
        <f>IF(AND(CS$4&gt;=Supuestos!$H$38,CS$4&lt;EDATE(Supuestos!$H$38,Supuestos!$E$38)),CR45+1,0)</f>
        <v>0</v>
      </c>
      <c r="CT45" s="152">
        <f>IF(AND(CT$4&gt;=Supuestos!$H$38,CT$4&lt;EDATE(Supuestos!$H$38,Supuestos!$E$38)),CS45+1,0)</f>
        <v>0</v>
      </c>
      <c r="CU45" s="152">
        <f>IF(AND(CU$4&gt;=Supuestos!$H$38,CU$4&lt;EDATE(Supuestos!$H$38,Supuestos!$E$38)),CT45+1,0)</f>
        <v>0</v>
      </c>
      <c r="CV45" s="152">
        <f>IF(AND(CV$4&gt;=Supuestos!$H$38,CV$4&lt;EDATE(Supuestos!$H$38,Supuestos!$E$38)),CU45+1,0)</f>
        <v>0</v>
      </c>
      <c r="CW45" s="152">
        <f>IF(AND(CW$4&gt;=Supuestos!$H$38,CW$4&lt;EDATE(Supuestos!$H$38,Supuestos!$E$38)),CV45+1,0)</f>
        <v>0</v>
      </c>
      <c r="CX45" s="152">
        <f>IF(AND(CX$4&gt;=Supuestos!$H$38,CX$4&lt;EDATE(Supuestos!$H$38,Supuestos!$E$38)),CW45+1,0)</f>
        <v>0</v>
      </c>
      <c r="CY45" s="152">
        <f>IF(AND(CY$4&gt;=Supuestos!$H$38,CY$4&lt;EDATE(Supuestos!$H$38,Supuestos!$E$38)),CX45+1,0)</f>
        <v>0</v>
      </c>
      <c r="CZ45" s="152">
        <f>IF(AND(CZ$4&gt;=Supuestos!$H$38,CZ$4&lt;EDATE(Supuestos!$H$38,Supuestos!$E$38)),CY45+1,0)</f>
        <v>0</v>
      </c>
      <c r="DA45" s="152">
        <f>IF(AND(DA$4&gt;=Supuestos!$H$38,DA$4&lt;EDATE(Supuestos!$H$38,Supuestos!$E$38)),CZ45+1,0)</f>
        <v>0</v>
      </c>
      <c r="DB45" s="152">
        <f>IF(AND(DB$4&gt;=Supuestos!$H$38,DB$4&lt;EDATE(Supuestos!$H$38,Supuestos!$E$38)),DA45+1,0)</f>
        <v>0</v>
      </c>
      <c r="DC45" s="152">
        <f>IF(AND(DC$4&gt;=Supuestos!$H$38,DC$4&lt;EDATE(Supuestos!$H$38,Supuestos!$E$38)),DB45+1,0)</f>
        <v>0</v>
      </c>
      <c r="DD45" s="152">
        <f>IF(AND(DD$4&gt;=Supuestos!$H$38,DD$4&lt;EDATE(Supuestos!$H$38,Supuestos!$E$38)),DC45+1,0)</f>
        <v>0</v>
      </c>
      <c r="DE45" s="152">
        <f>IF(AND(DE$4&gt;=Supuestos!$H$38,DE$4&lt;EDATE(Supuestos!$H$38,Supuestos!$E$38)),DD45+1,0)</f>
        <v>0</v>
      </c>
      <c r="DF45" s="152">
        <f>IF(AND(DF$4&gt;=Supuestos!$H$38,DF$4&lt;EDATE(Supuestos!$H$38,Supuestos!$E$38)),DE45+1,0)</f>
        <v>0</v>
      </c>
    </row>
    <row r="46" spans="1:111" ht="13.8" x14ac:dyDescent="0.3">
      <c r="A46" s="16" t="s">
        <v>319</v>
      </c>
      <c r="C46" s="17">
        <f>IF(C45=1,Supuestos!$C$38,0)</f>
        <v>0</v>
      </c>
      <c r="D46" s="17">
        <f>IF(D45=1,Supuestos!$C$38,IF(D45=0,0,C50))</f>
        <v>0</v>
      </c>
      <c r="E46" s="17">
        <f>IF(E45=1,Supuestos!$C$38,IF(E45=0,0,D50))</f>
        <v>0</v>
      </c>
      <c r="F46" s="17">
        <f>IF(F45=1,Supuestos!$C$38,IF(F45=0,0,E50))</f>
        <v>0</v>
      </c>
      <c r="G46" s="17">
        <f>IF(G45=1,Supuestos!$C$38,IF(G45=0,0,F50))</f>
        <v>0</v>
      </c>
      <c r="H46" s="17">
        <f>IF(H45=1,Supuestos!$C$38,IF(H45=0,0,G50))</f>
        <v>0</v>
      </c>
      <c r="I46" s="17">
        <f>IF(I45=1,Supuestos!$C$38,IF(I45=0,0,H50))</f>
        <v>0</v>
      </c>
      <c r="J46" s="17">
        <f>IF(J45=1,Supuestos!$C$38,IF(J45=0,0,I50))</f>
        <v>0</v>
      </c>
      <c r="K46" s="17">
        <f>IF(K45=1,Supuestos!$C$38,IF(K45=0,0,J50))</f>
        <v>0</v>
      </c>
      <c r="L46" s="17">
        <f>IF(L45=1,Supuestos!$C$38,IF(L45=0,0,K50))</f>
        <v>0</v>
      </c>
      <c r="M46" s="17">
        <f>IF(M45=1,Supuestos!$C$38,IF(M45=0,0,L50))</f>
        <v>0</v>
      </c>
      <c r="N46" s="17">
        <f>IF(N45=1,Supuestos!$C$38,IF(N45=0,0,M50))</f>
        <v>0</v>
      </c>
      <c r="O46" s="17">
        <f>IF(O45=1,Supuestos!$C$38,IF(O45=0,0,N50))</f>
        <v>1440000</v>
      </c>
      <c r="P46" s="17">
        <f>IF(P45=1,Supuestos!$C$38,IF(P45=0,0,O50))</f>
        <v>1403820.3838472487</v>
      </c>
      <c r="Q46" s="17">
        <f>IF(Q45=1,Supuestos!$C$38,IF(Q45=0,0,P50))</f>
        <v>1367436.2028847092</v>
      </c>
      <c r="R46" s="17">
        <f>IF(R45=1,Supuestos!$C$38,IF(R45=0,0,Q50))</f>
        <v>1330846.300473206</v>
      </c>
      <c r="S46" s="17">
        <f>IF(S45=1,Supuestos!$C$38,IF(S45=0,0,R50))</f>
        <v>1294049.513433757</v>
      </c>
      <c r="T46" s="17">
        <f>IF(T45=1,Supuestos!$C$38,IF(T45=0,0,S50))</f>
        <v>1257044.6720105978</v>
      </c>
      <c r="U46" s="17">
        <f>IF(U45=1,Supuestos!$C$38,IF(U45=0,0,T50))</f>
        <v>1219830.5998339939</v>
      </c>
      <c r="V46" s="17">
        <f>IF(V45=1,Supuestos!$C$38,IF(V45=0,0,U50))</f>
        <v>1182406.1138828462</v>
      </c>
      <c r="W46" s="17">
        <f>IF(W45=1,Supuestos!$C$38,IF(W45=0,0,V50))</f>
        <v>1144770.0244470818</v>
      </c>
      <c r="X46" s="17">
        <f>IF(X45=1,Supuestos!$C$38,IF(X45=0,0,W50))</f>
        <v>1106921.1350898342</v>
      </c>
      <c r="Y46" s="17">
        <f>IF(Y45=1,Supuestos!$C$38,IF(Y45=0,0,X50))</f>
        <v>1068858.2426094089</v>
      </c>
      <c r="Z46" s="17">
        <f>IF(Z45=1,Supuestos!$C$38,IF(Z45=0,0,Y50))</f>
        <v>1030580.1370010342</v>
      </c>
      <c r="AA46" s="17">
        <f>IF(AA45=1,Supuestos!$C$38,IF(AA45=0,0,Z50))</f>
        <v>992085.60141839529</v>
      </c>
      <c r="AB46" s="17">
        <f>IF(AB45=1,Supuestos!$C$38,IF(AB45=0,0,AA50))</f>
        <v>953373.41213495145</v>
      </c>
      <c r="AC46" s="17">
        <f>IF(AC45=1,Supuestos!$C$38,IF(AC45=0,0,AB50))</f>
        <v>914442.33850503433</v>
      </c>
      <c r="AD46" s="17">
        <f>IF(AD45=1,Supuestos!$C$38,IF(AD45=0,0,AC50))</f>
        <v>875291.14292472578</v>
      </c>
      <c r="AE46" s="17">
        <f>IF(AE45=1,Supuestos!$C$38,IF(AE45=0,0,AD50))</f>
        <v>835918.58079251542</v>
      </c>
      <c r="AF46" s="17">
        <f>IF(AF45=1,Supuestos!$C$38,IF(AF45=0,0,AE50))</f>
        <v>796323.40046973492</v>
      </c>
      <c r="AG46" s="17">
        <f>IF(AG45=1,Supuestos!$C$38,IF(AG45=0,0,AF50))</f>
        <v>756504.34324076888</v>
      </c>
      <c r="AH46" s="17">
        <f>IF(AH45=1,Supuestos!$C$38,IF(AH45=0,0,AG50))</f>
        <v>716460.14327304089</v>
      </c>
      <c r="AI46" s="17">
        <f>IF(AI45=1,Supuestos!$C$38,IF(AI45=0,0,AH50))</f>
        <v>676189.52757677308</v>
      </c>
      <c r="AJ46" s="17">
        <f>IF(AJ45=1,Supuestos!$C$38,IF(AJ45=0,0,AI50))</f>
        <v>635691.21596451825</v>
      </c>
      <c r="AK46" s="17">
        <f>IF(AK45=1,Supuestos!$C$38,IF(AK45=0,0,AJ50))</f>
        <v>594963.92101046327</v>
      </c>
      <c r="AL46" s="17">
        <f>IF(AL45=1,Supuestos!$C$38,IF(AL45=0,0,AK50))</f>
        <v>554006.34800950228</v>
      </c>
      <c r="AM46" s="17">
        <f>IF(AM45=1,Supuestos!$C$38,IF(AM45=0,0,AL50))</f>
        <v>512817.19493607862</v>
      </c>
      <c r="AN46" s="17">
        <f>IF(AN45=1,Supuestos!$C$38,IF(AN45=0,0,AM50))</f>
        <v>471395.15240279376</v>
      </c>
      <c r="AO46" s="17">
        <f>IF(AO45=1,Supuestos!$C$38,IF(AO45=0,0,AN50))</f>
        <v>429738.90361878241</v>
      </c>
      <c r="AP46" s="17">
        <f>IF(AP45=1,Supuestos!$C$38,IF(AP45=0,0,AO50))</f>
        <v>387847.12434785231</v>
      </c>
      <c r="AQ46" s="17">
        <f>IF(AQ45=1,Supuestos!$C$38,IF(AQ45=0,0,AP50))</f>
        <v>345718.48286638729</v>
      </c>
      <c r="AR46" s="17">
        <f>IF(AR45=1,Supuestos!$C$38,IF(AR45=0,0,AQ50))</f>
        <v>303351.63992101222</v>
      </c>
      <c r="AS46" s="17">
        <f>IF(AS45=1,Supuestos!$C$38,IF(AS45=0,0,AR50))</f>
        <v>260745.2486860186</v>
      </c>
      <c r="AT46" s="17">
        <f>IF(AT45=1,Supuestos!$C$38,IF(AT45=0,0,AS50))</f>
        <v>217897.95472054966</v>
      </c>
      <c r="AU46" s="17">
        <f>IF(AU45=1,Supuestos!$C$38,IF(AU45=0,0,AT50))</f>
        <v>174808.39592554307</v>
      </c>
      <c r="AV46" s="17">
        <f>IF(AV45=1,Supuestos!$C$38,IF(AV45=0,0,AU50))</f>
        <v>131475.20250043034</v>
      </c>
      <c r="AW46" s="17">
        <f>IF(AW45=1,Supuestos!$C$38,IF(AW45=0,0,AV50))</f>
        <v>87896.996899591497</v>
      </c>
      <c r="AX46" s="17">
        <f>IF(AX45=1,Supuestos!$C$38,IF(AX45=0,0,AW50))</f>
        <v>44072.393788563269</v>
      </c>
      <c r="AY46" s="17">
        <f>IF(AY45=1,Supuestos!$C$38,IF(AY45=0,0,AX50))</f>
        <v>0</v>
      </c>
      <c r="AZ46" s="17">
        <f>IF(AZ45=1,Supuestos!$C$38,IF(AZ45=0,0,AY50))</f>
        <v>0</v>
      </c>
      <c r="BA46" s="17">
        <f>IF(BA45=1,Supuestos!$C$38,IF(BA45=0,0,AZ50))</f>
        <v>0</v>
      </c>
      <c r="BB46" s="17">
        <f>IF(BB45=1,Supuestos!$C$38,IF(BB45=0,0,BA50))</f>
        <v>0</v>
      </c>
      <c r="BC46" s="17">
        <f>IF(BC45=1,Supuestos!$C$38,IF(BC45=0,0,BB50))</f>
        <v>0</v>
      </c>
      <c r="BD46" s="17">
        <f>IF(BD45=1,Supuestos!$C$38,IF(BD45=0,0,BC50))</f>
        <v>0</v>
      </c>
      <c r="BE46" s="17">
        <f>IF(BE45=1,Supuestos!$C$38,IF(BE45=0,0,BD50))</f>
        <v>0</v>
      </c>
      <c r="BF46" s="17">
        <f>IF(BF45=1,Supuestos!$C$38,IF(BF45=0,0,BE50))</f>
        <v>0</v>
      </c>
      <c r="BG46" s="17">
        <f>IF(BG45=1,Supuestos!$C$38,IF(BG45=0,0,BF50))</f>
        <v>0</v>
      </c>
      <c r="BH46" s="17">
        <f>IF(BH45=1,Supuestos!$C$38,IF(BH45=0,0,BG50))</f>
        <v>0</v>
      </c>
      <c r="BI46" s="17">
        <f>IF(BI45=1,Supuestos!$C$38,IF(BI45=0,0,BH50))</f>
        <v>0</v>
      </c>
      <c r="BJ46" s="17">
        <f>IF(BJ45=1,Supuestos!$C$38,IF(BJ45=0,0,BI50))</f>
        <v>0</v>
      </c>
      <c r="BK46" s="17">
        <f>IF(BK45=1,Supuestos!$C$38,IF(BK45=0,0,BJ50))</f>
        <v>0</v>
      </c>
      <c r="BL46" s="17">
        <f>IF(BL45=1,Supuestos!$C$38,IF(BL45=0,0,BK50))</f>
        <v>0</v>
      </c>
      <c r="BM46" s="17">
        <f>IF(BM45=1,Supuestos!$C$38,IF(BM45=0,0,BL50))</f>
        <v>0</v>
      </c>
      <c r="BN46" s="17">
        <f>IF(BN45=1,Supuestos!$C$38,IF(BN45=0,0,BM50))</f>
        <v>0</v>
      </c>
      <c r="BO46" s="17">
        <f>IF(BO45=1,Supuestos!$C$38,IF(BO45=0,0,BN50))</f>
        <v>0</v>
      </c>
      <c r="BP46" s="17">
        <f>IF(BP45=1,Supuestos!$C$38,IF(BP45=0,0,BO50))</f>
        <v>0</v>
      </c>
      <c r="BQ46" s="17">
        <f>IF(BQ45=1,Supuestos!$C$38,IF(BQ45=0,0,BP50))</f>
        <v>0</v>
      </c>
      <c r="BR46" s="17">
        <f>IF(BR45=1,Supuestos!$C$38,IF(BR45=0,0,BQ50))</f>
        <v>0</v>
      </c>
      <c r="BS46" s="17">
        <f>IF(BS45=1,Supuestos!$C$38,IF(BS45=0,0,BR50))</f>
        <v>0</v>
      </c>
      <c r="BT46" s="17">
        <f>IF(BT45=1,Supuestos!$C$38,IF(BT45=0,0,BS50))</f>
        <v>0</v>
      </c>
      <c r="BU46" s="17">
        <f>IF(BU45=1,Supuestos!$C$38,IF(BU45=0,0,BT50))</f>
        <v>0</v>
      </c>
      <c r="BV46" s="17">
        <f>IF(BV45=1,Supuestos!$C$38,IF(BV45=0,0,BU50))</f>
        <v>0</v>
      </c>
      <c r="BW46" s="17">
        <f>IF(BW45=1,Supuestos!$C$38,IF(BW45=0,0,BV50))</f>
        <v>0</v>
      </c>
      <c r="BX46" s="17">
        <f>IF(BX45=1,Supuestos!$C$38,IF(BX45=0,0,BW50))</f>
        <v>0</v>
      </c>
      <c r="BY46" s="17">
        <f>IF(BY45=1,Supuestos!$C$38,IF(BY45=0,0,BX50))</f>
        <v>0</v>
      </c>
      <c r="BZ46" s="17">
        <f>IF(BZ45=1,Supuestos!$C$38,IF(BZ45=0,0,BY50))</f>
        <v>0</v>
      </c>
      <c r="CA46" s="17">
        <f>IF(CA45=1,Supuestos!$C$38,IF(CA45=0,0,BZ50))</f>
        <v>0</v>
      </c>
      <c r="CB46" s="17">
        <f>IF(CB45=1,Supuestos!$C$38,IF(CB45=0,0,CA50))</f>
        <v>0</v>
      </c>
      <c r="CC46" s="17">
        <f>IF(CC45=1,Supuestos!$C$38,IF(CC45=0,0,CB50))</f>
        <v>0</v>
      </c>
      <c r="CD46" s="17">
        <f>IF(CD45=1,Supuestos!$C$38,IF(CD45=0,0,CC50))</f>
        <v>0</v>
      </c>
      <c r="CE46" s="17">
        <f>IF(CE45=1,Supuestos!$C$38,IF(CE45=0,0,CD50))</f>
        <v>0</v>
      </c>
      <c r="CF46" s="17">
        <f>IF(CF45=1,Supuestos!$C$38,IF(CF45=0,0,CE50))</f>
        <v>0</v>
      </c>
      <c r="CG46" s="17">
        <f>IF(CG45=1,Supuestos!$C$38,IF(CG45=0,0,CF50))</f>
        <v>0</v>
      </c>
      <c r="CH46" s="17">
        <f>IF(CH45=1,Supuestos!$C$38,IF(CH45=0,0,CG50))</f>
        <v>0</v>
      </c>
      <c r="CI46" s="17">
        <f>IF(CI45=1,Supuestos!$C$38,IF(CI45=0,0,CH50))</f>
        <v>0</v>
      </c>
      <c r="CJ46" s="17">
        <f>IF(CJ45=1,Supuestos!$C$38,IF(CJ45=0,0,CI50))</f>
        <v>0</v>
      </c>
      <c r="CK46" s="17">
        <f>IF(CK45=1,Supuestos!$C$38,IF(CK45=0,0,CJ50))</f>
        <v>0</v>
      </c>
      <c r="CL46" s="17">
        <f>IF(CL45=1,Supuestos!$C$38,IF(CL45=0,0,CK50))</f>
        <v>0</v>
      </c>
      <c r="CM46" s="17">
        <f>IF(CM45=1,Supuestos!$C$38,IF(CM45=0,0,CL50))</f>
        <v>0</v>
      </c>
      <c r="CN46" s="17">
        <f>IF(CN45=1,Supuestos!$C$38,IF(CN45=0,0,CM50))</f>
        <v>0</v>
      </c>
      <c r="CO46" s="17">
        <f>IF(CO45=1,Supuestos!$C$38,IF(CO45=0,0,CN50))</f>
        <v>0</v>
      </c>
      <c r="CP46" s="17">
        <f>IF(CP45=1,Supuestos!$C$38,IF(CP45=0,0,CO50))</f>
        <v>0</v>
      </c>
      <c r="CQ46" s="17">
        <f>IF(CQ45=1,Supuestos!$C$38,IF(CQ45=0,0,CP50))</f>
        <v>0</v>
      </c>
      <c r="CR46" s="17">
        <f>IF(CR45=1,Supuestos!$C$38,IF(CR45=0,0,CQ50))</f>
        <v>0</v>
      </c>
      <c r="CS46" s="17">
        <f>IF(CS45=1,Supuestos!$C$38,IF(CS45=0,0,CR50))</f>
        <v>0</v>
      </c>
      <c r="CT46" s="17">
        <f>IF(CT45=1,Supuestos!$C$38,IF(CT45=0,0,CS50))</f>
        <v>0</v>
      </c>
      <c r="CU46" s="17">
        <f>IF(CU45=1,Supuestos!$C$38,IF(CU45=0,0,CT50))</f>
        <v>0</v>
      </c>
      <c r="CV46" s="17">
        <f>IF(CV45=1,Supuestos!$C$38,IF(CV45=0,0,CU50))</f>
        <v>0</v>
      </c>
      <c r="CW46" s="17">
        <f>IF(CW45=1,Supuestos!$C$38,IF(CW45=0,0,CV50))</f>
        <v>0</v>
      </c>
      <c r="CX46" s="17">
        <f>IF(CX45=1,Supuestos!$C$38,IF(CX45=0,0,CW50))</f>
        <v>0</v>
      </c>
      <c r="CY46" s="17">
        <f>IF(CY45=1,Supuestos!$C$38,IF(CY45=0,0,CX50))</f>
        <v>0</v>
      </c>
      <c r="CZ46" s="17">
        <f>IF(CZ45=1,Supuestos!$C$38,IF(CZ45=0,0,CY50))</f>
        <v>0</v>
      </c>
      <c r="DA46" s="17">
        <f>IF(DA45=1,Supuestos!$C$38,IF(DA45=0,0,CZ50))</f>
        <v>0</v>
      </c>
      <c r="DB46" s="17">
        <f>IF(DB45=1,Supuestos!$C$38,IF(DB45=0,0,DA50))</f>
        <v>0</v>
      </c>
      <c r="DC46" s="17">
        <f>IF(DC45=1,Supuestos!$C$38,IF(DC45=0,0,DB50))</f>
        <v>0</v>
      </c>
      <c r="DD46" s="17">
        <f>IF(DD45=1,Supuestos!$C$38,IF(DD45=0,0,DC50))</f>
        <v>0</v>
      </c>
      <c r="DE46" s="17">
        <f>IF(DE45=1,Supuestos!$C$38,IF(DE45=0,0,DD50))</f>
        <v>0</v>
      </c>
      <c r="DF46" s="17">
        <f>IF(DF45=1,Supuestos!$C$38,IF(DF45=0,0,DE50))</f>
        <v>0</v>
      </c>
    </row>
    <row r="47" spans="1:111" ht="13.8" x14ac:dyDescent="0.3">
      <c r="A47" s="16" t="s">
        <v>320</v>
      </c>
      <c r="C47" s="17">
        <f>C46*Supuestos!$F$38</f>
        <v>0</v>
      </c>
      <c r="D47" s="17">
        <f>D46*Supuestos!$F$38</f>
        <v>0</v>
      </c>
      <c r="E47" s="17">
        <f>E46*Supuestos!$F$38</f>
        <v>0</v>
      </c>
      <c r="F47" s="17">
        <f>F46*Supuestos!$F$38</f>
        <v>0</v>
      </c>
      <c r="G47" s="17">
        <f>G46*Supuestos!$F$38</f>
        <v>0</v>
      </c>
      <c r="H47" s="17">
        <f>H46*Supuestos!$F$38</f>
        <v>0</v>
      </c>
      <c r="I47" s="17">
        <f>I46*Supuestos!$F$38</f>
        <v>0</v>
      </c>
      <c r="J47" s="17">
        <f>J46*Supuestos!$F$38</f>
        <v>0</v>
      </c>
      <c r="K47" s="17">
        <f>K46*Supuestos!$F$38</f>
        <v>0</v>
      </c>
      <c r="L47" s="17">
        <f>L46*Supuestos!$F$38</f>
        <v>0</v>
      </c>
      <c r="M47" s="17">
        <f>M46*Supuestos!$F$38</f>
        <v>0</v>
      </c>
      <c r="N47" s="17">
        <f>N46*Supuestos!$F$38</f>
        <v>0</v>
      </c>
      <c r="O47" s="17">
        <f>O46*Supuestos!$F$38</f>
        <v>8141.9693578635943</v>
      </c>
      <c r="P47" s="17">
        <f>P46*Supuestos!$F$38</f>
        <v>7937.4045480754221</v>
      </c>
      <c r="Q47" s="17">
        <f>Q46*Supuestos!$F$38</f>
        <v>7731.6830991115612</v>
      </c>
      <c r="R47" s="17">
        <f>R46*Supuestos!$F$38</f>
        <v>7524.798471165951</v>
      </c>
      <c r="S47" s="17">
        <f>S46*Supuestos!$F$38</f>
        <v>7316.7440874555159</v>
      </c>
      <c r="T47" s="17">
        <f>T46*Supuestos!$F$38</f>
        <v>7107.513334011097</v>
      </c>
      <c r="U47" s="17">
        <f>U46*Supuestos!$F$38</f>
        <v>6897.0995594671849</v>
      </c>
      <c r="V47" s="17">
        <f>V46*Supuestos!$F$38</f>
        <v>6685.49607485049</v>
      </c>
      <c r="W47" s="17">
        <f>W46*Supuestos!$F$38</f>
        <v>6472.6961533672902</v>
      </c>
      <c r="X47" s="17">
        <f>X46*Supuestos!$F$38</f>
        <v>6258.6930301895964</v>
      </c>
      <c r="Y47" s="17">
        <f>Y46*Supuestos!$F$38</f>
        <v>6043.4799022400966</v>
      </c>
      <c r="Z47" s="17">
        <f>Z46*Supuestos!$F$38</f>
        <v>5827.0499279758924</v>
      </c>
      <c r="AA47" s="17">
        <f>AA46*Supuestos!$F$38</f>
        <v>5609.396227171007</v>
      </c>
      <c r="AB47" s="17">
        <f>AB46*Supuestos!$F$38</f>
        <v>5390.5118806976625</v>
      </c>
      <c r="AC47" s="17">
        <f>AC46*Supuestos!$F$38</f>
        <v>5170.3899303063317</v>
      </c>
      <c r="AD47" s="17">
        <f>AD46*Supuestos!$F$38</f>
        <v>4949.0233784045286</v>
      </c>
      <c r="AE47" s="17">
        <f>AE46*Supuestos!$F$38</f>
        <v>4726.4051878343635</v>
      </c>
      <c r="AF47" s="17">
        <f>AF46*Supuestos!$F$38</f>
        <v>4502.5282816488343</v>
      </c>
      <c r="AG47" s="17">
        <f>AG46*Supuestos!$F$38</f>
        <v>4277.3855428868492</v>
      </c>
      <c r="AH47" s="17">
        <f>AH46*Supuestos!$F$38</f>
        <v>4050.9698143469859</v>
      </c>
      <c r="AI47" s="17">
        <f>AI46*Supuestos!$F$38</f>
        <v>3823.2738983599629</v>
      </c>
      <c r="AJ47" s="17">
        <f>AJ46*Supuestos!$F$38</f>
        <v>3594.2905565598307</v>
      </c>
      <c r="AK47" s="17">
        <f>AK46*Supuestos!$F$38</f>
        <v>3364.0125096538663</v>
      </c>
      <c r="AL47" s="17">
        <f>AL46*Supuestos!$F$38</f>
        <v>3132.4324371911684</v>
      </c>
      <c r="AM47" s="17">
        <f>AM46*Supuestos!$F$38</f>
        <v>2899.5429773299402</v>
      </c>
      <c r="AN47" s="17">
        <f>AN46*Supuestos!$F$38</f>
        <v>2665.3367266034625</v>
      </c>
      <c r="AO47" s="17">
        <f>AO46*Supuestos!$F$38</f>
        <v>2429.8062396847381</v>
      </c>
      <c r="AP47" s="17">
        <f>AP46*Supuestos!$F$38</f>
        <v>2192.944029149809</v>
      </c>
      <c r="AQ47" s="17">
        <f>AQ46*Supuestos!$F$38</f>
        <v>1954.7425652397328</v>
      </c>
      <c r="AR47" s="17">
        <f>AR46*Supuestos!$F$38</f>
        <v>1715.1942756212168</v>
      </c>
      <c r="AS47" s="17">
        <f>AS46*Supuestos!$F$38</f>
        <v>1474.2915451458932</v>
      </c>
      <c r="AT47" s="17">
        <f>AT46*Supuestos!$F$38</f>
        <v>1232.0267156082391</v>
      </c>
      <c r="AU47" s="17">
        <f>AU46*Supuestos!$F$38</f>
        <v>988.39208550212425</v>
      </c>
      <c r="AV47" s="17">
        <f>AV46*Supuestos!$F$38</f>
        <v>743.37990977598258</v>
      </c>
      <c r="AW47" s="17">
        <f>AW46*Supuestos!$F$38</f>
        <v>496.98239958660093</v>
      </c>
      <c r="AX47" s="17">
        <f>AX46*Supuestos!$F$38</f>
        <v>249.19172205151386</v>
      </c>
      <c r="AY47" s="17">
        <f>AY46*Supuestos!$F$38</f>
        <v>0</v>
      </c>
      <c r="AZ47" s="17">
        <f>AZ46*Supuestos!$F$38</f>
        <v>0</v>
      </c>
      <c r="BA47" s="17">
        <f>BA46*Supuestos!$F$38</f>
        <v>0</v>
      </c>
      <c r="BB47" s="17">
        <f>BB46*Supuestos!$F$38</f>
        <v>0</v>
      </c>
      <c r="BC47" s="17">
        <f>BC46*Supuestos!$F$38</f>
        <v>0</v>
      </c>
      <c r="BD47" s="17">
        <f>BD46*Supuestos!$F$38</f>
        <v>0</v>
      </c>
      <c r="BE47" s="17">
        <f>BE46*Supuestos!$F$38</f>
        <v>0</v>
      </c>
      <c r="BF47" s="17">
        <f>BF46*Supuestos!$F$38</f>
        <v>0</v>
      </c>
      <c r="BG47" s="17">
        <f>BG46*Supuestos!$F$38</f>
        <v>0</v>
      </c>
      <c r="BH47" s="17">
        <f>BH46*Supuestos!$F$38</f>
        <v>0</v>
      </c>
      <c r="BI47" s="17">
        <f>BI46*Supuestos!$F$38</f>
        <v>0</v>
      </c>
      <c r="BJ47" s="17">
        <f>BJ46*Supuestos!$F$38</f>
        <v>0</v>
      </c>
      <c r="BK47" s="17">
        <f>BK46*Supuestos!$F$38</f>
        <v>0</v>
      </c>
      <c r="BL47" s="17">
        <f>BL46*Supuestos!$F$38</f>
        <v>0</v>
      </c>
      <c r="BM47" s="17">
        <f>BM46*Supuestos!$F$38</f>
        <v>0</v>
      </c>
      <c r="BN47" s="17">
        <f>BN46*Supuestos!$F$38</f>
        <v>0</v>
      </c>
      <c r="BO47" s="17">
        <f>BO46*Supuestos!$F$38</f>
        <v>0</v>
      </c>
      <c r="BP47" s="17">
        <f>BP46*Supuestos!$F$38</f>
        <v>0</v>
      </c>
      <c r="BQ47" s="17">
        <f>BQ46*Supuestos!$F$38</f>
        <v>0</v>
      </c>
      <c r="BR47" s="17">
        <f>BR46*Supuestos!$F$38</f>
        <v>0</v>
      </c>
      <c r="BS47" s="17">
        <f>BS46*Supuestos!$F$38</f>
        <v>0</v>
      </c>
      <c r="BT47" s="17">
        <f>BT46*Supuestos!$F$38</f>
        <v>0</v>
      </c>
      <c r="BU47" s="17">
        <f>BU46*Supuestos!$F$38</f>
        <v>0</v>
      </c>
      <c r="BV47" s="17">
        <f>BV46*Supuestos!$F$38</f>
        <v>0</v>
      </c>
      <c r="BW47" s="17">
        <f>BW46*Supuestos!$F$38</f>
        <v>0</v>
      </c>
      <c r="BX47" s="17">
        <f>BX46*Supuestos!$F$38</f>
        <v>0</v>
      </c>
      <c r="BY47" s="17">
        <f>BY46*Supuestos!$F$38</f>
        <v>0</v>
      </c>
      <c r="BZ47" s="17">
        <f>BZ46*Supuestos!$F$38</f>
        <v>0</v>
      </c>
      <c r="CA47" s="17">
        <f>CA46*Supuestos!$F$38</f>
        <v>0</v>
      </c>
      <c r="CB47" s="17">
        <f>CB46*Supuestos!$F$38</f>
        <v>0</v>
      </c>
      <c r="CC47" s="17">
        <f>CC46*Supuestos!$F$38</f>
        <v>0</v>
      </c>
      <c r="CD47" s="17">
        <f>CD46*Supuestos!$F$38</f>
        <v>0</v>
      </c>
      <c r="CE47" s="17">
        <f>CE46*Supuestos!$F$38</f>
        <v>0</v>
      </c>
      <c r="CF47" s="17">
        <f>CF46*Supuestos!$F$38</f>
        <v>0</v>
      </c>
      <c r="CG47" s="17">
        <f>CG46*Supuestos!$F$38</f>
        <v>0</v>
      </c>
      <c r="CH47" s="17">
        <f>CH46*Supuestos!$F$38</f>
        <v>0</v>
      </c>
      <c r="CI47" s="17">
        <f>CI46*Supuestos!$F$38</f>
        <v>0</v>
      </c>
      <c r="CJ47" s="17">
        <f>CJ46*Supuestos!$F$38</f>
        <v>0</v>
      </c>
      <c r="CK47" s="17">
        <f>CK46*Supuestos!$F$38</f>
        <v>0</v>
      </c>
      <c r="CL47" s="17">
        <f>CL46*Supuestos!$F$38</f>
        <v>0</v>
      </c>
      <c r="CM47" s="17">
        <f>CM46*Supuestos!$F$38</f>
        <v>0</v>
      </c>
      <c r="CN47" s="17">
        <f>CN46*Supuestos!$F$38</f>
        <v>0</v>
      </c>
      <c r="CO47" s="17">
        <f>CO46*Supuestos!$F$38</f>
        <v>0</v>
      </c>
      <c r="CP47" s="17">
        <f>CP46*Supuestos!$F$38</f>
        <v>0</v>
      </c>
      <c r="CQ47" s="17">
        <f>CQ46*Supuestos!$F$38</f>
        <v>0</v>
      </c>
      <c r="CR47" s="17">
        <f>CR46*Supuestos!$F$38</f>
        <v>0</v>
      </c>
      <c r="CS47" s="17">
        <f>CS46*Supuestos!$F$38</f>
        <v>0</v>
      </c>
      <c r="CT47" s="17">
        <f>CT46*Supuestos!$F$38</f>
        <v>0</v>
      </c>
      <c r="CU47" s="17">
        <f>CU46*Supuestos!$F$38</f>
        <v>0</v>
      </c>
      <c r="CV47" s="17">
        <f>CV46*Supuestos!$F$38</f>
        <v>0</v>
      </c>
      <c r="CW47" s="17">
        <f>CW46*Supuestos!$F$38</f>
        <v>0</v>
      </c>
      <c r="CX47" s="17">
        <f>CX46*Supuestos!$F$38</f>
        <v>0</v>
      </c>
      <c r="CY47" s="17">
        <f>CY46*Supuestos!$F$38</f>
        <v>0</v>
      </c>
      <c r="CZ47" s="17">
        <f>CZ46*Supuestos!$F$38</f>
        <v>0</v>
      </c>
      <c r="DA47" s="17">
        <f>DA46*Supuestos!$F$38</f>
        <v>0</v>
      </c>
      <c r="DB47" s="17">
        <f>DB46*Supuestos!$F$38</f>
        <v>0</v>
      </c>
      <c r="DC47" s="17">
        <f>DC46*Supuestos!$F$38</f>
        <v>0</v>
      </c>
      <c r="DD47" s="17">
        <f>DD46*Supuestos!$F$38</f>
        <v>0</v>
      </c>
      <c r="DE47" s="17">
        <f>DE46*Supuestos!$F$38</f>
        <v>0</v>
      </c>
      <c r="DF47" s="17">
        <f>DF46*Supuestos!$F$38</f>
        <v>0</v>
      </c>
      <c r="DG47" s="32">
        <f>SUM(C47:DF47)</f>
        <v>155577.07838213429</v>
      </c>
    </row>
    <row r="48" spans="1:111" ht="13.8" x14ac:dyDescent="0.3">
      <c r="A48" s="16" t="s">
        <v>321</v>
      </c>
      <c r="C48" s="17">
        <f>IF(C45&gt;0,Supuestos!$G$38,0)</f>
        <v>0</v>
      </c>
      <c r="D48" s="17">
        <f>IF(D45&gt;0,Supuestos!$G$38,0)</f>
        <v>0</v>
      </c>
      <c r="E48" s="17">
        <f>IF(E45&gt;0,Supuestos!$G$38,0)</f>
        <v>0</v>
      </c>
      <c r="F48" s="17">
        <f>IF(F45&gt;0,Supuestos!$G$38,0)</f>
        <v>0</v>
      </c>
      <c r="G48" s="17">
        <f>IF(G45&gt;0,Supuestos!$G$38,0)</f>
        <v>0</v>
      </c>
      <c r="H48" s="17">
        <f>IF(H45&gt;0,Supuestos!$G$38,0)</f>
        <v>0</v>
      </c>
      <c r="I48" s="17">
        <f>IF(I45&gt;0,Supuestos!$G$38,0)</f>
        <v>0</v>
      </c>
      <c r="J48" s="17">
        <f>IF(J45&gt;0,Supuestos!$G$38,0)</f>
        <v>0</v>
      </c>
      <c r="K48" s="17">
        <f>IF(K45&gt;0,Supuestos!$G$38,0)</f>
        <v>0</v>
      </c>
      <c r="L48" s="17">
        <f>IF(L45&gt;0,Supuestos!$G$38,0)</f>
        <v>0</v>
      </c>
      <c r="M48" s="17">
        <f>IF(M45&gt;0,Supuestos!$G$38,0)</f>
        <v>0</v>
      </c>
      <c r="N48" s="17">
        <f>IF(N45&gt;0,Supuestos!$G$38,0)</f>
        <v>0</v>
      </c>
      <c r="O48" s="17">
        <f>IF(O45&gt;0,Supuestos!$G$38,0)</f>
        <v>44321.58551061483</v>
      </c>
      <c r="P48" s="17">
        <f>IF(P45&gt;0,Supuestos!$G$38,0)</f>
        <v>44321.58551061483</v>
      </c>
      <c r="Q48" s="17">
        <f>IF(Q45&gt;0,Supuestos!$G$38,0)</f>
        <v>44321.58551061483</v>
      </c>
      <c r="R48" s="17">
        <f>IF(R45&gt;0,Supuestos!$G$38,0)</f>
        <v>44321.58551061483</v>
      </c>
      <c r="S48" s="17">
        <f>IF(S45&gt;0,Supuestos!$G$38,0)</f>
        <v>44321.58551061483</v>
      </c>
      <c r="T48" s="17">
        <f>IF(T45&gt;0,Supuestos!$G$38,0)</f>
        <v>44321.58551061483</v>
      </c>
      <c r="U48" s="17">
        <f>IF(U45&gt;0,Supuestos!$G$38,0)</f>
        <v>44321.58551061483</v>
      </c>
      <c r="V48" s="17">
        <f>IF(V45&gt;0,Supuestos!$G$38,0)</f>
        <v>44321.58551061483</v>
      </c>
      <c r="W48" s="17">
        <f>IF(W45&gt;0,Supuestos!$G$38,0)</f>
        <v>44321.58551061483</v>
      </c>
      <c r="X48" s="17">
        <f>IF(X45&gt;0,Supuestos!$G$38,0)</f>
        <v>44321.58551061483</v>
      </c>
      <c r="Y48" s="17">
        <f>IF(Y45&gt;0,Supuestos!$G$38,0)</f>
        <v>44321.58551061483</v>
      </c>
      <c r="Z48" s="17">
        <f>IF(Z45&gt;0,Supuestos!$G$38,0)</f>
        <v>44321.58551061483</v>
      </c>
      <c r="AA48" s="17">
        <f>IF(AA45&gt;0,Supuestos!$G$38,0)</f>
        <v>44321.58551061483</v>
      </c>
      <c r="AB48" s="17">
        <f>IF(AB45&gt;0,Supuestos!$G$38,0)</f>
        <v>44321.58551061483</v>
      </c>
      <c r="AC48" s="17">
        <f>IF(AC45&gt;0,Supuestos!$G$38,0)</f>
        <v>44321.58551061483</v>
      </c>
      <c r="AD48" s="17">
        <f>IF(AD45&gt;0,Supuestos!$G$38,0)</f>
        <v>44321.58551061483</v>
      </c>
      <c r="AE48" s="17">
        <f>IF(AE45&gt;0,Supuestos!$G$38,0)</f>
        <v>44321.58551061483</v>
      </c>
      <c r="AF48" s="17">
        <f>IF(AF45&gt;0,Supuestos!$G$38,0)</f>
        <v>44321.58551061483</v>
      </c>
      <c r="AG48" s="17">
        <f>IF(AG45&gt;0,Supuestos!$G$38,0)</f>
        <v>44321.58551061483</v>
      </c>
      <c r="AH48" s="17">
        <f>IF(AH45&gt;0,Supuestos!$G$38,0)</f>
        <v>44321.58551061483</v>
      </c>
      <c r="AI48" s="17">
        <f>IF(AI45&gt;0,Supuestos!$G$38,0)</f>
        <v>44321.58551061483</v>
      </c>
      <c r="AJ48" s="17">
        <f>IF(AJ45&gt;0,Supuestos!$G$38,0)</f>
        <v>44321.58551061483</v>
      </c>
      <c r="AK48" s="17">
        <f>IF(AK45&gt;0,Supuestos!$G$38,0)</f>
        <v>44321.58551061483</v>
      </c>
      <c r="AL48" s="17">
        <f>IF(AL45&gt;0,Supuestos!$G$38,0)</f>
        <v>44321.58551061483</v>
      </c>
      <c r="AM48" s="17">
        <f>IF(AM45&gt;0,Supuestos!$G$38,0)</f>
        <v>44321.58551061483</v>
      </c>
      <c r="AN48" s="17">
        <f>IF(AN45&gt;0,Supuestos!$G$38,0)</f>
        <v>44321.58551061483</v>
      </c>
      <c r="AO48" s="17">
        <f>IF(AO45&gt;0,Supuestos!$G$38,0)</f>
        <v>44321.58551061483</v>
      </c>
      <c r="AP48" s="17">
        <f>IF(AP45&gt;0,Supuestos!$G$38,0)</f>
        <v>44321.58551061483</v>
      </c>
      <c r="AQ48" s="17">
        <f>IF(AQ45&gt;0,Supuestos!$G$38,0)</f>
        <v>44321.58551061483</v>
      </c>
      <c r="AR48" s="17">
        <f>IF(AR45&gt;0,Supuestos!$G$38,0)</f>
        <v>44321.58551061483</v>
      </c>
      <c r="AS48" s="17">
        <f>IF(AS45&gt;0,Supuestos!$G$38,0)</f>
        <v>44321.58551061483</v>
      </c>
      <c r="AT48" s="17">
        <f>IF(AT45&gt;0,Supuestos!$G$38,0)</f>
        <v>44321.58551061483</v>
      </c>
      <c r="AU48" s="17">
        <f>IF(AU45&gt;0,Supuestos!$G$38,0)</f>
        <v>44321.58551061483</v>
      </c>
      <c r="AV48" s="17">
        <f>IF(AV45&gt;0,Supuestos!$G$38,0)</f>
        <v>44321.58551061483</v>
      </c>
      <c r="AW48" s="17">
        <f>IF(AW45&gt;0,Supuestos!$G$38,0)</f>
        <v>44321.58551061483</v>
      </c>
      <c r="AX48" s="17">
        <f>IF(AX45&gt;0,Supuestos!$G$38,0)</f>
        <v>44321.58551061483</v>
      </c>
      <c r="AY48" s="17">
        <f>IF(AY45&gt;0,Supuestos!$G$38,0)</f>
        <v>0</v>
      </c>
      <c r="AZ48" s="17">
        <f>IF(AZ45&gt;0,Supuestos!$G$38,0)</f>
        <v>0</v>
      </c>
      <c r="BA48" s="17">
        <f>IF(BA45&gt;0,Supuestos!$G$38,0)</f>
        <v>0</v>
      </c>
      <c r="BB48" s="17">
        <f>IF(BB45&gt;0,Supuestos!$G$38,0)</f>
        <v>0</v>
      </c>
      <c r="BC48" s="17">
        <f>IF(BC45&gt;0,Supuestos!$G$38,0)</f>
        <v>0</v>
      </c>
      <c r="BD48" s="17">
        <f>IF(BD45&gt;0,Supuestos!$G$38,0)</f>
        <v>0</v>
      </c>
      <c r="BE48" s="17">
        <f>IF(BE45&gt;0,Supuestos!$G$38,0)</f>
        <v>0</v>
      </c>
      <c r="BF48" s="17">
        <f>IF(BF45&gt;0,Supuestos!$G$38,0)</f>
        <v>0</v>
      </c>
      <c r="BG48" s="17">
        <f>IF(BG45&gt;0,Supuestos!$G$38,0)</f>
        <v>0</v>
      </c>
      <c r="BH48" s="17">
        <f>IF(BH45&gt;0,Supuestos!$G$38,0)</f>
        <v>0</v>
      </c>
      <c r="BI48" s="17">
        <f>IF(BI45&gt;0,Supuestos!$G$38,0)</f>
        <v>0</v>
      </c>
      <c r="BJ48" s="17">
        <f>IF(BJ45&gt;0,Supuestos!$G$38,0)</f>
        <v>0</v>
      </c>
      <c r="BK48" s="17">
        <f>IF(BK45&gt;0,Supuestos!$G$38,0)</f>
        <v>0</v>
      </c>
      <c r="BL48" s="17">
        <f>IF(BL45&gt;0,Supuestos!$G$38,0)</f>
        <v>0</v>
      </c>
      <c r="BM48" s="17">
        <f>IF(BM45&gt;0,Supuestos!$G$38,0)</f>
        <v>0</v>
      </c>
      <c r="BN48" s="17">
        <f>IF(BN45&gt;0,Supuestos!$G$38,0)</f>
        <v>0</v>
      </c>
      <c r="BO48" s="17">
        <f>IF(BO45&gt;0,Supuestos!$G$38,0)</f>
        <v>0</v>
      </c>
      <c r="BP48" s="17">
        <f>IF(BP45&gt;0,Supuestos!$G$38,0)</f>
        <v>0</v>
      </c>
      <c r="BQ48" s="17">
        <f>IF(BQ45&gt;0,Supuestos!$G$38,0)</f>
        <v>0</v>
      </c>
      <c r="BR48" s="17">
        <f>IF(BR45&gt;0,Supuestos!$G$38,0)</f>
        <v>0</v>
      </c>
      <c r="BS48" s="17">
        <f>IF(BS45&gt;0,Supuestos!$G$38,0)</f>
        <v>0</v>
      </c>
      <c r="BT48" s="17">
        <f>IF(BT45&gt;0,Supuestos!$G$38,0)</f>
        <v>0</v>
      </c>
      <c r="BU48" s="17">
        <f>IF(BU45&gt;0,Supuestos!$G$38,0)</f>
        <v>0</v>
      </c>
      <c r="BV48" s="17">
        <f>IF(BV45&gt;0,Supuestos!$G$38,0)</f>
        <v>0</v>
      </c>
      <c r="BW48" s="17">
        <f>IF(BW45&gt;0,Supuestos!$G$38,0)</f>
        <v>0</v>
      </c>
      <c r="BX48" s="17">
        <f>IF(BX45&gt;0,Supuestos!$G$38,0)</f>
        <v>0</v>
      </c>
      <c r="BY48" s="17">
        <f>IF(BY45&gt;0,Supuestos!$G$38,0)</f>
        <v>0</v>
      </c>
      <c r="BZ48" s="17">
        <f>IF(BZ45&gt;0,Supuestos!$G$38,0)</f>
        <v>0</v>
      </c>
      <c r="CA48" s="17">
        <f>IF(CA45&gt;0,Supuestos!$G$38,0)</f>
        <v>0</v>
      </c>
      <c r="CB48" s="17">
        <f>IF(CB45&gt;0,Supuestos!$G$38,0)</f>
        <v>0</v>
      </c>
      <c r="CC48" s="17">
        <f>IF(CC45&gt;0,Supuestos!$G$38,0)</f>
        <v>0</v>
      </c>
      <c r="CD48" s="17">
        <f>IF(CD45&gt;0,Supuestos!$G$38,0)</f>
        <v>0</v>
      </c>
      <c r="CE48" s="17">
        <f>IF(CE45&gt;0,Supuestos!$G$38,0)</f>
        <v>0</v>
      </c>
      <c r="CF48" s="17">
        <f>IF(CF45&gt;0,Supuestos!$G$38,0)</f>
        <v>0</v>
      </c>
      <c r="CG48" s="17">
        <f>IF(CG45&gt;0,Supuestos!$G$38,0)</f>
        <v>0</v>
      </c>
      <c r="CH48" s="17">
        <f>IF(CH45&gt;0,Supuestos!$G$38,0)</f>
        <v>0</v>
      </c>
      <c r="CI48" s="17">
        <f>IF(CI45&gt;0,Supuestos!$G$38,0)</f>
        <v>0</v>
      </c>
      <c r="CJ48" s="17">
        <f>IF(CJ45&gt;0,Supuestos!$G$38,0)</f>
        <v>0</v>
      </c>
      <c r="CK48" s="17">
        <f>IF(CK45&gt;0,Supuestos!$G$38,0)</f>
        <v>0</v>
      </c>
      <c r="CL48" s="17">
        <f>IF(CL45&gt;0,Supuestos!$G$38,0)</f>
        <v>0</v>
      </c>
      <c r="CM48" s="17">
        <f>IF(CM45&gt;0,Supuestos!$G$38,0)</f>
        <v>0</v>
      </c>
      <c r="CN48" s="17">
        <f>IF(CN45&gt;0,Supuestos!$G$38,0)</f>
        <v>0</v>
      </c>
      <c r="CO48" s="17">
        <f>IF(CO45&gt;0,Supuestos!$G$38,0)</f>
        <v>0</v>
      </c>
      <c r="CP48" s="17">
        <f>IF(CP45&gt;0,Supuestos!$G$38,0)</f>
        <v>0</v>
      </c>
      <c r="CQ48" s="17">
        <f>IF(CQ45&gt;0,Supuestos!$G$38,0)</f>
        <v>0</v>
      </c>
      <c r="CR48" s="17">
        <f>IF(CR45&gt;0,Supuestos!$G$38,0)</f>
        <v>0</v>
      </c>
      <c r="CS48" s="17">
        <f>IF(CS45&gt;0,Supuestos!$G$38,0)</f>
        <v>0</v>
      </c>
      <c r="CT48" s="17">
        <f>IF(CT45&gt;0,Supuestos!$G$38,0)</f>
        <v>0</v>
      </c>
      <c r="CU48" s="17">
        <f>IF(CU45&gt;0,Supuestos!$G$38,0)</f>
        <v>0</v>
      </c>
      <c r="CV48" s="17">
        <f>IF(CV45&gt;0,Supuestos!$G$38,0)</f>
        <v>0</v>
      </c>
      <c r="CW48" s="17">
        <f>IF(CW45&gt;0,Supuestos!$G$38,0)</f>
        <v>0</v>
      </c>
      <c r="CX48" s="17">
        <f>IF(CX45&gt;0,Supuestos!$G$38,0)</f>
        <v>0</v>
      </c>
      <c r="CY48" s="17">
        <f>IF(CY45&gt;0,Supuestos!$G$38,0)</f>
        <v>0</v>
      </c>
      <c r="CZ48" s="17">
        <f>IF(CZ45&gt;0,Supuestos!$G$38,0)</f>
        <v>0</v>
      </c>
      <c r="DA48" s="17">
        <f>IF(DA45&gt;0,Supuestos!$G$38,0)</f>
        <v>0</v>
      </c>
      <c r="DB48" s="17">
        <f>IF(DB45&gt;0,Supuestos!$G$38,0)</f>
        <v>0</v>
      </c>
      <c r="DC48" s="17">
        <f>IF(DC45&gt;0,Supuestos!$G$38,0)</f>
        <v>0</v>
      </c>
      <c r="DD48" s="17">
        <f>IF(DD45&gt;0,Supuestos!$G$38,0)</f>
        <v>0</v>
      </c>
      <c r="DE48" s="17">
        <f>IF(DE45&gt;0,Supuestos!$G$38,0)</f>
        <v>0</v>
      </c>
      <c r="DF48" s="17">
        <f>IF(DF45&gt;0,Supuestos!$G$38,0)</f>
        <v>0</v>
      </c>
      <c r="DG48" s="32">
        <f>SUM(C48:DF48)</f>
        <v>1595577.0783821333</v>
      </c>
    </row>
    <row r="49" spans="1:111" ht="13.8" x14ac:dyDescent="0.3">
      <c r="A49" s="16" t="s">
        <v>322</v>
      </c>
      <c r="C49" s="37">
        <f t="shared" ref="C49:AH49" si="24">C48-C47</f>
        <v>0</v>
      </c>
      <c r="D49" s="37">
        <f t="shared" si="24"/>
        <v>0</v>
      </c>
      <c r="E49" s="37">
        <f t="shared" si="24"/>
        <v>0</v>
      </c>
      <c r="F49" s="37">
        <f t="shared" si="24"/>
        <v>0</v>
      </c>
      <c r="G49" s="37">
        <f t="shared" si="24"/>
        <v>0</v>
      </c>
      <c r="H49" s="37">
        <f t="shared" si="24"/>
        <v>0</v>
      </c>
      <c r="I49" s="37">
        <f t="shared" si="24"/>
        <v>0</v>
      </c>
      <c r="J49" s="37">
        <f t="shared" si="24"/>
        <v>0</v>
      </c>
      <c r="K49" s="37">
        <f t="shared" si="24"/>
        <v>0</v>
      </c>
      <c r="L49" s="37">
        <f t="shared" si="24"/>
        <v>0</v>
      </c>
      <c r="M49" s="37">
        <f t="shared" si="24"/>
        <v>0</v>
      </c>
      <c r="N49" s="37">
        <f t="shared" si="24"/>
        <v>0</v>
      </c>
      <c r="O49" s="37">
        <f t="shared" si="24"/>
        <v>36179.616152751238</v>
      </c>
      <c r="P49" s="37">
        <f t="shared" si="24"/>
        <v>36384.180962539409</v>
      </c>
      <c r="Q49" s="37">
        <f t="shared" si="24"/>
        <v>36589.902411503266</v>
      </c>
      <c r="R49" s="37">
        <f t="shared" si="24"/>
        <v>36796.787039448878</v>
      </c>
      <c r="S49" s="37">
        <f t="shared" si="24"/>
        <v>37004.841423159312</v>
      </c>
      <c r="T49" s="37">
        <f t="shared" si="24"/>
        <v>37214.072176603731</v>
      </c>
      <c r="U49" s="37">
        <f t="shared" si="24"/>
        <v>37424.485951147646</v>
      </c>
      <c r="V49" s="37">
        <f t="shared" si="24"/>
        <v>37636.089435764341</v>
      </c>
      <c r="W49" s="37">
        <f t="shared" si="24"/>
        <v>37848.889357247543</v>
      </c>
      <c r="X49" s="37">
        <f t="shared" si="24"/>
        <v>38062.892480425231</v>
      </c>
      <c r="Y49" s="37">
        <f t="shared" si="24"/>
        <v>38278.105608374732</v>
      </c>
      <c r="Z49" s="37">
        <f t="shared" si="24"/>
        <v>38494.535582638935</v>
      </c>
      <c r="AA49" s="37">
        <f t="shared" si="24"/>
        <v>38712.189283443826</v>
      </c>
      <c r="AB49" s="37">
        <f t="shared" si="24"/>
        <v>38931.073629917169</v>
      </c>
      <c r="AC49" s="37">
        <f t="shared" si="24"/>
        <v>39151.1955803085</v>
      </c>
      <c r="AD49" s="37">
        <f t="shared" si="24"/>
        <v>39372.562132210303</v>
      </c>
      <c r="AE49" s="37">
        <f t="shared" si="24"/>
        <v>39595.180322780463</v>
      </c>
      <c r="AF49" s="37">
        <f t="shared" si="24"/>
        <v>39819.057228965998</v>
      </c>
      <c r="AG49" s="37">
        <f t="shared" si="24"/>
        <v>40044.199967727982</v>
      </c>
      <c r="AH49" s="37">
        <f t="shared" si="24"/>
        <v>40270.615696267843</v>
      </c>
      <c r="AI49" s="37">
        <f t="shared" ref="AI49:BN49" si="25">AI48-AI47</f>
        <v>40498.311612254867</v>
      </c>
      <c r="AJ49" s="37">
        <f t="shared" si="25"/>
        <v>40727.294954054996</v>
      </c>
      <c r="AK49" s="37">
        <f t="shared" si="25"/>
        <v>40957.573000960962</v>
      </c>
      <c r="AL49" s="37">
        <f t="shared" si="25"/>
        <v>41189.153073423658</v>
      </c>
      <c r="AM49" s="37">
        <f t="shared" si="25"/>
        <v>41422.04253328489</v>
      </c>
      <c r="AN49" s="37">
        <f t="shared" si="25"/>
        <v>41656.248784011368</v>
      </c>
      <c r="AO49" s="37">
        <f t="shared" si="25"/>
        <v>41891.779270930092</v>
      </c>
      <c r="AP49" s="37">
        <f t="shared" si="25"/>
        <v>42128.64148146502</v>
      </c>
      <c r="AQ49" s="37">
        <f t="shared" si="25"/>
        <v>42366.842945375094</v>
      </c>
      <c r="AR49" s="37">
        <f t="shared" si="25"/>
        <v>42606.391234993614</v>
      </c>
      <c r="AS49" s="37">
        <f t="shared" si="25"/>
        <v>42847.29396546894</v>
      </c>
      <c r="AT49" s="37">
        <f t="shared" si="25"/>
        <v>43089.558795006589</v>
      </c>
      <c r="AU49" s="37">
        <f t="shared" si="25"/>
        <v>43333.19342511271</v>
      </c>
      <c r="AV49" s="37">
        <f t="shared" si="25"/>
        <v>43578.205600838846</v>
      </c>
      <c r="AW49" s="37">
        <f t="shared" si="25"/>
        <v>43824.603111028227</v>
      </c>
      <c r="AX49" s="37">
        <f t="shared" si="25"/>
        <v>44072.393788563313</v>
      </c>
      <c r="AY49" s="37">
        <f t="shared" si="25"/>
        <v>0</v>
      </c>
      <c r="AZ49" s="37">
        <f t="shared" si="25"/>
        <v>0</v>
      </c>
      <c r="BA49" s="37">
        <f t="shared" si="25"/>
        <v>0</v>
      </c>
      <c r="BB49" s="37">
        <f t="shared" si="25"/>
        <v>0</v>
      </c>
      <c r="BC49" s="37">
        <f t="shared" si="25"/>
        <v>0</v>
      </c>
      <c r="BD49" s="37">
        <f t="shared" si="25"/>
        <v>0</v>
      </c>
      <c r="BE49" s="37">
        <f t="shared" si="25"/>
        <v>0</v>
      </c>
      <c r="BF49" s="37">
        <f t="shared" si="25"/>
        <v>0</v>
      </c>
      <c r="BG49" s="37">
        <f t="shared" si="25"/>
        <v>0</v>
      </c>
      <c r="BH49" s="37">
        <f t="shared" si="25"/>
        <v>0</v>
      </c>
      <c r="BI49" s="37">
        <f t="shared" si="25"/>
        <v>0</v>
      </c>
      <c r="BJ49" s="37">
        <f t="shared" si="25"/>
        <v>0</v>
      </c>
      <c r="BK49" s="37">
        <f t="shared" si="25"/>
        <v>0</v>
      </c>
      <c r="BL49" s="37">
        <f t="shared" si="25"/>
        <v>0</v>
      </c>
      <c r="BM49" s="37">
        <f t="shared" si="25"/>
        <v>0</v>
      </c>
      <c r="BN49" s="37">
        <f t="shared" si="25"/>
        <v>0</v>
      </c>
      <c r="BO49" s="37">
        <f t="shared" ref="BO49:CT49" si="26">BO48-BO47</f>
        <v>0</v>
      </c>
      <c r="BP49" s="37">
        <f t="shared" si="26"/>
        <v>0</v>
      </c>
      <c r="BQ49" s="37">
        <f t="shared" si="26"/>
        <v>0</v>
      </c>
      <c r="BR49" s="37">
        <f t="shared" si="26"/>
        <v>0</v>
      </c>
      <c r="BS49" s="37">
        <f t="shared" si="26"/>
        <v>0</v>
      </c>
      <c r="BT49" s="37">
        <f t="shared" si="26"/>
        <v>0</v>
      </c>
      <c r="BU49" s="37">
        <f t="shared" si="26"/>
        <v>0</v>
      </c>
      <c r="BV49" s="37">
        <f t="shared" si="26"/>
        <v>0</v>
      </c>
      <c r="BW49" s="37">
        <f t="shared" si="26"/>
        <v>0</v>
      </c>
      <c r="BX49" s="37">
        <f t="shared" si="26"/>
        <v>0</v>
      </c>
      <c r="BY49" s="37">
        <f t="shared" si="26"/>
        <v>0</v>
      </c>
      <c r="BZ49" s="37">
        <f t="shared" si="26"/>
        <v>0</v>
      </c>
      <c r="CA49" s="37">
        <f t="shared" si="26"/>
        <v>0</v>
      </c>
      <c r="CB49" s="37">
        <f t="shared" si="26"/>
        <v>0</v>
      </c>
      <c r="CC49" s="37">
        <f t="shared" si="26"/>
        <v>0</v>
      </c>
      <c r="CD49" s="37">
        <f t="shared" si="26"/>
        <v>0</v>
      </c>
      <c r="CE49" s="37">
        <f t="shared" si="26"/>
        <v>0</v>
      </c>
      <c r="CF49" s="37">
        <f t="shared" si="26"/>
        <v>0</v>
      </c>
      <c r="CG49" s="37">
        <f t="shared" si="26"/>
        <v>0</v>
      </c>
      <c r="CH49" s="37">
        <f t="shared" si="26"/>
        <v>0</v>
      </c>
      <c r="CI49" s="37">
        <f t="shared" si="26"/>
        <v>0</v>
      </c>
      <c r="CJ49" s="37">
        <f t="shared" si="26"/>
        <v>0</v>
      </c>
      <c r="CK49" s="37">
        <f t="shared" si="26"/>
        <v>0</v>
      </c>
      <c r="CL49" s="37">
        <f t="shared" si="26"/>
        <v>0</v>
      </c>
      <c r="CM49" s="37">
        <f t="shared" si="26"/>
        <v>0</v>
      </c>
      <c r="CN49" s="37">
        <f t="shared" si="26"/>
        <v>0</v>
      </c>
      <c r="CO49" s="37">
        <f t="shared" si="26"/>
        <v>0</v>
      </c>
      <c r="CP49" s="37">
        <f t="shared" si="26"/>
        <v>0</v>
      </c>
      <c r="CQ49" s="37">
        <f t="shared" si="26"/>
        <v>0</v>
      </c>
      <c r="CR49" s="37">
        <f t="shared" si="26"/>
        <v>0</v>
      </c>
      <c r="CS49" s="37">
        <f t="shared" si="26"/>
        <v>0</v>
      </c>
      <c r="CT49" s="37">
        <f t="shared" si="26"/>
        <v>0</v>
      </c>
      <c r="CU49" s="37">
        <f t="shared" ref="CU49:DZ49" si="27">CU48-CU47</f>
        <v>0</v>
      </c>
      <c r="CV49" s="37">
        <f t="shared" si="27"/>
        <v>0</v>
      </c>
      <c r="CW49" s="37">
        <f t="shared" si="27"/>
        <v>0</v>
      </c>
      <c r="CX49" s="37">
        <f t="shared" si="27"/>
        <v>0</v>
      </c>
      <c r="CY49" s="37">
        <f t="shared" si="27"/>
        <v>0</v>
      </c>
      <c r="CZ49" s="37">
        <f t="shared" si="27"/>
        <v>0</v>
      </c>
      <c r="DA49" s="37">
        <f t="shared" si="27"/>
        <v>0</v>
      </c>
      <c r="DB49" s="37">
        <f t="shared" si="27"/>
        <v>0</v>
      </c>
      <c r="DC49" s="37">
        <f t="shared" si="27"/>
        <v>0</v>
      </c>
      <c r="DD49" s="37">
        <f t="shared" si="27"/>
        <v>0</v>
      </c>
      <c r="DE49" s="37">
        <f t="shared" si="27"/>
        <v>0</v>
      </c>
      <c r="DF49" s="37">
        <f t="shared" si="27"/>
        <v>0</v>
      </c>
      <c r="DG49" s="32">
        <f>SUM(C49:DF49)</f>
        <v>1439999.9999999993</v>
      </c>
    </row>
    <row r="50" spans="1:111" ht="13.8" x14ac:dyDescent="0.3">
      <c r="A50" s="16" t="s">
        <v>323</v>
      </c>
      <c r="C50" s="32">
        <f t="shared" ref="C50:AH50" si="28">C46-C49</f>
        <v>0</v>
      </c>
      <c r="D50" s="32">
        <f t="shared" si="28"/>
        <v>0</v>
      </c>
      <c r="E50" s="32">
        <f t="shared" si="28"/>
        <v>0</v>
      </c>
      <c r="F50" s="32">
        <f t="shared" si="28"/>
        <v>0</v>
      </c>
      <c r="G50" s="32">
        <f t="shared" si="28"/>
        <v>0</v>
      </c>
      <c r="H50" s="32">
        <f t="shared" si="28"/>
        <v>0</v>
      </c>
      <c r="I50" s="32">
        <f t="shared" si="28"/>
        <v>0</v>
      </c>
      <c r="J50" s="32">
        <f t="shared" si="28"/>
        <v>0</v>
      </c>
      <c r="K50" s="32">
        <f t="shared" si="28"/>
        <v>0</v>
      </c>
      <c r="L50" s="32">
        <f t="shared" si="28"/>
        <v>0</v>
      </c>
      <c r="M50" s="32">
        <f t="shared" si="28"/>
        <v>0</v>
      </c>
      <c r="N50" s="32">
        <f t="shared" si="28"/>
        <v>0</v>
      </c>
      <c r="O50" s="32">
        <f t="shared" si="28"/>
        <v>1403820.3838472487</v>
      </c>
      <c r="P50" s="32">
        <f t="shared" si="28"/>
        <v>1367436.2028847092</v>
      </c>
      <c r="Q50" s="32">
        <f t="shared" si="28"/>
        <v>1330846.300473206</v>
      </c>
      <c r="R50" s="32">
        <f t="shared" si="28"/>
        <v>1294049.513433757</v>
      </c>
      <c r="S50" s="32">
        <f t="shared" si="28"/>
        <v>1257044.6720105978</v>
      </c>
      <c r="T50" s="32">
        <f t="shared" si="28"/>
        <v>1219830.5998339939</v>
      </c>
      <c r="U50" s="32">
        <f t="shared" si="28"/>
        <v>1182406.1138828462</v>
      </c>
      <c r="V50" s="32">
        <f t="shared" si="28"/>
        <v>1144770.0244470818</v>
      </c>
      <c r="W50" s="32">
        <f t="shared" si="28"/>
        <v>1106921.1350898342</v>
      </c>
      <c r="X50" s="32">
        <f t="shared" si="28"/>
        <v>1068858.2426094089</v>
      </c>
      <c r="Y50" s="32">
        <f t="shared" si="28"/>
        <v>1030580.1370010342</v>
      </c>
      <c r="Z50" s="32">
        <f t="shared" si="28"/>
        <v>992085.60141839529</v>
      </c>
      <c r="AA50" s="32">
        <f t="shared" si="28"/>
        <v>953373.41213495145</v>
      </c>
      <c r="AB50" s="32">
        <f t="shared" si="28"/>
        <v>914442.33850503433</v>
      </c>
      <c r="AC50" s="32">
        <f t="shared" si="28"/>
        <v>875291.14292472578</v>
      </c>
      <c r="AD50" s="32">
        <f t="shared" si="28"/>
        <v>835918.58079251542</v>
      </c>
      <c r="AE50" s="32">
        <f t="shared" si="28"/>
        <v>796323.40046973492</v>
      </c>
      <c r="AF50" s="32">
        <f t="shared" si="28"/>
        <v>756504.34324076888</v>
      </c>
      <c r="AG50" s="32">
        <f t="shared" si="28"/>
        <v>716460.14327304089</v>
      </c>
      <c r="AH50" s="32">
        <f t="shared" si="28"/>
        <v>676189.52757677308</v>
      </c>
      <c r="AI50" s="32">
        <f t="shared" ref="AI50:BN50" si="29">AI46-AI49</f>
        <v>635691.21596451825</v>
      </c>
      <c r="AJ50" s="32">
        <f t="shared" si="29"/>
        <v>594963.92101046327</v>
      </c>
      <c r="AK50" s="32">
        <f t="shared" si="29"/>
        <v>554006.34800950228</v>
      </c>
      <c r="AL50" s="32">
        <f t="shared" si="29"/>
        <v>512817.19493607862</v>
      </c>
      <c r="AM50" s="32">
        <f t="shared" si="29"/>
        <v>471395.15240279376</v>
      </c>
      <c r="AN50" s="32">
        <f t="shared" si="29"/>
        <v>429738.90361878241</v>
      </c>
      <c r="AO50" s="32">
        <f t="shared" si="29"/>
        <v>387847.12434785231</v>
      </c>
      <c r="AP50" s="32">
        <f t="shared" si="29"/>
        <v>345718.48286638729</v>
      </c>
      <c r="AQ50" s="32">
        <f t="shared" si="29"/>
        <v>303351.63992101222</v>
      </c>
      <c r="AR50" s="32">
        <f t="shared" si="29"/>
        <v>260745.2486860186</v>
      </c>
      <c r="AS50" s="32">
        <f t="shared" si="29"/>
        <v>217897.95472054966</v>
      </c>
      <c r="AT50" s="32">
        <f t="shared" si="29"/>
        <v>174808.39592554307</v>
      </c>
      <c r="AU50" s="32">
        <f t="shared" si="29"/>
        <v>131475.20250043034</v>
      </c>
      <c r="AV50" s="32">
        <f t="shared" si="29"/>
        <v>87896.996899591497</v>
      </c>
      <c r="AW50" s="32">
        <f t="shared" si="29"/>
        <v>44072.393788563269</v>
      </c>
      <c r="AX50" s="32">
        <f t="shared" si="29"/>
        <v>0</v>
      </c>
      <c r="AY50" s="32">
        <f t="shared" si="29"/>
        <v>0</v>
      </c>
      <c r="AZ50" s="32">
        <f t="shared" si="29"/>
        <v>0</v>
      </c>
      <c r="BA50" s="32">
        <f t="shared" si="29"/>
        <v>0</v>
      </c>
      <c r="BB50" s="32">
        <f t="shared" si="29"/>
        <v>0</v>
      </c>
      <c r="BC50" s="32">
        <f t="shared" si="29"/>
        <v>0</v>
      </c>
      <c r="BD50" s="32">
        <f t="shared" si="29"/>
        <v>0</v>
      </c>
      <c r="BE50" s="32">
        <f t="shared" si="29"/>
        <v>0</v>
      </c>
      <c r="BF50" s="32">
        <f t="shared" si="29"/>
        <v>0</v>
      </c>
      <c r="BG50" s="32">
        <f t="shared" si="29"/>
        <v>0</v>
      </c>
      <c r="BH50" s="32">
        <f t="shared" si="29"/>
        <v>0</v>
      </c>
      <c r="BI50" s="32">
        <f t="shared" si="29"/>
        <v>0</v>
      </c>
      <c r="BJ50" s="32">
        <f t="shared" si="29"/>
        <v>0</v>
      </c>
      <c r="BK50" s="32">
        <f t="shared" si="29"/>
        <v>0</v>
      </c>
      <c r="BL50" s="32">
        <f t="shared" si="29"/>
        <v>0</v>
      </c>
      <c r="BM50" s="32">
        <f t="shared" si="29"/>
        <v>0</v>
      </c>
      <c r="BN50" s="32">
        <f t="shared" si="29"/>
        <v>0</v>
      </c>
      <c r="BO50" s="32">
        <f t="shared" ref="BO50:CT50" si="30">BO46-BO49</f>
        <v>0</v>
      </c>
      <c r="BP50" s="32">
        <f t="shared" si="30"/>
        <v>0</v>
      </c>
      <c r="BQ50" s="32">
        <f t="shared" si="30"/>
        <v>0</v>
      </c>
      <c r="BR50" s="32">
        <f t="shared" si="30"/>
        <v>0</v>
      </c>
      <c r="BS50" s="32">
        <f t="shared" si="30"/>
        <v>0</v>
      </c>
      <c r="BT50" s="32">
        <f t="shared" si="30"/>
        <v>0</v>
      </c>
      <c r="BU50" s="32">
        <f t="shared" si="30"/>
        <v>0</v>
      </c>
      <c r="BV50" s="32">
        <f t="shared" si="30"/>
        <v>0</v>
      </c>
      <c r="BW50" s="32">
        <f t="shared" si="30"/>
        <v>0</v>
      </c>
      <c r="BX50" s="32">
        <f t="shared" si="30"/>
        <v>0</v>
      </c>
      <c r="BY50" s="32">
        <f t="shared" si="30"/>
        <v>0</v>
      </c>
      <c r="BZ50" s="32">
        <f t="shared" si="30"/>
        <v>0</v>
      </c>
      <c r="CA50" s="32">
        <f t="shared" si="30"/>
        <v>0</v>
      </c>
      <c r="CB50" s="32">
        <f t="shared" si="30"/>
        <v>0</v>
      </c>
      <c r="CC50" s="32">
        <f t="shared" si="30"/>
        <v>0</v>
      </c>
      <c r="CD50" s="32">
        <f t="shared" si="30"/>
        <v>0</v>
      </c>
      <c r="CE50" s="32">
        <f t="shared" si="30"/>
        <v>0</v>
      </c>
      <c r="CF50" s="32">
        <f t="shared" si="30"/>
        <v>0</v>
      </c>
      <c r="CG50" s="32">
        <f t="shared" si="30"/>
        <v>0</v>
      </c>
      <c r="CH50" s="32">
        <f t="shared" si="30"/>
        <v>0</v>
      </c>
      <c r="CI50" s="32">
        <f t="shared" si="30"/>
        <v>0</v>
      </c>
      <c r="CJ50" s="32">
        <f t="shared" si="30"/>
        <v>0</v>
      </c>
      <c r="CK50" s="32">
        <f t="shared" si="30"/>
        <v>0</v>
      </c>
      <c r="CL50" s="32">
        <f t="shared" si="30"/>
        <v>0</v>
      </c>
      <c r="CM50" s="32">
        <f t="shared" si="30"/>
        <v>0</v>
      </c>
      <c r="CN50" s="32">
        <f t="shared" si="30"/>
        <v>0</v>
      </c>
      <c r="CO50" s="32">
        <f t="shared" si="30"/>
        <v>0</v>
      </c>
      <c r="CP50" s="32">
        <f t="shared" si="30"/>
        <v>0</v>
      </c>
      <c r="CQ50" s="32">
        <f t="shared" si="30"/>
        <v>0</v>
      </c>
      <c r="CR50" s="32">
        <f t="shared" si="30"/>
        <v>0</v>
      </c>
      <c r="CS50" s="32">
        <f t="shared" si="30"/>
        <v>0</v>
      </c>
      <c r="CT50" s="32">
        <f t="shared" si="30"/>
        <v>0</v>
      </c>
      <c r="CU50" s="32">
        <f t="shared" ref="CU50:DZ50" si="31">CU46-CU49</f>
        <v>0</v>
      </c>
      <c r="CV50" s="32">
        <f t="shared" si="31"/>
        <v>0</v>
      </c>
      <c r="CW50" s="32">
        <f t="shared" si="31"/>
        <v>0</v>
      </c>
      <c r="CX50" s="32">
        <f t="shared" si="31"/>
        <v>0</v>
      </c>
      <c r="CY50" s="32">
        <f t="shared" si="31"/>
        <v>0</v>
      </c>
      <c r="CZ50" s="32">
        <f t="shared" si="31"/>
        <v>0</v>
      </c>
      <c r="DA50" s="32">
        <f t="shared" si="31"/>
        <v>0</v>
      </c>
      <c r="DB50" s="32">
        <f t="shared" si="31"/>
        <v>0</v>
      </c>
      <c r="DC50" s="32">
        <f t="shared" si="31"/>
        <v>0</v>
      </c>
      <c r="DD50" s="32">
        <f t="shared" si="31"/>
        <v>0</v>
      </c>
      <c r="DE50" s="32">
        <f t="shared" si="31"/>
        <v>0</v>
      </c>
      <c r="DF50" s="32">
        <f t="shared" si="31"/>
        <v>0</v>
      </c>
    </row>
    <row r="52" spans="1:111" ht="13.8" x14ac:dyDescent="0.3">
      <c r="A52" s="26" t="s">
        <v>327</v>
      </c>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row>
    <row r="53" spans="1:111" ht="13.8" x14ac:dyDescent="0.3">
      <c r="A53" s="16" t="s">
        <v>317</v>
      </c>
      <c r="C53" s="17">
        <f>IF(C$4=Supuestos!$I$39,Supuestos!$C$39,0)</f>
        <v>0</v>
      </c>
      <c r="D53" s="17">
        <f>IF(D$4=Supuestos!$I$39,Supuestos!$C$39,0)</f>
        <v>0</v>
      </c>
      <c r="E53" s="17">
        <f>IF(E$4=Supuestos!$I$39,Supuestos!$C$39,0)</f>
        <v>0</v>
      </c>
      <c r="F53" s="17">
        <f>IF(F$4=Supuestos!$I$39,Supuestos!$C$39,0)</f>
        <v>0</v>
      </c>
      <c r="G53" s="17">
        <f>IF(G$4=Supuestos!$I$39,Supuestos!$C$39,0)</f>
        <v>0</v>
      </c>
      <c r="H53" s="17">
        <f>IF(H$4=Supuestos!$I$39,Supuestos!$C$39,0)</f>
        <v>0</v>
      </c>
      <c r="I53" s="17">
        <f>IF(I$4=Supuestos!$I$39,Supuestos!$C$39,0)</f>
        <v>0</v>
      </c>
      <c r="J53" s="17">
        <f>IF(J$4=Supuestos!$I$39,Supuestos!$C$39,0)</f>
        <v>0</v>
      </c>
      <c r="K53" s="17">
        <f>IF(K$4=Supuestos!$I$39,Supuestos!$C$39,0)</f>
        <v>0</v>
      </c>
      <c r="L53" s="17">
        <f>IF(L$4=Supuestos!$I$39,Supuestos!$C$39,0)</f>
        <v>0</v>
      </c>
      <c r="M53" s="17">
        <f>IF(M$4=Supuestos!$I$39,Supuestos!$C$39,0)</f>
        <v>0</v>
      </c>
      <c r="N53" s="17">
        <f>IF(N$4=Supuestos!$I$39,Supuestos!$C$39,0)</f>
        <v>0</v>
      </c>
      <c r="O53" s="17">
        <f>IF(O$4=Supuestos!$I$39,Supuestos!$C$39,0)</f>
        <v>0</v>
      </c>
      <c r="P53" s="17">
        <f>IF(P$4=Supuestos!$I$39,Supuestos!$C$39,0)</f>
        <v>0</v>
      </c>
      <c r="Q53" s="17">
        <f>IF(Q$4=Supuestos!$I$39,Supuestos!$C$39,0)</f>
        <v>0</v>
      </c>
      <c r="R53" s="17">
        <f>IF(R$4=Supuestos!$I$39,Supuestos!$C$39,0)</f>
        <v>0</v>
      </c>
      <c r="S53" s="17">
        <f>IF(S$4=Supuestos!$I$39,Supuestos!$C$39,0)</f>
        <v>0</v>
      </c>
      <c r="T53" s="17">
        <f>IF(T$4=Supuestos!$I$39,Supuestos!$C$39,0)</f>
        <v>0</v>
      </c>
      <c r="U53" s="17">
        <f>IF(U$4=Supuestos!$I$39,Supuestos!$C$39,0)</f>
        <v>0</v>
      </c>
      <c r="V53" s="17">
        <f>IF(V$4=Supuestos!$I$39,Supuestos!$C$39,0)</f>
        <v>0</v>
      </c>
      <c r="W53" s="17">
        <f>IF(W$4=Supuestos!$I$39,Supuestos!$C$39,0)</f>
        <v>0</v>
      </c>
      <c r="X53" s="17">
        <f>IF(X$4=Supuestos!$I$39,Supuestos!$C$39,0)</f>
        <v>0</v>
      </c>
      <c r="Y53" s="17">
        <f>IF(Y$4=Supuestos!$I$39,Supuestos!$C$39,0)</f>
        <v>0</v>
      </c>
      <c r="Z53" s="17">
        <f>IF(Z$4=Supuestos!$I$39,Supuestos!$C$39,0)</f>
        <v>0</v>
      </c>
      <c r="AA53" s="17">
        <f>IF(AA$4=Supuestos!$I$39,Supuestos!$C$39,0)</f>
        <v>570000</v>
      </c>
      <c r="AB53" s="17">
        <f>IF(AB$4=Supuestos!$I$39,Supuestos!$C$39,0)</f>
        <v>0</v>
      </c>
      <c r="AC53" s="17">
        <f>IF(AC$4=Supuestos!$I$39,Supuestos!$C$39,0)</f>
        <v>0</v>
      </c>
      <c r="AD53" s="17">
        <f>IF(AD$4=Supuestos!$I$39,Supuestos!$C$39,0)</f>
        <v>0</v>
      </c>
      <c r="AE53" s="17">
        <f>IF(AE$4=Supuestos!$I$39,Supuestos!$C$39,0)</f>
        <v>0</v>
      </c>
      <c r="AF53" s="17">
        <f>IF(AF$4=Supuestos!$I$39,Supuestos!$C$39,0)</f>
        <v>0</v>
      </c>
      <c r="AG53" s="17">
        <f>IF(AG$4=Supuestos!$I$39,Supuestos!$C$39,0)</f>
        <v>0</v>
      </c>
      <c r="AH53" s="17">
        <f>IF(AH$4=Supuestos!$I$39,Supuestos!$C$39,0)</f>
        <v>0</v>
      </c>
      <c r="AI53" s="17">
        <f>IF(AI$4=Supuestos!$I$39,Supuestos!$C$39,0)</f>
        <v>0</v>
      </c>
      <c r="AJ53" s="17">
        <f>IF(AJ$4=Supuestos!$I$39,Supuestos!$C$39,0)</f>
        <v>0</v>
      </c>
      <c r="AK53" s="17">
        <f>IF(AK$4=Supuestos!$I$39,Supuestos!$C$39,0)</f>
        <v>0</v>
      </c>
      <c r="AL53" s="17">
        <f>IF(AL$4=Supuestos!$I$39,Supuestos!$C$39,0)</f>
        <v>0</v>
      </c>
      <c r="AM53" s="17">
        <f>IF(AM$4=Supuestos!$I$39,Supuestos!$C$39,0)</f>
        <v>0</v>
      </c>
      <c r="AN53" s="17">
        <f>IF(AN$4=Supuestos!$I$39,Supuestos!$C$39,0)</f>
        <v>0</v>
      </c>
      <c r="AO53" s="17">
        <f>IF(AO$4=Supuestos!$I$39,Supuestos!$C$39,0)</f>
        <v>0</v>
      </c>
      <c r="AP53" s="17">
        <f>IF(AP$4=Supuestos!$I$39,Supuestos!$C$39,0)</f>
        <v>0</v>
      </c>
      <c r="AQ53" s="17">
        <f>IF(AQ$4=Supuestos!$I$39,Supuestos!$C$39,0)</f>
        <v>0</v>
      </c>
      <c r="AR53" s="17">
        <f>IF(AR$4=Supuestos!$I$39,Supuestos!$C$39,0)</f>
        <v>0</v>
      </c>
      <c r="AS53" s="17">
        <f>IF(AS$4=Supuestos!$I$39,Supuestos!$C$39,0)</f>
        <v>0</v>
      </c>
      <c r="AT53" s="17">
        <f>IF(AT$4=Supuestos!$I$39,Supuestos!$C$39,0)</f>
        <v>0</v>
      </c>
      <c r="AU53" s="17">
        <f>IF(AU$4=Supuestos!$I$39,Supuestos!$C$39,0)</f>
        <v>0</v>
      </c>
      <c r="AV53" s="17">
        <f>IF(AV$4=Supuestos!$I$39,Supuestos!$C$39,0)</f>
        <v>0</v>
      </c>
      <c r="AW53" s="17">
        <f>IF(AW$4=Supuestos!$I$39,Supuestos!$C$39,0)</f>
        <v>0</v>
      </c>
      <c r="AX53" s="17">
        <f>IF(AX$4=Supuestos!$I$39,Supuestos!$C$39,0)</f>
        <v>0</v>
      </c>
      <c r="AY53" s="17">
        <f>IF(AY$4=Supuestos!$I$39,Supuestos!$C$39,0)</f>
        <v>0</v>
      </c>
      <c r="AZ53" s="17">
        <f>IF(AZ$4=Supuestos!$I$39,Supuestos!$C$39,0)</f>
        <v>0</v>
      </c>
      <c r="BA53" s="17">
        <f>IF(BA$4=Supuestos!$I$39,Supuestos!$C$39,0)</f>
        <v>0</v>
      </c>
      <c r="BB53" s="17">
        <f>IF(BB$4=Supuestos!$I$39,Supuestos!$C$39,0)</f>
        <v>0</v>
      </c>
      <c r="BC53" s="17">
        <f>IF(BC$4=Supuestos!$I$39,Supuestos!$C$39,0)</f>
        <v>0</v>
      </c>
      <c r="BD53" s="17">
        <f>IF(BD$4=Supuestos!$I$39,Supuestos!$C$39,0)</f>
        <v>0</v>
      </c>
      <c r="BE53" s="17">
        <f>IF(BE$4=Supuestos!$I$39,Supuestos!$C$39,0)</f>
        <v>0</v>
      </c>
      <c r="BF53" s="17">
        <f>IF(BF$4=Supuestos!$I$39,Supuestos!$C$39,0)</f>
        <v>0</v>
      </c>
      <c r="BG53" s="17">
        <f>IF(BG$4=Supuestos!$I$39,Supuestos!$C$39,0)</f>
        <v>0</v>
      </c>
      <c r="BH53" s="17">
        <f>IF(BH$4=Supuestos!$I$39,Supuestos!$C$39,0)</f>
        <v>0</v>
      </c>
      <c r="BI53" s="17">
        <f>IF(BI$4=Supuestos!$I$39,Supuestos!$C$39,0)</f>
        <v>0</v>
      </c>
      <c r="BJ53" s="17">
        <f>IF(BJ$4=Supuestos!$I$39,Supuestos!$C$39,0)</f>
        <v>0</v>
      </c>
      <c r="BK53" s="17">
        <f>IF(BK$4=Supuestos!$I$39,Supuestos!$C$39,0)</f>
        <v>0</v>
      </c>
      <c r="BL53" s="17">
        <f>IF(BL$4=Supuestos!$I$39,Supuestos!$C$39,0)</f>
        <v>0</v>
      </c>
      <c r="BM53" s="17">
        <f>IF(BM$4=Supuestos!$I$39,Supuestos!$C$39,0)</f>
        <v>0</v>
      </c>
      <c r="BN53" s="17">
        <f>IF(BN$4=Supuestos!$I$39,Supuestos!$C$39,0)</f>
        <v>0</v>
      </c>
      <c r="BO53" s="17">
        <f>IF(BO$4=Supuestos!$I$39,Supuestos!$C$39,0)</f>
        <v>0</v>
      </c>
      <c r="BP53" s="17">
        <f>IF(BP$4=Supuestos!$I$39,Supuestos!$C$39,0)</f>
        <v>0</v>
      </c>
      <c r="BQ53" s="17">
        <f>IF(BQ$4=Supuestos!$I$39,Supuestos!$C$39,0)</f>
        <v>0</v>
      </c>
      <c r="BR53" s="17">
        <f>IF(BR$4=Supuestos!$I$39,Supuestos!$C$39,0)</f>
        <v>0</v>
      </c>
      <c r="BS53" s="17">
        <f>IF(BS$4=Supuestos!$I$39,Supuestos!$C$39,0)</f>
        <v>0</v>
      </c>
      <c r="BT53" s="17">
        <f>IF(BT$4=Supuestos!$I$39,Supuestos!$C$39,0)</f>
        <v>0</v>
      </c>
      <c r="BU53" s="17">
        <f>IF(BU$4=Supuestos!$I$39,Supuestos!$C$39,0)</f>
        <v>0</v>
      </c>
      <c r="BV53" s="17">
        <f>IF(BV$4=Supuestos!$I$39,Supuestos!$C$39,0)</f>
        <v>0</v>
      </c>
      <c r="BW53" s="17">
        <f>IF(BW$4=Supuestos!$I$39,Supuestos!$C$39,0)</f>
        <v>0</v>
      </c>
      <c r="BX53" s="17">
        <f>IF(BX$4=Supuestos!$I$39,Supuestos!$C$39,0)</f>
        <v>0</v>
      </c>
      <c r="BY53" s="17">
        <f>IF(BY$4=Supuestos!$I$39,Supuestos!$C$39,0)</f>
        <v>0</v>
      </c>
      <c r="BZ53" s="17">
        <f>IF(BZ$4=Supuestos!$I$39,Supuestos!$C$39,0)</f>
        <v>0</v>
      </c>
      <c r="CA53" s="17">
        <f>IF(CA$4=Supuestos!$I$39,Supuestos!$C$39,0)</f>
        <v>0</v>
      </c>
      <c r="CB53" s="17">
        <f>IF(CB$4=Supuestos!$I$39,Supuestos!$C$39,0)</f>
        <v>0</v>
      </c>
      <c r="CC53" s="17">
        <f>IF(CC$4=Supuestos!$I$39,Supuestos!$C$39,0)</f>
        <v>0</v>
      </c>
      <c r="CD53" s="17">
        <f>IF(CD$4=Supuestos!$I$39,Supuestos!$C$39,0)</f>
        <v>0</v>
      </c>
      <c r="CE53" s="17">
        <f>IF(CE$4=Supuestos!$I$39,Supuestos!$C$39,0)</f>
        <v>0</v>
      </c>
      <c r="CF53" s="17">
        <f>IF(CF$4=Supuestos!$I$39,Supuestos!$C$39,0)</f>
        <v>0</v>
      </c>
      <c r="CG53" s="17">
        <f>IF(CG$4=Supuestos!$I$39,Supuestos!$C$39,0)</f>
        <v>0</v>
      </c>
      <c r="CH53" s="17">
        <f>IF(CH$4=Supuestos!$I$39,Supuestos!$C$39,0)</f>
        <v>0</v>
      </c>
      <c r="CI53" s="17">
        <f>IF(CI$4=Supuestos!$I$39,Supuestos!$C$39,0)</f>
        <v>0</v>
      </c>
      <c r="CJ53" s="17">
        <f>IF(CJ$4=Supuestos!$I$39,Supuestos!$C$39,0)</f>
        <v>0</v>
      </c>
      <c r="CK53" s="17">
        <f>IF(CK$4=Supuestos!$I$39,Supuestos!$C$39,0)</f>
        <v>0</v>
      </c>
      <c r="CL53" s="17">
        <f>IF(CL$4=Supuestos!$I$39,Supuestos!$C$39,0)</f>
        <v>0</v>
      </c>
      <c r="CM53" s="17">
        <f>IF(CM$4=Supuestos!$I$39,Supuestos!$C$39,0)</f>
        <v>0</v>
      </c>
      <c r="CN53" s="17">
        <f>IF(CN$4=Supuestos!$I$39,Supuestos!$C$39,0)</f>
        <v>0</v>
      </c>
      <c r="CO53" s="17">
        <f>IF(CO$4=Supuestos!$I$39,Supuestos!$C$39,0)</f>
        <v>0</v>
      </c>
      <c r="CP53" s="17">
        <f>IF(CP$4=Supuestos!$I$39,Supuestos!$C$39,0)</f>
        <v>0</v>
      </c>
      <c r="CQ53" s="17">
        <f>IF(CQ$4=Supuestos!$I$39,Supuestos!$C$39,0)</f>
        <v>0</v>
      </c>
      <c r="CR53" s="17">
        <f>IF(CR$4=Supuestos!$I$39,Supuestos!$C$39,0)</f>
        <v>0</v>
      </c>
      <c r="CS53" s="17">
        <f>IF(CS$4=Supuestos!$I$39,Supuestos!$C$39,0)</f>
        <v>0</v>
      </c>
      <c r="CT53" s="17">
        <f>IF(CT$4=Supuestos!$I$39,Supuestos!$C$39,0)</f>
        <v>0</v>
      </c>
      <c r="CU53" s="17">
        <f>IF(CU$4=Supuestos!$I$39,Supuestos!$C$39,0)</f>
        <v>0</v>
      </c>
      <c r="CV53" s="17">
        <f>IF(CV$4=Supuestos!$I$39,Supuestos!$C$39,0)</f>
        <v>0</v>
      </c>
      <c r="CW53" s="17">
        <f>IF(CW$4=Supuestos!$I$39,Supuestos!$C$39,0)</f>
        <v>0</v>
      </c>
      <c r="CX53" s="17">
        <f>IF(CX$4=Supuestos!$I$39,Supuestos!$C$39,0)</f>
        <v>0</v>
      </c>
      <c r="CY53" s="17">
        <f>IF(CY$4=Supuestos!$I$39,Supuestos!$C$39,0)</f>
        <v>0</v>
      </c>
      <c r="CZ53" s="17">
        <f>IF(CZ$4=Supuestos!$I$39,Supuestos!$C$39,0)</f>
        <v>0</v>
      </c>
      <c r="DA53" s="17">
        <f>IF(DA$4=Supuestos!$I$39,Supuestos!$C$39,0)</f>
        <v>0</v>
      </c>
      <c r="DB53" s="17">
        <f>IF(DB$4=Supuestos!$I$39,Supuestos!$C$39,0)</f>
        <v>0</v>
      </c>
      <c r="DC53" s="17">
        <f>IF(DC$4=Supuestos!$I$39,Supuestos!$C$39,0)</f>
        <v>0</v>
      </c>
      <c r="DD53" s="17">
        <f>IF(DD$4=Supuestos!$I$39,Supuestos!$C$39,0)</f>
        <v>0</v>
      </c>
      <c r="DE53" s="17">
        <f>IF(DE$4=Supuestos!$I$39,Supuestos!$C$39,0)</f>
        <v>0</v>
      </c>
      <c r="DF53" s="17">
        <f>IF(DF$4=Supuestos!$I$39,Supuestos!$C$39,0)</f>
        <v>0</v>
      </c>
      <c r="DG53" s="32">
        <f>SUM(C53:DF53)</f>
        <v>570000</v>
      </c>
    </row>
    <row r="54" spans="1:111" ht="13.8" x14ac:dyDescent="0.3">
      <c r="A54" s="16" t="s">
        <v>318</v>
      </c>
      <c r="C54" s="152">
        <f>IF(AND(C$4&gt;=Supuestos!$H$39,C$4&lt;EDATE(Supuestos!$H$39,Supuestos!$E$39)),1,0)</f>
        <v>0</v>
      </c>
      <c r="D54" s="152">
        <f>IF(AND(D$4&gt;=Supuestos!$H$39,D$4&lt;EDATE(Supuestos!$H$39,Supuestos!$E$39)),C54+1,0)</f>
        <v>0</v>
      </c>
      <c r="E54" s="152">
        <f>IF(AND(E$4&gt;=Supuestos!$H$39,E$4&lt;EDATE(Supuestos!$H$39,Supuestos!$E$39)),D54+1,0)</f>
        <v>0</v>
      </c>
      <c r="F54" s="152">
        <f>IF(AND(F$4&gt;=Supuestos!$H$39,F$4&lt;EDATE(Supuestos!$H$39,Supuestos!$E$39)),E54+1,0)</f>
        <v>0</v>
      </c>
      <c r="G54" s="152">
        <f>IF(AND(G$4&gt;=Supuestos!$H$39,G$4&lt;EDATE(Supuestos!$H$39,Supuestos!$E$39)),F54+1,0)</f>
        <v>0</v>
      </c>
      <c r="H54" s="152">
        <f>IF(AND(H$4&gt;=Supuestos!$H$39,H$4&lt;EDATE(Supuestos!$H$39,Supuestos!$E$39)),G54+1,0)</f>
        <v>0</v>
      </c>
      <c r="I54" s="152">
        <f>IF(AND(I$4&gt;=Supuestos!$H$39,I$4&lt;EDATE(Supuestos!$H$39,Supuestos!$E$39)),H54+1,0)</f>
        <v>0</v>
      </c>
      <c r="J54" s="152">
        <f>IF(AND(J$4&gt;=Supuestos!$H$39,J$4&lt;EDATE(Supuestos!$H$39,Supuestos!$E$39)),I54+1,0)</f>
        <v>0</v>
      </c>
      <c r="K54" s="152">
        <f>IF(AND(K$4&gt;=Supuestos!$H$39,K$4&lt;EDATE(Supuestos!$H$39,Supuestos!$E$39)),J54+1,0)</f>
        <v>0</v>
      </c>
      <c r="L54" s="152">
        <f>IF(AND(L$4&gt;=Supuestos!$H$39,L$4&lt;EDATE(Supuestos!$H$39,Supuestos!$E$39)),K54+1,0)</f>
        <v>0</v>
      </c>
      <c r="M54" s="152">
        <f>IF(AND(M$4&gt;=Supuestos!$H$39,M$4&lt;EDATE(Supuestos!$H$39,Supuestos!$E$39)),L54+1,0)</f>
        <v>0</v>
      </c>
      <c r="N54" s="152">
        <f>IF(AND(N$4&gt;=Supuestos!$H$39,N$4&lt;EDATE(Supuestos!$H$39,Supuestos!$E$39)),M54+1,0)</f>
        <v>0</v>
      </c>
      <c r="O54" s="152">
        <f>IF(AND(O$4&gt;=Supuestos!$H$39,O$4&lt;EDATE(Supuestos!$H$39,Supuestos!$E$39)),N54+1,0)</f>
        <v>0</v>
      </c>
      <c r="P54" s="152">
        <f>IF(AND(P$4&gt;=Supuestos!$H$39,P$4&lt;EDATE(Supuestos!$H$39,Supuestos!$E$39)),O54+1,0)</f>
        <v>0</v>
      </c>
      <c r="Q54" s="152">
        <f>IF(AND(Q$4&gt;=Supuestos!$H$39,Q$4&lt;EDATE(Supuestos!$H$39,Supuestos!$E$39)),P54+1,0)</f>
        <v>0</v>
      </c>
      <c r="R54" s="152">
        <f>IF(AND(R$4&gt;=Supuestos!$H$39,R$4&lt;EDATE(Supuestos!$H$39,Supuestos!$E$39)),Q54+1,0)</f>
        <v>0</v>
      </c>
      <c r="S54" s="152">
        <f>IF(AND(S$4&gt;=Supuestos!$H$39,S$4&lt;EDATE(Supuestos!$H$39,Supuestos!$E$39)),R54+1,0)</f>
        <v>0</v>
      </c>
      <c r="T54" s="152">
        <f>IF(AND(T$4&gt;=Supuestos!$H$39,T$4&lt;EDATE(Supuestos!$H$39,Supuestos!$E$39)),S54+1,0)</f>
        <v>0</v>
      </c>
      <c r="U54" s="152">
        <f>IF(AND(U$4&gt;=Supuestos!$H$39,U$4&lt;EDATE(Supuestos!$H$39,Supuestos!$E$39)),T54+1,0)</f>
        <v>0</v>
      </c>
      <c r="V54" s="152">
        <f>IF(AND(V$4&gt;=Supuestos!$H$39,V$4&lt;EDATE(Supuestos!$H$39,Supuestos!$E$39)),U54+1,0)</f>
        <v>0</v>
      </c>
      <c r="W54" s="152">
        <f>IF(AND(W$4&gt;=Supuestos!$H$39,W$4&lt;EDATE(Supuestos!$H$39,Supuestos!$E$39)),V54+1,0)</f>
        <v>0</v>
      </c>
      <c r="X54" s="152">
        <f>IF(AND(X$4&gt;=Supuestos!$H$39,X$4&lt;EDATE(Supuestos!$H$39,Supuestos!$E$39)),W54+1,0)</f>
        <v>0</v>
      </c>
      <c r="Y54" s="152">
        <f>IF(AND(Y$4&gt;=Supuestos!$H$39,Y$4&lt;EDATE(Supuestos!$H$39,Supuestos!$E$39)),X54+1,0)</f>
        <v>0</v>
      </c>
      <c r="Z54" s="152">
        <f>IF(AND(Z$4&gt;=Supuestos!$H$39,Z$4&lt;EDATE(Supuestos!$H$39,Supuestos!$E$39)),Y54+1,0)</f>
        <v>0</v>
      </c>
      <c r="AA54" s="152">
        <f>IF(AND(AA$4&gt;=Supuestos!$H$39,AA$4&lt;EDATE(Supuestos!$H$39,Supuestos!$E$39)),Z54+1,0)</f>
        <v>1</v>
      </c>
      <c r="AB54" s="152">
        <f>IF(AND(AB$4&gt;=Supuestos!$H$39,AB$4&lt;EDATE(Supuestos!$H$39,Supuestos!$E$39)),AA54+1,0)</f>
        <v>2</v>
      </c>
      <c r="AC54" s="152">
        <f>IF(AND(AC$4&gt;=Supuestos!$H$39,AC$4&lt;EDATE(Supuestos!$H$39,Supuestos!$E$39)),AB54+1,0)</f>
        <v>3</v>
      </c>
      <c r="AD54" s="152">
        <f>IF(AND(AD$4&gt;=Supuestos!$H$39,AD$4&lt;EDATE(Supuestos!$H$39,Supuestos!$E$39)),AC54+1,0)</f>
        <v>4</v>
      </c>
      <c r="AE54" s="152">
        <f>IF(AND(AE$4&gt;=Supuestos!$H$39,AE$4&lt;EDATE(Supuestos!$H$39,Supuestos!$E$39)),AD54+1,0)</f>
        <v>5</v>
      </c>
      <c r="AF54" s="152">
        <f>IF(AND(AF$4&gt;=Supuestos!$H$39,AF$4&lt;EDATE(Supuestos!$H$39,Supuestos!$E$39)),AE54+1,0)</f>
        <v>6</v>
      </c>
      <c r="AG54" s="152">
        <f>IF(AND(AG$4&gt;=Supuestos!$H$39,AG$4&lt;EDATE(Supuestos!$H$39,Supuestos!$E$39)),AF54+1,0)</f>
        <v>7</v>
      </c>
      <c r="AH54" s="152">
        <f>IF(AND(AH$4&gt;=Supuestos!$H$39,AH$4&lt;EDATE(Supuestos!$H$39,Supuestos!$E$39)),AG54+1,0)</f>
        <v>8</v>
      </c>
      <c r="AI54" s="152">
        <f>IF(AND(AI$4&gt;=Supuestos!$H$39,AI$4&lt;EDATE(Supuestos!$H$39,Supuestos!$E$39)),AH54+1,0)</f>
        <v>9</v>
      </c>
      <c r="AJ54" s="152">
        <f>IF(AND(AJ$4&gt;=Supuestos!$H$39,AJ$4&lt;EDATE(Supuestos!$H$39,Supuestos!$E$39)),AI54+1,0)</f>
        <v>10</v>
      </c>
      <c r="AK54" s="152">
        <f>IF(AND(AK$4&gt;=Supuestos!$H$39,AK$4&lt;EDATE(Supuestos!$H$39,Supuestos!$E$39)),AJ54+1,0)</f>
        <v>11</v>
      </c>
      <c r="AL54" s="152">
        <f>IF(AND(AL$4&gt;=Supuestos!$H$39,AL$4&lt;EDATE(Supuestos!$H$39,Supuestos!$E$39)),AK54+1,0)</f>
        <v>12</v>
      </c>
      <c r="AM54" s="152">
        <f>IF(AND(AM$4&gt;=Supuestos!$H$39,AM$4&lt;EDATE(Supuestos!$H$39,Supuestos!$E$39)),AL54+1,0)</f>
        <v>13</v>
      </c>
      <c r="AN54" s="152">
        <f>IF(AND(AN$4&gt;=Supuestos!$H$39,AN$4&lt;EDATE(Supuestos!$H$39,Supuestos!$E$39)),AM54+1,0)</f>
        <v>14</v>
      </c>
      <c r="AO54" s="152">
        <f>IF(AND(AO$4&gt;=Supuestos!$H$39,AO$4&lt;EDATE(Supuestos!$H$39,Supuestos!$E$39)),AN54+1,0)</f>
        <v>15</v>
      </c>
      <c r="AP54" s="152">
        <f>IF(AND(AP$4&gt;=Supuestos!$H$39,AP$4&lt;EDATE(Supuestos!$H$39,Supuestos!$E$39)),AO54+1,0)</f>
        <v>16</v>
      </c>
      <c r="AQ54" s="152">
        <f>IF(AND(AQ$4&gt;=Supuestos!$H$39,AQ$4&lt;EDATE(Supuestos!$H$39,Supuestos!$E$39)),AP54+1,0)</f>
        <v>17</v>
      </c>
      <c r="AR54" s="152">
        <f>IF(AND(AR$4&gt;=Supuestos!$H$39,AR$4&lt;EDATE(Supuestos!$H$39,Supuestos!$E$39)),AQ54+1,0)</f>
        <v>18</v>
      </c>
      <c r="AS54" s="152">
        <f>IF(AND(AS$4&gt;=Supuestos!$H$39,AS$4&lt;EDATE(Supuestos!$H$39,Supuestos!$E$39)),AR54+1,0)</f>
        <v>19</v>
      </c>
      <c r="AT54" s="152">
        <f>IF(AND(AT$4&gt;=Supuestos!$H$39,AT$4&lt;EDATE(Supuestos!$H$39,Supuestos!$E$39)),AS54+1,0)</f>
        <v>20</v>
      </c>
      <c r="AU54" s="152">
        <f>IF(AND(AU$4&gt;=Supuestos!$H$39,AU$4&lt;EDATE(Supuestos!$H$39,Supuestos!$E$39)),AT54+1,0)</f>
        <v>21</v>
      </c>
      <c r="AV54" s="152">
        <f>IF(AND(AV$4&gt;=Supuestos!$H$39,AV$4&lt;EDATE(Supuestos!$H$39,Supuestos!$E$39)),AU54+1,0)</f>
        <v>22</v>
      </c>
      <c r="AW54" s="152">
        <f>IF(AND(AW$4&gt;=Supuestos!$H$39,AW$4&lt;EDATE(Supuestos!$H$39,Supuestos!$E$39)),AV54+1,0)</f>
        <v>23</v>
      </c>
      <c r="AX54" s="152">
        <f>IF(AND(AX$4&gt;=Supuestos!$H$39,AX$4&lt;EDATE(Supuestos!$H$39,Supuestos!$E$39)),AW54+1,0)</f>
        <v>24</v>
      </c>
      <c r="AY54" s="152">
        <f>IF(AND(AY$4&gt;=Supuestos!$H$39,AY$4&lt;EDATE(Supuestos!$H$39,Supuestos!$E$39)),AX54+1,0)</f>
        <v>25</v>
      </c>
      <c r="AZ54" s="152">
        <f>IF(AND(AZ$4&gt;=Supuestos!$H$39,AZ$4&lt;EDATE(Supuestos!$H$39,Supuestos!$E$39)),AY54+1,0)</f>
        <v>26</v>
      </c>
      <c r="BA54" s="152">
        <f>IF(AND(BA$4&gt;=Supuestos!$H$39,BA$4&lt;EDATE(Supuestos!$H$39,Supuestos!$E$39)),AZ54+1,0)</f>
        <v>27</v>
      </c>
      <c r="BB54" s="152">
        <f>IF(AND(BB$4&gt;=Supuestos!$H$39,BB$4&lt;EDATE(Supuestos!$H$39,Supuestos!$E$39)),BA54+1,0)</f>
        <v>28</v>
      </c>
      <c r="BC54" s="152">
        <f>IF(AND(BC$4&gt;=Supuestos!$H$39,BC$4&lt;EDATE(Supuestos!$H$39,Supuestos!$E$39)),BB54+1,0)</f>
        <v>29</v>
      </c>
      <c r="BD54" s="152">
        <f>IF(AND(BD$4&gt;=Supuestos!$H$39,BD$4&lt;EDATE(Supuestos!$H$39,Supuestos!$E$39)),BC54+1,0)</f>
        <v>30</v>
      </c>
      <c r="BE54" s="152">
        <f>IF(AND(BE$4&gt;=Supuestos!$H$39,BE$4&lt;EDATE(Supuestos!$H$39,Supuestos!$E$39)),BD54+1,0)</f>
        <v>31</v>
      </c>
      <c r="BF54" s="152">
        <f>IF(AND(BF$4&gt;=Supuestos!$H$39,BF$4&lt;EDATE(Supuestos!$H$39,Supuestos!$E$39)),BE54+1,0)</f>
        <v>32</v>
      </c>
      <c r="BG54" s="152">
        <f>IF(AND(BG$4&gt;=Supuestos!$H$39,BG$4&lt;EDATE(Supuestos!$H$39,Supuestos!$E$39)),BF54+1,0)</f>
        <v>33</v>
      </c>
      <c r="BH54" s="152">
        <f>IF(AND(BH$4&gt;=Supuestos!$H$39,BH$4&lt;EDATE(Supuestos!$H$39,Supuestos!$E$39)),BG54+1,0)</f>
        <v>34</v>
      </c>
      <c r="BI54" s="152">
        <f>IF(AND(BI$4&gt;=Supuestos!$H$39,BI$4&lt;EDATE(Supuestos!$H$39,Supuestos!$E$39)),BH54+1,0)</f>
        <v>35</v>
      </c>
      <c r="BJ54" s="152">
        <f>IF(AND(BJ$4&gt;=Supuestos!$H$39,BJ$4&lt;EDATE(Supuestos!$H$39,Supuestos!$E$39)),BI54+1,0)</f>
        <v>36</v>
      </c>
      <c r="BK54" s="152">
        <f>IF(AND(BK$4&gt;=Supuestos!$H$39,BK$4&lt;EDATE(Supuestos!$H$39,Supuestos!$E$39)),BJ54+1,0)</f>
        <v>0</v>
      </c>
      <c r="BL54" s="152">
        <f>IF(AND(BL$4&gt;=Supuestos!$H$39,BL$4&lt;EDATE(Supuestos!$H$39,Supuestos!$E$39)),BK54+1,0)</f>
        <v>0</v>
      </c>
      <c r="BM54" s="152">
        <f>IF(AND(BM$4&gt;=Supuestos!$H$39,BM$4&lt;EDATE(Supuestos!$H$39,Supuestos!$E$39)),BL54+1,0)</f>
        <v>0</v>
      </c>
      <c r="BN54" s="152">
        <f>IF(AND(BN$4&gt;=Supuestos!$H$39,BN$4&lt;EDATE(Supuestos!$H$39,Supuestos!$E$39)),BM54+1,0)</f>
        <v>0</v>
      </c>
      <c r="BO54" s="152">
        <f>IF(AND(BO$4&gt;=Supuestos!$H$39,BO$4&lt;EDATE(Supuestos!$H$39,Supuestos!$E$39)),BN54+1,0)</f>
        <v>0</v>
      </c>
      <c r="BP54" s="152">
        <f>IF(AND(BP$4&gt;=Supuestos!$H$39,BP$4&lt;EDATE(Supuestos!$H$39,Supuestos!$E$39)),BO54+1,0)</f>
        <v>0</v>
      </c>
      <c r="BQ54" s="152">
        <f>IF(AND(BQ$4&gt;=Supuestos!$H$39,BQ$4&lt;EDATE(Supuestos!$H$39,Supuestos!$E$39)),BP54+1,0)</f>
        <v>0</v>
      </c>
      <c r="BR54" s="152">
        <f>IF(AND(BR$4&gt;=Supuestos!$H$39,BR$4&lt;EDATE(Supuestos!$H$39,Supuestos!$E$39)),BQ54+1,0)</f>
        <v>0</v>
      </c>
      <c r="BS54" s="152">
        <f>IF(AND(BS$4&gt;=Supuestos!$H$39,BS$4&lt;EDATE(Supuestos!$H$39,Supuestos!$E$39)),BR54+1,0)</f>
        <v>0</v>
      </c>
      <c r="BT54" s="152">
        <f>IF(AND(BT$4&gt;=Supuestos!$H$39,BT$4&lt;EDATE(Supuestos!$H$39,Supuestos!$E$39)),BS54+1,0)</f>
        <v>0</v>
      </c>
      <c r="BU54" s="152">
        <f>IF(AND(BU$4&gt;=Supuestos!$H$39,BU$4&lt;EDATE(Supuestos!$H$39,Supuestos!$E$39)),BT54+1,0)</f>
        <v>0</v>
      </c>
      <c r="BV54" s="152">
        <f>IF(AND(BV$4&gt;=Supuestos!$H$39,BV$4&lt;EDATE(Supuestos!$H$39,Supuestos!$E$39)),BU54+1,0)</f>
        <v>0</v>
      </c>
      <c r="BW54" s="152">
        <f>IF(AND(BW$4&gt;=Supuestos!$H$39,BW$4&lt;EDATE(Supuestos!$H$39,Supuestos!$E$39)),BV54+1,0)</f>
        <v>0</v>
      </c>
      <c r="BX54" s="152">
        <f>IF(AND(BX$4&gt;=Supuestos!$H$39,BX$4&lt;EDATE(Supuestos!$H$39,Supuestos!$E$39)),BW54+1,0)</f>
        <v>0</v>
      </c>
      <c r="BY54" s="152">
        <f>IF(AND(BY$4&gt;=Supuestos!$H$39,BY$4&lt;EDATE(Supuestos!$H$39,Supuestos!$E$39)),BX54+1,0)</f>
        <v>0</v>
      </c>
      <c r="BZ54" s="152">
        <f>IF(AND(BZ$4&gt;=Supuestos!$H$39,BZ$4&lt;EDATE(Supuestos!$H$39,Supuestos!$E$39)),BY54+1,0)</f>
        <v>0</v>
      </c>
      <c r="CA54" s="152">
        <f>IF(AND(CA$4&gt;=Supuestos!$H$39,CA$4&lt;EDATE(Supuestos!$H$39,Supuestos!$E$39)),BZ54+1,0)</f>
        <v>0</v>
      </c>
      <c r="CB54" s="152">
        <f>IF(AND(CB$4&gt;=Supuestos!$H$39,CB$4&lt;EDATE(Supuestos!$H$39,Supuestos!$E$39)),CA54+1,0)</f>
        <v>0</v>
      </c>
      <c r="CC54" s="152">
        <f>IF(AND(CC$4&gt;=Supuestos!$H$39,CC$4&lt;EDATE(Supuestos!$H$39,Supuestos!$E$39)),CB54+1,0)</f>
        <v>0</v>
      </c>
      <c r="CD54" s="152">
        <f>IF(AND(CD$4&gt;=Supuestos!$H$39,CD$4&lt;EDATE(Supuestos!$H$39,Supuestos!$E$39)),CC54+1,0)</f>
        <v>0</v>
      </c>
      <c r="CE54" s="152">
        <f>IF(AND(CE$4&gt;=Supuestos!$H$39,CE$4&lt;EDATE(Supuestos!$H$39,Supuestos!$E$39)),CD54+1,0)</f>
        <v>0</v>
      </c>
      <c r="CF54" s="152">
        <f>IF(AND(CF$4&gt;=Supuestos!$H$39,CF$4&lt;EDATE(Supuestos!$H$39,Supuestos!$E$39)),CE54+1,0)</f>
        <v>0</v>
      </c>
      <c r="CG54" s="152">
        <f>IF(AND(CG$4&gt;=Supuestos!$H$39,CG$4&lt;EDATE(Supuestos!$H$39,Supuestos!$E$39)),CF54+1,0)</f>
        <v>0</v>
      </c>
      <c r="CH54" s="152">
        <f>IF(AND(CH$4&gt;=Supuestos!$H$39,CH$4&lt;EDATE(Supuestos!$H$39,Supuestos!$E$39)),CG54+1,0)</f>
        <v>0</v>
      </c>
      <c r="CI54" s="152">
        <f>IF(AND(CI$4&gt;=Supuestos!$H$39,CI$4&lt;EDATE(Supuestos!$H$39,Supuestos!$E$39)),CH54+1,0)</f>
        <v>0</v>
      </c>
      <c r="CJ54" s="152">
        <f>IF(AND(CJ$4&gt;=Supuestos!$H$39,CJ$4&lt;EDATE(Supuestos!$H$39,Supuestos!$E$39)),CI54+1,0)</f>
        <v>0</v>
      </c>
      <c r="CK54" s="152">
        <f>IF(AND(CK$4&gt;=Supuestos!$H$39,CK$4&lt;EDATE(Supuestos!$H$39,Supuestos!$E$39)),CJ54+1,0)</f>
        <v>0</v>
      </c>
      <c r="CL54" s="152">
        <f>IF(AND(CL$4&gt;=Supuestos!$H$39,CL$4&lt;EDATE(Supuestos!$H$39,Supuestos!$E$39)),CK54+1,0)</f>
        <v>0</v>
      </c>
      <c r="CM54" s="152">
        <f>IF(AND(CM$4&gt;=Supuestos!$H$39,CM$4&lt;EDATE(Supuestos!$H$39,Supuestos!$E$39)),CL54+1,0)</f>
        <v>0</v>
      </c>
      <c r="CN54" s="152">
        <f>IF(AND(CN$4&gt;=Supuestos!$H$39,CN$4&lt;EDATE(Supuestos!$H$39,Supuestos!$E$39)),CM54+1,0)</f>
        <v>0</v>
      </c>
      <c r="CO54" s="152">
        <f>IF(AND(CO$4&gt;=Supuestos!$H$39,CO$4&lt;EDATE(Supuestos!$H$39,Supuestos!$E$39)),CN54+1,0)</f>
        <v>0</v>
      </c>
      <c r="CP54" s="152">
        <f>IF(AND(CP$4&gt;=Supuestos!$H$39,CP$4&lt;EDATE(Supuestos!$H$39,Supuestos!$E$39)),CO54+1,0)</f>
        <v>0</v>
      </c>
      <c r="CQ54" s="152">
        <f>IF(AND(CQ$4&gt;=Supuestos!$H$39,CQ$4&lt;EDATE(Supuestos!$H$39,Supuestos!$E$39)),CP54+1,0)</f>
        <v>0</v>
      </c>
      <c r="CR54" s="152">
        <f>IF(AND(CR$4&gt;=Supuestos!$H$39,CR$4&lt;EDATE(Supuestos!$H$39,Supuestos!$E$39)),CQ54+1,0)</f>
        <v>0</v>
      </c>
      <c r="CS54" s="152">
        <f>IF(AND(CS$4&gt;=Supuestos!$H$39,CS$4&lt;EDATE(Supuestos!$H$39,Supuestos!$E$39)),CR54+1,0)</f>
        <v>0</v>
      </c>
      <c r="CT54" s="152">
        <f>IF(AND(CT$4&gt;=Supuestos!$H$39,CT$4&lt;EDATE(Supuestos!$H$39,Supuestos!$E$39)),CS54+1,0)</f>
        <v>0</v>
      </c>
      <c r="CU54" s="152">
        <f>IF(AND(CU$4&gt;=Supuestos!$H$39,CU$4&lt;EDATE(Supuestos!$H$39,Supuestos!$E$39)),CT54+1,0)</f>
        <v>0</v>
      </c>
      <c r="CV54" s="152">
        <f>IF(AND(CV$4&gt;=Supuestos!$H$39,CV$4&lt;EDATE(Supuestos!$H$39,Supuestos!$E$39)),CU54+1,0)</f>
        <v>0</v>
      </c>
      <c r="CW54" s="152">
        <f>IF(AND(CW$4&gt;=Supuestos!$H$39,CW$4&lt;EDATE(Supuestos!$H$39,Supuestos!$E$39)),CV54+1,0)</f>
        <v>0</v>
      </c>
      <c r="CX54" s="152">
        <f>IF(AND(CX$4&gt;=Supuestos!$H$39,CX$4&lt;EDATE(Supuestos!$H$39,Supuestos!$E$39)),CW54+1,0)</f>
        <v>0</v>
      </c>
      <c r="CY54" s="152">
        <f>IF(AND(CY$4&gt;=Supuestos!$H$39,CY$4&lt;EDATE(Supuestos!$H$39,Supuestos!$E$39)),CX54+1,0)</f>
        <v>0</v>
      </c>
      <c r="CZ54" s="152">
        <f>IF(AND(CZ$4&gt;=Supuestos!$H$39,CZ$4&lt;EDATE(Supuestos!$H$39,Supuestos!$E$39)),CY54+1,0)</f>
        <v>0</v>
      </c>
      <c r="DA54" s="152">
        <f>IF(AND(DA$4&gt;=Supuestos!$H$39,DA$4&lt;EDATE(Supuestos!$H$39,Supuestos!$E$39)),CZ54+1,0)</f>
        <v>0</v>
      </c>
      <c r="DB54" s="152">
        <f>IF(AND(DB$4&gt;=Supuestos!$H$39,DB$4&lt;EDATE(Supuestos!$H$39,Supuestos!$E$39)),DA54+1,0)</f>
        <v>0</v>
      </c>
      <c r="DC54" s="152">
        <f>IF(AND(DC$4&gt;=Supuestos!$H$39,DC$4&lt;EDATE(Supuestos!$H$39,Supuestos!$E$39)),DB54+1,0)</f>
        <v>0</v>
      </c>
      <c r="DD54" s="152">
        <f>IF(AND(DD$4&gt;=Supuestos!$H$39,DD$4&lt;EDATE(Supuestos!$H$39,Supuestos!$E$39)),DC54+1,0)</f>
        <v>0</v>
      </c>
      <c r="DE54" s="152">
        <f>IF(AND(DE$4&gt;=Supuestos!$H$39,DE$4&lt;EDATE(Supuestos!$H$39,Supuestos!$E$39)),DD54+1,0)</f>
        <v>0</v>
      </c>
      <c r="DF54" s="152">
        <f>IF(AND(DF$4&gt;=Supuestos!$H$39,DF$4&lt;EDATE(Supuestos!$H$39,Supuestos!$E$39)),DE54+1,0)</f>
        <v>0</v>
      </c>
    </row>
    <row r="55" spans="1:111" ht="13.8" x14ac:dyDescent="0.3">
      <c r="A55" s="16" t="s">
        <v>319</v>
      </c>
      <c r="C55" s="17">
        <f>IF(C54=1,Supuestos!$C$39,0)</f>
        <v>0</v>
      </c>
      <c r="D55" s="17">
        <f>IF(D54=1,Supuestos!$C$39,IF(D54=0,0,C59))</f>
        <v>0</v>
      </c>
      <c r="E55" s="17">
        <f>IF(E54=1,Supuestos!$C$39,IF(E54=0,0,D59))</f>
        <v>0</v>
      </c>
      <c r="F55" s="17">
        <f>IF(F54=1,Supuestos!$C$39,IF(F54=0,0,E59))</f>
        <v>0</v>
      </c>
      <c r="G55" s="17">
        <f>IF(G54=1,Supuestos!$C$39,IF(G54=0,0,F59))</f>
        <v>0</v>
      </c>
      <c r="H55" s="17">
        <f>IF(H54=1,Supuestos!$C$39,IF(H54=0,0,G59))</f>
        <v>0</v>
      </c>
      <c r="I55" s="17">
        <f>IF(I54=1,Supuestos!$C$39,IF(I54=0,0,H59))</f>
        <v>0</v>
      </c>
      <c r="J55" s="17">
        <f>IF(J54=1,Supuestos!$C$39,IF(J54=0,0,I59))</f>
        <v>0</v>
      </c>
      <c r="K55" s="17">
        <f>IF(K54=1,Supuestos!$C$39,IF(K54=0,0,J59))</f>
        <v>0</v>
      </c>
      <c r="L55" s="17">
        <f>IF(L54=1,Supuestos!$C$39,IF(L54=0,0,K59))</f>
        <v>0</v>
      </c>
      <c r="M55" s="17">
        <f>IF(M54=1,Supuestos!$C$39,IF(M54=0,0,L59))</f>
        <v>0</v>
      </c>
      <c r="N55" s="17">
        <f>IF(N54=1,Supuestos!$C$39,IF(N54=0,0,M59))</f>
        <v>0</v>
      </c>
      <c r="O55" s="17">
        <f>IF(O54=1,Supuestos!$C$39,IF(O54=0,0,N59))</f>
        <v>0</v>
      </c>
      <c r="P55" s="17">
        <f>IF(P54=1,Supuestos!$C$39,IF(P54=0,0,O59))</f>
        <v>0</v>
      </c>
      <c r="Q55" s="17">
        <f>IF(Q54=1,Supuestos!$C$39,IF(Q54=0,0,P59))</f>
        <v>0</v>
      </c>
      <c r="R55" s="17">
        <f>IF(R54=1,Supuestos!$C$39,IF(R54=0,0,Q59))</f>
        <v>0</v>
      </c>
      <c r="S55" s="17">
        <f>IF(S54=1,Supuestos!$C$39,IF(S54=0,0,R59))</f>
        <v>0</v>
      </c>
      <c r="T55" s="17">
        <f>IF(T54=1,Supuestos!$C$39,IF(T54=0,0,S59))</f>
        <v>0</v>
      </c>
      <c r="U55" s="17">
        <f>IF(U54=1,Supuestos!$C$39,IF(U54=0,0,T59))</f>
        <v>0</v>
      </c>
      <c r="V55" s="17">
        <f>IF(V54=1,Supuestos!$C$39,IF(V54=0,0,U59))</f>
        <v>0</v>
      </c>
      <c r="W55" s="17">
        <f>IF(W54=1,Supuestos!$C$39,IF(W54=0,0,V59))</f>
        <v>0</v>
      </c>
      <c r="X55" s="17">
        <f>IF(X54=1,Supuestos!$C$39,IF(X54=0,0,W59))</f>
        <v>0</v>
      </c>
      <c r="Y55" s="17">
        <f>IF(Y54=1,Supuestos!$C$39,IF(Y54=0,0,X59))</f>
        <v>0</v>
      </c>
      <c r="Z55" s="17">
        <f>IF(Z54=1,Supuestos!$C$39,IF(Z54=0,0,Y59))</f>
        <v>0</v>
      </c>
      <c r="AA55" s="17">
        <f>IF(AA54=1,Supuestos!$C$39,IF(AA54=0,0,Z59))</f>
        <v>570000</v>
      </c>
      <c r="AB55" s="17">
        <f>IF(AB54=1,Supuestos!$C$39,IF(AB54=0,0,AA59))</f>
        <v>555678.90193953598</v>
      </c>
      <c r="AC55" s="17">
        <f>IF(AC54=1,Supuestos!$C$39,IF(AC54=0,0,AB59))</f>
        <v>541276.83030853083</v>
      </c>
      <c r="AD55" s="17">
        <f>IF(AD54=1,Supuestos!$C$39,IF(AD54=0,0,AC59))</f>
        <v>526793.32727064413</v>
      </c>
      <c r="AE55" s="17">
        <f>IF(AE54=1,Supuestos!$C$39,IF(AE54=0,0,AD59))</f>
        <v>512227.93240086228</v>
      </c>
      <c r="AF55" s="17">
        <f>IF(AF54=1,Supuestos!$C$39,IF(AF54=0,0,AE59))</f>
        <v>497580.18267086172</v>
      </c>
      <c r="AG55" s="17">
        <f>IF(AG54=1,Supuestos!$C$39,IF(AG54=0,0,AF59))</f>
        <v>482849.61243428942</v>
      </c>
      <c r="AH55" s="17">
        <f>IF(AH54=1,Supuestos!$C$39,IF(AH54=0,0,AG59))</f>
        <v>468035.75341196015</v>
      </c>
      <c r="AI55" s="17">
        <f>IF(AI54=1,Supuestos!$C$39,IF(AI54=0,0,AH59))</f>
        <v>453138.13467697008</v>
      </c>
      <c r="AJ55" s="17">
        <f>IF(AJ54=1,Supuestos!$C$39,IF(AJ54=0,0,AI59))</f>
        <v>438156.28263972624</v>
      </c>
      <c r="AK55" s="17">
        <f>IF(AK54=1,Supuestos!$C$39,IF(AK54=0,0,AJ59))</f>
        <v>423089.72103289125</v>
      </c>
      <c r="AL55" s="17">
        <f>IF(AL54=1,Supuestos!$C$39,IF(AL54=0,0,AK59))</f>
        <v>407937.97089624294</v>
      </c>
      <c r="AM55" s="17">
        <f>IF(AM54=1,Supuestos!$C$39,IF(AM54=0,0,AL59))</f>
        <v>392700.55056144838</v>
      </c>
      <c r="AN55" s="17">
        <f>IF(AN54=1,Supuestos!$C$39,IF(AN54=0,0,AM59))</f>
        <v>377376.97563675186</v>
      </c>
      <c r="AO55" s="17">
        <f>IF(AO54=1,Supuestos!$C$39,IF(AO54=0,0,AN59))</f>
        <v>361966.75899157632</v>
      </c>
      <c r="AP55" s="17">
        <f>IF(AP54=1,Supuestos!$C$39,IF(AP54=0,0,AO59))</f>
        <v>346469.41074103757</v>
      </c>
      <c r="AQ55" s="17">
        <f>IF(AQ54=1,Supuestos!$C$39,IF(AQ54=0,0,AP59))</f>
        <v>330884.43823037099</v>
      </c>
      <c r="AR55" s="17">
        <f>IF(AR54=1,Supuestos!$C$39,IF(AR54=0,0,AQ59))</f>
        <v>315211.34601927036</v>
      </c>
      <c r="AS55" s="17">
        <f>IF(AS54=1,Supuestos!$C$39,IF(AS54=0,0,AR59))</f>
        <v>299449.63586613798</v>
      </c>
      <c r="AT55" s="17">
        <f>IF(AT54=1,Supuestos!$C$39,IF(AT54=0,0,AS59))</f>
        <v>283598.80671224563</v>
      </c>
      <c r="AU55" s="17">
        <f>IF(AU54=1,Supuestos!$C$39,IF(AU54=0,0,AT59))</f>
        <v>267658.35466580628</v>
      </c>
      <c r="AV55" s="17">
        <f>IF(AV54=1,Supuestos!$C$39,IF(AV54=0,0,AU59))</f>
        <v>251627.77298595541</v>
      </c>
      <c r="AW55" s="17">
        <f>IF(AW54=1,Supuestos!$C$39,IF(AW54=0,0,AV59))</f>
        <v>235506.55206664198</v>
      </c>
      <c r="AX55" s="17">
        <f>IF(AX54=1,Supuestos!$C$39,IF(AX54=0,0,AW59))</f>
        <v>219294.17942042826</v>
      </c>
      <c r="AY55" s="17">
        <f>IF(AY54=1,Supuestos!$C$39,IF(AY54=0,0,AX59))</f>
        <v>202990.13966219805</v>
      </c>
      <c r="AZ55" s="17">
        <f>IF(AZ54=1,Supuestos!$C$39,IF(AZ54=0,0,AY59))</f>
        <v>186593.91449277278</v>
      </c>
      <c r="BA55" s="17">
        <f>IF(BA54=1,Supuestos!$C$39,IF(BA54=0,0,AZ59))</f>
        <v>170104.98268243496</v>
      </c>
      <c r="BB55" s="17">
        <f>IF(BB54=1,Supuestos!$C$39,IF(BB54=0,0,BA59))</f>
        <v>153522.82005435845</v>
      </c>
      <c r="BC55" s="17">
        <f>IF(BC54=1,Supuestos!$C$39,IF(BC54=0,0,BB59))</f>
        <v>136846.89946794522</v>
      </c>
      <c r="BD55" s="17">
        <f>IF(BD54=1,Supuestos!$C$39,IF(BD54=0,0,BC59))</f>
        <v>120076.69080206758</v>
      </c>
      <c r="BE55" s="17">
        <f>IF(BE54=1,Supuestos!$C$39,IF(BE54=0,0,BD59))</f>
        <v>103211.66093821594</v>
      </c>
      <c r="BF55" s="17">
        <f>IF(BF54=1,Supuestos!$C$39,IF(BF54=0,0,BE59))</f>
        <v>86251.273743551152</v>
      </c>
      <c r="BG55" s="17">
        <f>IF(BG54=1,Supuestos!$C$39,IF(BG54=0,0,BF59))</f>
        <v>69194.990053861053</v>
      </c>
      <c r="BH55" s="17">
        <f>IF(BH54=1,Supuestos!$C$39,IF(BH54=0,0,BG59))</f>
        <v>52042.267656420605</v>
      </c>
      <c r="BI55" s="17">
        <f>IF(BI54=1,Supuestos!$C$39,IF(BI54=0,0,BH59))</f>
        <v>34792.561272755229</v>
      </c>
      <c r="BJ55" s="17">
        <f>IF(BJ54=1,Supuestos!$C$39,IF(BJ54=0,0,BI59))</f>
        <v>17445.322541306556</v>
      </c>
      <c r="BK55" s="17">
        <f>IF(BK54=1,Supuestos!$C$39,IF(BK54=0,0,BJ59))</f>
        <v>0</v>
      </c>
      <c r="BL55" s="17">
        <f>IF(BL54=1,Supuestos!$C$39,IF(BL54=0,0,BK59))</f>
        <v>0</v>
      </c>
      <c r="BM55" s="17">
        <f>IF(BM54=1,Supuestos!$C$39,IF(BM54=0,0,BL59))</f>
        <v>0</v>
      </c>
      <c r="BN55" s="17">
        <f>IF(BN54=1,Supuestos!$C$39,IF(BN54=0,0,BM59))</f>
        <v>0</v>
      </c>
      <c r="BO55" s="17">
        <f>IF(BO54=1,Supuestos!$C$39,IF(BO54=0,0,BN59))</f>
        <v>0</v>
      </c>
      <c r="BP55" s="17">
        <f>IF(BP54=1,Supuestos!$C$39,IF(BP54=0,0,BO59))</f>
        <v>0</v>
      </c>
      <c r="BQ55" s="17">
        <f>IF(BQ54=1,Supuestos!$C$39,IF(BQ54=0,0,BP59))</f>
        <v>0</v>
      </c>
      <c r="BR55" s="17">
        <f>IF(BR54=1,Supuestos!$C$39,IF(BR54=0,0,BQ59))</f>
        <v>0</v>
      </c>
      <c r="BS55" s="17">
        <f>IF(BS54=1,Supuestos!$C$39,IF(BS54=0,0,BR59))</f>
        <v>0</v>
      </c>
      <c r="BT55" s="17">
        <f>IF(BT54=1,Supuestos!$C$39,IF(BT54=0,0,BS59))</f>
        <v>0</v>
      </c>
      <c r="BU55" s="17">
        <f>IF(BU54=1,Supuestos!$C$39,IF(BU54=0,0,BT59))</f>
        <v>0</v>
      </c>
      <c r="BV55" s="17">
        <f>IF(BV54=1,Supuestos!$C$39,IF(BV54=0,0,BU59))</f>
        <v>0</v>
      </c>
      <c r="BW55" s="17">
        <f>IF(BW54=1,Supuestos!$C$39,IF(BW54=0,0,BV59))</f>
        <v>0</v>
      </c>
      <c r="BX55" s="17">
        <f>IF(BX54=1,Supuestos!$C$39,IF(BX54=0,0,BW59))</f>
        <v>0</v>
      </c>
      <c r="BY55" s="17">
        <f>IF(BY54=1,Supuestos!$C$39,IF(BY54=0,0,BX59))</f>
        <v>0</v>
      </c>
      <c r="BZ55" s="17">
        <f>IF(BZ54=1,Supuestos!$C$39,IF(BZ54=0,0,BY59))</f>
        <v>0</v>
      </c>
      <c r="CA55" s="17">
        <f>IF(CA54=1,Supuestos!$C$39,IF(CA54=0,0,BZ59))</f>
        <v>0</v>
      </c>
      <c r="CB55" s="17">
        <f>IF(CB54=1,Supuestos!$C$39,IF(CB54=0,0,CA59))</f>
        <v>0</v>
      </c>
      <c r="CC55" s="17">
        <f>IF(CC54=1,Supuestos!$C$39,IF(CC54=0,0,CB59))</f>
        <v>0</v>
      </c>
      <c r="CD55" s="17">
        <f>IF(CD54=1,Supuestos!$C$39,IF(CD54=0,0,CC59))</f>
        <v>0</v>
      </c>
      <c r="CE55" s="17">
        <f>IF(CE54=1,Supuestos!$C$39,IF(CE54=0,0,CD59))</f>
        <v>0</v>
      </c>
      <c r="CF55" s="17">
        <f>IF(CF54=1,Supuestos!$C$39,IF(CF54=0,0,CE59))</f>
        <v>0</v>
      </c>
      <c r="CG55" s="17">
        <f>IF(CG54=1,Supuestos!$C$39,IF(CG54=0,0,CF59))</f>
        <v>0</v>
      </c>
      <c r="CH55" s="17">
        <f>IF(CH54=1,Supuestos!$C$39,IF(CH54=0,0,CG59))</f>
        <v>0</v>
      </c>
      <c r="CI55" s="17">
        <f>IF(CI54=1,Supuestos!$C$39,IF(CI54=0,0,CH59))</f>
        <v>0</v>
      </c>
      <c r="CJ55" s="17">
        <f>IF(CJ54=1,Supuestos!$C$39,IF(CJ54=0,0,CI59))</f>
        <v>0</v>
      </c>
      <c r="CK55" s="17">
        <f>IF(CK54=1,Supuestos!$C$39,IF(CK54=0,0,CJ59))</f>
        <v>0</v>
      </c>
      <c r="CL55" s="17">
        <f>IF(CL54=1,Supuestos!$C$39,IF(CL54=0,0,CK59))</f>
        <v>0</v>
      </c>
      <c r="CM55" s="17">
        <f>IF(CM54=1,Supuestos!$C$39,IF(CM54=0,0,CL59))</f>
        <v>0</v>
      </c>
      <c r="CN55" s="17">
        <f>IF(CN54=1,Supuestos!$C$39,IF(CN54=0,0,CM59))</f>
        <v>0</v>
      </c>
      <c r="CO55" s="17">
        <f>IF(CO54=1,Supuestos!$C$39,IF(CO54=0,0,CN59))</f>
        <v>0</v>
      </c>
      <c r="CP55" s="17">
        <f>IF(CP54=1,Supuestos!$C$39,IF(CP54=0,0,CO59))</f>
        <v>0</v>
      </c>
      <c r="CQ55" s="17">
        <f>IF(CQ54=1,Supuestos!$C$39,IF(CQ54=0,0,CP59))</f>
        <v>0</v>
      </c>
      <c r="CR55" s="17">
        <f>IF(CR54=1,Supuestos!$C$39,IF(CR54=0,0,CQ59))</f>
        <v>0</v>
      </c>
      <c r="CS55" s="17">
        <f>IF(CS54=1,Supuestos!$C$39,IF(CS54=0,0,CR59))</f>
        <v>0</v>
      </c>
      <c r="CT55" s="17">
        <f>IF(CT54=1,Supuestos!$C$39,IF(CT54=0,0,CS59))</f>
        <v>0</v>
      </c>
      <c r="CU55" s="17">
        <f>IF(CU54=1,Supuestos!$C$39,IF(CU54=0,0,CT59))</f>
        <v>0</v>
      </c>
      <c r="CV55" s="17">
        <f>IF(CV54=1,Supuestos!$C$39,IF(CV54=0,0,CU59))</f>
        <v>0</v>
      </c>
      <c r="CW55" s="17">
        <f>IF(CW54=1,Supuestos!$C$39,IF(CW54=0,0,CV59))</f>
        <v>0</v>
      </c>
      <c r="CX55" s="17">
        <f>IF(CX54=1,Supuestos!$C$39,IF(CX54=0,0,CW59))</f>
        <v>0</v>
      </c>
      <c r="CY55" s="17">
        <f>IF(CY54=1,Supuestos!$C$39,IF(CY54=0,0,CX59))</f>
        <v>0</v>
      </c>
      <c r="CZ55" s="17">
        <f>IF(CZ54=1,Supuestos!$C$39,IF(CZ54=0,0,CY59))</f>
        <v>0</v>
      </c>
      <c r="DA55" s="17">
        <f>IF(DA54=1,Supuestos!$C$39,IF(DA54=0,0,CZ59))</f>
        <v>0</v>
      </c>
      <c r="DB55" s="17">
        <f>IF(DB54=1,Supuestos!$C$39,IF(DB54=0,0,DA59))</f>
        <v>0</v>
      </c>
      <c r="DC55" s="17">
        <f>IF(DC54=1,Supuestos!$C$39,IF(DC54=0,0,DB59))</f>
        <v>0</v>
      </c>
      <c r="DD55" s="17">
        <f>IF(DD54=1,Supuestos!$C$39,IF(DD54=0,0,DC59))</f>
        <v>0</v>
      </c>
      <c r="DE55" s="17">
        <f>IF(DE54=1,Supuestos!$C$39,IF(DE54=0,0,DD59))</f>
        <v>0</v>
      </c>
      <c r="DF55" s="17">
        <f>IF(DF54=1,Supuestos!$C$39,IF(DF54=0,0,DE59))</f>
        <v>0</v>
      </c>
    </row>
    <row r="56" spans="1:111" ht="13.8" x14ac:dyDescent="0.3">
      <c r="A56" s="16" t="s">
        <v>320</v>
      </c>
      <c r="C56" s="17">
        <f>C55*Supuestos!$F$39</f>
        <v>0</v>
      </c>
      <c r="D56" s="17">
        <f>D55*Supuestos!$F$39</f>
        <v>0</v>
      </c>
      <c r="E56" s="17">
        <f>E55*Supuestos!$F$39</f>
        <v>0</v>
      </c>
      <c r="F56" s="17">
        <f>F55*Supuestos!$F$39</f>
        <v>0</v>
      </c>
      <c r="G56" s="17">
        <f>G55*Supuestos!$F$39</f>
        <v>0</v>
      </c>
      <c r="H56" s="17">
        <f>H55*Supuestos!$F$39</f>
        <v>0</v>
      </c>
      <c r="I56" s="17">
        <f>I55*Supuestos!$F$39</f>
        <v>0</v>
      </c>
      <c r="J56" s="17">
        <f>J55*Supuestos!$F$39</f>
        <v>0</v>
      </c>
      <c r="K56" s="17">
        <f>K55*Supuestos!$F$39</f>
        <v>0</v>
      </c>
      <c r="L56" s="17">
        <f>L55*Supuestos!$F$39</f>
        <v>0</v>
      </c>
      <c r="M56" s="17">
        <f>M55*Supuestos!$F$39</f>
        <v>0</v>
      </c>
      <c r="N56" s="17">
        <f>N55*Supuestos!$F$39</f>
        <v>0</v>
      </c>
      <c r="O56" s="17">
        <f>O55*Supuestos!$F$39</f>
        <v>0</v>
      </c>
      <c r="P56" s="17">
        <f>P55*Supuestos!$F$39</f>
        <v>0</v>
      </c>
      <c r="Q56" s="17">
        <f>Q55*Supuestos!$F$39</f>
        <v>0</v>
      </c>
      <c r="R56" s="17">
        <f>R55*Supuestos!$F$39</f>
        <v>0</v>
      </c>
      <c r="S56" s="17">
        <f>S55*Supuestos!$F$39</f>
        <v>0</v>
      </c>
      <c r="T56" s="17">
        <f>T55*Supuestos!$F$39</f>
        <v>0</v>
      </c>
      <c r="U56" s="17">
        <f>U55*Supuestos!$F$39</f>
        <v>0</v>
      </c>
      <c r="V56" s="17">
        <f>V55*Supuestos!$F$39</f>
        <v>0</v>
      </c>
      <c r="W56" s="17">
        <f>W55*Supuestos!$F$39</f>
        <v>0</v>
      </c>
      <c r="X56" s="17">
        <f>X55*Supuestos!$F$39</f>
        <v>0</v>
      </c>
      <c r="Y56" s="17">
        <f>Y55*Supuestos!$F$39</f>
        <v>0</v>
      </c>
      <c r="Z56" s="17">
        <f>Z55*Supuestos!$F$39</f>
        <v>0</v>
      </c>
      <c r="AA56" s="17">
        <f>AA55*Supuestos!$F$39</f>
        <v>3222.8628708210063</v>
      </c>
      <c r="AB56" s="17">
        <f>AB55*Supuestos!$F$39</f>
        <v>3141.889300279855</v>
      </c>
      <c r="AC56" s="17">
        <f>AC55*Supuestos!$F$39</f>
        <v>3060.4578933983266</v>
      </c>
      <c r="AD56" s="17">
        <f>AD55*Supuestos!$F$39</f>
        <v>2978.5660615031893</v>
      </c>
      <c r="AE56" s="17">
        <f>AE55*Supuestos!$F$39</f>
        <v>2896.2112012844759</v>
      </c>
      <c r="AF56" s="17">
        <f>AF55*Supuestos!$F$39</f>
        <v>2813.3906947127261</v>
      </c>
      <c r="AG56" s="17">
        <f>AG55*Supuestos!$F$39</f>
        <v>2730.1019089557617</v>
      </c>
      <c r="AH56" s="17">
        <f>AH55*Supuestos!$F$39</f>
        <v>2646.3421962949865</v>
      </c>
      <c r="AI56" s="17">
        <f>AI55*Supuestos!$F$39</f>
        <v>2562.1088940412201</v>
      </c>
      <c r="AJ56" s="17">
        <f>AJ55*Supuestos!$F$39</f>
        <v>2477.3993244500498</v>
      </c>
      <c r="AK56" s="17">
        <f>AK55*Supuestos!$F$39</f>
        <v>2392.2107946367059</v>
      </c>
      <c r="AL56" s="17">
        <f>AL55*Supuestos!$F$39</f>
        <v>2306.5405964904589</v>
      </c>
      <c r="AM56" s="17">
        <f>AM55*Supuestos!$F$39</f>
        <v>2220.3860065885251</v>
      </c>
      <c r="AN56" s="17">
        <f>AN55*Supuestos!$F$39</f>
        <v>2133.7442861094928</v>
      </c>
      <c r="AO56" s="17">
        <f>AO55*Supuestos!$F$39</f>
        <v>2046.6126807462576</v>
      </c>
      <c r="AP56" s="17">
        <f>AP55*Supuestos!$F$39</f>
        <v>1958.9884206184609</v>
      </c>
      <c r="AQ56" s="17">
        <f>AQ55*Supuestos!$F$39</f>
        <v>1870.8687201844373</v>
      </c>
      <c r="AR56" s="17">
        <f>AR55*Supuestos!$F$39</f>
        <v>1782.2507781526654</v>
      </c>
      <c r="AS56" s="17">
        <f>AS55*Supuestos!$F$39</f>
        <v>1693.1317773927128</v>
      </c>
      <c r="AT56" s="17">
        <f>AT55*Supuestos!$F$39</f>
        <v>1603.5088848456835</v>
      </c>
      <c r="AU56" s="17">
        <f>AU55*Supuestos!$F$39</f>
        <v>1513.3792514341535</v>
      </c>
      <c r="AV56" s="17">
        <f>AV55*Supuestos!$F$39</f>
        <v>1422.7400119716012</v>
      </c>
      <c r="AW56" s="17">
        <f>AW55*Supuestos!$F$39</f>
        <v>1331.5882850713238</v>
      </c>
      <c r="AX56" s="17">
        <f>AX55*Supuestos!$F$39</f>
        <v>1239.9211730548391</v>
      </c>
      <c r="AY56" s="17">
        <f>AY55*Supuestos!$F$39</f>
        <v>1147.7357618597694</v>
      </c>
      <c r="AZ56" s="17">
        <f>AZ55*Supuestos!$F$39</f>
        <v>1055.0291209472052</v>
      </c>
      <c r="BA56" s="17">
        <f>BA55*Supuestos!$F$39</f>
        <v>961.79830320854364</v>
      </c>
      <c r="BB56" s="17">
        <f>BB55*Supuestos!$F$39</f>
        <v>868.0403448718007</v>
      </c>
      <c r="BC56" s="17">
        <f>BC55*Supuestos!$F$39</f>
        <v>773.75226540739561</v>
      </c>
      <c r="BD56" s="17">
        <f>BD55*Supuestos!$F$39</f>
        <v>678.93106743339968</v>
      </c>
      <c r="BE56" s="17">
        <f>BE55*Supuestos!$F$39</f>
        <v>583.57373662025077</v>
      </c>
      <c r="BF56" s="17">
        <f>BF55*Supuestos!$F$39</f>
        <v>487.67724159492934</v>
      </c>
      <c r="BG56" s="17">
        <f>BG55*Supuestos!$F$39</f>
        <v>391.23853384459227</v>
      </c>
      <c r="BH56" s="17">
        <f>BH55*Supuestos!$F$39</f>
        <v>294.25454761966125</v>
      </c>
      <c r="BI56" s="17">
        <f>BI55*Supuestos!$F$39</f>
        <v>196.72219983636435</v>
      </c>
      <c r="BJ56" s="17">
        <f>BJ55*Supuestos!$F$39</f>
        <v>98.638389978725712</v>
      </c>
      <c r="BK56" s="17">
        <f>BK55*Supuestos!$F$39</f>
        <v>0</v>
      </c>
      <c r="BL56" s="17">
        <f>BL55*Supuestos!$F$39</f>
        <v>0</v>
      </c>
      <c r="BM56" s="17">
        <f>BM55*Supuestos!$F$39</f>
        <v>0</v>
      </c>
      <c r="BN56" s="17">
        <f>BN55*Supuestos!$F$39</f>
        <v>0</v>
      </c>
      <c r="BO56" s="17">
        <f>BO55*Supuestos!$F$39</f>
        <v>0</v>
      </c>
      <c r="BP56" s="17">
        <f>BP55*Supuestos!$F$39</f>
        <v>0</v>
      </c>
      <c r="BQ56" s="17">
        <f>BQ55*Supuestos!$F$39</f>
        <v>0</v>
      </c>
      <c r="BR56" s="17">
        <f>BR55*Supuestos!$F$39</f>
        <v>0</v>
      </c>
      <c r="BS56" s="17">
        <f>BS55*Supuestos!$F$39</f>
        <v>0</v>
      </c>
      <c r="BT56" s="17">
        <f>BT55*Supuestos!$F$39</f>
        <v>0</v>
      </c>
      <c r="BU56" s="17">
        <f>BU55*Supuestos!$F$39</f>
        <v>0</v>
      </c>
      <c r="BV56" s="17">
        <f>BV55*Supuestos!$F$39</f>
        <v>0</v>
      </c>
      <c r="BW56" s="17">
        <f>BW55*Supuestos!$F$39</f>
        <v>0</v>
      </c>
      <c r="BX56" s="17">
        <f>BX55*Supuestos!$F$39</f>
        <v>0</v>
      </c>
      <c r="BY56" s="17">
        <f>BY55*Supuestos!$F$39</f>
        <v>0</v>
      </c>
      <c r="BZ56" s="17">
        <f>BZ55*Supuestos!$F$39</f>
        <v>0</v>
      </c>
      <c r="CA56" s="17">
        <f>CA55*Supuestos!$F$39</f>
        <v>0</v>
      </c>
      <c r="CB56" s="17">
        <f>CB55*Supuestos!$F$39</f>
        <v>0</v>
      </c>
      <c r="CC56" s="17">
        <f>CC55*Supuestos!$F$39</f>
        <v>0</v>
      </c>
      <c r="CD56" s="17">
        <f>CD55*Supuestos!$F$39</f>
        <v>0</v>
      </c>
      <c r="CE56" s="17">
        <f>CE55*Supuestos!$F$39</f>
        <v>0</v>
      </c>
      <c r="CF56" s="17">
        <f>CF55*Supuestos!$F$39</f>
        <v>0</v>
      </c>
      <c r="CG56" s="17">
        <f>CG55*Supuestos!$F$39</f>
        <v>0</v>
      </c>
      <c r="CH56" s="17">
        <f>CH55*Supuestos!$F$39</f>
        <v>0</v>
      </c>
      <c r="CI56" s="17">
        <f>CI55*Supuestos!$F$39</f>
        <v>0</v>
      </c>
      <c r="CJ56" s="17">
        <f>CJ55*Supuestos!$F$39</f>
        <v>0</v>
      </c>
      <c r="CK56" s="17">
        <f>CK55*Supuestos!$F$39</f>
        <v>0</v>
      </c>
      <c r="CL56" s="17">
        <f>CL55*Supuestos!$F$39</f>
        <v>0</v>
      </c>
      <c r="CM56" s="17">
        <f>CM55*Supuestos!$F$39</f>
        <v>0</v>
      </c>
      <c r="CN56" s="17">
        <f>CN55*Supuestos!$F$39</f>
        <v>0</v>
      </c>
      <c r="CO56" s="17">
        <f>CO55*Supuestos!$F$39</f>
        <v>0</v>
      </c>
      <c r="CP56" s="17">
        <f>CP55*Supuestos!$F$39</f>
        <v>0</v>
      </c>
      <c r="CQ56" s="17">
        <f>CQ55*Supuestos!$F$39</f>
        <v>0</v>
      </c>
      <c r="CR56" s="17">
        <f>CR55*Supuestos!$F$39</f>
        <v>0</v>
      </c>
      <c r="CS56" s="17">
        <f>CS55*Supuestos!$F$39</f>
        <v>0</v>
      </c>
      <c r="CT56" s="17">
        <f>CT55*Supuestos!$F$39</f>
        <v>0</v>
      </c>
      <c r="CU56" s="17">
        <f>CU55*Supuestos!$F$39</f>
        <v>0</v>
      </c>
      <c r="CV56" s="17">
        <f>CV55*Supuestos!$F$39</f>
        <v>0</v>
      </c>
      <c r="CW56" s="17">
        <f>CW55*Supuestos!$F$39</f>
        <v>0</v>
      </c>
      <c r="CX56" s="17">
        <f>CX55*Supuestos!$F$39</f>
        <v>0</v>
      </c>
      <c r="CY56" s="17">
        <f>CY55*Supuestos!$F$39</f>
        <v>0</v>
      </c>
      <c r="CZ56" s="17">
        <f>CZ55*Supuestos!$F$39</f>
        <v>0</v>
      </c>
      <c r="DA56" s="17">
        <f>DA55*Supuestos!$F$39</f>
        <v>0</v>
      </c>
      <c r="DB56" s="17">
        <f>DB55*Supuestos!$F$39</f>
        <v>0</v>
      </c>
      <c r="DC56" s="17">
        <f>DC55*Supuestos!$F$39</f>
        <v>0</v>
      </c>
      <c r="DD56" s="17">
        <f>DD55*Supuestos!$F$39</f>
        <v>0</v>
      </c>
      <c r="DE56" s="17">
        <f>DE55*Supuestos!$F$39</f>
        <v>0</v>
      </c>
      <c r="DF56" s="17">
        <f>DF55*Supuestos!$F$39</f>
        <v>0</v>
      </c>
      <c r="DG56" s="32">
        <f>SUM(C56:DF56)</f>
        <v>61582.59352626156</v>
      </c>
    </row>
    <row r="57" spans="1:111" ht="13.8" x14ac:dyDescent="0.3">
      <c r="A57" s="16" t="s">
        <v>321</v>
      </c>
      <c r="C57" s="17">
        <f>IF(C54&gt;0,Supuestos!$G$39,0)</f>
        <v>0</v>
      </c>
      <c r="D57" s="17">
        <f>IF(D54&gt;0,Supuestos!$G$39,0)</f>
        <v>0</v>
      </c>
      <c r="E57" s="17">
        <f>IF(E54&gt;0,Supuestos!$G$39,0)</f>
        <v>0</v>
      </c>
      <c r="F57" s="17">
        <f>IF(F54&gt;0,Supuestos!$G$39,0)</f>
        <v>0</v>
      </c>
      <c r="G57" s="17">
        <f>IF(G54&gt;0,Supuestos!$G$39,0)</f>
        <v>0</v>
      </c>
      <c r="H57" s="17">
        <f>IF(H54&gt;0,Supuestos!$G$39,0)</f>
        <v>0</v>
      </c>
      <c r="I57" s="17">
        <f>IF(I54&gt;0,Supuestos!$G$39,0)</f>
        <v>0</v>
      </c>
      <c r="J57" s="17">
        <f>IF(J54&gt;0,Supuestos!$G$39,0)</f>
        <v>0</v>
      </c>
      <c r="K57" s="17">
        <f>IF(K54&gt;0,Supuestos!$G$39,0)</f>
        <v>0</v>
      </c>
      <c r="L57" s="17">
        <f>IF(L54&gt;0,Supuestos!$G$39,0)</f>
        <v>0</v>
      </c>
      <c r="M57" s="17">
        <f>IF(M54&gt;0,Supuestos!$G$39,0)</f>
        <v>0</v>
      </c>
      <c r="N57" s="17">
        <f>IF(N54&gt;0,Supuestos!$G$39,0)</f>
        <v>0</v>
      </c>
      <c r="O57" s="17">
        <f>IF(O54&gt;0,Supuestos!$G$39,0)</f>
        <v>0</v>
      </c>
      <c r="P57" s="17">
        <f>IF(P54&gt;0,Supuestos!$G$39,0)</f>
        <v>0</v>
      </c>
      <c r="Q57" s="17">
        <f>IF(Q54&gt;0,Supuestos!$G$39,0)</f>
        <v>0</v>
      </c>
      <c r="R57" s="17">
        <f>IF(R54&gt;0,Supuestos!$G$39,0)</f>
        <v>0</v>
      </c>
      <c r="S57" s="17">
        <f>IF(S54&gt;0,Supuestos!$G$39,0)</f>
        <v>0</v>
      </c>
      <c r="T57" s="17">
        <f>IF(T54&gt;0,Supuestos!$G$39,0)</f>
        <v>0</v>
      </c>
      <c r="U57" s="17">
        <f>IF(U54&gt;0,Supuestos!$G$39,0)</f>
        <v>0</v>
      </c>
      <c r="V57" s="17">
        <f>IF(V54&gt;0,Supuestos!$G$39,0)</f>
        <v>0</v>
      </c>
      <c r="W57" s="17">
        <f>IF(W54&gt;0,Supuestos!$G$39,0)</f>
        <v>0</v>
      </c>
      <c r="X57" s="17">
        <f>IF(X54&gt;0,Supuestos!$G$39,0)</f>
        <v>0</v>
      </c>
      <c r="Y57" s="17">
        <f>IF(Y54&gt;0,Supuestos!$G$39,0)</f>
        <v>0</v>
      </c>
      <c r="Z57" s="17">
        <f>IF(Z54&gt;0,Supuestos!$G$39,0)</f>
        <v>0</v>
      </c>
      <c r="AA57" s="17">
        <f>IF(AA54&gt;0,Supuestos!$G$39,0)</f>
        <v>17543.960931285037</v>
      </c>
      <c r="AB57" s="17">
        <f>IF(AB54&gt;0,Supuestos!$G$39,0)</f>
        <v>17543.960931285037</v>
      </c>
      <c r="AC57" s="17">
        <f>IF(AC54&gt;0,Supuestos!$G$39,0)</f>
        <v>17543.960931285037</v>
      </c>
      <c r="AD57" s="17">
        <f>IF(AD54&gt;0,Supuestos!$G$39,0)</f>
        <v>17543.960931285037</v>
      </c>
      <c r="AE57" s="17">
        <f>IF(AE54&gt;0,Supuestos!$G$39,0)</f>
        <v>17543.960931285037</v>
      </c>
      <c r="AF57" s="17">
        <f>IF(AF54&gt;0,Supuestos!$G$39,0)</f>
        <v>17543.960931285037</v>
      </c>
      <c r="AG57" s="17">
        <f>IF(AG54&gt;0,Supuestos!$G$39,0)</f>
        <v>17543.960931285037</v>
      </c>
      <c r="AH57" s="17">
        <f>IF(AH54&gt;0,Supuestos!$G$39,0)</f>
        <v>17543.960931285037</v>
      </c>
      <c r="AI57" s="17">
        <f>IF(AI54&gt;0,Supuestos!$G$39,0)</f>
        <v>17543.960931285037</v>
      </c>
      <c r="AJ57" s="17">
        <f>IF(AJ54&gt;0,Supuestos!$G$39,0)</f>
        <v>17543.960931285037</v>
      </c>
      <c r="AK57" s="17">
        <f>IF(AK54&gt;0,Supuestos!$G$39,0)</f>
        <v>17543.960931285037</v>
      </c>
      <c r="AL57" s="17">
        <f>IF(AL54&gt;0,Supuestos!$G$39,0)</f>
        <v>17543.960931285037</v>
      </c>
      <c r="AM57" s="17">
        <f>IF(AM54&gt;0,Supuestos!$G$39,0)</f>
        <v>17543.960931285037</v>
      </c>
      <c r="AN57" s="17">
        <f>IF(AN54&gt;0,Supuestos!$G$39,0)</f>
        <v>17543.960931285037</v>
      </c>
      <c r="AO57" s="17">
        <f>IF(AO54&gt;0,Supuestos!$G$39,0)</f>
        <v>17543.960931285037</v>
      </c>
      <c r="AP57" s="17">
        <f>IF(AP54&gt;0,Supuestos!$G$39,0)</f>
        <v>17543.960931285037</v>
      </c>
      <c r="AQ57" s="17">
        <f>IF(AQ54&gt;0,Supuestos!$G$39,0)</f>
        <v>17543.960931285037</v>
      </c>
      <c r="AR57" s="17">
        <f>IF(AR54&gt;0,Supuestos!$G$39,0)</f>
        <v>17543.960931285037</v>
      </c>
      <c r="AS57" s="17">
        <f>IF(AS54&gt;0,Supuestos!$G$39,0)</f>
        <v>17543.960931285037</v>
      </c>
      <c r="AT57" s="17">
        <f>IF(AT54&gt;0,Supuestos!$G$39,0)</f>
        <v>17543.960931285037</v>
      </c>
      <c r="AU57" s="17">
        <f>IF(AU54&gt;0,Supuestos!$G$39,0)</f>
        <v>17543.960931285037</v>
      </c>
      <c r="AV57" s="17">
        <f>IF(AV54&gt;0,Supuestos!$G$39,0)</f>
        <v>17543.960931285037</v>
      </c>
      <c r="AW57" s="17">
        <f>IF(AW54&gt;0,Supuestos!$G$39,0)</f>
        <v>17543.960931285037</v>
      </c>
      <c r="AX57" s="17">
        <f>IF(AX54&gt;0,Supuestos!$G$39,0)</f>
        <v>17543.960931285037</v>
      </c>
      <c r="AY57" s="17">
        <f>IF(AY54&gt;0,Supuestos!$G$39,0)</f>
        <v>17543.960931285037</v>
      </c>
      <c r="AZ57" s="17">
        <f>IF(AZ54&gt;0,Supuestos!$G$39,0)</f>
        <v>17543.960931285037</v>
      </c>
      <c r="BA57" s="17">
        <f>IF(BA54&gt;0,Supuestos!$G$39,0)</f>
        <v>17543.960931285037</v>
      </c>
      <c r="BB57" s="17">
        <f>IF(BB54&gt;0,Supuestos!$G$39,0)</f>
        <v>17543.960931285037</v>
      </c>
      <c r="BC57" s="17">
        <f>IF(BC54&gt;0,Supuestos!$G$39,0)</f>
        <v>17543.960931285037</v>
      </c>
      <c r="BD57" s="17">
        <f>IF(BD54&gt;0,Supuestos!$G$39,0)</f>
        <v>17543.960931285037</v>
      </c>
      <c r="BE57" s="17">
        <f>IF(BE54&gt;0,Supuestos!$G$39,0)</f>
        <v>17543.960931285037</v>
      </c>
      <c r="BF57" s="17">
        <f>IF(BF54&gt;0,Supuestos!$G$39,0)</f>
        <v>17543.960931285037</v>
      </c>
      <c r="BG57" s="17">
        <f>IF(BG54&gt;0,Supuestos!$G$39,0)</f>
        <v>17543.960931285037</v>
      </c>
      <c r="BH57" s="17">
        <f>IF(BH54&gt;0,Supuestos!$G$39,0)</f>
        <v>17543.960931285037</v>
      </c>
      <c r="BI57" s="17">
        <f>IF(BI54&gt;0,Supuestos!$G$39,0)</f>
        <v>17543.960931285037</v>
      </c>
      <c r="BJ57" s="17">
        <f>IF(BJ54&gt;0,Supuestos!$G$39,0)</f>
        <v>17543.960931285037</v>
      </c>
      <c r="BK57" s="17">
        <f>IF(BK54&gt;0,Supuestos!$G$39,0)</f>
        <v>0</v>
      </c>
      <c r="BL57" s="17">
        <f>IF(BL54&gt;0,Supuestos!$G$39,0)</f>
        <v>0</v>
      </c>
      <c r="BM57" s="17">
        <f>IF(BM54&gt;0,Supuestos!$G$39,0)</f>
        <v>0</v>
      </c>
      <c r="BN57" s="17">
        <f>IF(BN54&gt;0,Supuestos!$G$39,0)</f>
        <v>0</v>
      </c>
      <c r="BO57" s="17">
        <f>IF(BO54&gt;0,Supuestos!$G$39,0)</f>
        <v>0</v>
      </c>
      <c r="BP57" s="17">
        <f>IF(BP54&gt;0,Supuestos!$G$39,0)</f>
        <v>0</v>
      </c>
      <c r="BQ57" s="17">
        <f>IF(BQ54&gt;0,Supuestos!$G$39,0)</f>
        <v>0</v>
      </c>
      <c r="BR57" s="17">
        <f>IF(BR54&gt;0,Supuestos!$G$39,0)</f>
        <v>0</v>
      </c>
      <c r="BS57" s="17">
        <f>IF(BS54&gt;0,Supuestos!$G$39,0)</f>
        <v>0</v>
      </c>
      <c r="BT57" s="17">
        <f>IF(BT54&gt;0,Supuestos!$G$39,0)</f>
        <v>0</v>
      </c>
      <c r="BU57" s="17">
        <f>IF(BU54&gt;0,Supuestos!$G$39,0)</f>
        <v>0</v>
      </c>
      <c r="BV57" s="17">
        <f>IF(BV54&gt;0,Supuestos!$G$39,0)</f>
        <v>0</v>
      </c>
      <c r="BW57" s="17">
        <f>IF(BW54&gt;0,Supuestos!$G$39,0)</f>
        <v>0</v>
      </c>
      <c r="BX57" s="17">
        <f>IF(BX54&gt;0,Supuestos!$G$39,0)</f>
        <v>0</v>
      </c>
      <c r="BY57" s="17">
        <f>IF(BY54&gt;0,Supuestos!$G$39,0)</f>
        <v>0</v>
      </c>
      <c r="BZ57" s="17">
        <f>IF(BZ54&gt;0,Supuestos!$G$39,0)</f>
        <v>0</v>
      </c>
      <c r="CA57" s="17">
        <f>IF(CA54&gt;0,Supuestos!$G$39,0)</f>
        <v>0</v>
      </c>
      <c r="CB57" s="17">
        <f>IF(CB54&gt;0,Supuestos!$G$39,0)</f>
        <v>0</v>
      </c>
      <c r="CC57" s="17">
        <f>IF(CC54&gt;0,Supuestos!$G$39,0)</f>
        <v>0</v>
      </c>
      <c r="CD57" s="17">
        <f>IF(CD54&gt;0,Supuestos!$G$39,0)</f>
        <v>0</v>
      </c>
      <c r="CE57" s="17">
        <f>IF(CE54&gt;0,Supuestos!$G$39,0)</f>
        <v>0</v>
      </c>
      <c r="CF57" s="17">
        <f>IF(CF54&gt;0,Supuestos!$G$39,0)</f>
        <v>0</v>
      </c>
      <c r="CG57" s="17">
        <f>IF(CG54&gt;0,Supuestos!$G$39,0)</f>
        <v>0</v>
      </c>
      <c r="CH57" s="17">
        <f>IF(CH54&gt;0,Supuestos!$G$39,0)</f>
        <v>0</v>
      </c>
      <c r="CI57" s="17">
        <f>IF(CI54&gt;0,Supuestos!$G$39,0)</f>
        <v>0</v>
      </c>
      <c r="CJ57" s="17">
        <f>IF(CJ54&gt;0,Supuestos!$G$39,0)</f>
        <v>0</v>
      </c>
      <c r="CK57" s="17">
        <f>IF(CK54&gt;0,Supuestos!$G$39,0)</f>
        <v>0</v>
      </c>
      <c r="CL57" s="17">
        <f>IF(CL54&gt;0,Supuestos!$G$39,0)</f>
        <v>0</v>
      </c>
      <c r="CM57" s="17">
        <f>IF(CM54&gt;0,Supuestos!$G$39,0)</f>
        <v>0</v>
      </c>
      <c r="CN57" s="17">
        <f>IF(CN54&gt;0,Supuestos!$G$39,0)</f>
        <v>0</v>
      </c>
      <c r="CO57" s="17">
        <f>IF(CO54&gt;0,Supuestos!$G$39,0)</f>
        <v>0</v>
      </c>
      <c r="CP57" s="17">
        <f>IF(CP54&gt;0,Supuestos!$G$39,0)</f>
        <v>0</v>
      </c>
      <c r="CQ57" s="17">
        <f>IF(CQ54&gt;0,Supuestos!$G$39,0)</f>
        <v>0</v>
      </c>
      <c r="CR57" s="17">
        <f>IF(CR54&gt;0,Supuestos!$G$39,0)</f>
        <v>0</v>
      </c>
      <c r="CS57" s="17">
        <f>IF(CS54&gt;0,Supuestos!$G$39,0)</f>
        <v>0</v>
      </c>
      <c r="CT57" s="17">
        <f>IF(CT54&gt;0,Supuestos!$G$39,0)</f>
        <v>0</v>
      </c>
      <c r="CU57" s="17">
        <f>IF(CU54&gt;0,Supuestos!$G$39,0)</f>
        <v>0</v>
      </c>
      <c r="CV57" s="17">
        <f>IF(CV54&gt;0,Supuestos!$G$39,0)</f>
        <v>0</v>
      </c>
      <c r="CW57" s="17">
        <f>IF(CW54&gt;0,Supuestos!$G$39,0)</f>
        <v>0</v>
      </c>
      <c r="CX57" s="17">
        <f>IF(CX54&gt;0,Supuestos!$G$39,0)</f>
        <v>0</v>
      </c>
      <c r="CY57" s="17">
        <f>IF(CY54&gt;0,Supuestos!$G$39,0)</f>
        <v>0</v>
      </c>
      <c r="CZ57" s="17">
        <f>IF(CZ54&gt;0,Supuestos!$G$39,0)</f>
        <v>0</v>
      </c>
      <c r="DA57" s="17">
        <f>IF(DA54&gt;0,Supuestos!$G$39,0)</f>
        <v>0</v>
      </c>
      <c r="DB57" s="17">
        <f>IF(DB54&gt;0,Supuestos!$G$39,0)</f>
        <v>0</v>
      </c>
      <c r="DC57" s="17">
        <f>IF(DC54&gt;0,Supuestos!$G$39,0)</f>
        <v>0</v>
      </c>
      <c r="DD57" s="17">
        <f>IF(DD54&gt;0,Supuestos!$G$39,0)</f>
        <v>0</v>
      </c>
      <c r="DE57" s="17">
        <f>IF(DE54&gt;0,Supuestos!$G$39,0)</f>
        <v>0</v>
      </c>
      <c r="DF57" s="17">
        <f>IF(DF54&gt;0,Supuestos!$G$39,0)</f>
        <v>0</v>
      </c>
      <c r="DG57" s="32">
        <f>SUM(C57:DF57)</f>
        <v>631582.59352626174</v>
      </c>
    </row>
    <row r="58" spans="1:111" ht="13.8" x14ac:dyDescent="0.3">
      <c r="A58" s="16" t="s">
        <v>322</v>
      </c>
      <c r="C58" s="37">
        <f t="shared" ref="C58:AH58" si="32">C57-C56</f>
        <v>0</v>
      </c>
      <c r="D58" s="37">
        <f t="shared" si="32"/>
        <v>0</v>
      </c>
      <c r="E58" s="37">
        <f t="shared" si="32"/>
        <v>0</v>
      </c>
      <c r="F58" s="37">
        <f t="shared" si="32"/>
        <v>0</v>
      </c>
      <c r="G58" s="37">
        <f t="shared" si="32"/>
        <v>0</v>
      </c>
      <c r="H58" s="37">
        <f t="shared" si="32"/>
        <v>0</v>
      </c>
      <c r="I58" s="37">
        <f t="shared" si="32"/>
        <v>0</v>
      </c>
      <c r="J58" s="37">
        <f t="shared" si="32"/>
        <v>0</v>
      </c>
      <c r="K58" s="37">
        <f t="shared" si="32"/>
        <v>0</v>
      </c>
      <c r="L58" s="37">
        <f t="shared" si="32"/>
        <v>0</v>
      </c>
      <c r="M58" s="37">
        <f t="shared" si="32"/>
        <v>0</v>
      </c>
      <c r="N58" s="37">
        <f t="shared" si="32"/>
        <v>0</v>
      </c>
      <c r="O58" s="37">
        <f t="shared" si="32"/>
        <v>0</v>
      </c>
      <c r="P58" s="37">
        <f t="shared" si="32"/>
        <v>0</v>
      </c>
      <c r="Q58" s="37">
        <f t="shared" si="32"/>
        <v>0</v>
      </c>
      <c r="R58" s="37">
        <f t="shared" si="32"/>
        <v>0</v>
      </c>
      <c r="S58" s="37">
        <f t="shared" si="32"/>
        <v>0</v>
      </c>
      <c r="T58" s="37">
        <f t="shared" si="32"/>
        <v>0</v>
      </c>
      <c r="U58" s="37">
        <f t="shared" si="32"/>
        <v>0</v>
      </c>
      <c r="V58" s="37">
        <f t="shared" si="32"/>
        <v>0</v>
      </c>
      <c r="W58" s="37">
        <f t="shared" si="32"/>
        <v>0</v>
      </c>
      <c r="X58" s="37">
        <f t="shared" si="32"/>
        <v>0</v>
      </c>
      <c r="Y58" s="37">
        <f t="shared" si="32"/>
        <v>0</v>
      </c>
      <c r="Z58" s="37">
        <f t="shared" si="32"/>
        <v>0</v>
      </c>
      <c r="AA58" s="37">
        <f t="shared" si="32"/>
        <v>14321.098060464032</v>
      </c>
      <c r="AB58" s="37">
        <f t="shared" si="32"/>
        <v>14402.071631005183</v>
      </c>
      <c r="AC58" s="37">
        <f t="shared" si="32"/>
        <v>14483.50303788671</v>
      </c>
      <c r="AD58" s="37">
        <f t="shared" si="32"/>
        <v>14565.394869781849</v>
      </c>
      <c r="AE58" s="37">
        <f t="shared" si="32"/>
        <v>14647.749730000562</v>
      </c>
      <c r="AF58" s="37">
        <f t="shared" si="32"/>
        <v>14730.570236572312</v>
      </c>
      <c r="AG58" s="37">
        <f t="shared" si="32"/>
        <v>14813.859022329276</v>
      </c>
      <c r="AH58" s="37">
        <f t="shared" si="32"/>
        <v>14897.61873499005</v>
      </c>
      <c r="AI58" s="37">
        <f t="shared" ref="AI58:BN58" si="33">AI57-AI56</f>
        <v>14981.852037243818</v>
      </c>
      <c r="AJ58" s="37">
        <f t="shared" si="33"/>
        <v>15066.561606834988</v>
      </c>
      <c r="AK58" s="37">
        <f t="shared" si="33"/>
        <v>15151.75013664833</v>
      </c>
      <c r="AL58" s="37">
        <f t="shared" si="33"/>
        <v>15237.420334794579</v>
      </c>
      <c r="AM58" s="37">
        <f t="shared" si="33"/>
        <v>15323.574924696512</v>
      </c>
      <c r="AN58" s="37">
        <f t="shared" si="33"/>
        <v>15410.216645175544</v>
      </c>
      <c r="AO58" s="37">
        <f t="shared" si="33"/>
        <v>15497.34825053878</v>
      </c>
      <c r="AP58" s="37">
        <f t="shared" si="33"/>
        <v>15584.972510666576</v>
      </c>
      <c r="AQ58" s="37">
        <f t="shared" si="33"/>
        <v>15673.0922111006</v>
      </c>
      <c r="AR58" s="37">
        <f t="shared" si="33"/>
        <v>15761.710153132371</v>
      </c>
      <c r="AS58" s="37">
        <f t="shared" si="33"/>
        <v>15850.829153892324</v>
      </c>
      <c r="AT58" s="37">
        <f t="shared" si="33"/>
        <v>15940.452046439354</v>
      </c>
      <c r="AU58" s="37">
        <f t="shared" si="33"/>
        <v>16030.581679850884</v>
      </c>
      <c r="AV58" s="37">
        <f t="shared" si="33"/>
        <v>16121.220919313437</v>
      </c>
      <c r="AW58" s="37">
        <f t="shared" si="33"/>
        <v>16212.372646213713</v>
      </c>
      <c r="AX58" s="37">
        <f t="shared" si="33"/>
        <v>16304.039758230198</v>
      </c>
      <c r="AY58" s="37">
        <f t="shared" si="33"/>
        <v>16396.225169425266</v>
      </c>
      <c r="AZ58" s="37">
        <f t="shared" si="33"/>
        <v>16488.931810337832</v>
      </c>
      <c r="BA58" s="37">
        <f t="shared" si="33"/>
        <v>16582.162628076494</v>
      </c>
      <c r="BB58" s="37">
        <f t="shared" si="33"/>
        <v>16675.920586413238</v>
      </c>
      <c r="BC58" s="37">
        <f t="shared" si="33"/>
        <v>16770.208665877642</v>
      </c>
      <c r="BD58" s="37">
        <f t="shared" si="33"/>
        <v>16865.029863851636</v>
      </c>
      <c r="BE58" s="37">
        <f t="shared" si="33"/>
        <v>16960.387194664785</v>
      </c>
      <c r="BF58" s="37">
        <f t="shared" si="33"/>
        <v>17056.283689690106</v>
      </c>
      <c r="BG58" s="37">
        <f t="shared" si="33"/>
        <v>17152.722397440444</v>
      </c>
      <c r="BH58" s="37">
        <f t="shared" si="33"/>
        <v>17249.706383665376</v>
      </c>
      <c r="BI58" s="37">
        <f t="shared" si="33"/>
        <v>17347.238731448673</v>
      </c>
      <c r="BJ58" s="37">
        <f t="shared" si="33"/>
        <v>17445.322541306312</v>
      </c>
      <c r="BK58" s="37">
        <f t="shared" si="33"/>
        <v>0</v>
      </c>
      <c r="BL58" s="37">
        <f t="shared" si="33"/>
        <v>0</v>
      </c>
      <c r="BM58" s="37">
        <f t="shared" si="33"/>
        <v>0</v>
      </c>
      <c r="BN58" s="37">
        <f t="shared" si="33"/>
        <v>0</v>
      </c>
      <c r="BO58" s="37">
        <f t="shared" ref="BO58:CT58" si="34">BO57-BO56</f>
        <v>0</v>
      </c>
      <c r="BP58" s="37">
        <f t="shared" si="34"/>
        <v>0</v>
      </c>
      <c r="BQ58" s="37">
        <f t="shared" si="34"/>
        <v>0</v>
      </c>
      <c r="BR58" s="37">
        <f t="shared" si="34"/>
        <v>0</v>
      </c>
      <c r="BS58" s="37">
        <f t="shared" si="34"/>
        <v>0</v>
      </c>
      <c r="BT58" s="37">
        <f t="shared" si="34"/>
        <v>0</v>
      </c>
      <c r="BU58" s="37">
        <f t="shared" si="34"/>
        <v>0</v>
      </c>
      <c r="BV58" s="37">
        <f t="shared" si="34"/>
        <v>0</v>
      </c>
      <c r="BW58" s="37">
        <f t="shared" si="34"/>
        <v>0</v>
      </c>
      <c r="BX58" s="37">
        <f t="shared" si="34"/>
        <v>0</v>
      </c>
      <c r="BY58" s="37">
        <f t="shared" si="34"/>
        <v>0</v>
      </c>
      <c r="BZ58" s="37">
        <f t="shared" si="34"/>
        <v>0</v>
      </c>
      <c r="CA58" s="37">
        <f t="shared" si="34"/>
        <v>0</v>
      </c>
      <c r="CB58" s="37">
        <f t="shared" si="34"/>
        <v>0</v>
      </c>
      <c r="CC58" s="37">
        <f t="shared" si="34"/>
        <v>0</v>
      </c>
      <c r="CD58" s="37">
        <f t="shared" si="34"/>
        <v>0</v>
      </c>
      <c r="CE58" s="37">
        <f t="shared" si="34"/>
        <v>0</v>
      </c>
      <c r="CF58" s="37">
        <f t="shared" si="34"/>
        <v>0</v>
      </c>
      <c r="CG58" s="37">
        <f t="shared" si="34"/>
        <v>0</v>
      </c>
      <c r="CH58" s="37">
        <f t="shared" si="34"/>
        <v>0</v>
      </c>
      <c r="CI58" s="37">
        <f t="shared" si="34"/>
        <v>0</v>
      </c>
      <c r="CJ58" s="37">
        <f t="shared" si="34"/>
        <v>0</v>
      </c>
      <c r="CK58" s="37">
        <f t="shared" si="34"/>
        <v>0</v>
      </c>
      <c r="CL58" s="37">
        <f t="shared" si="34"/>
        <v>0</v>
      </c>
      <c r="CM58" s="37">
        <f t="shared" si="34"/>
        <v>0</v>
      </c>
      <c r="CN58" s="37">
        <f t="shared" si="34"/>
        <v>0</v>
      </c>
      <c r="CO58" s="37">
        <f t="shared" si="34"/>
        <v>0</v>
      </c>
      <c r="CP58" s="37">
        <f t="shared" si="34"/>
        <v>0</v>
      </c>
      <c r="CQ58" s="37">
        <f t="shared" si="34"/>
        <v>0</v>
      </c>
      <c r="CR58" s="37">
        <f t="shared" si="34"/>
        <v>0</v>
      </c>
      <c r="CS58" s="37">
        <f t="shared" si="34"/>
        <v>0</v>
      </c>
      <c r="CT58" s="37">
        <f t="shared" si="34"/>
        <v>0</v>
      </c>
      <c r="CU58" s="37">
        <f t="shared" ref="CU58:DZ58" si="35">CU57-CU56</f>
        <v>0</v>
      </c>
      <c r="CV58" s="37">
        <f t="shared" si="35"/>
        <v>0</v>
      </c>
      <c r="CW58" s="37">
        <f t="shared" si="35"/>
        <v>0</v>
      </c>
      <c r="CX58" s="37">
        <f t="shared" si="35"/>
        <v>0</v>
      </c>
      <c r="CY58" s="37">
        <f t="shared" si="35"/>
        <v>0</v>
      </c>
      <c r="CZ58" s="37">
        <f t="shared" si="35"/>
        <v>0</v>
      </c>
      <c r="DA58" s="37">
        <f t="shared" si="35"/>
        <v>0</v>
      </c>
      <c r="DB58" s="37">
        <f t="shared" si="35"/>
        <v>0</v>
      </c>
      <c r="DC58" s="37">
        <f t="shared" si="35"/>
        <v>0</v>
      </c>
      <c r="DD58" s="37">
        <f t="shared" si="35"/>
        <v>0</v>
      </c>
      <c r="DE58" s="37">
        <f t="shared" si="35"/>
        <v>0</v>
      </c>
      <c r="DF58" s="37">
        <f t="shared" si="35"/>
        <v>0</v>
      </c>
      <c r="DG58" s="32">
        <f>SUM(C58:DF58)</f>
        <v>569999.99999999965</v>
      </c>
    </row>
    <row r="59" spans="1:111" ht="13.8" x14ac:dyDescent="0.3">
      <c r="A59" s="16" t="s">
        <v>323</v>
      </c>
      <c r="C59" s="32">
        <f t="shared" ref="C59:AH59" si="36">C55-C58</f>
        <v>0</v>
      </c>
      <c r="D59" s="32">
        <f t="shared" si="36"/>
        <v>0</v>
      </c>
      <c r="E59" s="32">
        <f t="shared" si="36"/>
        <v>0</v>
      </c>
      <c r="F59" s="32">
        <f t="shared" si="36"/>
        <v>0</v>
      </c>
      <c r="G59" s="32">
        <f t="shared" si="36"/>
        <v>0</v>
      </c>
      <c r="H59" s="32">
        <f t="shared" si="36"/>
        <v>0</v>
      </c>
      <c r="I59" s="32">
        <f t="shared" si="36"/>
        <v>0</v>
      </c>
      <c r="J59" s="32">
        <f t="shared" si="36"/>
        <v>0</v>
      </c>
      <c r="K59" s="32">
        <f t="shared" si="36"/>
        <v>0</v>
      </c>
      <c r="L59" s="32">
        <f t="shared" si="36"/>
        <v>0</v>
      </c>
      <c r="M59" s="32">
        <f t="shared" si="36"/>
        <v>0</v>
      </c>
      <c r="N59" s="32">
        <f t="shared" si="36"/>
        <v>0</v>
      </c>
      <c r="O59" s="32">
        <f t="shared" si="36"/>
        <v>0</v>
      </c>
      <c r="P59" s="32">
        <f t="shared" si="36"/>
        <v>0</v>
      </c>
      <c r="Q59" s="32">
        <f t="shared" si="36"/>
        <v>0</v>
      </c>
      <c r="R59" s="32">
        <f t="shared" si="36"/>
        <v>0</v>
      </c>
      <c r="S59" s="32">
        <f t="shared" si="36"/>
        <v>0</v>
      </c>
      <c r="T59" s="32">
        <f t="shared" si="36"/>
        <v>0</v>
      </c>
      <c r="U59" s="32">
        <f t="shared" si="36"/>
        <v>0</v>
      </c>
      <c r="V59" s="32">
        <f t="shared" si="36"/>
        <v>0</v>
      </c>
      <c r="W59" s="32">
        <f t="shared" si="36"/>
        <v>0</v>
      </c>
      <c r="X59" s="32">
        <f t="shared" si="36"/>
        <v>0</v>
      </c>
      <c r="Y59" s="32">
        <f t="shared" si="36"/>
        <v>0</v>
      </c>
      <c r="Z59" s="32">
        <f t="shared" si="36"/>
        <v>0</v>
      </c>
      <c r="AA59" s="32">
        <f t="shared" si="36"/>
        <v>555678.90193953598</v>
      </c>
      <c r="AB59" s="32">
        <f t="shared" si="36"/>
        <v>541276.83030853083</v>
      </c>
      <c r="AC59" s="32">
        <f t="shared" si="36"/>
        <v>526793.32727064413</v>
      </c>
      <c r="AD59" s="32">
        <f t="shared" si="36"/>
        <v>512227.93240086228</v>
      </c>
      <c r="AE59" s="32">
        <f t="shared" si="36"/>
        <v>497580.18267086172</v>
      </c>
      <c r="AF59" s="32">
        <f t="shared" si="36"/>
        <v>482849.61243428942</v>
      </c>
      <c r="AG59" s="32">
        <f t="shared" si="36"/>
        <v>468035.75341196015</v>
      </c>
      <c r="AH59" s="32">
        <f t="shared" si="36"/>
        <v>453138.13467697008</v>
      </c>
      <c r="AI59" s="32">
        <f t="shared" ref="AI59:BN59" si="37">AI55-AI58</f>
        <v>438156.28263972624</v>
      </c>
      <c r="AJ59" s="32">
        <f t="shared" si="37"/>
        <v>423089.72103289125</v>
      </c>
      <c r="AK59" s="32">
        <f t="shared" si="37"/>
        <v>407937.97089624294</v>
      </c>
      <c r="AL59" s="32">
        <f t="shared" si="37"/>
        <v>392700.55056144838</v>
      </c>
      <c r="AM59" s="32">
        <f t="shared" si="37"/>
        <v>377376.97563675186</v>
      </c>
      <c r="AN59" s="32">
        <f t="shared" si="37"/>
        <v>361966.75899157632</v>
      </c>
      <c r="AO59" s="32">
        <f t="shared" si="37"/>
        <v>346469.41074103757</v>
      </c>
      <c r="AP59" s="32">
        <f t="shared" si="37"/>
        <v>330884.43823037099</v>
      </c>
      <c r="AQ59" s="32">
        <f t="shared" si="37"/>
        <v>315211.34601927036</v>
      </c>
      <c r="AR59" s="32">
        <f t="shared" si="37"/>
        <v>299449.63586613798</v>
      </c>
      <c r="AS59" s="32">
        <f t="shared" si="37"/>
        <v>283598.80671224563</v>
      </c>
      <c r="AT59" s="32">
        <f t="shared" si="37"/>
        <v>267658.35466580628</v>
      </c>
      <c r="AU59" s="32">
        <f t="shared" si="37"/>
        <v>251627.77298595541</v>
      </c>
      <c r="AV59" s="32">
        <f t="shared" si="37"/>
        <v>235506.55206664198</v>
      </c>
      <c r="AW59" s="32">
        <f t="shared" si="37"/>
        <v>219294.17942042826</v>
      </c>
      <c r="AX59" s="32">
        <f t="shared" si="37"/>
        <v>202990.13966219805</v>
      </c>
      <c r="AY59" s="32">
        <f t="shared" si="37"/>
        <v>186593.91449277278</v>
      </c>
      <c r="AZ59" s="32">
        <f t="shared" si="37"/>
        <v>170104.98268243496</v>
      </c>
      <c r="BA59" s="32">
        <f t="shared" si="37"/>
        <v>153522.82005435845</v>
      </c>
      <c r="BB59" s="32">
        <f t="shared" si="37"/>
        <v>136846.89946794522</v>
      </c>
      <c r="BC59" s="32">
        <f t="shared" si="37"/>
        <v>120076.69080206758</v>
      </c>
      <c r="BD59" s="32">
        <f t="shared" si="37"/>
        <v>103211.66093821594</v>
      </c>
      <c r="BE59" s="32">
        <f t="shared" si="37"/>
        <v>86251.273743551152</v>
      </c>
      <c r="BF59" s="32">
        <f t="shared" si="37"/>
        <v>69194.990053861053</v>
      </c>
      <c r="BG59" s="32">
        <f t="shared" si="37"/>
        <v>52042.267656420605</v>
      </c>
      <c r="BH59" s="32">
        <f t="shared" si="37"/>
        <v>34792.561272755229</v>
      </c>
      <c r="BI59" s="32">
        <f t="shared" si="37"/>
        <v>17445.322541306556</v>
      </c>
      <c r="BJ59" s="32">
        <f t="shared" si="37"/>
        <v>2.4374458007514477E-10</v>
      </c>
      <c r="BK59" s="32">
        <f t="shared" si="37"/>
        <v>0</v>
      </c>
      <c r="BL59" s="32">
        <f t="shared" si="37"/>
        <v>0</v>
      </c>
      <c r="BM59" s="32">
        <f t="shared" si="37"/>
        <v>0</v>
      </c>
      <c r="BN59" s="32">
        <f t="shared" si="37"/>
        <v>0</v>
      </c>
      <c r="BO59" s="32">
        <f t="shared" ref="BO59:CT59" si="38">BO55-BO58</f>
        <v>0</v>
      </c>
      <c r="BP59" s="32">
        <f t="shared" si="38"/>
        <v>0</v>
      </c>
      <c r="BQ59" s="32">
        <f t="shared" si="38"/>
        <v>0</v>
      </c>
      <c r="BR59" s="32">
        <f t="shared" si="38"/>
        <v>0</v>
      </c>
      <c r="BS59" s="32">
        <f t="shared" si="38"/>
        <v>0</v>
      </c>
      <c r="BT59" s="32">
        <f t="shared" si="38"/>
        <v>0</v>
      </c>
      <c r="BU59" s="32">
        <f t="shared" si="38"/>
        <v>0</v>
      </c>
      <c r="BV59" s="32">
        <f t="shared" si="38"/>
        <v>0</v>
      </c>
      <c r="BW59" s="32">
        <f t="shared" si="38"/>
        <v>0</v>
      </c>
      <c r="BX59" s="32">
        <f t="shared" si="38"/>
        <v>0</v>
      </c>
      <c r="BY59" s="32">
        <f t="shared" si="38"/>
        <v>0</v>
      </c>
      <c r="BZ59" s="32">
        <f t="shared" si="38"/>
        <v>0</v>
      </c>
      <c r="CA59" s="32">
        <f t="shared" si="38"/>
        <v>0</v>
      </c>
      <c r="CB59" s="32">
        <f t="shared" si="38"/>
        <v>0</v>
      </c>
      <c r="CC59" s="32">
        <f t="shared" si="38"/>
        <v>0</v>
      </c>
      <c r="CD59" s="32">
        <f t="shared" si="38"/>
        <v>0</v>
      </c>
      <c r="CE59" s="32">
        <f t="shared" si="38"/>
        <v>0</v>
      </c>
      <c r="CF59" s="32">
        <f t="shared" si="38"/>
        <v>0</v>
      </c>
      <c r="CG59" s="32">
        <f t="shared" si="38"/>
        <v>0</v>
      </c>
      <c r="CH59" s="32">
        <f t="shared" si="38"/>
        <v>0</v>
      </c>
      <c r="CI59" s="32">
        <f t="shared" si="38"/>
        <v>0</v>
      </c>
      <c r="CJ59" s="32">
        <f t="shared" si="38"/>
        <v>0</v>
      </c>
      <c r="CK59" s="32">
        <f t="shared" si="38"/>
        <v>0</v>
      </c>
      <c r="CL59" s="32">
        <f t="shared" si="38"/>
        <v>0</v>
      </c>
      <c r="CM59" s="32">
        <f t="shared" si="38"/>
        <v>0</v>
      </c>
      <c r="CN59" s="32">
        <f t="shared" si="38"/>
        <v>0</v>
      </c>
      <c r="CO59" s="32">
        <f t="shared" si="38"/>
        <v>0</v>
      </c>
      <c r="CP59" s="32">
        <f t="shared" si="38"/>
        <v>0</v>
      </c>
      <c r="CQ59" s="32">
        <f t="shared" si="38"/>
        <v>0</v>
      </c>
      <c r="CR59" s="32">
        <f t="shared" si="38"/>
        <v>0</v>
      </c>
      <c r="CS59" s="32">
        <f t="shared" si="38"/>
        <v>0</v>
      </c>
      <c r="CT59" s="32">
        <f t="shared" si="38"/>
        <v>0</v>
      </c>
      <c r="CU59" s="32">
        <f t="shared" ref="CU59:DZ59" si="39">CU55-CU58</f>
        <v>0</v>
      </c>
      <c r="CV59" s="32">
        <f t="shared" si="39"/>
        <v>0</v>
      </c>
      <c r="CW59" s="32">
        <f t="shared" si="39"/>
        <v>0</v>
      </c>
      <c r="CX59" s="32">
        <f t="shared" si="39"/>
        <v>0</v>
      </c>
      <c r="CY59" s="32">
        <f t="shared" si="39"/>
        <v>0</v>
      </c>
      <c r="CZ59" s="32">
        <f t="shared" si="39"/>
        <v>0</v>
      </c>
      <c r="DA59" s="32">
        <f t="shared" si="39"/>
        <v>0</v>
      </c>
      <c r="DB59" s="32">
        <f t="shared" si="39"/>
        <v>0</v>
      </c>
      <c r="DC59" s="32">
        <f t="shared" si="39"/>
        <v>0</v>
      </c>
      <c r="DD59" s="32">
        <f t="shared" si="39"/>
        <v>0</v>
      </c>
      <c r="DE59" s="32">
        <f t="shared" si="39"/>
        <v>0</v>
      </c>
      <c r="DF59" s="32">
        <f t="shared" si="39"/>
        <v>0</v>
      </c>
    </row>
    <row r="61" spans="1:111" ht="13.8" x14ac:dyDescent="0.3">
      <c r="A61" s="26" t="s">
        <v>328</v>
      </c>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row>
    <row r="62" spans="1:111" ht="13.8" x14ac:dyDescent="0.3">
      <c r="A62" s="16" t="s">
        <v>317</v>
      </c>
      <c r="C62" s="17">
        <f>IF(C$4=Supuestos!$I$40,Supuestos!$C$40,0)</f>
        <v>0</v>
      </c>
      <c r="D62" s="17">
        <f>IF(D$4=Supuestos!$I$40,Supuestos!$C$40,0)</f>
        <v>0</v>
      </c>
      <c r="E62" s="17">
        <f>IF(E$4=Supuestos!$I$40,Supuestos!$C$40,0)</f>
        <v>0</v>
      </c>
      <c r="F62" s="17">
        <f>IF(F$4=Supuestos!$I$40,Supuestos!$C$40,0)</f>
        <v>0</v>
      </c>
      <c r="G62" s="17">
        <f>IF(G$4=Supuestos!$I$40,Supuestos!$C$40,0)</f>
        <v>0</v>
      </c>
      <c r="H62" s="17">
        <f>IF(H$4=Supuestos!$I$40,Supuestos!$C$40,0)</f>
        <v>0</v>
      </c>
      <c r="I62" s="17">
        <f>IF(I$4=Supuestos!$I$40,Supuestos!$C$40,0)</f>
        <v>0</v>
      </c>
      <c r="J62" s="17">
        <f>IF(J$4=Supuestos!$I$40,Supuestos!$C$40,0)</f>
        <v>0</v>
      </c>
      <c r="K62" s="17">
        <f>IF(K$4=Supuestos!$I$40,Supuestos!$C$40,0)</f>
        <v>0</v>
      </c>
      <c r="L62" s="17">
        <f>IF(L$4=Supuestos!$I$40,Supuestos!$C$40,0)</f>
        <v>0</v>
      </c>
      <c r="M62" s="17">
        <f>IF(M$4=Supuestos!$I$40,Supuestos!$C$40,0)</f>
        <v>0</v>
      </c>
      <c r="N62" s="17">
        <f>IF(N$4=Supuestos!$I$40,Supuestos!$C$40,0)</f>
        <v>0</v>
      </c>
      <c r="O62" s="17">
        <f>IF(O$4=Supuestos!$I$40,Supuestos!$C$40,0)</f>
        <v>0</v>
      </c>
      <c r="P62" s="17">
        <f>IF(P$4=Supuestos!$I$40,Supuestos!$C$40,0)</f>
        <v>0</v>
      </c>
      <c r="Q62" s="17">
        <f>IF(Q$4=Supuestos!$I$40,Supuestos!$C$40,0)</f>
        <v>0</v>
      </c>
      <c r="R62" s="17">
        <f>IF(R$4=Supuestos!$I$40,Supuestos!$C$40,0)</f>
        <v>0</v>
      </c>
      <c r="S62" s="17">
        <f>IF(S$4=Supuestos!$I$40,Supuestos!$C$40,0)</f>
        <v>0</v>
      </c>
      <c r="T62" s="17">
        <f>IF(T$4=Supuestos!$I$40,Supuestos!$C$40,0)</f>
        <v>0</v>
      </c>
      <c r="U62" s="17">
        <f>IF(U$4=Supuestos!$I$40,Supuestos!$C$40,0)</f>
        <v>0</v>
      </c>
      <c r="V62" s="17">
        <f>IF(V$4=Supuestos!$I$40,Supuestos!$C$40,0)</f>
        <v>0</v>
      </c>
      <c r="W62" s="17">
        <f>IF(W$4=Supuestos!$I$40,Supuestos!$C$40,0)</f>
        <v>0</v>
      </c>
      <c r="X62" s="17">
        <f>IF(X$4=Supuestos!$I$40,Supuestos!$C$40,0)</f>
        <v>0</v>
      </c>
      <c r="Y62" s="17">
        <f>IF(Y$4=Supuestos!$I$40,Supuestos!$C$40,0)</f>
        <v>0</v>
      </c>
      <c r="Z62" s="17">
        <f>IF(Z$4=Supuestos!$I$40,Supuestos!$C$40,0)</f>
        <v>0</v>
      </c>
      <c r="AA62" s="17">
        <f>IF(AA$4=Supuestos!$I$40,Supuestos!$C$40,0)</f>
        <v>0</v>
      </c>
      <c r="AB62" s="17">
        <f>IF(AB$4=Supuestos!$I$40,Supuestos!$C$40,0)</f>
        <v>0</v>
      </c>
      <c r="AC62" s="17">
        <f>IF(AC$4=Supuestos!$I$40,Supuestos!$C$40,0)</f>
        <v>0</v>
      </c>
      <c r="AD62" s="17">
        <f>IF(AD$4=Supuestos!$I$40,Supuestos!$C$40,0)</f>
        <v>0</v>
      </c>
      <c r="AE62" s="17">
        <f>IF(AE$4=Supuestos!$I$40,Supuestos!$C$40,0)</f>
        <v>0</v>
      </c>
      <c r="AF62" s="17">
        <f>IF(AF$4=Supuestos!$I$40,Supuestos!$C$40,0)</f>
        <v>0</v>
      </c>
      <c r="AG62" s="17">
        <f>IF(AG$4=Supuestos!$I$40,Supuestos!$C$40,0)</f>
        <v>0</v>
      </c>
      <c r="AH62" s="17">
        <f>IF(AH$4=Supuestos!$I$40,Supuestos!$C$40,0)</f>
        <v>0</v>
      </c>
      <c r="AI62" s="17">
        <f>IF(AI$4=Supuestos!$I$40,Supuestos!$C$40,0)</f>
        <v>0</v>
      </c>
      <c r="AJ62" s="17">
        <f>IF(AJ$4=Supuestos!$I$40,Supuestos!$C$40,0)</f>
        <v>0</v>
      </c>
      <c r="AK62" s="17">
        <f>IF(AK$4=Supuestos!$I$40,Supuestos!$C$40,0)</f>
        <v>0</v>
      </c>
      <c r="AL62" s="17">
        <f>IF(AL$4=Supuestos!$I$40,Supuestos!$C$40,0)</f>
        <v>0</v>
      </c>
      <c r="AM62" s="17">
        <f>IF(AM$4=Supuestos!$I$40,Supuestos!$C$40,0)</f>
        <v>0</v>
      </c>
      <c r="AN62" s="17">
        <f>IF(AN$4=Supuestos!$I$40,Supuestos!$C$40,0)</f>
        <v>0</v>
      </c>
      <c r="AO62" s="17">
        <f>IF(AO$4=Supuestos!$I$40,Supuestos!$C$40,0)</f>
        <v>0</v>
      </c>
      <c r="AP62" s="17">
        <f>IF(AP$4=Supuestos!$I$40,Supuestos!$C$40,0)</f>
        <v>0</v>
      </c>
      <c r="AQ62" s="17">
        <f>IF(AQ$4=Supuestos!$I$40,Supuestos!$C$40,0)</f>
        <v>0</v>
      </c>
      <c r="AR62" s="17">
        <f>IF(AR$4=Supuestos!$I$40,Supuestos!$C$40,0)</f>
        <v>0</v>
      </c>
      <c r="AS62" s="17">
        <f>IF(AS$4=Supuestos!$I$40,Supuestos!$C$40,0)</f>
        <v>0</v>
      </c>
      <c r="AT62" s="17">
        <f>IF(AT$4=Supuestos!$I$40,Supuestos!$C$40,0)</f>
        <v>0</v>
      </c>
      <c r="AU62" s="17">
        <f>IF(AU$4=Supuestos!$I$40,Supuestos!$C$40,0)</f>
        <v>0</v>
      </c>
      <c r="AV62" s="17">
        <f>IF(AV$4=Supuestos!$I$40,Supuestos!$C$40,0)</f>
        <v>0</v>
      </c>
      <c r="AW62" s="17">
        <f>IF(AW$4=Supuestos!$I$40,Supuestos!$C$40,0)</f>
        <v>0</v>
      </c>
      <c r="AX62" s="17">
        <f>IF(AX$4=Supuestos!$I$40,Supuestos!$C$40,0)</f>
        <v>0</v>
      </c>
      <c r="AY62" s="17">
        <f>IF(AY$4=Supuestos!$I$40,Supuestos!$C$40,0)</f>
        <v>200000</v>
      </c>
      <c r="AZ62" s="17">
        <f>IF(AZ$4=Supuestos!$I$40,Supuestos!$C$40,0)</f>
        <v>0</v>
      </c>
      <c r="BA62" s="17">
        <f>IF(BA$4=Supuestos!$I$40,Supuestos!$C$40,0)</f>
        <v>0</v>
      </c>
      <c r="BB62" s="17">
        <f>IF(BB$4=Supuestos!$I$40,Supuestos!$C$40,0)</f>
        <v>0</v>
      </c>
      <c r="BC62" s="17">
        <f>IF(BC$4=Supuestos!$I$40,Supuestos!$C$40,0)</f>
        <v>0</v>
      </c>
      <c r="BD62" s="17">
        <f>IF(BD$4=Supuestos!$I$40,Supuestos!$C$40,0)</f>
        <v>0</v>
      </c>
      <c r="BE62" s="17">
        <f>IF(BE$4=Supuestos!$I$40,Supuestos!$C$40,0)</f>
        <v>0</v>
      </c>
      <c r="BF62" s="17">
        <f>IF(BF$4=Supuestos!$I$40,Supuestos!$C$40,0)</f>
        <v>0</v>
      </c>
      <c r="BG62" s="17">
        <f>IF(BG$4=Supuestos!$I$40,Supuestos!$C$40,0)</f>
        <v>0</v>
      </c>
      <c r="BH62" s="17">
        <f>IF(BH$4=Supuestos!$I$40,Supuestos!$C$40,0)</f>
        <v>0</v>
      </c>
      <c r="BI62" s="17">
        <f>IF(BI$4=Supuestos!$I$40,Supuestos!$C$40,0)</f>
        <v>0</v>
      </c>
      <c r="BJ62" s="17">
        <f>IF(BJ$4=Supuestos!$I$40,Supuestos!$C$40,0)</f>
        <v>0</v>
      </c>
      <c r="BK62" s="17">
        <f>IF(BK$4=Supuestos!$I$40,Supuestos!$C$40,0)</f>
        <v>0</v>
      </c>
      <c r="BL62" s="17">
        <f>IF(BL$4=Supuestos!$I$40,Supuestos!$C$40,0)</f>
        <v>0</v>
      </c>
      <c r="BM62" s="17">
        <f>IF(BM$4=Supuestos!$I$40,Supuestos!$C$40,0)</f>
        <v>0</v>
      </c>
      <c r="BN62" s="17">
        <f>IF(BN$4=Supuestos!$I$40,Supuestos!$C$40,0)</f>
        <v>0</v>
      </c>
      <c r="BO62" s="17">
        <f>IF(BO$4=Supuestos!$I$40,Supuestos!$C$40,0)</f>
        <v>0</v>
      </c>
      <c r="BP62" s="17">
        <f>IF(BP$4=Supuestos!$I$40,Supuestos!$C$40,0)</f>
        <v>0</v>
      </c>
      <c r="BQ62" s="17">
        <f>IF(BQ$4=Supuestos!$I$40,Supuestos!$C$40,0)</f>
        <v>0</v>
      </c>
      <c r="BR62" s="17">
        <f>IF(BR$4=Supuestos!$I$40,Supuestos!$C$40,0)</f>
        <v>0</v>
      </c>
      <c r="BS62" s="17">
        <f>IF(BS$4=Supuestos!$I$40,Supuestos!$C$40,0)</f>
        <v>0</v>
      </c>
      <c r="BT62" s="17">
        <f>IF(BT$4=Supuestos!$I$40,Supuestos!$C$40,0)</f>
        <v>0</v>
      </c>
      <c r="BU62" s="17">
        <f>IF(BU$4=Supuestos!$I$40,Supuestos!$C$40,0)</f>
        <v>0</v>
      </c>
      <c r="BV62" s="17">
        <f>IF(BV$4=Supuestos!$I$40,Supuestos!$C$40,0)</f>
        <v>0</v>
      </c>
      <c r="BW62" s="17">
        <f>IF(BW$4=Supuestos!$I$40,Supuestos!$C$40,0)</f>
        <v>0</v>
      </c>
      <c r="BX62" s="17">
        <f>IF(BX$4=Supuestos!$I$40,Supuestos!$C$40,0)</f>
        <v>0</v>
      </c>
      <c r="BY62" s="17">
        <f>IF(BY$4=Supuestos!$I$40,Supuestos!$C$40,0)</f>
        <v>0</v>
      </c>
      <c r="BZ62" s="17">
        <f>IF(BZ$4=Supuestos!$I$40,Supuestos!$C$40,0)</f>
        <v>0</v>
      </c>
      <c r="CA62" s="17">
        <f>IF(CA$4=Supuestos!$I$40,Supuestos!$C$40,0)</f>
        <v>0</v>
      </c>
      <c r="CB62" s="17">
        <f>IF(CB$4=Supuestos!$I$40,Supuestos!$C$40,0)</f>
        <v>0</v>
      </c>
      <c r="CC62" s="17">
        <f>IF(CC$4=Supuestos!$I$40,Supuestos!$C$40,0)</f>
        <v>0</v>
      </c>
      <c r="CD62" s="17">
        <f>IF(CD$4=Supuestos!$I$40,Supuestos!$C$40,0)</f>
        <v>0</v>
      </c>
      <c r="CE62" s="17">
        <f>IF(CE$4=Supuestos!$I$40,Supuestos!$C$40,0)</f>
        <v>0</v>
      </c>
      <c r="CF62" s="17">
        <f>IF(CF$4=Supuestos!$I$40,Supuestos!$C$40,0)</f>
        <v>0</v>
      </c>
      <c r="CG62" s="17">
        <f>IF(CG$4=Supuestos!$I$40,Supuestos!$C$40,0)</f>
        <v>0</v>
      </c>
      <c r="CH62" s="17">
        <f>IF(CH$4=Supuestos!$I$40,Supuestos!$C$40,0)</f>
        <v>0</v>
      </c>
      <c r="CI62" s="17">
        <f>IF(CI$4=Supuestos!$I$40,Supuestos!$C$40,0)</f>
        <v>0</v>
      </c>
      <c r="CJ62" s="17">
        <f>IF(CJ$4=Supuestos!$I$40,Supuestos!$C$40,0)</f>
        <v>0</v>
      </c>
      <c r="CK62" s="17">
        <f>IF(CK$4=Supuestos!$I$40,Supuestos!$C$40,0)</f>
        <v>0</v>
      </c>
      <c r="CL62" s="17">
        <f>IF(CL$4=Supuestos!$I$40,Supuestos!$C$40,0)</f>
        <v>0</v>
      </c>
      <c r="CM62" s="17">
        <f>IF(CM$4=Supuestos!$I$40,Supuestos!$C$40,0)</f>
        <v>0</v>
      </c>
      <c r="CN62" s="17">
        <f>IF(CN$4=Supuestos!$I$40,Supuestos!$C$40,0)</f>
        <v>0</v>
      </c>
      <c r="CO62" s="17">
        <f>IF(CO$4=Supuestos!$I$40,Supuestos!$C$40,0)</f>
        <v>0</v>
      </c>
      <c r="CP62" s="17">
        <f>IF(CP$4=Supuestos!$I$40,Supuestos!$C$40,0)</f>
        <v>0</v>
      </c>
      <c r="CQ62" s="17">
        <f>IF(CQ$4=Supuestos!$I$40,Supuestos!$C$40,0)</f>
        <v>0</v>
      </c>
      <c r="CR62" s="17">
        <f>IF(CR$4=Supuestos!$I$40,Supuestos!$C$40,0)</f>
        <v>0</v>
      </c>
      <c r="CS62" s="17">
        <f>IF(CS$4=Supuestos!$I$40,Supuestos!$C$40,0)</f>
        <v>0</v>
      </c>
      <c r="CT62" s="17">
        <f>IF(CT$4=Supuestos!$I$40,Supuestos!$C$40,0)</f>
        <v>0</v>
      </c>
      <c r="CU62" s="17">
        <f>IF(CU$4=Supuestos!$I$40,Supuestos!$C$40,0)</f>
        <v>0</v>
      </c>
      <c r="CV62" s="17">
        <f>IF(CV$4=Supuestos!$I$40,Supuestos!$C$40,0)</f>
        <v>0</v>
      </c>
      <c r="CW62" s="17">
        <f>IF(CW$4=Supuestos!$I$40,Supuestos!$C$40,0)</f>
        <v>0</v>
      </c>
      <c r="CX62" s="17">
        <f>IF(CX$4=Supuestos!$I$40,Supuestos!$C$40,0)</f>
        <v>0</v>
      </c>
      <c r="CY62" s="17">
        <f>IF(CY$4=Supuestos!$I$40,Supuestos!$C$40,0)</f>
        <v>0</v>
      </c>
      <c r="CZ62" s="17">
        <f>IF(CZ$4=Supuestos!$I$40,Supuestos!$C$40,0)</f>
        <v>0</v>
      </c>
      <c r="DA62" s="17">
        <f>IF(DA$4=Supuestos!$I$40,Supuestos!$C$40,0)</f>
        <v>0</v>
      </c>
      <c r="DB62" s="17">
        <f>IF(DB$4=Supuestos!$I$40,Supuestos!$C$40,0)</f>
        <v>0</v>
      </c>
      <c r="DC62" s="17">
        <f>IF(DC$4=Supuestos!$I$40,Supuestos!$C$40,0)</f>
        <v>0</v>
      </c>
      <c r="DD62" s="17">
        <f>IF(DD$4=Supuestos!$I$40,Supuestos!$C$40,0)</f>
        <v>0</v>
      </c>
      <c r="DE62" s="17">
        <f>IF(DE$4=Supuestos!$I$40,Supuestos!$C$40,0)</f>
        <v>0</v>
      </c>
      <c r="DF62" s="17">
        <f>IF(DF$4=Supuestos!$I$40,Supuestos!$C$40,0)</f>
        <v>0</v>
      </c>
      <c r="DG62" s="32">
        <f>SUM(C62:DF62)</f>
        <v>200000</v>
      </c>
    </row>
    <row r="63" spans="1:111" ht="13.8" x14ac:dyDescent="0.3">
      <c r="A63" s="16" t="s">
        <v>318</v>
      </c>
      <c r="C63" s="152">
        <f>IF(AND(C$4&gt;=Supuestos!$H$40,C$4&lt;EDATE(Supuestos!$H$40,Supuestos!$E$40)),1,0)</f>
        <v>0</v>
      </c>
      <c r="D63" s="152">
        <f>IF(AND(D$4&gt;=Supuestos!$H$40,D$4&lt;EDATE(Supuestos!$H$40,Supuestos!$E$40)),C63+1,0)</f>
        <v>0</v>
      </c>
      <c r="E63" s="152">
        <f>IF(AND(E$4&gt;=Supuestos!$H$40,E$4&lt;EDATE(Supuestos!$H$40,Supuestos!$E$40)),D63+1,0)</f>
        <v>0</v>
      </c>
      <c r="F63" s="152">
        <f>IF(AND(F$4&gt;=Supuestos!$H$40,F$4&lt;EDATE(Supuestos!$H$40,Supuestos!$E$40)),E63+1,0)</f>
        <v>0</v>
      </c>
      <c r="G63" s="152">
        <f>IF(AND(G$4&gt;=Supuestos!$H$40,G$4&lt;EDATE(Supuestos!$H$40,Supuestos!$E$40)),F63+1,0)</f>
        <v>0</v>
      </c>
      <c r="H63" s="152">
        <f>IF(AND(H$4&gt;=Supuestos!$H$40,H$4&lt;EDATE(Supuestos!$H$40,Supuestos!$E$40)),G63+1,0)</f>
        <v>0</v>
      </c>
      <c r="I63" s="152">
        <f>IF(AND(I$4&gt;=Supuestos!$H$40,I$4&lt;EDATE(Supuestos!$H$40,Supuestos!$E$40)),H63+1,0)</f>
        <v>0</v>
      </c>
      <c r="J63" s="152">
        <f>IF(AND(J$4&gt;=Supuestos!$H$40,J$4&lt;EDATE(Supuestos!$H$40,Supuestos!$E$40)),I63+1,0)</f>
        <v>0</v>
      </c>
      <c r="K63" s="152">
        <f>IF(AND(K$4&gt;=Supuestos!$H$40,K$4&lt;EDATE(Supuestos!$H$40,Supuestos!$E$40)),J63+1,0)</f>
        <v>0</v>
      </c>
      <c r="L63" s="152">
        <f>IF(AND(L$4&gt;=Supuestos!$H$40,L$4&lt;EDATE(Supuestos!$H$40,Supuestos!$E$40)),K63+1,0)</f>
        <v>0</v>
      </c>
      <c r="M63" s="152">
        <f>IF(AND(M$4&gt;=Supuestos!$H$40,M$4&lt;EDATE(Supuestos!$H$40,Supuestos!$E$40)),L63+1,0)</f>
        <v>0</v>
      </c>
      <c r="N63" s="152">
        <f>IF(AND(N$4&gt;=Supuestos!$H$40,N$4&lt;EDATE(Supuestos!$H$40,Supuestos!$E$40)),M63+1,0)</f>
        <v>0</v>
      </c>
      <c r="O63" s="152">
        <f>IF(AND(O$4&gt;=Supuestos!$H$40,O$4&lt;EDATE(Supuestos!$H$40,Supuestos!$E$40)),N63+1,0)</f>
        <v>0</v>
      </c>
      <c r="P63" s="152">
        <f>IF(AND(P$4&gt;=Supuestos!$H$40,P$4&lt;EDATE(Supuestos!$H$40,Supuestos!$E$40)),O63+1,0)</f>
        <v>0</v>
      </c>
      <c r="Q63" s="152">
        <f>IF(AND(Q$4&gt;=Supuestos!$H$40,Q$4&lt;EDATE(Supuestos!$H$40,Supuestos!$E$40)),P63+1,0)</f>
        <v>0</v>
      </c>
      <c r="R63" s="152">
        <f>IF(AND(R$4&gt;=Supuestos!$H$40,R$4&lt;EDATE(Supuestos!$H$40,Supuestos!$E$40)),Q63+1,0)</f>
        <v>0</v>
      </c>
      <c r="S63" s="152">
        <f>IF(AND(S$4&gt;=Supuestos!$H$40,S$4&lt;EDATE(Supuestos!$H$40,Supuestos!$E$40)),R63+1,0)</f>
        <v>0</v>
      </c>
      <c r="T63" s="152">
        <f>IF(AND(T$4&gt;=Supuestos!$H$40,T$4&lt;EDATE(Supuestos!$H$40,Supuestos!$E$40)),S63+1,0)</f>
        <v>0</v>
      </c>
      <c r="U63" s="152">
        <f>IF(AND(U$4&gt;=Supuestos!$H$40,U$4&lt;EDATE(Supuestos!$H$40,Supuestos!$E$40)),T63+1,0)</f>
        <v>0</v>
      </c>
      <c r="V63" s="152">
        <f>IF(AND(V$4&gt;=Supuestos!$H$40,V$4&lt;EDATE(Supuestos!$H$40,Supuestos!$E$40)),U63+1,0)</f>
        <v>0</v>
      </c>
      <c r="W63" s="152">
        <f>IF(AND(W$4&gt;=Supuestos!$H$40,W$4&lt;EDATE(Supuestos!$H$40,Supuestos!$E$40)),V63+1,0)</f>
        <v>0</v>
      </c>
      <c r="X63" s="152">
        <f>IF(AND(X$4&gt;=Supuestos!$H$40,X$4&lt;EDATE(Supuestos!$H$40,Supuestos!$E$40)),W63+1,0)</f>
        <v>0</v>
      </c>
      <c r="Y63" s="152">
        <f>IF(AND(Y$4&gt;=Supuestos!$H$40,Y$4&lt;EDATE(Supuestos!$H$40,Supuestos!$E$40)),X63+1,0)</f>
        <v>0</v>
      </c>
      <c r="Z63" s="152">
        <f>IF(AND(Z$4&gt;=Supuestos!$H$40,Z$4&lt;EDATE(Supuestos!$H$40,Supuestos!$E$40)),Y63+1,0)</f>
        <v>0</v>
      </c>
      <c r="AA63" s="152">
        <f>IF(AND(AA$4&gt;=Supuestos!$H$40,AA$4&lt;EDATE(Supuestos!$H$40,Supuestos!$E$40)),Z63+1,0)</f>
        <v>0</v>
      </c>
      <c r="AB63" s="152">
        <f>IF(AND(AB$4&gt;=Supuestos!$H$40,AB$4&lt;EDATE(Supuestos!$H$40,Supuestos!$E$40)),AA63+1,0)</f>
        <v>0</v>
      </c>
      <c r="AC63" s="152">
        <f>IF(AND(AC$4&gt;=Supuestos!$H$40,AC$4&lt;EDATE(Supuestos!$H$40,Supuestos!$E$40)),AB63+1,0)</f>
        <v>0</v>
      </c>
      <c r="AD63" s="152">
        <f>IF(AND(AD$4&gt;=Supuestos!$H$40,AD$4&lt;EDATE(Supuestos!$H$40,Supuestos!$E$40)),AC63+1,0)</f>
        <v>0</v>
      </c>
      <c r="AE63" s="152">
        <f>IF(AND(AE$4&gt;=Supuestos!$H$40,AE$4&lt;EDATE(Supuestos!$H$40,Supuestos!$E$40)),AD63+1,0)</f>
        <v>0</v>
      </c>
      <c r="AF63" s="152">
        <f>IF(AND(AF$4&gt;=Supuestos!$H$40,AF$4&lt;EDATE(Supuestos!$H$40,Supuestos!$E$40)),AE63+1,0)</f>
        <v>0</v>
      </c>
      <c r="AG63" s="152">
        <f>IF(AND(AG$4&gt;=Supuestos!$H$40,AG$4&lt;EDATE(Supuestos!$H$40,Supuestos!$E$40)),AF63+1,0)</f>
        <v>0</v>
      </c>
      <c r="AH63" s="152">
        <f>IF(AND(AH$4&gt;=Supuestos!$H$40,AH$4&lt;EDATE(Supuestos!$H$40,Supuestos!$E$40)),AG63+1,0)</f>
        <v>0</v>
      </c>
      <c r="AI63" s="152">
        <f>IF(AND(AI$4&gt;=Supuestos!$H$40,AI$4&lt;EDATE(Supuestos!$H$40,Supuestos!$E$40)),AH63+1,0)</f>
        <v>0</v>
      </c>
      <c r="AJ63" s="152">
        <f>IF(AND(AJ$4&gt;=Supuestos!$H$40,AJ$4&lt;EDATE(Supuestos!$H$40,Supuestos!$E$40)),AI63+1,0)</f>
        <v>0</v>
      </c>
      <c r="AK63" s="152">
        <f>IF(AND(AK$4&gt;=Supuestos!$H$40,AK$4&lt;EDATE(Supuestos!$H$40,Supuestos!$E$40)),AJ63+1,0)</f>
        <v>0</v>
      </c>
      <c r="AL63" s="152">
        <f>IF(AND(AL$4&gt;=Supuestos!$H$40,AL$4&lt;EDATE(Supuestos!$H$40,Supuestos!$E$40)),AK63+1,0)</f>
        <v>0</v>
      </c>
      <c r="AM63" s="152">
        <f>IF(AND(AM$4&gt;=Supuestos!$H$40,AM$4&lt;EDATE(Supuestos!$H$40,Supuestos!$E$40)),AL63+1,0)</f>
        <v>0</v>
      </c>
      <c r="AN63" s="152">
        <f>IF(AND(AN$4&gt;=Supuestos!$H$40,AN$4&lt;EDATE(Supuestos!$H$40,Supuestos!$E$40)),AM63+1,0)</f>
        <v>0</v>
      </c>
      <c r="AO63" s="152">
        <f>IF(AND(AO$4&gt;=Supuestos!$H$40,AO$4&lt;EDATE(Supuestos!$H$40,Supuestos!$E$40)),AN63+1,0)</f>
        <v>0</v>
      </c>
      <c r="AP63" s="152">
        <f>IF(AND(AP$4&gt;=Supuestos!$H$40,AP$4&lt;EDATE(Supuestos!$H$40,Supuestos!$E$40)),AO63+1,0)</f>
        <v>0</v>
      </c>
      <c r="AQ63" s="152">
        <f>IF(AND(AQ$4&gt;=Supuestos!$H$40,AQ$4&lt;EDATE(Supuestos!$H$40,Supuestos!$E$40)),AP63+1,0)</f>
        <v>0</v>
      </c>
      <c r="AR63" s="152">
        <f>IF(AND(AR$4&gt;=Supuestos!$H$40,AR$4&lt;EDATE(Supuestos!$H$40,Supuestos!$E$40)),AQ63+1,0)</f>
        <v>0</v>
      </c>
      <c r="AS63" s="152">
        <f>IF(AND(AS$4&gt;=Supuestos!$H$40,AS$4&lt;EDATE(Supuestos!$H$40,Supuestos!$E$40)),AR63+1,0)</f>
        <v>0</v>
      </c>
      <c r="AT63" s="152">
        <f>IF(AND(AT$4&gt;=Supuestos!$H$40,AT$4&lt;EDATE(Supuestos!$H$40,Supuestos!$E$40)),AS63+1,0)</f>
        <v>0</v>
      </c>
      <c r="AU63" s="152">
        <f>IF(AND(AU$4&gt;=Supuestos!$H$40,AU$4&lt;EDATE(Supuestos!$H$40,Supuestos!$E$40)),AT63+1,0)</f>
        <v>0</v>
      </c>
      <c r="AV63" s="152">
        <f>IF(AND(AV$4&gt;=Supuestos!$H$40,AV$4&lt;EDATE(Supuestos!$H$40,Supuestos!$E$40)),AU63+1,0)</f>
        <v>0</v>
      </c>
      <c r="AW63" s="152">
        <f>IF(AND(AW$4&gt;=Supuestos!$H$40,AW$4&lt;EDATE(Supuestos!$H$40,Supuestos!$E$40)),AV63+1,0)</f>
        <v>0</v>
      </c>
      <c r="AX63" s="152">
        <f>IF(AND(AX$4&gt;=Supuestos!$H$40,AX$4&lt;EDATE(Supuestos!$H$40,Supuestos!$E$40)),AW63+1,0)</f>
        <v>0</v>
      </c>
      <c r="AY63" s="152">
        <f>IF(AND(AY$4&gt;=Supuestos!$H$40,AY$4&lt;EDATE(Supuestos!$H$40,Supuestos!$E$40)),AX63+1,0)</f>
        <v>1</v>
      </c>
      <c r="AZ63" s="152">
        <f>IF(AND(AZ$4&gt;=Supuestos!$H$40,AZ$4&lt;EDATE(Supuestos!$H$40,Supuestos!$E$40)),AY63+1,0)</f>
        <v>2</v>
      </c>
      <c r="BA63" s="152">
        <f>IF(AND(BA$4&gt;=Supuestos!$H$40,BA$4&lt;EDATE(Supuestos!$H$40,Supuestos!$E$40)),AZ63+1,0)</f>
        <v>3</v>
      </c>
      <c r="BB63" s="152">
        <f>IF(AND(BB$4&gt;=Supuestos!$H$40,BB$4&lt;EDATE(Supuestos!$H$40,Supuestos!$E$40)),BA63+1,0)</f>
        <v>4</v>
      </c>
      <c r="BC63" s="152">
        <f>IF(AND(BC$4&gt;=Supuestos!$H$40,BC$4&lt;EDATE(Supuestos!$H$40,Supuestos!$E$40)),BB63+1,0)</f>
        <v>5</v>
      </c>
      <c r="BD63" s="152">
        <f>IF(AND(BD$4&gt;=Supuestos!$H$40,BD$4&lt;EDATE(Supuestos!$H$40,Supuestos!$E$40)),BC63+1,0)</f>
        <v>6</v>
      </c>
      <c r="BE63" s="152">
        <f>IF(AND(BE$4&gt;=Supuestos!$H$40,BE$4&lt;EDATE(Supuestos!$H$40,Supuestos!$E$40)),BD63+1,0)</f>
        <v>7</v>
      </c>
      <c r="BF63" s="152">
        <f>IF(AND(BF$4&gt;=Supuestos!$H$40,BF$4&lt;EDATE(Supuestos!$H$40,Supuestos!$E$40)),BE63+1,0)</f>
        <v>8</v>
      </c>
      <c r="BG63" s="152">
        <f>IF(AND(BG$4&gt;=Supuestos!$H$40,BG$4&lt;EDATE(Supuestos!$H$40,Supuestos!$E$40)),BF63+1,0)</f>
        <v>9</v>
      </c>
      <c r="BH63" s="152">
        <f>IF(AND(BH$4&gt;=Supuestos!$H$40,BH$4&lt;EDATE(Supuestos!$H$40,Supuestos!$E$40)),BG63+1,0)</f>
        <v>10</v>
      </c>
      <c r="BI63" s="152">
        <f>IF(AND(BI$4&gt;=Supuestos!$H$40,BI$4&lt;EDATE(Supuestos!$H$40,Supuestos!$E$40)),BH63+1,0)</f>
        <v>11</v>
      </c>
      <c r="BJ63" s="152">
        <f>IF(AND(BJ$4&gt;=Supuestos!$H$40,BJ$4&lt;EDATE(Supuestos!$H$40,Supuestos!$E$40)),BI63+1,0)</f>
        <v>12</v>
      </c>
      <c r="BK63" s="152">
        <f>IF(AND(BK$4&gt;=Supuestos!$H$40,BK$4&lt;EDATE(Supuestos!$H$40,Supuestos!$E$40)),BJ63+1,0)</f>
        <v>13</v>
      </c>
      <c r="BL63" s="152">
        <f>IF(AND(BL$4&gt;=Supuestos!$H$40,BL$4&lt;EDATE(Supuestos!$H$40,Supuestos!$E$40)),BK63+1,0)</f>
        <v>14</v>
      </c>
      <c r="BM63" s="152">
        <f>IF(AND(BM$4&gt;=Supuestos!$H$40,BM$4&lt;EDATE(Supuestos!$H$40,Supuestos!$E$40)),BL63+1,0)</f>
        <v>15</v>
      </c>
      <c r="BN63" s="152">
        <f>IF(AND(BN$4&gt;=Supuestos!$H$40,BN$4&lt;EDATE(Supuestos!$H$40,Supuestos!$E$40)),BM63+1,0)</f>
        <v>16</v>
      </c>
      <c r="BO63" s="152">
        <f>IF(AND(BO$4&gt;=Supuestos!$H$40,BO$4&lt;EDATE(Supuestos!$H$40,Supuestos!$E$40)),BN63+1,0)</f>
        <v>17</v>
      </c>
      <c r="BP63" s="152">
        <f>IF(AND(BP$4&gt;=Supuestos!$H$40,BP$4&lt;EDATE(Supuestos!$H$40,Supuestos!$E$40)),BO63+1,0)</f>
        <v>18</v>
      </c>
      <c r="BQ63" s="152">
        <f>IF(AND(BQ$4&gt;=Supuestos!$H$40,BQ$4&lt;EDATE(Supuestos!$H$40,Supuestos!$E$40)),BP63+1,0)</f>
        <v>19</v>
      </c>
      <c r="BR63" s="152">
        <f>IF(AND(BR$4&gt;=Supuestos!$H$40,BR$4&lt;EDATE(Supuestos!$H$40,Supuestos!$E$40)),BQ63+1,0)</f>
        <v>20</v>
      </c>
      <c r="BS63" s="152">
        <f>IF(AND(BS$4&gt;=Supuestos!$H$40,BS$4&lt;EDATE(Supuestos!$H$40,Supuestos!$E$40)),BR63+1,0)</f>
        <v>21</v>
      </c>
      <c r="BT63" s="152">
        <f>IF(AND(BT$4&gt;=Supuestos!$H$40,BT$4&lt;EDATE(Supuestos!$H$40,Supuestos!$E$40)),BS63+1,0)</f>
        <v>22</v>
      </c>
      <c r="BU63" s="152">
        <f>IF(AND(BU$4&gt;=Supuestos!$H$40,BU$4&lt;EDATE(Supuestos!$H$40,Supuestos!$E$40)),BT63+1,0)</f>
        <v>23</v>
      </c>
      <c r="BV63" s="152">
        <f>IF(AND(BV$4&gt;=Supuestos!$H$40,BV$4&lt;EDATE(Supuestos!$H$40,Supuestos!$E$40)),BU63+1,0)</f>
        <v>24</v>
      </c>
      <c r="BW63" s="152">
        <f>IF(AND(BW$4&gt;=Supuestos!$H$40,BW$4&lt;EDATE(Supuestos!$H$40,Supuestos!$E$40)),BV63+1,0)</f>
        <v>25</v>
      </c>
      <c r="BX63" s="152">
        <f>IF(AND(BX$4&gt;=Supuestos!$H$40,BX$4&lt;EDATE(Supuestos!$H$40,Supuestos!$E$40)),BW63+1,0)</f>
        <v>26</v>
      </c>
      <c r="BY63" s="152">
        <f>IF(AND(BY$4&gt;=Supuestos!$H$40,BY$4&lt;EDATE(Supuestos!$H$40,Supuestos!$E$40)),BX63+1,0)</f>
        <v>27</v>
      </c>
      <c r="BZ63" s="152">
        <f>IF(AND(BZ$4&gt;=Supuestos!$H$40,BZ$4&lt;EDATE(Supuestos!$H$40,Supuestos!$E$40)),BY63+1,0)</f>
        <v>28</v>
      </c>
      <c r="CA63" s="152">
        <f>IF(AND(CA$4&gt;=Supuestos!$H$40,CA$4&lt;EDATE(Supuestos!$H$40,Supuestos!$E$40)),BZ63+1,0)</f>
        <v>29</v>
      </c>
      <c r="CB63" s="152">
        <f>IF(AND(CB$4&gt;=Supuestos!$H$40,CB$4&lt;EDATE(Supuestos!$H$40,Supuestos!$E$40)),CA63+1,0)</f>
        <v>30</v>
      </c>
      <c r="CC63" s="152">
        <f>IF(AND(CC$4&gt;=Supuestos!$H$40,CC$4&lt;EDATE(Supuestos!$H$40,Supuestos!$E$40)),CB63+1,0)</f>
        <v>31</v>
      </c>
      <c r="CD63" s="152">
        <f>IF(AND(CD$4&gt;=Supuestos!$H$40,CD$4&lt;EDATE(Supuestos!$H$40,Supuestos!$E$40)),CC63+1,0)</f>
        <v>32</v>
      </c>
      <c r="CE63" s="152">
        <f>IF(AND(CE$4&gt;=Supuestos!$H$40,CE$4&lt;EDATE(Supuestos!$H$40,Supuestos!$E$40)),CD63+1,0)</f>
        <v>33</v>
      </c>
      <c r="CF63" s="152">
        <f>IF(AND(CF$4&gt;=Supuestos!$H$40,CF$4&lt;EDATE(Supuestos!$H$40,Supuestos!$E$40)),CE63+1,0)</f>
        <v>34</v>
      </c>
      <c r="CG63" s="152">
        <f>IF(AND(CG$4&gt;=Supuestos!$H$40,CG$4&lt;EDATE(Supuestos!$H$40,Supuestos!$E$40)),CF63+1,0)</f>
        <v>35</v>
      </c>
      <c r="CH63" s="152">
        <f>IF(AND(CH$4&gt;=Supuestos!$H$40,CH$4&lt;EDATE(Supuestos!$H$40,Supuestos!$E$40)),CG63+1,0)</f>
        <v>36</v>
      </c>
      <c r="CI63" s="152">
        <f>IF(AND(CI$4&gt;=Supuestos!$H$40,CI$4&lt;EDATE(Supuestos!$H$40,Supuestos!$E$40)),CH63+1,0)</f>
        <v>0</v>
      </c>
      <c r="CJ63" s="152">
        <f>IF(AND(CJ$4&gt;=Supuestos!$H$40,CJ$4&lt;EDATE(Supuestos!$H$40,Supuestos!$E$40)),CI63+1,0)</f>
        <v>0</v>
      </c>
      <c r="CK63" s="152">
        <f>IF(AND(CK$4&gt;=Supuestos!$H$40,CK$4&lt;EDATE(Supuestos!$H$40,Supuestos!$E$40)),CJ63+1,0)</f>
        <v>0</v>
      </c>
      <c r="CL63" s="152">
        <f>IF(AND(CL$4&gt;=Supuestos!$H$40,CL$4&lt;EDATE(Supuestos!$H$40,Supuestos!$E$40)),CK63+1,0)</f>
        <v>0</v>
      </c>
      <c r="CM63" s="152">
        <f>IF(AND(CM$4&gt;=Supuestos!$H$40,CM$4&lt;EDATE(Supuestos!$H$40,Supuestos!$E$40)),CL63+1,0)</f>
        <v>0</v>
      </c>
      <c r="CN63" s="152">
        <f>IF(AND(CN$4&gt;=Supuestos!$H$40,CN$4&lt;EDATE(Supuestos!$H$40,Supuestos!$E$40)),CM63+1,0)</f>
        <v>0</v>
      </c>
      <c r="CO63" s="152">
        <f>IF(AND(CO$4&gt;=Supuestos!$H$40,CO$4&lt;EDATE(Supuestos!$H$40,Supuestos!$E$40)),CN63+1,0)</f>
        <v>0</v>
      </c>
      <c r="CP63" s="152">
        <f>IF(AND(CP$4&gt;=Supuestos!$H$40,CP$4&lt;EDATE(Supuestos!$H$40,Supuestos!$E$40)),CO63+1,0)</f>
        <v>0</v>
      </c>
      <c r="CQ63" s="152">
        <f>IF(AND(CQ$4&gt;=Supuestos!$H$40,CQ$4&lt;EDATE(Supuestos!$H$40,Supuestos!$E$40)),CP63+1,0)</f>
        <v>0</v>
      </c>
      <c r="CR63" s="152">
        <f>IF(AND(CR$4&gt;=Supuestos!$H$40,CR$4&lt;EDATE(Supuestos!$H$40,Supuestos!$E$40)),CQ63+1,0)</f>
        <v>0</v>
      </c>
      <c r="CS63" s="152">
        <f>IF(AND(CS$4&gt;=Supuestos!$H$40,CS$4&lt;EDATE(Supuestos!$H$40,Supuestos!$E$40)),CR63+1,0)</f>
        <v>0</v>
      </c>
      <c r="CT63" s="152">
        <f>IF(AND(CT$4&gt;=Supuestos!$H$40,CT$4&lt;EDATE(Supuestos!$H$40,Supuestos!$E$40)),CS63+1,0)</f>
        <v>0</v>
      </c>
      <c r="CU63" s="152">
        <f>IF(AND(CU$4&gt;=Supuestos!$H$40,CU$4&lt;EDATE(Supuestos!$H$40,Supuestos!$E$40)),CT63+1,0)</f>
        <v>0</v>
      </c>
      <c r="CV63" s="152">
        <f>IF(AND(CV$4&gt;=Supuestos!$H$40,CV$4&lt;EDATE(Supuestos!$H$40,Supuestos!$E$40)),CU63+1,0)</f>
        <v>0</v>
      </c>
      <c r="CW63" s="152">
        <f>IF(AND(CW$4&gt;=Supuestos!$H$40,CW$4&lt;EDATE(Supuestos!$H$40,Supuestos!$E$40)),CV63+1,0)</f>
        <v>0</v>
      </c>
      <c r="CX63" s="152">
        <f>IF(AND(CX$4&gt;=Supuestos!$H$40,CX$4&lt;EDATE(Supuestos!$H$40,Supuestos!$E$40)),CW63+1,0)</f>
        <v>0</v>
      </c>
      <c r="CY63" s="152">
        <f>IF(AND(CY$4&gt;=Supuestos!$H$40,CY$4&lt;EDATE(Supuestos!$H$40,Supuestos!$E$40)),CX63+1,0)</f>
        <v>0</v>
      </c>
      <c r="CZ63" s="152">
        <f>IF(AND(CZ$4&gt;=Supuestos!$H$40,CZ$4&lt;EDATE(Supuestos!$H$40,Supuestos!$E$40)),CY63+1,0)</f>
        <v>0</v>
      </c>
      <c r="DA63" s="152">
        <f>IF(AND(DA$4&gt;=Supuestos!$H$40,DA$4&lt;EDATE(Supuestos!$H$40,Supuestos!$E$40)),CZ63+1,0)</f>
        <v>0</v>
      </c>
      <c r="DB63" s="152">
        <f>IF(AND(DB$4&gt;=Supuestos!$H$40,DB$4&lt;EDATE(Supuestos!$H$40,Supuestos!$E$40)),DA63+1,0)</f>
        <v>0</v>
      </c>
      <c r="DC63" s="152">
        <f>IF(AND(DC$4&gt;=Supuestos!$H$40,DC$4&lt;EDATE(Supuestos!$H$40,Supuestos!$E$40)),DB63+1,0)</f>
        <v>0</v>
      </c>
      <c r="DD63" s="152">
        <f>IF(AND(DD$4&gt;=Supuestos!$H$40,DD$4&lt;EDATE(Supuestos!$H$40,Supuestos!$E$40)),DC63+1,0)</f>
        <v>0</v>
      </c>
      <c r="DE63" s="152">
        <f>IF(AND(DE$4&gt;=Supuestos!$H$40,DE$4&lt;EDATE(Supuestos!$H$40,Supuestos!$E$40)),DD63+1,0)</f>
        <v>0</v>
      </c>
      <c r="DF63" s="152">
        <f>IF(AND(DF$4&gt;=Supuestos!$H$40,DF$4&lt;EDATE(Supuestos!$H$40,Supuestos!$E$40)),DE63+1,0)</f>
        <v>0</v>
      </c>
    </row>
    <row r="64" spans="1:111" ht="13.8" x14ac:dyDescent="0.3">
      <c r="A64" s="16" t="s">
        <v>319</v>
      </c>
      <c r="C64" s="17">
        <f>IF(C63=1,Supuestos!$C$40,0)</f>
        <v>0</v>
      </c>
      <c r="D64" s="17">
        <f>IF(D63=1,Supuestos!$C$40,IF(D63=0,0,C68))</f>
        <v>0</v>
      </c>
      <c r="E64" s="17">
        <f>IF(E63=1,Supuestos!$C$40,IF(E63=0,0,D68))</f>
        <v>0</v>
      </c>
      <c r="F64" s="17">
        <f>IF(F63=1,Supuestos!$C$40,IF(F63=0,0,E68))</f>
        <v>0</v>
      </c>
      <c r="G64" s="17">
        <f>IF(G63=1,Supuestos!$C$40,IF(G63=0,0,F68))</f>
        <v>0</v>
      </c>
      <c r="H64" s="17">
        <f>IF(H63=1,Supuestos!$C$40,IF(H63=0,0,G68))</f>
        <v>0</v>
      </c>
      <c r="I64" s="17">
        <f>IF(I63=1,Supuestos!$C$40,IF(I63=0,0,H68))</f>
        <v>0</v>
      </c>
      <c r="J64" s="17">
        <f>IF(J63=1,Supuestos!$C$40,IF(J63=0,0,I68))</f>
        <v>0</v>
      </c>
      <c r="K64" s="17">
        <f>IF(K63=1,Supuestos!$C$40,IF(K63=0,0,J68))</f>
        <v>0</v>
      </c>
      <c r="L64" s="17">
        <f>IF(L63=1,Supuestos!$C$40,IF(L63=0,0,K68))</f>
        <v>0</v>
      </c>
      <c r="M64" s="17">
        <f>IF(M63=1,Supuestos!$C$40,IF(M63=0,0,L68))</f>
        <v>0</v>
      </c>
      <c r="N64" s="17">
        <f>IF(N63=1,Supuestos!$C$40,IF(N63=0,0,M68))</f>
        <v>0</v>
      </c>
      <c r="O64" s="17">
        <f>IF(O63=1,Supuestos!$C$40,IF(O63=0,0,N68))</f>
        <v>0</v>
      </c>
      <c r="P64" s="17">
        <f>IF(P63=1,Supuestos!$C$40,IF(P63=0,0,O68))</f>
        <v>0</v>
      </c>
      <c r="Q64" s="17">
        <f>IF(Q63=1,Supuestos!$C$40,IF(Q63=0,0,P68))</f>
        <v>0</v>
      </c>
      <c r="R64" s="17">
        <f>IF(R63=1,Supuestos!$C$40,IF(R63=0,0,Q68))</f>
        <v>0</v>
      </c>
      <c r="S64" s="17">
        <f>IF(S63=1,Supuestos!$C$40,IF(S63=0,0,R68))</f>
        <v>0</v>
      </c>
      <c r="T64" s="17">
        <f>IF(T63=1,Supuestos!$C$40,IF(T63=0,0,S68))</f>
        <v>0</v>
      </c>
      <c r="U64" s="17">
        <f>IF(U63=1,Supuestos!$C$40,IF(U63=0,0,T68))</f>
        <v>0</v>
      </c>
      <c r="V64" s="17">
        <f>IF(V63=1,Supuestos!$C$40,IF(V63=0,0,U68))</f>
        <v>0</v>
      </c>
      <c r="W64" s="17">
        <f>IF(W63=1,Supuestos!$C$40,IF(W63=0,0,V68))</f>
        <v>0</v>
      </c>
      <c r="X64" s="17">
        <f>IF(X63=1,Supuestos!$C$40,IF(X63=0,0,W68))</f>
        <v>0</v>
      </c>
      <c r="Y64" s="17">
        <f>IF(Y63=1,Supuestos!$C$40,IF(Y63=0,0,X68))</f>
        <v>0</v>
      </c>
      <c r="Z64" s="17">
        <f>IF(Z63=1,Supuestos!$C$40,IF(Z63=0,0,Y68))</f>
        <v>0</v>
      </c>
      <c r="AA64" s="17">
        <f>IF(AA63=1,Supuestos!$C$40,IF(AA63=0,0,Z68))</f>
        <v>0</v>
      </c>
      <c r="AB64" s="17">
        <f>IF(AB63=1,Supuestos!$C$40,IF(AB63=0,0,AA68))</f>
        <v>0</v>
      </c>
      <c r="AC64" s="17">
        <f>IF(AC63=1,Supuestos!$C$40,IF(AC63=0,0,AB68))</f>
        <v>0</v>
      </c>
      <c r="AD64" s="17">
        <f>IF(AD63=1,Supuestos!$C$40,IF(AD63=0,0,AC68))</f>
        <v>0</v>
      </c>
      <c r="AE64" s="17">
        <f>IF(AE63=1,Supuestos!$C$40,IF(AE63=0,0,AD68))</f>
        <v>0</v>
      </c>
      <c r="AF64" s="17">
        <f>IF(AF63=1,Supuestos!$C$40,IF(AF63=0,0,AE68))</f>
        <v>0</v>
      </c>
      <c r="AG64" s="17">
        <f>IF(AG63=1,Supuestos!$C$40,IF(AG63=0,0,AF68))</f>
        <v>0</v>
      </c>
      <c r="AH64" s="17">
        <f>IF(AH63=1,Supuestos!$C$40,IF(AH63=0,0,AG68))</f>
        <v>0</v>
      </c>
      <c r="AI64" s="17">
        <f>IF(AI63=1,Supuestos!$C$40,IF(AI63=0,0,AH68))</f>
        <v>0</v>
      </c>
      <c r="AJ64" s="17">
        <f>IF(AJ63=1,Supuestos!$C$40,IF(AJ63=0,0,AI68))</f>
        <v>0</v>
      </c>
      <c r="AK64" s="17">
        <f>IF(AK63=1,Supuestos!$C$40,IF(AK63=0,0,AJ68))</f>
        <v>0</v>
      </c>
      <c r="AL64" s="17">
        <f>IF(AL63=1,Supuestos!$C$40,IF(AL63=0,0,AK68))</f>
        <v>0</v>
      </c>
      <c r="AM64" s="17">
        <f>IF(AM63=1,Supuestos!$C$40,IF(AM63=0,0,AL68))</f>
        <v>0</v>
      </c>
      <c r="AN64" s="17">
        <f>IF(AN63=1,Supuestos!$C$40,IF(AN63=0,0,AM68))</f>
        <v>0</v>
      </c>
      <c r="AO64" s="17">
        <f>IF(AO63=1,Supuestos!$C$40,IF(AO63=0,0,AN68))</f>
        <v>0</v>
      </c>
      <c r="AP64" s="17">
        <f>IF(AP63=1,Supuestos!$C$40,IF(AP63=0,0,AO68))</f>
        <v>0</v>
      </c>
      <c r="AQ64" s="17">
        <f>IF(AQ63=1,Supuestos!$C$40,IF(AQ63=0,0,AP68))</f>
        <v>0</v>
      </c>
      <c r="AR64" s="17">
        <f>IF(AR63=1,Supuestos!$C$40,IF(AR63=0,0,AQ68))</f>
        <v>0</v>
      </c>
      <c r="AS64" s="17">
        <f>IF(AS63=1,Supuestos!$C$40,IF(AS63=0,0,AR68))</f>
        <v>0</v>
      </c>
      <c r="AT64" s="17">
        <f>IF(AT63=1,Supuestos!$C$40,IF(AT63=0,0,AS68))</f>
        <v>0</v>
      </c>
      <c r="AU64" s="17">
        <f>IF(AU63=1,Supuestos!$C$40,IF(AU63=0,0,AT68))</f>
        <v>0</v>
      </c>
      <c r="AV64" s="17">
        <f>IF(AV63=1,Supuestos!$C$40,IF(AV63=0,0,AU68))</f>
        <v>0</v>
      </c>
      <c r="AW64" s="17">
        <f>IF(AW63=1,Supuestos!$C$40,IF(AW63=0,0,AV68))</f>
        <v>0</v>
      </c>
      <c r="AX64" s="17">
        <f>IF(AX63=1,Supuestos!$C$40,IF(AX63=0,0,AW68))</f>
        <v>0</v>
      </c>
      <c r="AY64" s="17">
        <f>IF(AY63=1,Supuestos!$C$40,IF(AY63=0,0,AX68))</f>
        <v>200000</v>
      </c>
      <c r="AZ64" s="17">
        <f>IF(AZ63=1,Supuestos!$C$40,IF(AZ63=0,0,AY68))</f>
        <v>194975.05331211787</v>
      </c>
      <c r="BA64" s="17">
        <f>IF(BA63=1,Supuestos!$C$40,IF(BA63=0,0,AZ68))</f>
        <v>189921.69484509851</v>
      </c>
      <c r="BB64" s="17">
        <f>IF(BB63=1,Supuestos!$C$40,IF(BB63=0,0,BA68))</f>
        <v>184839.76395461193</v>
      </c>
      <c r="BC64" s="17">
        <f>IF(BC63=1,Supuestos!$C$40,IF(BC63=0,0,BB68))</f>
        <v>179729.09908802182</v>
      </c>
      <c r="BD64" s="17">
        <f>IF(BD63=1,Supuestos!$C$40,IF(BD63=0,0,BC68))</f>
        <v>174589.53777924969</v>
      </c>
      <c r="BE64" s="17">
        <f>IF(BE63=1,Supuestos!$C$40,IF(BE63=0,0,BD68))</f>
        <v>169420.91664361028</v>
      </c>
      <c r="BF64" s="17">
        <f>IF(BF63=1,Supuestos!$C$40,IF(BF63=0,0,BE68))</f>
        <v>164223.07137261756</v>
      </c>
      <c r="BG64" s="17">
        <f>IF(BG63=1,Supuestos!$C$40,IF(BG63=0,0,BF68))</f>
        <v>158995.83672876141</v>
      </c>
      <c r="BH64" s="17">
        <f>IF(BH63=1,Supuestos!$C$40,IF(BH63=0,0,BG68))</f>
        <v>153739.04654025481</v>
      </c>
      <c r="BI64" s="17">
        <f>IF(BI63=1,Supuestos!$C$40,IF(BI63=0,0,BH68))</f>
        <v>148452.53369575131</v>
      </c>
      <c r="BJ64" s="17">
        <f>IF(BJ63=1,Supuestos!$C$40,IF(BJ63=0,0,BI68))</f>
        <v>143136.13013903258</v>
      </c>
      <c r="BK64" s="17">
        <f>IF(BK63=1,Supuestos!$C$40,IF(BK63=0,0,BJ68))</f>
        <v>137789.66686366606</v>
      </c>
      <c r="BL64" s="17">
        <f>IF(BL63=1,Supuestos!$C$40,IF(BL63=0,0,BK68))</f>
        <v>132412.9739076322</v>
      </c>
      <c r="BM64" s="17">
        <f>IF(BM63=1,Supuestos!$C$40,IF(BM63=0,0,BL68))</f>
        <v>127005.88034792148</v>
      </c>
      <c r="BN64" s="17">
        <f>IF(BN63=1,Supuestos!$C$40,IF(BN63=0,0,BM68))</f>
        <v>121568.21429510086</v>
      </c>
      <c r="BO64" s="17">
        <f>IF(BO63=1,Supuestos!$C$40,IF(BO63=0,0,BN68))</f>
        <v>116099.80288784942</v>
      </c>
      <c r="BP64" s="17">
        <f>IF(BP63=1,Supuestos!$C$40,IF(BP63=0,0,BO68))</f>
        <v>110600.47228746324</v>
      </c>
      <c r="BQ64" s="17">
        <f>IF(BQ63=1,Supuestos!$C$40,IF(BQ63=0,0,BP68))</f>
        <v>105070.04767232908</v>
      </c>
      <c r="BR64" s="17">
        <f>IF(BR63=1,Supuestos!$C$40,IF(BR63=0,0,BQ68))</f>
        <v>99508.353232366862</v>
      </c>
      <c r="BS64" s="17">
        <f>IF(BS63=1,Supuestos!$C$40,IF(BS63=0,0,BR68))</f>
        <v>93915.212163440767</v>
      </c>
      <c r="BT64" s="17">
        <f>IF(BT63=1,Supuestos!$C$40,IF(BT63=0,0,BS68))</f>
        <v>88290.446661738708</v>
      </c>
      <c r="BU64" s="17">
        <f>IF(BU63=1,Supuestos!$C$40,IF(BU63=0,0,BT68))</f>
        <v>82633.877918119964</v>
      </c>
      <c r="BV64" s="17">
        <f>IF(BV63=1,Supuestos!$C$40,IF(BV63=0,0,BU68))</f>
        <v>76945.326112430936</v>
      </c>
      <c r="BW64" s="17">
        <f>IF(BW63=1,Supuestos!$C$40,IF(BW63=0,0,BV68))</f>
        <v>71224.610407788758</v>
      </c>
      <c r="BX64" s="17">
        <f>IF(BX63=1,Supuestos!$C$40,IF(BX63=0,0,BW68))</f>
        <v>65471.548944832524</v>
      </c>
      <c r="BY64" s="17">
        <f>IF(BY63=1,Supuestos!$C$40,IF(BY63=0,0,BX68))</f>
        <v>59685.95883594206</v>
      </c>
      <c r="BZ64" s="17">
        <f>IF(BZ63=1,Supuestos!$C$40,IF(BZ63=0,0,BY68))</f>
        <v>53867.65615942399</v>
      </c>
      <c r="CA64" s="17">
        <f>IF(CA63=1,Supuestos!$C$40,IF(CA63=0,0,BZ68))</f>
        <v>48016.455953664961</v>
      </c>
      <c r="CB64" s="17">
        <f>IF(CB63=1,Supuestos!$C$40,IF(CB63=0,0,CA68))</f>
        <v>42132.172211251753</v>
      </c>
      <c r="CC64" s="17">
        <f>IF(CC63=1,Supuestos!$C$40,IF(CC63=0,0,CB68))</f>
        <v>36214.617873058196</v>
      </c>
      <c r="CD64" s="17">
        <f>IF(CD63=1,Supuestos!$C$40,IF(CD63=0,0,CC68))</f>
        <v>30263.604822298621</v>
      </c>
      <c r="CE64" s="17">
        <f>IF(CE63=1,Supuestos!$C$40,IF(CE63=0,0,CD68))</f>
        <v>24278.943878547703</v>
      </c>
      <c r="CF64" s="17">
        <f>IF(CF63=1,Supuestos!$C$40,IF(CF63=0,0,CE68))</f>
        <v>18260.444791726492</v>
      </c>
      <c r="CG64" s="17">
        <f>IF(CG63=1,Supuestos!$C$40,IF(CG63=0,0,CF68))</f>
        <v>12207.916236054429</v>
      </c>
      <c r="CH64" s="17">
        <f>IF(CH63=1,Supuestos!$C$40,IF(CH63=0,0,CG68))</f>
        <v>6121.1658039671747</v>
      </c>
      <c r="CI64" s="17">
        <f>IF(CI63=1,Supuestos!$C$40,IF(CI63=0,0,CH68))</f>
        <v>0</v>
      </c>
      <c r="CJ64" s="17">
        <f>IF(CJ63=1,Supuestos!$C$40,IF(CJ63=0,0,CI68))</f>
        <v>0</v>
      </c>
      <c r="CK64" s="17">
        <f>IF(CK63=1,Supuestos!$C$40,IF(CK63=0,0,CJ68))</f>
        <v>0</v>
      </c>
      <c r="CL64" s="17">
        <f>IF(CL63=1,Supuestos!$C$40,IF(CL63=0,0,CK68))</f>
        <v>0</v>
      </c>
      <c r="CM64" s="17">
        <f>IF(CM63=1,Supuestos!$C$40,IF(CM63=0,0,CL68))</f>
        <v>0</v>
      </c>
      <c r="CN64" s="17">
        <f>IF(CN63=1,Supuestos!$C$40,IF(CN63=0,0,CM68))</f>
        <v>0</v>
      </c>
      <c r="CO64" s="17">
        <f>IF(CO63=1,Supuestos!$C$40,IF(CO63=0,0,CN68))</f>
        <v>0</v>
      </c>
      <c r="CP64" s="17">
        <f>IF(CP63=1,Supuestos!$C$40,IF(CP63=0,0,CO68))</f>
        <v>0</v>
      </c>
      <c r="CQ64" s="17">
        <f>IF(CQ63=1,Supuestos!$C$40,IF(CQ63=0,0,CP68))</f>
        <v>0</v>
      </c>
      <c r="CR64" s="17">
        <f>IF(CR63=1,Supuestos!$C$40,IF(CR63=0,0,CQ68))</f>
        <v>0</v>
      </c>
      <c r="CS64" s="17">
        <f>IF(CS63=1,Supuestos!$C$40,IF(CS63=0,0,CR68))</f>
        <v>0</v>
      </c>
      <c r="CT64" s="17">
        <f>IF(CT63=1,Supuestos!$C$40,IF(CT63=0,0,CS68))</f>
        <v>0</v>
      </c>
      <c r="CU64" s="17">
        <f>IF(CU63=1,Supuestos!$C$40,IF(CU63=0,0,CT68))</f>
        <v>0</v>
      </c>
      <c r="CV64" s="17">
        <f>IF(CV63=1,Supuestos!$C$40,IF(CV63=0,0,CU68))</f>
        <v>0</v>
      </c>
      <c r="CW64" s="17">
        <f>IF(CW63=1,Supuestos!$C$40,IF(CW63=0,0,CV68))</f>
        <v>0</v>
      </c>
      <c r="CX64" s="17">
        <f>IF(CX63=1,Supuestos!$C$40,IF(CX63=0,0,CW68))</f>
        <v>0</v>
      </c>
      <c r="CY64" s="17">
        <f>IF(CY63=1,Supuestos!$C$40,IF(CY63=0,0,CX68))</f>
        <v>0</v>
      </c>
      <c r="CZ64" s="17">
        <f>IF(CZ63=1,Supuestos!$C$40,IF(CZ63=0,0,CY68))</f>
        <v>0</v>
      </c>
      <c r="DA64" s="17">
        <f>IF(DA63=1,Supuestos!$C$40,IF(DA63=0,0,CZ68))</f>
        <v>0</v>
      </c>
      <c r="DB64" s="17">
        <f>IF(DB63=1,Supuestos!$C$40,IF(DB63=0,0,DA68))</f>
        <v>0</v>
      </c>
      <c r="DC64" s="17">
        <f>IF(DC63=1,Supuestos!$C$40,IF(DC63=0,0,DB68))</f>
        <v>0</v>
      </c>
      <c r="DD64" s="17">
        <f>IF(DD63=1,Supuestos!$C$40,IF(DD63=0,0,DC68))</f>
        <v>0</v>
      </c>
      <c r="DE64" s="17">
        <f>IF(DE63=1,Supuestos!$C$40,IF(DE63=0,0,DD68))</f>
        <v>0</v>
      </c>
      <c r="DF64" s="17">
        <f>IF(DF63=1,Supuestos!$C$40,IF(DF63=0,0,DE68))</f>
        <v>0</v>
      </c>
    </row>
    <row r="65" spans="1:111" ht="13.8" x14ac:dyDescent="0.3">
      <c r="A65" s="16" t="s">
        <v>320</v>
      </c>
      <c r="C65" s="17">
        <f>C64*Supuestos!$F$40</f>
        <v>0</v>
      </c>
      <c r="D65" s="17">
        <f>D64*Supuestos!$F$40</f>
        <v>0</v>
      </c>
      <c r="E65" s="17">
        <f>E64*Supuestos!$F$40</f>
        <v>0</v>
      </c>
      <c r="F65" s="17">
        <f>F64*Supuestos!$F$40</f>
        <v>0</v>
      </c>
      <c r="G65" s="17">
        <f>G64*Supuestos!$F$40</f>
        <v>0</v>
      </c>
      <c r="H65" s="17">
        <f>H64*Supuestos!$F$40</f>
        <v>0</v>
      </c>
      <c r="I65" s="17">
        <f>I64*Supuestos!$F$40</f>
        <v>0</v>
      </c>
      <c r="J65" s="17">
        <f>J64*Supuestos!$F$40</f>
        <v>0</v>
      </c>
      <c r="K65" s="17">
        <f>K64*Supuestos!$F$40</f>
        <v>0</v>
      </c>
      <c r="L65" s="17">
        <f>L64*Supuestos!$F$40</f>
        <v>0</v>
      </c>
      <c r="M65" s="17">
        <f>M64*Supuestos!$F$40</f>
        <v>0</v>
      </c>
      <c r="N65" s="17">
        <f>N64*Supuestos!$F$40</f>
        <v>0</v>
      </c>
      <c r="O65" s="17">
        <f>O64*Supuestos!$F$40</f>
        <v>0</v>
      </c>
      <c r="P65" s="17">
        <f>P64*Supuestos!$F$40</f>
        <v>0</v>
      </c>
      <c r="Q65" s="17">
        <f>Q64*Supuestos!$F$40</f>
        <v>0</v>
      </c>
      <c r="R65" s="17">
        <f>R64*Supuestos!$F$40</f>
        <v>0</v>
      </c>
      <c r="S65" s="17">
        <f>S64*Supuestos!$F$40</f>
        <v>0</v>
      </c>
      <c r="T65" s="17">
        <f>T64*Supuestos!$F$40</f>
        <v>0</v>
      </c>
      <c r="U65" s="17">
        <f>U64*Supuestos!$F$40</f>
        <v>0</v>
      </c>
      <c r="V65" s="17">
        <f>V64*Supuestos!$F$40</f>
        <v>0</v>
      </c>
      <c r="W65" s="17">
        <f>W64*Supuestos!$F$40</f>
        <v>0</v>
      </c>
      <c r="X65" s="17">
        <f>X64*Supuestos!$F$40</f>
        <v>0</v>
      </c>
      <c r="Y65" s="17">
        <f>Y64*Supuestos!$F$40</f>
        <v>0</v>
      </c>
      <c r="Z65" s="17">
        <f>Z64*Supuestos!$F$40</f>
        <v>0</v>
      </c>
      <c r="AA65" s="17">
        <f>AA64*Supuestos!$F$40</f>
        <v>0</v>
      </c>
      <c r="AB65" s="17">
        <f>AB64*Supuestos!$F$40</f>
        <v>0</v>
      </c>
      <c r="AC65" s="17">
        <f>AC64*Supuestos!$F$40</f>
        <v>0</v>
      </c>
      <c r="AD65" s="17">
        <f>AD64*Supuestos!$F$40</f>
        <v>0</v>
      </c>
      <c r="AE65" s="17">
        <f>AE64*Supuestos!$F$40</f>
        <v>0</v>
      </c>
      <c r="AF65" s="17">
        <f>AF64*Supuestos!$F$40</f>
        <v>0</v>
      </c>
      <c r="AG65" s="17">
        <f>AG64*Supuestos!$F$40</f>
        <v>0</v>
      </c>
      <c r="AH65" s="17">
        <f>AH64*Supuestos!$F$40</f>
        <v>0</v>
      </c>
      <c r="AI65" s="17">
        <f>AI64*Supuestos!$F$40</f>
        <v>0</v>
      </c>
      <c r="AJ65" s="17">
        <f>AJ64*Supuestos!$F$40</f>
        <v>0</v>
      </c>
      <c r="AK65" s="17">
        <f>AK64*Supuestos!$F$40</f>
        <v>0</v>
      </c>
      <c r="AL65" s="17">
        <f>AL64*Supuestos!$F$40</f>
        <v>0</v>
      </c>
      <c r="AM65" s="17">
        <f>AM64*Supuestos!$F$40</f>
        <v>0</v>
      </c>
      <c r="AN65" s="17">
        <f>AN64*Supuestos!$F$40</f>
        <v>0</v>
      </c>
      <c r="AO65" s="17">
        <f>AO64*Supuestos!$F$40</f>
        <v>0</v>
      </c>
      <c r="AP65" s="17">
        <f>AP64*Supuestos!$F$40</f>
        <v>0</v>
      </c>
      <c r="AQ65" s="17">
        <f>AQ64*Supuestos!$F$40</f>
        <v>0</v>
      </c>
      <c r="AR65" s="17">
        <f>AR64*Supuestos!$F$40</f>
        <v>0</v>
      </c>
      <c r="AS65" s="17">
        <f>AS64*Supuestos!$F$40</f>
        <v>0</v>
      </c>
      <c r="AT65" s="17">
        <f>AT64*Supuestos!$F$40</f>
        <v>0</v>
      </c>
      <c r="AU65" s="17">
        <f>AU64*Supuestos!$F$40</f>
        <v>0</v>
      </c>
      <c r="AV65" s="17">
        <f>AV64*Supuestos!$F$40</f>
        <v>0</v>
      </c>
      <c r="AW65" s="17">
        <f>AW64*Supuestos!$F$40</f>
        <v>0</v>
      </c>
      <c r="AX65" s="17">
        <f>AX64*Supuestos!$F$40</f>
        <v>0</v>
      </c>
      <c r="AY65" s="17">
        <f>AY64*Supuestos!$F$40</f>
        <v>1130.8290774810548</v>
      </c>
      <c r="AZ65" s="17">
        <f>AZ64*Supuestos!$F$40</f>
        <v>1102.4172983438086</v>
      </c>
      <c r="BA65" s="17">
        <f>BA64*Supuestos!$F$40</f>
        <v>1073.8448748766057</v>
      </c>
      <c r="BB65" s="17">
        <f>BB64*Supuestos!$F$40</f>
        <v>1045.1108987730486</v>
      </c>
      <c r="BC65" s="17">
        <f>BC64*Supuestos!$F$40</f>
        <v>1016.2144565910439</v>
      </c>
      <c r="BD65" s="17">
        <f>BD64*Supuestos!$F$40</f>
        <v>987.15462972376338</v>
      </c>
      <c r="BE65" s="17">
        <f>BE64*Supuestos!$F$40</f>
        <v>957.93049437044249</v>
      </c>
      <c r="BF65" s="17">
        <f>BF64*Supuestos!$F$40</f>
        <v>928.54112150701269</v>
      </c>
      <c r="BG65" s="17">
        <f>BG64*Supuestos!$F$40</f>
        <v>898.9855768565684</v>
      </c>
      <c r="BH65" s="17">
        <f>BH64*Supuestos!$F$40</f>
        <v>869.26292085966645</v>
      </c>
      <c r="BI65" s="17">
        <f>BI64*Supuestos!$F$40</f>
        <v>839.37220864445828</v>
      </c>
      <c r="BJ65" s="17">
        <f>BJ64*Supuestos!$F$40</f>
        <v>809.31248999665206</v>
      </c>
      <c r="BK65" s="17">
        <f>BK64*Supuestos!$F$40</f>
        <v>779.08280932930677</v>
      </c>
      <c r="BL65" s="17">
        <f>BL64*Supuestos!$F$40</f>
        <v>748.68220565245349</v>
      </c>
      <c r="BM65" s="17">
        <f>BM64*Supuestos!$F$40</f>
        <v>718.10971254254639</v>
      </c>
      <c r="BN65" s="17">
        <f>BN64*Supuestos!$F$40</f>
        <v>687.36435811174033</v>
      </c>
      <c r="BO65" s="17">
        <f>BO64*Supuestos!$F$40</f>
        <v>656.44516497699533</v>
      </c>
      <c r="BP65" s="17">
        <f>BP64*Supuestos!$F$40</f>
        <v>625.35115022900516</v>
      </c>
      <c r="BQ65" s="17">
        <f>BQ64*Supuestos!$F$40</f>
        <v>594.08132540095164</v>
      </c>
      <c r="BR65" s="17">
        <f>BR64*Supuestos!$F$40</f>
        <v>562.63469643708174</v>
      </c>
      <c r="BS65" s="17">
        <f>BS64*Supuestos!$F$40</f>
        <v>531.01026366110625</v>
      </c>
      <c r="BT65" s="17">
        <f>BT64*Supuestos!$F$40</f>
        <v>499.2070217444213</v>
      </c>
      <c r="BU65" s="17">
        <f>BU64*Supuestos!$F$40</f>
        <v>467.22395967414849</v>
      </c>
      <c r="BV65" s="17">
        <f>BV64*Supuestos!$F$40</f>
        <v>435.06006072099592</v>
      </c>
      <c r="BW65" s="17">
        <f>BW64*Supuestos!$F$40</f>
        <v>402.71430240693644</v>
      </c>
      <c r="BX65" s="17">
        <f>BX64*Supuestos!$F$40</f>
        <v>370.18565647270344</v>
      </c>
      <c r="BY65" s="17">
        <f>BY64*Supuestos!$F$40</f>
        <v>337.47308884510284</v>
      </c>
      <c r="BZ65" s="17">
        <f>BZ64*Supuestos!$F$40</f>
        <v>304.57555960414044</v>
      </c>
      <c r="CA65" s="17">
        <f>CA64*Supuestos!$F$40</f>
        <v>271.49202294996326</v>
      </c>
      <c r="CB65" s="17">
        <f>CB64*Supuestos!$F$40</f>
        <v>238.22142716961375</v>
      </c>
      <c r="CC65" s="17">
        <f>CC64*Supuestos!$F$40</f>
        <v>204.76271460359658</v>
      </c>
      <c r="CD65" s="17">
        <f>CD64*Supuestos!$F$40</f>
        <v>171.11482161225575</v>
      </c>
      <c r="CE65" s="17">
        <f>CE64*Supuestos!$F$40</f>
        <v>137.27667854196201</v>
      </c>
      <c r="CF65" s="17">
        <f>CF64*Supuestos!$F$40</f>
        <v>103.24720969110899</v>
      </c>
      <c r="CG65" s="17">
        <f>CG64*Supuestos!$F$40</f>
        <v>69.025333275917106</v>
      </c>
      <c r="CH65" s="17">
        <f>CH64*Supuestos!$F$40</f>
        <v>34.609961396043893</v>
      </c>
      <c r="CI65" s="17">
        <f>CI64*Supuestos!$F$40</f>
        <v>0</v>
      </c>
      <c r="CJ65" s="17">
        <f>CJ64*Supuestos!$F$40</f>
        <v>0</v>
      </c>
      <c r="CK65" s="17">
        <f>CK64*Supuestos!$F$40</f>
        <v>0</v>
      </c>
      <c r="CL65" s="17">
        <f>CL64*Supuestos!$F$40</f>
        <v>0</v>
      </c>
      <c r="CM65" s="17">
        <f>CM64*Supuestos!$F$40</f>
        <v>0</v>
      </c>
      <c r="CN65" s="17">
        <f>CN64*Supuestos!$F$40</f>
        <v>0</v>
      </c>
      <c r="CO65" s="17">
        <f>CO64*Supuestos!$F$40</f>
        <v>0</v>
      </c>
      <c r="CP65" s="17">
        <f>CP64*Supuestos!$F$40</f>
        <v>0</v>
      </c>
      <c r="CQ65" s="17">
        <f>CQ64*Supuestos!$F$40</f>
        <v>0</v>
      </c>
      <c r="CR65" s="17">
        <f>CR64*Supuestos!$F$40</f>
        <v>0</v>
      </c>
      <c r="CS65" s="17">
        <f>CS64*Supuestos!$F$40</f>
        <v>0</v>
      </c>
      <c r="CT65" s="17">
        <f>CT64*Supuestos!$F$40</f>
        <v>0</v>
      </c>
      <c r="CU65" s="17">
        <f>CU64*Supuestos!$F$40</f>
        <v>0</v>
      </c>
      <c r="CV65" s="17">
        <f>CV64*Supuestos!$F$40</f>
        <v>0</v>
      </c>
      <c r="CW65" s="17">
        <f>CW64*Supuestos!$F$40</f>
        <v>0</v>
      </c>
      <c r="CX65" s="17">
        <f>CX64*Supuestos!$F$40</f>
        <v>0</v>
      </c>
      <c r="CY65" s="17">
        <f>CY64*Supuestos!$F$40</f>
        <v>0</v>
      </c>
      <c r="CZ65" s="17">
        <f>CZ64*Supuestos!$F$40</f>
        <v>0</v>
      </c>
      <c r="DA65" s="17">
        <f>DA64*Supuestos!$F$40</f>
        <v>0</v>
      </c>
      <c r="DB65" s="17">
        <f>DB64*Supuestos!$F$40</f>
        <v>0</v>
      </c>
      <c r="DC65" s="17">
        <f>DC64*Supuestos!$F$40</f>
        <v>0</v>
      </c>
      <c r="DD65" s="17">
        <f>DD64*Supuestos!$F$40</f>
        <v>0</v>
      </c>
      <c r="DE65" s="17">
        <f>DE64*Supuestos!$F$40</f>
        <v>0</v>
      </c>
      <c r="DF65" s="17">
        <f>DF64*Supuestos!$F$40</f>
        <v>0</v>
      </c>
      <c r="DG65" s="32">
        <f>SUM(C65:DF65)</f>
        <v>21607.92755307422</v>
      </c>
    </row>
    <row r="66" spans="1:111" ht="13.8" x14ac:dyDescent="0.3">
      <c r="A66" s="16" t="s">
        <v>321</v>
      </c>
      <c r="C66" s="17">
        <f>IF(C63&gt;0,Supuestos!$G$40,0)</f>
        <v>0</v>
      </c>
      <c r="D66" s="17">
        <f>IF(D63&gt;0,Supuestos!$G$40,0)</f>
        <v>0</v>
      </c>
      <c r="E66" s="17">
        <f>IF(E63&gt;0,Supuestos!$G$40,0)</f>
        <v>0</v>
      </c>
      <c r="F66" s="17">
        <f>IF(F63&gt;0,Supuestos!$G$40,0)</f>
        <v>0</v>
      </c>
      <c r="G66" s="17">
        <f>IF(G63&gt;0,Supuestos!$G$40,0)</f>
        <v>0</v>
      </c>
      <c r="H66" s="17">
        <f>IF(H63&gt;0,Supuestos!$G$40,0)</f>
        <v>0</v>
      </c>
      <c r="I66" s="17">
        <f>IF(I63&gt;0,Supuestos!$G$40,0)</f>
        <v>0</v>
      </c>
      <c r="J66" s="17">
        <f>IF(J63&gt;0,Supuestos!$G$40,0)</f>
        <v>0</v>
      </c>
      <c r="K66" s="17">
        <f>IF(K63&gt;0,Supuestos!$G$40,0)</f>
        <v>0</v>
      </c>
      <c r="L66" s="17">
        <f>IF(L63&gt;0,Supuestos!$G$40,0)</f>
        <v>0</v>
      </c>
      <c r="M66" s="17">
        <f>IF(M63&gt;0,Supuestos!$G$40,0)</f>
        <v>0</v>
      </c>
      <c r="N66" s="17">
        <f>IF(N63&gt;0,Supuestos!$G$40,0)</f>
        <v>0</v>
      </c>
      <c r="O66" s="17">
        <f>IF(O63&gt;0,Supuestos!$G$40,0)</f>
        <v>0</v>
      </c>
      <c r="P66" s="17">
        <f>IF(P63&gt;0,Supuestos!$G$40,0)</f>
        <v>0</v>
      </c>
      <c r="Q66" s="17">
        <f>IF(Q63&gt;0,Supuestos!$G$40,0)</f>
        <v>0</v>
      </c>
      <c r="R66" s="17">
        <f>IF(R63&gt;0,Supuestos!$G$40,0)</f>
        <v>0</v>
      </c>
      <c r="S66" s="17">
        <f>IF(S63&gt;0,Supuestos!$G$40,0)</f>
        <v>0</v>
      </c>
      <c r="T66" s="17">
        <f>IF(T63&gt;0,Supuestos!$G$40,0)</f>
        <v>0</v>
      </c>
      <c r="U66" s="17">
        <f>IF(U63&gt;0,Supuestos!$G$40,0)</f>
        <v>0</v>
      </c>
      <c r="V66" s="17">
        <f>IF(V63&gt;0,Supuestos!$G$40,0)</f>
        <v>0</v>
      </c>
      <c r="W66" s="17">
        <f>IF(W63&gt;0,Supuestos!$G$40,0)</f>
        <v>0</v>
      </c>
      <c r="X66" s="17">
        <f>IF(X63&gt;0,Supuestos!$G$40,0)</f>
        <v>0</v>
      </c>
      <c r="Y66" s="17">
        <f>IF(Y63&gt;0,Supuestos!$G$40,0)</f>
        <v>0</v>
      </c>
      <c r="Z66" s="17">
        <f>IF(Z63&gt;0,Supuestos!$G$40,0)</f>
        <v>0</v>
      </c>
      <c r="AA66" s="17">
        <f>IF(AA63&gt;0,Supuestos!$G$40,0)</f>
        <v>0</v>
      </c>
      <c r="AB66" s="17">
        <f>IF(AB63&gt;0,Supuestos!$G$40,0)</f>
        <v>0</v>
      </c>
      <c r="AC66" s="17">
        <f>IF(AC63&gt;0,Supuestos!$G$40,0)</f>
        <v>0</v>
      </c>
      <c r="AD66" s="17">
        <f>IF(AD63&gt;0,Supuestos!$G$40,0)</f>
        <v>0</v>
      </c>
      <c r="AE66" s="17">
        <f>IF(AE63&gt;0,Supuestos!$G$40,0)</f>
        <v>0</v>
      </c>
      <c r="AF66" s="17">
        <f>IF(AF63&gt;0,Supuestos!$G$40,0)</f>
        <v>0</v>
      </c>
      <c r="AG66" s="17">
        <f>IF(AG63&gt;0,Supuestos!$G$40,0)</f>
        <v>0</v>
      </c>
      <c r="AH66" s="17">
        <f>IF(AH63&gt;0,Supuestos!$G$40,0)</f>
        <v>0</v>
      </c>
      <c r="AI66" s="17">
        <f>IF(AI63&gt;0,Supuestos!$G$40,0)</f>
        <v>0</v>
      </c>
      <c r="AJ66" s="17">
        <f>IF(AJ63&gt;0,Supuestos!$G$40,0)</f>
        <v>0</v>
      </c>
      <c r="AK66" s="17">
        <f>IF(AK63&gt;0,Supuestos!$G$40,0)</f>
        <v>0</v>
      </c>
      <c r="AL66" s="17">
        <f>IF(AL63&gt;0,Supuestos!$G$40,0)</f>
        <v>0</v>
      </c>
      <c r="AM66" s="17">
        <f>IF(AM63&gt;0,Supuestos!$G$40,0)</f>
        <v>0</v>
      </c>
      <c r="AN66" s="17">
        <f>IF(AN63&gt;0,Supuestos!$G$40,0)</f>
        <v>0</v>
      </c>
      <c r="AO66" s="17">
        <f>IF(AO63&gt;0,Supuestos!$G$40,0)</f>
        <v>0</v>
      </c>
      <c r="AP66" s="17">
        <f>IF(AP63&gt;0,Supuestos!$G$40,0)</f>
        <v>0</v>
      </c>
      <c r="AQ66" s="17">
        <f>IF(AQ63&gt;0,Supuestos!$G$40,0)</f>
        <v>0</v>
      </c>
      <c r="AR66" s="17">
        <f>IF(AR63&gt;0,Supuestos!$G$40,0)</f>
        <v>0</v>
      </c>
      <c r="AS66" s="17">
        <f>IF(AS63&gt;0,Supuestos!$G$40,0)</f>
        <v>0</v>
      </c>
      <c r="AT66" s="17">
        <f>IF(AT63&gt;0,Supuestos!$G$40,0)</f>
        <v>0</v>
      </c>
      <c r="AU66" s="17">
        <f>IF(AU63&gt;0,Supuestos!$G$40,0)</f>
        <v>0</v>
      </c>
      <c r="AV66" s="17">
        <f>IF(AV63&gt;0,Supuestos!$G$40,0)</f>
        <v>0</v>
      </c>
      <c r="AW66" s="17">
        <f>IF(AW63&gt;0,Supuestos!$G$40,0)</f>
        <v>0</v>
      </c>
      <c r="AX66" s="17">
        <f>IF(AX63&gt;0,Supuestos!$G$40,0)</f>
        <v>0</v>
      </c>
      <c r="AY66" s="17">
        <f>IF(AY63&gt;0,Supuestos!$G$40,0)</f>
        <v>6155.7757653631716</v>
      </c>
      <c r="AZ66" s="17">
        <f>IF(AZ63&gt;0,Supuestos!$G$40,0)</f>
        <v>6155.7757653631716</v>
      </c>
      <c r="BA66" s="17">
        <f>IF(BA63&gt;0,Supuestos!$G$40,0)</f>
        <v>6155.7757653631716</v>
      </c>
      <c r="BB66" s="17">
        <f>IF(BB63&gt;0,Supuestos!$G$40,0)</f>
        <v>6155.7757653631716</v>
      </c>
      <c r="BC66" s="17">
        <f>IF(BC63&gt;0,Supuestos!$G$40,0)</f>
        <v>6155.7757653631716</v>
      </c>
      <c r="BD66" s="17">
        <f>IF(BD63&gt;0,Supuestos!$G$40,0)</f>
        <v>6155.7757653631716</v>
      </c>
      <c r="BE66" s="17">
        <f>IF(BE63&gt;0,Supuestos!$G$40,0)</f>
        <v>6155.7757653631716</v>
      </c>
      <c r="BF66" s="17">
        <f>IF(BF63&gt;0,Supuestos!$G$40,0)</f>
        <v>6155.7757653631716</v>
      </c>
      <c r="BG66" s="17">
        <f>IF(BG63&gt;0,Supuestos!$G$40,0)</f>
        <v>6155.7757653631716</v>
      </c>
      <c r="BH66" s="17">
        <f>IF(BH63&gt;0,Supuestos!$G$40,0)</f>
        <v>6155.7757653631716</v>
      </c>
      <c r="BI66" s="17">
        <f>IF(BI63&gt;0,Supuestos!$G$40,0)</f>
        <v>6155.7757653631716</v>
      </c>
      <c r="BJ66" s="17">
        <f>IF(BJ63&gt;0,Supuestos!$G$40,0)</f>
        <v>6155.7757653631716</v>
      </c>
      <c r="BK66" s="17">
        <f>IF(BK63&gt;0,Supuestos!$G$40,0)</f>
        <v>6155.7757653631716</v>
      </c>
      <c r="BL66" s="17">
        <f>IF(BL63&gt;0,Supuestos!$G$40,0)</f>
        <v>6155.7757653631716</v>
      </c>
      <c r="BM66" s="17">
        <f>IF(BM63&gt;0,Supuestos!$G$40,0)</f>
        <v>6155.7757653631716</v>
      </c>
      <c r="BN66" s="17">
        <f>IF(BN63&gt;0,Supuestos!$G$40,0)</f>
        <v>6155.7757653631716</v>
      </c>
      <c r="BO66" s="17">
        <f>IF(BO63&gt;0,Supuestos!$G$40,0)</f>
        <v>6155.7757653631716</v>
      </c>
      <c r="BP66" s="17">
        <f>IF(BP63&gt;0,Supuestos!$G$40,0)</f>
        <v>6155.7757653631716</v>
      </c>
      <c r="BQ66" s="17">
        <f>IF(BQ63&gt;0,Supuestos!$G$40,0)</f>
        <v>6155.7757653631716</v>
      </c>
      <c r="BR66" s="17">
        <f>IF(BR63&gt;0,Supuestos!$G$40,0)</f>
        <v>6155.7757653631716</v>
      </c>
      <c r="BS66" s="17">
        <f>IF(BS63&gt;0,Supuestos!$G$40,0)</f>
        <v>6155.7757653631716</v>
      </c>
      <c r="BT66" s="17">
        <f>IF(BT63&gt;0,Supuestos!$G$40,0)</f>
        <v>6155.7757653631716</v>
      </c>
      <c r="BU66" s="17">
        <f>IF(BU63&gt;0,Supuestos!$G$40,0)</f>
        <v>6155.7757653631716</v>
      </c>
      <c r="BV66" s="17">
        <f>IF(BV63&gt;0,Supuestos!$G$40,0)</f>
        <v>6155.7757653631716</v>
      </c>
      <c r="BW66" s="17">
        <f>IF(BW63&gt;0,Supuestos!$G$40,0)</f>
        <v>6155.7757653631716</v>
      </c>
      <c r="BX66" s="17">
        <f>IF(BX63&gt;0,Supuestos!$G$40,0)</f>
        <v>6155.7757653631716</v>
      </c>
      <c r="BY66" s="17">
        <f>IF(BY63&gt;0,Supuestos!$G$40,0)</f>
        <v>6155.7757653631716</v>
      </c>
      <c r="BZ66" s="17">
        <f>IF(BZ63&gt;0,Supuestos!$G$40,0)</f>
        <v>6155.7757653631716</v>
      </c>
      <c r="CA66" s="17">
        <f>IF(CA63&gt;0,Supuestos!$G$40,0)</f>
        <v>6155.7757653631716</v>
      </c>
      <c r="CB66" s="17">
        <f>IF(CB63&gt;0,Supuestos!$G$40,0)</f>
        <v>6155.7757653631716</v>
      </c>
      <c r="CC66" s="17">
        <f>IF(CC63&gt;0,Supuestos!$G$40,0)</f>
        <v>6155.7757653631716</v>
      </c>
      <c r="CD66" s="17">
        <f>IF(CD63&gt;0,Supuestos!$G$40,0)</f>
        <v>6155.7757653631716</v>
      </c>
      <c r="CE66" s="17">
        <f>IF(CE63&gt;0,Supuestos!$G$40,0)</f>
        <v>6155.7757653631716</v>
      </c>
      <c r="CF66" s="17">
        <f>IF(CF63&gt;0,Supuestos!$G$40,0)</f>
        <v>6155.7757653631716</v>
      </c>
      <c r="CG66" s="17">
        <f>IF(CG63&gt;0,Supuestos!$G$40,0)</f>
        <v>6155.7757653631716</v>
      </c>
      <c r="CH66" s="17">
        <f>IF(CH63&gt;0,Supuestos!$G$40,0)</f>
        <v>6155.7757653631716</v>
      </c>
      <c r="CI66" s="17">
        <f>IF(CI63&gt;0,Supuestos!$G$40,0)</f>
        <v>0</v>
      </c>
      <c r="CJ66" s="17">
        <f>IF(CJ63&gt;0,Supuestos!$G$40,0)</f>
        <v>0</v>
      </c>
      <c r="CK66" s="17">
        <f>IF(CK63&gt;0,Supuestos!$G$40,0)</f>
        <v>0</v>
      </c>
      <c r="CL66" s="17">
        <f>IF(CL63&gt;0,Supuestos!$G$40,0)</f>
        <v>0</v>
      </c>
      <c r="CM66" s="17">
        <f>IF(CM63&gt;0,Supuestos!$G$40,0)</f>
        <v>0</v>
      </c>
      <c r="CN66" s="17">
        <f>IF(CN63&gt;0,Supuestos!$G$40,0)</f>
        <v>0</v>
      </c>
      <c r="CO66" s="17">
        <f>IF(CO63&gt;0,Supuestos!$G$40,0)</f>
        <v>0</v>
      </c>
      <c r="CP66" s="17">
        <f>IF(CP63&gt;0,Supuestos!$G$40,0)</f>
        <v>0</v>
      </c>
      <c r="CQ66" s="17">
        <f>IF(CQ63&gt;0,Supuestos!$G$40,0)</f>
        <v>0</v>
      </c>
      <c r="CR66" s="17">
        <f>IF(CR63&gt;0,Supuestos!$G$40,0)</f>
        <v>0</v>
      </c>
      <c r="CS66" s="17">
        <f>IF(CS63&gt;0,Supuestos!$G$40,0)</f>
        <v>0</v>
      </c>
      <c r="CT66" s="17">
        <f>IF(CT63&gt;0,Supuestos!$G$40,0)</f>
        <v>0</v>
      </c>
      <c r="CU66" s="17">
        <f>IF(CU63&gt;0,Supuestos!$G$40,0)</f>
        <v>0</v>
      </c>
      <c r="CV66" s="17">
        <f>IF(CV63&gt;0,Supuestos!$G$40,0)</f>
        <v>0</v>
      </c>
      <c r="CW66" s="17">
        <f>IF(CW63&gt;0,Supuestos!$G$40,0)</f>
        <v>0</v>
      </c>
      <c r="CX66" s="17">
        <f>IF(CX63&gt;0,Supuestos!$G$40,0)</f>
        <v>0</v>
      </c>
      <c r="CY66" s="17">
        <f>IF(CY63&gt;0,Supuestos!$G$40,0)</f>
        <v>0</v>
      </c>
      <c r="CZ66" s="17">
        <f>IF(CZ63&gt;0,Supuestos!$G$40,0)</f>
        <v>0</v>
      </c>
      <c r="DA66" s="17">
        <f>IF(DA63&gt;0,Supuestos!$G$40,0)</f>
        <v>0</v>
      </c>
      <c r="DB66" s="17">
        <f>IF(DB63&gt;0,Supuestos!$G$40,0)</f>
        <v>0</v>
      </c>
      <c r="DC66" s="17">
        <f>IF(DC63&gt;0,Supuestos!$G$40,0)</f>
        <v>0</v>
      </c>
      <c r="DD66" s="17">
        <f>IF(DD63&gt;0,Supuestos!$G$40,0)</f>
        <v>0</v>
      </c>
      <c r="DE66" s="17">
        <f>IF(DE63&gt;0,Supuestos!$G$40,0)</f>
        <v>0</v>
      </c>
      <c r="DF66" s="17">
        <f>IF(DF63&gt;0,Supuestos!$G$40,0)</f>
        <v>0</v>
      </c>
      <c r="DG66" s="32">
        <f>SUM(C66:DF66)</f>
        <v>221607.92755307438</v>
      </c>
    </row>
    <row r="67" spans="1:111" ht="13.8" x14ac:dyDescent="0.3">
      <c r="A67" s="16" t="s">
        <v>322</v>
      </c>
      <c r="C67" s="37">
        <f t="shared" ref="C67:AH67" si="40">C66-C65</f>
        <v>0</v>
      </c>
      <c r="D67" s="37">
        <f t="shared" si="40"/>
        <v>0</v>
      </c>
      <c r="E67" s="37">
        <f t="shared" si="40"/>
        <v>0</v>
      </c>
      <c r="F67" s="37">
        <f t="shared" si="40"/>
        <v>0</v>
      </c>
      <c r="G67" s="37">
        <f t="shared" si="40"/>
        <v>0</v>
      </c>
      <c r="H67" s="37">
        <f t="shared" si="40"/>
        <v>0</v>
      </c>
      <c r="I67" s="37">
        <f t="shared" si="40"/>
        <v>0</v>
      </c>
      <c r="J67" s="37">
        <f t="shared" si="40"/>
        <v>0</v>
      </c>
      <c r="K67" s="37">
        <f t="shared" si="40"/>
        <v>0</v>
      </c>
      <c r="L67" s="37">
        <f t="shared" si="40"/>
        <v>0</v>
      </c>
      <c r="M67" s="37">
        <f t="shared" si="40"/>
        <v>0</v>
      </c>
      <c r="N67" s="37">
        <f t="shared" si="40"/>
        <v>0</v>
      </c>
      <c r="O67" s="37">
        <f t="shared" si="40"/>
        <v>0</v>
      </c>
      <c r="P67" s="37">
        <f t="shared" si="40"/>
        <v>0</v>
      </c>
      <c r="Q67" s="37">
        <f t="shared" si="40"/>
        <v>0</v>
      </c>
      <c r="R67" s="37">
        <f t="shared" si="40"/>
        <v>0</v>
      </c>
      <c r="S67" s="37">
        <f t="shared" si="40"/>
        <v>0</v>
      </c>
      <c r="T67" s="37">
        <f t="shared" si="40"/>
        <v>0</v>
      </c>
      <c r="U67" s="37">
        <f t="shared" si="40"/>
        <v>0</v>
      </c>
      <c r="V67" s="37">
        <f t="shared" si="40"/>
        <v>0</v>
      </c>
      <c r="W67" s="37">
        <f t="shared" si="40"/>
        <v>0</v>
      </c>
      <c r="X67" s="37">
        <f t="shared" si="40"/>
        <v>0</v>
      </c>
      <c r="Y67" s="37">
        <f t="shared" si="40"/>
        <v>0</v>
      </c>
      <c r="Z67" s="37">
        <f t="shared" si="40"/>
        <v>0</v>
      </c>
      <c r="AA67" s="37">
        <f t="shared" si="40"/>
        <v>0</v>
      </c>
      <c r="AB67" s="37">
        <f t="shared" si="40"/>
        <v>0</v>
      </c>
      <c r="AC67" s="37">
        <f t="shared" si="40"/>
        <v>0</v>
      </c>
      <c r="AD67" s="37">
        <f t="shared" si="40"/>
        <v>0</v>
      </c>
      <c r="AE67" s="37">
        <f t="shared" si="40"/>
        <v>0</v>
      </c>
      <c r="AF67" s="37">
        <f t="shared" si="40"/>
        <v>0</v>
      </c>
      <c r="AG67" s="37">
        <f t="shared" si="40"/>
        <v>0</v>
      </c>
      <c r="AH67" s="37">
        <f t="shared" si="40"/>
        <v>0</v>
      </c>
      <c r="AI67" s="37">
        <f t="shared" ref="AI67:BN67" si="41">AI66-AI65</f>
        <v>0</v>
      </c>
      <c r="AJ67" s="37">
        <f t="shared" si="41"/>
        <v>0</v>
      </c>
      <c r="AK67" s="37">
        <f t="shared" si="41"/>
        <v>0</v>
      </c>
      <c r="AL67" s="37">
        <f t="shared" si="41"/>
        <v>0</v>
      </c>
      <c r="AM67" s="37">
        <f t="shared" si="41"/>
        <v>0</v>
      </c>
      <c r="AN67" s="37">
        <f t="shared" si="41"/>
        <v>0</v>
      </c>
      <c r="AO67" s="37">
        <f t="shared" si="41"/>
        <v>0</v>
      </c>
      <c r="AP67" s="37">
        <f t="shared" si="41"/>
        <v>0</v>
      </c>
      <c r="AQ67" s="37">
        <f t="shared" si="41"/>
        <v>0</v>
      </c>
      <c r="AR67" s="37">
        <f t="shared" si="41"/>
        <v>0</v>
      </c>
      <c r="AS67" s="37">
        <f t="shared" si="41"/>
        <v>0</v>
      </c>
      <c r="AT67" s="37">
        <f t="shared" si="41"/>
        <v>0</v>
      </c>
      <c r="AU67" s="37">
        <f t="shared" si="41"/>
        <v>0</v>
      </c>
      <c r="AV67" s="37">
        <f t="shared" si="41"/>
        <v>0</v>
      </c>
      <c r="AW67" s="37">
        <f t="shared" si="41"/>
        <v>0</v>
      </c>
      <c r="AX67" s="37">
        <f t="shared" si="41"/>
        <v>0</v>
      </c>
      <c r="AY67" s="37">
        <f t="shared" si="41"/>
        <v>5024.9466878821167</v>
      </c>
      <c r="AZ67" s="37">
        <f t="shared" si="41"/>
        <v>5053.3584670193632</v>
      </c>
      <c r="BA67" s="37">
        <f t="shared" si="41"/>
        <v>5081.9308904865657</v>
      </c>
      <c r="BB67" s="37">
        <f t="shared" si="41"/>
        <v>5110.664866590123</v>
      </c>
      <c r="BC67" s="37">
        <f t="shared" si="41"/>
        <v>5139.5613087721276</v>
      </c>
      <c r="BD67" s="37">
        <f t="shared" si="41"/>
        <v>5168.6211356394078</v>
      </c>
      <c r="BE67" s="37">
        <f t="shared" si="41"/>
        <v>5197.8452709927287</v>
      </c>
      <c r="BF67" s="37">
        <f t="shared" si="41"/>
        <v>5227.234643856159</v>
      </c>
      <c r="BG67" s="37">
        <f t="shared" si="41"/>
        <v>5256.790188506603</v>
      </c>
      <c r="BH67" s="37">
        <f t="shared" si="41"/>
        <v>5286.5128445035052</v>
      </c>
      <c r="BI67" s="37">
        <f t="shared" si="41"/>
        <v>5316.4035567187129</v>
      </c>
      <c r="BJ67" s="37">
        <f t="shared" si="41"/>
        <v>5346.4632753665192</v>
      </c>
      <c r="BK67" s="37">
        <f t="shared" si="41"/>
        <v>5376.6929560338649</v>
      </c>
      <c r="BL67" s="37">
        <f t="shared" si="41"/>
        <v>5407.0935597107182</v>
      </c>
      <c r="BM67" s="37">
        <f t="shared" si="41"/>
        <v>5437.6660528206248</v>
      </c>
      <c r="BN67" s="37">
        <f t="shared" si="41"/>
        <v>5468.4114072514312</v>
      </c>
      <c r="BO67" s="37">
        <f t="shared" ref="BO67:CT67" si="42">BO66-BO65</f>
        <v>5499.3306003861762</v>
      </c>
      <c r="BP67" s="37">
        <f t="shared" si="42"/>
        <v>5530.4246151341667</v>
      </c>
      <c r="BQ67" s="37">
        <f t="shared" si="42"/>
        <v>5561.6944399622198</v>
      </c>
      <c r="BR67" s="37">
        <f t="shared" si="42"/>
        <v>5593.1410689260902</v>
      </c>
      <c r="BS67" s="37">
        <f t="shared" si="42"/>
        <v>5624.7655017020652</v>
      </c>
      <c r="BT67" s="37">
        <f t="shared" si="42"/>
        <v>5656.56874361875</v>
      </c>
      <c r="BU67" s="37">
        <f t="shared" si="42"/>
        <v>5688.5518056890232</v>
      </c>
      <c r="BV67" s="37">
        <f t="shared" si="42"/>
        <v>5720.7157046421753</v>
      </c>
      <c r="BW67" s="37">
        <f t="shared" si="42"/>
        <v>5753.0614629562351</v>
      </c>
      <c r="BX67" s="37">
        <f t="shared" si="42"/>
        <v>5785.5901088904684</v>
      </c>
      <c r="BY67" s="37">
        <f t="shared" si="42"/>
        <v>5818.3026765180684</v>
      </c>
      <c r="BZ67" s="37">
        <f t="shared" si="42"/>
        <v>5851.2002057590307</v>
      </c>
      <c r="CA67" s="37">
        <f t="shared" si="42"/>
        <v>5884.2837424132085</v>
      </c>
      <c r="CB67" s="37">
        <f t="shared" si="42"/>
        <v>5917.5543381935577</v>
      </c>
      <c r="CC67" s="37">
        <f t="shared" si="42"/>
        <v>5951.013050759575</v>
      </c>
      <c r="CD67" s="37">
        <f t="shared" si="42"/>
        <v>5984.660943750916</v>
      </c>
      <c r="CE67" s="37">
        <f t="shared" si="42"/>
        <v>6018.4990868212099</v>
      </c>
      <c r="CF67" s="37">
        <f t="shared" si="42"/>
        <v>6052.5285556720628</v>
      </c>
      <c r="CG67" s="37">
        <f t="shared" si="42"/>
        <v>6086.750432087254</v>
      </c>
      <c r="CH67" s="37">
        <f t="shared" si="42"/>
        <v>6121.1658039671274</v>
      </c>
      <c r="CI67" s="37">
        <f t="shared" si="42"/>
        <v>0</v>
      </c>
      <c r="CJ67" s="37">
        <f t="shared" si="42"/>
        <v>0</v>
      </c>
      <c r="CK67" s="37">
        <f t="shared" si="42"/>
        <v>0</v>
      </c>
      <c r="CL67" s="37">
        <f t="shared" si="42"/>
        <v>0</v>
      </c>
      <c r="CM67" s="37">
        <f t="shared" si="42"/>
        <v>0</v>
      </c>
      <c r="CN67" s="37">
        <f t="shared" si="42"/>
        <v>0</v>
      </c>
      <c r="CO67" s="37">
        <f t="shared" si="42"/>
        <v>0</v>
      </c>
      <c r="CP67" s="37">
        <f t="shared" si="42"/>
        <v>0</v>
      </c>
      <c r="CQ67" s="37">
        <f t="shared" si="42"/>
        <v>0</v>
      </c>
      <c r="CR67" s="37">
        <f t="shared" si="42"/>
        <v>0</v>
      </c>
      <c r="CS67" s="37">
        <f t="shared" si="42"/>
        <v>0</v>
      </c>
      <c r="CT67" s="37">
        <f t="shared" si="42"/>
        <v>0</v>
      </c>
      <c r="CU67" s="37">
        <f t="shared" ref="CU67:DZ67" si="43">CU66-CU65</f>
        <v>0</v>
      </c>
      <c r="CV67" s="37">
        <f t="shared" si="43"/>
        <v>0</v>
      </c>
      <c r="CW67" s="37">
        <f t="shared" si="43"/>
        <v>0</v>
      </c>
      <c r="CX67" s="37">
        <f t="shared" si="43"/>
        <v>0</v>
      </c>
      <c r="CY67" s="37">
        <f t="shared" si="43"/>
        <v>0</v>
      </c>
      <c r="CZ67" s="37">
        <f t="shared" si="43"/>
        <v>0</v>
      </c>
      <c r="DA67" s="37">
        <f t="shared" si="43"/>
        <v>0</v>
      </c>
      <c r="DB67" s="37">
        <f t="shared" si="43"/>
        <v>0</v>
      </c>
      <c r="DC67" s="37">
        <f t="shared" si="43"/>
        <v>0</v>
      </c>
      <c r="DD67" s="37">
        <f t="shared" si="43"/>
        <v>0</v>
      </c>
      <c r="DE67" s="37">
        <f t="shared" si="43"/>
        <v>0</v>
      </c>
      <c r="DF67" s="37">
        <f t="shared" si="43"/>
        <v>0</v>
      </c>
      <c r="DG67" s="32">
        <f>SUM(C67:DF67)</f>
        <v>199999.99999999994</v>
      </c>
    </row>
    <row r="68" spans="1:111" ht="13.8" x14ac:dyDescent="0.3">
      <c r="A68" s="16" t="s">
        <v>323</v>
      </c>
      <c r="C68" s="32">
        <f t="shared" ref="C68:AH68" si="44">C64-C67</f>
        <v>0</v>
      </c>
      <c r="D68" s="32">
        <f t="shared" si="44"/>
        <v>0</v>
      </c>
      <c r="E68" s="32">
        <f t="shared" si="44"/>
        <v>0</v>
      </c>
      <c r="F68" s="32">
        <f t="shared" si="44"/>
        <v>0</v>
      </c>
      <c r="G68" s="32">
        <f t="shared" si="44"/>
        <v>0</v>
      </c>
      <c r="H68" s="32">
        <f t="shared" si="44"/>
        <v>0</v>
      </c>
      <c r="I68" s="32">
        <f t="shared" si="44"/>
        <v>0</v>
      </c>
      <c r="J68" s="32">
        <f t="shared" si="44"/>
        <v>0</v>
      </c>
      <c r="K68" s="32">
        <f t="shared" si="44"/>
        <v>0</v>
      </c>
      <c r="L68" s="32">
        <f t="shared" si="44"/>
        <v>0</v>
      </c>
      <c r="M68" s="32">
        <f t="shared" si="44"/>
        <v>0</v>
      </c>
      <c r="N68" s="32">
        <f t="shared" si="44"/>
        <v>0</v>
      </c>
      <c r="O68" s="32">
        <f t="shared" si="44"/>
        <v>0</v>
      </c>
      <c r="P68" s="32">
        <f t="shared" si="44"/>
        <v>0</v>
      </c>
      <c r="Q68" s="32">
        <f t="shared" si="44"/>
        <v>0</v>
      </c>
      <c r="R68" s="32">
        <f t="shared" si="44"/>
        <v>0</v>
      </c>
      <c r="S68" s="32">
        <f t="shared" si="44"/>
        <v>0</v>
      </c>
      <c r="T68" s="32">
        <f t="shared" si="44"/>
        <v>0</v>
      </c>
      <c r="U68" s="32">
        <f t="shared" si="44"/>
        <v>0</v>
      </c>
      <c r="V68" s="32">
        <f t="shared" si="44"/>
        <v>0</v>
      </c>
      <c r="W68" s="32">
        <f t="shared" si="44"/>
        <v>0</v>
      </c>
      <c r="X68" s="32">
        <f t="shared" si="44"/>
        <v>0</v>
      </c>
      <c r="Y68" s="32">
        <f t="shared" si="44"/>
        <v>0</v>
      </c>
      <c r="Z68" s="32">
        <f t="shared" si="44"/>
        <v>0</v>
      </c>
      <c r="AA68" s="32">
        <f t="shared" si="44"/>
        <v>0</v>
      </c>
      <c r="AB68" s="32">
        <f t="shared" si="44"/>
        <v>0</v>
      </c>
      <c r="AC68" s="32">
        <f t="shared" si="44"/>
        <v>0</v>
      </c>
      <c r="AD68" s="32">
        <f t="shared" si="44"/>
        <v>0</v>
      </c>
      <c r="AE68" s="32">
        <f t="shared" si="44"/>
        <v>0</v>
      </c>
      <c r="AF68" s="32">
        <f t="shared" si="44"/>
        <v>0</v>
      </c>
      <c r="AG68" s="32">
        <f t="shared" si="44"/>
        <v>0</v>
      </c>
      <c r="AH68" s="32">
        <f t="shared" si="44"/>
        <v>0</v>
      </c>
      <c r="AI68" s="32">
        <f t="shared" ref="AI68:BN68" si="45">AI64-AI67</f>
        <v>0</v>
      </c>
      <c r="AJ68" s="32">
        <f t="shared" si="45"/>
        <v>0</v>
      </c>
      <c r="AK68" s="32">
        <f t="shared" si="45"/>
        <v>0</v>
      </c>
      <c r="AL68" s="32">
        <f t="shared" si="45"/>
        <v>0</v>
      </c>
      <c r="AM68" s="32">
        <f t="shared" si="45"/>
        <v>0</v>
      </c>
      <c r="AN68" s="32">
        <f t="shared" si="45"/>
        <v>0</v>
      </c>
      <c r="AO68" s="32">
        <f t="shared" si="45"/>
        <v>0</v>
      </c>
      <c r="AP68" s="32">
        <f t="shared" si="45"/>
        <v>0</v>
      </c>
      <c r="AQ68" s="32">
        <f t="shared" si="45"/>
        <v>0</v>
      </c>
      <c r="AR68" s="32">
        <f t="shared" si="45"/>
        <v>0</v>
      </c>
      <c r="AS68" s="32">
        <f t="shared" si="45"/>
        <v>0</v>
      </c>
      <c r="AT68" s="32">
        <f t="shared" si="45"/>
        <v>0</v>
      </c>
      <c r="AU68" s="32">
        <f t="shared" si="45"/>
        <v>0</v>
      </c>
      <c r="AV68" s="32">
        <f t="shared" si="45"/>
        <v>0</v>
      </c>
      <c r="AW68" s="32">
        <f t="shared" si="45"/>
        <v>0</v>
      </c>
      <c r="AX68" s="32">
        <f t="shared" si="45"/>
        <v>0</v>
      </c>
      <c r="AY68" s="32">
        <f t="shared" si="45"/>
        <v>194975.05331211787</v>
      </c>
      <c r="AZ68" s="32">
        <f t="shared" si="45"/>
        <v>189921.69484509851</v>
      </c>
      <c r="BA68" s="32">
        <f t="shared" si="45"/>
        <v>184839.76395461193</v>
      </c>
      <c r="BB68" s="32">
        <f t="shared" si="45"/>
        <v>179729.09908802182</v>
      </c>
      <c r="BC68" s="32">
        <f t="shared" si="45"/>
        <v>174589.53777924969</v>
      </c>
      <c r="BD68" s="32">
        <f t="shared" si="45"/>
        <v>169420.91664361028</v>
      </c>
      <c r="BE68" s="32">
        <f t="shared" si="45"/>
        <v>164223.07137261756</v>
      </c>
      <c r="BF68" s="32">
        <f t="shared" si="45"/>
        <v>158995.83672876141</v>
      </c>
      <c r="BG68" s="32">
        <f t="shared" si="45"/>
        <v>153739.04654025481</v>
      </c>
      <c r="BH68" s="32">
        <f t="shared" si="45"/>
        <v>148452.53369575131</v>
      </c>
      <c r="BI68" s="32">
        <f t="shared" si="45"/>
        <v>143136.13013903258</v>
      </c>
      <c r="BJ68" s="32">
        <f t="shared" si="45"/>
        <v>137789.66686366606</v>
      </c>
      <c r="BK68" s="32">
        <f t="shared" si="45"/>
        <v>132412.9739076322</v>
      </c>
      <c r="BL68" s="32">
        <f t="shared" si="45"/>
        <v>127005.88034792148</v>
      </c>
      <c r="BM68" s="32">
        <f t="shared" si="45"/>
        <v>121568.21429510086</v>
      </c>
      <c r="BN68" s="32">
        <f t="shared" si="45"/>
        <v>116099.80288784942</v>
      </c>
      <c r="BO68" s="32">
        <f t="shared" ref="BO68:CT68" si="46">BO64-BO67</f>
        <v>110600.47228746324</v>
      </c>
      <c r="BP68" s="32">
        <f t="shared" si="46"/>
        <v>105070.04767232908</v>
      </c>
      <c r="BQ68" s="32">
        <f t="shared" si="46"/>
        <v>99508.353232366862</v>
      </c>
      <c r="BR68" s="32">
        <f t="shared" si="46"/>
        <v>93915.212163440767</v>
      </c>
      <c r="BS68" s="32">
        <f t="shared" si="46"/>
        <v>88290.446661738708</v>
      </c>
      <c r="BT68" s="32">
        <f t="shared" si="46"/>
        <v>82633.877918119964</v>
      </c>
      <c r="BU68" s="32">
        <f t="shared" si="46"/>
        <v>76945.326112430936</v>
      </c>
      <c r="BV68" s="32">
        <f t="shared" si="46"/>
        <v>71224.610407788758</v>
      </c>
      <c r="BW68" s="32">
        <f t="shared" si="46"/>
        <v>65471.548944832524</v>
      </c>
      <c r="BX68" s="32">
        <f t="shared" si="46"/>
        <v>59685.95883594206</v>
      </c>
      <c r="BY68" s="32">
        <f t="shared" si="46"/>
        <v>53867.65615942399</v>
      </c>
      <c r="BZ68" s="32">
        <f t="shared" si="46"/>
        <v>48016.455953664961</v>
      </c>
      <c r="CA68" s="32">
        <f t="shared" si="46"/>
        <v>42132.172211251753</v>
      </c>
      <c r="CB68" s="32">
        <f t="shared" si="46"/>
        <v>36214.617873058196</v>
      </c>
      <c r="CC68" s="32">
        <f t="shared" si="46"/>
        <v>30263.604822298621</v>
      </c>
      <c r="CD68" s="32">
        <f t="shared" si="46"/>
        <v>24278.943878547703</v>
      </c>
      <c r="CE68" s="32">
        <f t="shared" si="46"/>
        <v>18260.444791726492</v>
      </c>
      <c r="CF68" s="32">
        <f t="shared" si="46"/>
        <v>12207.916236054429</v>
      </c>
      <c r="CG68" s="32">
        <f t="shared" si="46"/>
        <v>6121.1658039671747</v>
      </c>
      <c r="CH68" s="32">
        <f t="shared" si="46"/>
        <v>4.7293724492192268E-11</v>
      </c>
      <c r="CI68" s="32">
        <f t="shared" si="46"/>
        <v>0</v>
      </c>
      <c r="CJ68" s="32">
        <f t="shared" si="46"/>
        <v>0</v>
      </c>
      <c r="CK68" s="32">
        <f t="shared" si="46"/>
        <v>0</v>
      </c>
      <c r="CL68" s="32">
        <f t="shared" si="46"/>
        <v>0</v>
      </c>
      <c r="CM68" s="32">
        <f t="shared" si="46"/>
        <v>0</v>
      </c>
      <c r="CN68" s="32">
        <f t="shared" si="46"/>
        <v>0</v>
      </c>
      <c r="CO68" s="32">
        <f t="shared" si="46"/>
        <v>0</v>
      </c>
      <c r="CP68" s="32">
        <f t="shared" si="46"/>
        <v>0</v>
      </c>
      <c r="CQ68" s="32">
        <f t="shared" si="46"/>
        <v>0</v>
      </c>
      <c r="CR68" s="32">
        <f t="shared" si="46"/>
        <v>0</v>
      </c>
      <c r="CS68" s="32">
        <f t="shared" si="46"/>
        <v>0</v>
      </c>
      <c r="CT68" s="32">
        <f t="shared" si="46"/>
        <v>0</v>
      </c>
      <c r="CU68" s="32">
        <f t="shared" ref="CU68:DZ68" si="47">CU64-CU67</f>
        <v>0</v>
      </c>
      <c r="CV68" s="32">
        <f t="shared" si="47"/>
        <v>0</v>
      </c>
      <c r="CW68" s="32">
        <f t="shared" si="47"/>
        <v>0</v>
      </c>
      <c r="CX68" s="32">
        <f t="shared" si="47"/>
        <v>0</v>
      </c>
      <c r="CY68" s="32">
        <f t="shared" si="47"/>
        <v>0</v>
      </c>
      <c r="CZ68" s="32">
        <f t="shared" si="47"/>
        <v>0</v>
      </c>
      <c r="DA68" s="32">
        <f t="shared" si="47"/>
        <v>0</v>
      </c>
      <c r="DB68" s="32">
        <f t="shared" si="47"/>
        <v>0</v>
      </c>
      <c r="DC68" s="32">
        <f t="shared" si="47"/>
        <v>0</v>
      </c>
      <c r="DD68" s="32">
        <f t="shared" si="47"/>
        <v>0</v>
      </c>
      <c r="DE68" s="32">
        <f t="shared" si="47"/>
        <v>0</v>
      </c>
      <c r="DF68" s="32">
        <f t="shared" si="47"/>
        <v>0</v>
      </c>
    </row>
    <row r="70" spans="1:111" ht="13.8" x14ac:dyDescent="0.3">
      <c r="A70" s="12" t="s">
        <v>329</v>
      </c>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row>
    <row r="71" spans="1:111" ht="13.8" x14ac:dyDescent="0.3">
      <c r="A71" s="16" t="s">
        <v>330</v>
      </c>
      <c r="C71" s="153">
        <f t="shared" ref="C71:AH71" si="48">(C17+C26+C35+C44+C53+C62)/1000</f>
        <v>0</v>
      </c>
      <c r="D71" s="153">
        <f t="shared" si="48"/>
        <v>0</v>
      </c>
      <c r="E71" s="153">
        <f t="shared" si="48"/>
        <v>0</v>
      </c>
      <c r="F71" s="153">
        <f t="shared" si="48"/>
        <v>0</v>
      </c>
      <c r="G71" s="153">
        <f t="shared" si="48"/>
        <v>0</v>
      </c>
      <c r="H71" s="153">
        <f t="shared" si="48"/>
        <v>0</v>
      </c>
      <c r="I71" s="153">
        <f t="shared" si="48"/>
        <v>0</v>
      </c>
      <c r="J71" s="153">
        <f t="shared" si="48"/>
        <v>0</v>
      </c>
      <c r="K71" s="153">
        <f t="shared" si="48"/>
        <v>0</v>
      </c>
      <c r="L71" s="153">
        <f t="shared" si="48"/>
        <v>0</v>
      </c>
      <c r="M71" s="153">
        <f t="shared" si="48"/>
        <v>2070</v>
      </c>
      <c r="N71" s="153">
        <f t="shared" si="48"/>
        <v>0</v>
      </c>
      <c r="O71" s="153">
        <f t="shared" si="48"/>
        <v>1440</v>
      </c>
      <c r="P71" s="153">
        <f t="shared" si="48"/>
        <v>0</v>
      </c>
      <c r="Q71" s="153">
        <f t="shared" si="48"/>
        <v>0</v>
      </c>
      <c r="R71" s="153">
        <f t="shared" si="48"/>
        <v>0</v>
      </c>
      <c r="S71" s="153">
        <f t="shared" si="48"/>
        <v>0</v>
      </c>
      <c r="T71" s="153">
        <f t="shared" si="48"/>
        <v>0</v>
      </c>
      <c r="U71" s="153">
        <f t="shared" si="48"/>
        <v>0</v>
      </c>
      <c r="V71" s="153">
        <f t="shared" si="48"/>
        <v>0</v>
      </c>
      <c r="W71" s="153">
        <f t="shared" si="48"/>
        <v>0</v>
      </c>
      <c r="X71" s="153">
        <f t="shared" si="48"/>
        <v>0</v>
      </c>
      <c r="Y71" s="153">
        <f t="shared" si="48"/>
        <v>0</v>
      </c>
      <c r="Z71" s="153">
        <f t="shared" si="48"/>
        <v>0</v>
      </c>
      <c r="AA71" s="153">
        <f t="shared" si="48"/>
        <v>570</v>
      </c>
      <c r="AB71" s="153">
        <f t="shared" si="48"/>
        <v>0</v>
      </c>
      <c r="AC71" s="153">
        <f t="shared" si="48"/>
        <v>0</v>
      </c>
      <c r="AD71" s="153">
        <f t="shared" si="48"/>
        <v>0</v>
      </c>
      <c r="AE71" s="153">
        <f t="shared" si="48"/>
        <v>0</v>
      </c>
      <c r="AF71" s="153">
        <f t="shared" si="48"/>
        <v>0</v>
      </c>
      <c r="AG71" s="153">
        <f t="shared" si="48"/>
        <v>0</v>
      </c>
      <c r="AH71" s="153">
        <f t="shared" si="48"/>
        <v>0</v>
      </c>
      <c r="AI71" s="153">
        <f t="shared" ref="AI71:BN71" si="49">(AI17+AI26+AI35+AI44+AI53+AI62)/1000</f>
        <v>0</v>
      </c>
      <c r="AJ71" s="153">
        <f t="shared" si="49"/>
        <v>0</v>
      </c>
      <c r="AK71" s="153">
        <f t="shared" si="49"/>
        <v>0</v>
      </c>
      <c r="AL71" s="153">
        <f t="shared" si="49"/>
        <v>0</v>
      </c>
      <c r="AM71" s="153">
        <f t="shared" si="49"/>
        <v>0</v>
      </c>
      <c r="AN71" s="153">
        <f t="shared" si="49"/>
        <v>0</v>
      </c>
      <c r="AO71" s="153">
        <f t="shared" si="49"/>
        <v>0</v>
      </c>
      <c r="AP71" s="153">
        <f t="shared" si="49"/>
        <v>0</v>
      </c>
      <c r="AQ71" s="153">
        <f t="shared" si="49"/>
        <v>0</v>
      </c>
      <c r="AR71" s="153">
        <f t="shared" si="49"/>
        <v>0</v>
      </c>
      <c r="AS71" s="153">
        <f t="shared" si="49"/>
        <v>0</v>
      </c>
      <c r="AT71" s="153">
        <f t="shared" si="49"/>
        <v>0</v>
      </c>
      <c r="AU71" s="153">
        <f t="shared" si="49"/>
        <v>0</v>
      </c>
      <c r="AV71" s="153">
        <f t="shared" si="49"/>
        <v>0</v>
      </c>
      <c r="AW71" s="153">
        <f t="shared" si="49"/>
        <v>0</v>
      </c>
      <c r="AX71" s="153">
        <f t="shared" si="49"/>
        <v>0</v>
      </c>
      <c r="AY71" s="153">
        <f t="shared" si="49"/>
        <v>200</v>
      </c>
      <c r="AZ71" s="153">
        <f t="shared" si="49"/>
        <v>0</v>
      </c>
      <c r="BA71" s="153">
        <f t="shared" si="49"/>
        <v>0</v>
      </c>
      <c r="BB71" s="153">
        <f t="shared" si="49"/>
        <v>0</v>
      </c>
      <c r="BC71" s="153">
        <f t="shared" si="49"/>
        <v>0</v>
      </c>
      <c r="BD71" s="153">
        <f t="shared" si="49"/>
        <v>0</v>
      </c>
      <c r="BE71" s="153">
        <f t="shared" si="49"/>
        <v>0</v>
      </c>
      <c r="BF71" s="153">
        <f t="shared" si="49"/>
        <v>0</v>
      </c>
      <c r="BG71" s="153">
        <f t="shared" si="49"/>
        <v>0</v>
      </c>
      <c r="BH71" s="153">
        <f t="shared" si="49"/>
        <v>0</v>
      </c>
      <c r="BI71" s="153">
        <f t="shared" si="49"/>
        <v>0</v>
      </c>
      <c r="BJ71" s="153">
        <f t="shared" si="49"/>
        <v>0</v>
      </c>
      <c r="BK71" s="153">
        <f t="shared" si="49"/>
        <v>1050</v>
      </c>
      <c r="BL71" s="153">
        <f t="shared" si="49"/>
        <v>0</v>
      </c>
      <c r="BM71" s="153">
        <f t="shared" si="49"/>
        <v>0</v>
      </c>
      <c r="BN71" s="153">
        <f t="shared" si="49"/>
        <v>0</v>
      </c>
      <c r="BO71" s="153">
        <f t="shared" ref="BO71:CT71" si="50">(BO17+BO26+BO35+BO44+BO53+BO62)/1000</f>
        <v>0</v>
      </c>
      <c r="BP71" s="153">
        <f t="shared" si="50"/>
        <v>0</v>
      </c>
      <c r="BQ71" s="153">
        <f t="shared" si="50"/>
        <v>0</v>
      </c>
      <c r="BR71" s="153">
        <f t="shared" si="50"/>
        <v>0</v>
      </c>
      <c r="BS71" s="153">
        <f t="shared" si="50"/>
        <v>0</v>
      </c>
      <c r="BT71" s="153">
        <f t="shared" si="50"/>
        <v>0</v>
      </c>
      <c r="BU71" s="153">
        <f t="shared" si="50"/>
        <v>0</v>
      </c>
      <c r="BV71" s="153">
        <f t="shared" si="50"/>
        <v>0</v>
      </c>
      <c r="BW71" s="153">
        <f t="shared" si="50"/>
        <v>0</v>
      </c>
      <c r="BX71" s="153">
        <f t="shared" si="50"/>
        <v>0</v>
      </c>
      <c r="BY71" s="153">
        <f t="shared" si="50"/>
        <v>0</v>
      </c>
      <c r="BZ71" s="153">
        <f t="shared" si="50"/>
        <v>0</v>
      </c>
      <c r="CA71" s="153">
        <f t="shared" si="50"/>
        <v>0</v>
      </c>
      <c r="CB71" s="153">
        <f t="shared" si="50"/>
        <v>0</v>
      </c>
      <c r="CC71" s="153">
        <f t="shared" si="50"/>
        <v>0</v>
      </c>
      <c r="CD71" s="153">
        <f t="shared" si="50"/>
        <v>0</v>
      </c>
      <c r="CE71" s="153">
        <f t="shared" si="50"/>
        <v>0</v>
      </c>
      <c r="CF71" s="153">
        <f t="shared" si="50"/>
        <v>0</v>
      </c>
      <c r="CG71" s="153">
        <f t="shared" si="50"/>
        <v>0</v>
      </c>
      <c r="CH71" s="153">
        <f t="shared" si="50"/>
        <v>0</v>
      </c>
      <c r="CI71" s="153">
        <f t="shared" si="50"/>
        <v>0</v>
      </c>
      <c r="CJ71" s="153">
        <f t="shared" si="50"/>
        <v>0</v>
      </c>
      <c r="CK71" s="153">
        <f t="shared" si="50"/>
        <v>0</v>
      </c>
      <c r="CL71" s="153">
        <f t="shared" si="50"/>
        <v>0</v>
      </c>
      <c r="CM71" s="153">
        <f t="shared" si="50"/>
        <v>0</v>
      </c>
      <c r="CN71" s="153">
        <f t="shared" si="50"/>
        <v>0</v>
      </c>
      <c r="CO71" s="153">
        <f t="shared" si="50"/>
        <v>0</v>
      </c>
      <c r="CP71" s="153">
        <f t="shared" si="50"/>
        <v>0</v>
      </c>
      <c r="CQ71" s="153">
        <f t="shared" si="50"/>
        <v>0</v>
      </c>
      <c r="CR71" s="153">
        <f t="shared" si="50"/>
        <v>0</v>
      </c>
      <c r="CS71" s="153">
        <f t="shared" si="50"/>
        <v>0</v>
      </c>
      <c r="CT71" s="153">
        <f t="shared" si="50"/>
        <v>0</v>
      </c>
      <c r="CU71" s="153">
        <f t="shared" ref="CU71:DF71" si="51">(CU17+CU26+CU35+CU44+CU53+CU62)/1000</f>
        <v>0</v>
      </c>
      <c r="CV71" s="153">
        <f t="shared" si="51"/>
        <v>0</v>
      </c>
      <c r="CW71" s="153">
        <f t="shared" si="51"/>
        <v>0</v>
      </c>
      <c r="CX71" s="153">
        <f t="shared" si="51"/>
        <v>0</v>
      </c>
      <c r="CY71" s="153">
        <f t="shared" si="51"/>
        <v>0</v>
      </c>
      <c r="CZ71" s="153">
        <f t="shared" si="51"/>
        <v>0</v>
      </c>
      <c r="DA71" s="153">
        <f t="shared" si="51"/>
        <v>0</v>
      </c>
      <c r="DB71" s="153">
        <f t="shared" si="51"/>
        <v>0</v>
      </c>
      <c r="DC71" s="153">
        <f t="shared" si="51"/>
        <v>0</v>
      </c>
      <c r="DD71" s="153">
        <f t="shared" si="51"/>
        <v>0</v>
      </c>
      <c r="DE71" s="153">
        <f t="shared" si="51"/>
        <v>0</v>
      </c>
      <c r="DF71" s="153">
        <f t="shared" si="51"/>
        <v>0</v>
      </c>
      <c r="DG71" s="154">
        <f t="shared" ref="DG71:DG76" si="52">SUM(C71:DF71)</f>
        <v>5330</v>
      </c>
    </row>
    <row r="72" spans="1:111" ht="13.8" x14ac:dyDescent="0.3">
      <c r="A72" s="16" t="s">
        <v>331</v>
      </c>
      <c r="C72" s="153">
        <f t="shared" ref="C72:AH72" si="53">(C7+C40+C49+C58+C67)/1000</f>
        <v>0</v>
      </c>
      <c r="D72" s="153">
        <f t="shared" si="53"/>
        <v>0</v>
      </c>
      <c r="E72" s="153">
        <f t="shared" si="53"/>
        <v>0</v>
      </c>
      <c r="F72" s="153">
        <f t="shared" si="53"/>
        <v>0</v>
      </c>
      <c r="G72" s="153">
        <f t="shared" si="53"/>
        <v>0</v>
      </c>
      <c r="H72" s="153">
        <f t="shared" si="53"/>
        <v>0</v>
      </c>
      <c r="I72" s="153">
        <f t="shared" si="53"/>
        <v>0</v>
      </c>
      <c r="J72" s="153">
        <f t="shared" si="53"/>
        <v>0</v>
      </c>
      <c r="K72" s="153">
        <f t="shared" si="53"/>
        <v>0</v>
      </c>
      <c r="L72" s="153">
        <f t="shared" si="53"/>
        <v>140.295622365062</v>
      </c>
      <c r="M72" s="153">
        <f t="shared" si="53"/>
        <v>166.97499336115177</v>
      </c>
      <c r="N72" s="153">
        <f t="shared" si="53"/>
        <v>168.17992683724174</v>
      </c>
      <c r="O72" s="153">
        <f t="shared" si="53"/>
        <v>205.57324544144771</v>
      </c>
      <c r="P72" s="153">
        <f t="shared" si="53"/>
        <v>207.00034592887806</v>
      </c>
      <c r="Q72" s="153">
        <f t="shared" si="53"/>
        <v>208.4375010057941</v>
      </c>
      <c r="R72" s="153">
        <f t="shared" si="53"/>
        <v>209.88478241292387</v>
      </c>
      <c r="S72" s="153">
        <f t="shared" si="53"/>
        <v>211.34226240830026</v>
      </c>
      <c r="T72" s="153">
        <f t="shared" si="53"/>
        <v>212.81001377102214</v>
      </c>
      <c r="U72" s="153">
        <f t="shared" si="53"/>
        <v>214.28810980504534</v>
      </c>
      <c r="V72" s="153">
        <f t="shared" si="53"/>
        <v>215.77662434300024</v>
      </c>
      <c r="W72" s="153">
        <f t="shared" si="53"/>
        <v>217.27563175003598</v>
      </c>
      <c r="X72" s="153">
        <f t="shared" si="53"/>
        <v>218.78520692769845</v>
      </c>
      <c r="Y72" s="153">
        <f t="shared" si="53"/>
        <v>220.30542531782646</v>
      </c>
      <c r="Z72" s="153">
        <f t="shared" si="53"/>
        <v>221.83636290648761</v>
      </c>
      <c r="AA72" s="153">
        <f t="shared" si="53"/>
        <v>237.69919428839702</v>
      </c>
      <c r="AB72" s="153">
        <f t="shared" si="53"/>
        <v>239.33277399959667</v>
      </c>
      <c r="AC72" s="153">
        <f t="shared" si="53"/>
        <v>240.97776200897172</v>
      </c>
      <c r="AD72" s="153">
        <f t="shared" si="53"/>
        <v>242.6342391080554</v>
      </c>
      <c r="AE72" s="153">
        <f t="shared" si="53"/>
        <v>244.30228666733433</v>
      </c>
      <c r="AF72" s="153">
        <f t="shared" si="53"/>
        <v>245.98198664044133</v>
      </c>
      <c r="AG72" s="153">
        <f t="shared" si="53"/>
        <v>247.67342156836878</v>
      </c>
      <c r="AH72" s="153">
        <f t="shared" si="53"/>
        <v>249.3766745837265</v>
      </c>
      <c r="AI72" s="153">
        <f t="shared" ref="AI72:BN72" si="54">(AI7+AI40+AI49+AI58+AI67)/1000</f>
        <v>251.09182941501672</v>
      </c>
      <c r="AJ72" s="153">
        <f t="shared" si="54"/>
        <v>252.81897039095409</v>
      </c>
      <c r="AK72" s="153">
        <f t="shared" si="54"/>
        <v>254.55818244480409</v>
      </c>
      <c r="AL72" s="153">
        <f t="shared" si="54"/>
        <v>256.30955111876563</v>
      </c>
      <c r="AM72" s="153">
        <f t="shared" si="54"/>
        <v>258.07316256837152</v>
      </c>
      <c r="AN72" s="153">
        <f t="shared" si="54"/>
        <v>259.84910356693695</v>
      </c>
      <c r="AO72" s="153">
        <f t="shared" si="54"/>
        <v>261.63746151002522</v>
      </c>
      <c r="AP72" s="153">
        <f t="shared" si="54"/>
        <v>263.43832441995772</v>
      </c>
      <c r="AQ72" s="153">
        <f t="shared" si="54"/>
        <v>265.25178095035159</v>
      </c>
      <c r="AR72" s="153">
        <f t="shared" si="54"/>
        <v>267.07792039068863</v>
      </c>
      <c r="AS72" s="153">
        <f t="shared" si="54"/>
        <v>268.91683267092145</v>
      </c>
      <c r="AT72" s="153">
        <f t="shared" si="54"/>
        <v>270.76860836611547</v>
      </c>
      <c r="AU72" s="153">
        <f t="shared" si="54"/>
        <v>272.63333870111262</v>
      </c>
      <c r="AV72" s="153">
        <f t="shared" si="54"/>
        <v>274.51111555524665</v>
      </c>
      <c r="AW72" s="153">
        <f t="shared" si="54"/>
        <v>245.00757506372594</v>
      </c>
      <c r="AX72" s="153">
        <f t="shared" si="54"/>
        <v>60.376433546793507</v>
      </c>
      <c r="AY72" s="153">
        <f t="shared" si="54"/>
        <v>21.421171857307382</v>
      </c>
      <c r="AZ72" s="153">
        <f t="shared" si="54"/>
        <v>21.542290277357196</v>
      </c>
      <c r="BA72" s="153">
        <f t="shared" si="54"/>
        <v>21.66409351856306</v>
      </c>
      <c r="BB72" s="153">
        <f t="shared" si="54"/>
        <v>21.786585453003362</v>
      </c>
      <c r="BC72" s="153">
        <f t="shared" si="54"/>
        <v>21.90976997464977</v>
      </c>
      <c r="BD72" s="153">
        <f t="shared" si="54"/>
        <v>22.033650999491044</v>
      </c>
      <c r="BE72" s="153">
        <f t="shared" si="54"/>
        <v>22.158232465657516</v>
      </c>
      <c r="BF72" s="153">
        <f t="shared" si="54"/>
        <v>22.283518333546265</v>
      </c>
      <c r="BG72" s="153">
        <f t="shared" si="54"/>
        <v>22.409512585947045</v>
      </c>
      <c r="BH72" s="153">
        <f t="shared" si="54"/>
        <v>22.536219228168882</v>
      </c>
      <c r="BI72" s="153">
        <f t="shared" si="54"/>
        <v>22.663642288167384</v>
      </c>
      <c r="BJ72" s="153">
        <f t="shared" si="54"/>
        <v>22.791785816672832</v>
      </c>
      <c r="BK72" s="153">
        <f t="shared" si="54"/>
        <v>5.3766929560338648</v>
      </c>
      <c r="BL72" s="153">
        <f t="shared" si="54"/>
        <v>5.4070935597107184</v>
      </c>
      <c r="BM72" s="153">
        <f t="shared" si="54"/>
        <v>5.4376660528206244</v>
      </c>
      <c r="BN72" s="153">
        <f t="shared" si="54"/>
        <v>5.4684114072514314</v>
      </c>
      <c r="BO72" s="153">
        <f t="shared" ref="BO72:CT72" si="55">(BO7+BO40+BO49+BO58+BO67)/1000</f>
        <v>5.4993306003861759</v>
      </c>
      <c r="BP72" s="153">
        <f t="shared" si="55"/>
        <v>5.5304246151341667</v>
      </c>
      <c r="BQ72" s="153">
        <f t="shared" si="55"/>
        <v>5.5616944399622197</v>
      </c>
      <c r="BR72" s="153">
        <f t="shared" si="55"/>
        <v>5.5931410689260899</v>
      </c>
      <c r="BS72" s="153">
        <f t="shared" si="55"/>
        <v>5.6247655017020648</v>
      </c>
      <c r="BT72" s="153">
        <f t="shared" si="55"/>
        <v>5.6565687436187497</v>
      </c>
      <c r="BU72" s="153">
        <f t="shared" si="55"/>
        <v>5.6885518056890234</v>
      </c>
      <c r="BV72" s="153">
        <f t="shared" si="55"/>
        <v>5.720715704642175</v>
      </c>
      <c r="BW72" s="153">
        <f t="shared" si="55"/>
        <v>5.7530614629562349</v>
      </c>
      <c r="BX72" s="153">
        <f t="shared" si="55"/>
        <v>5.7855901088904682</v>
      </c>
      <c r="BY72" s="153">
        <f t="shared" si="55"/>
        <v>5.8183026765180683</v>
      </c>
      <c r="BZ72" s="153">
        <f t="shared" si="55"/>
        <v>5.8512002057590307</v>
      </c>
      <c r="CA72" s="153">
        <f t="shared" si="55"/>
        <v>5.8842837424132082</v>
      </c>
      <c r="CB72" s="153">
        <f t="shared" si="55"/>
        <v>5.9175543381935576</v>
      </c>
      <c r="CC72" s="153">
        <f t="shared" si="55"/>
        <v>5.9510130507595749</v>
      </c>
      <c r="CD72" s="153">
        <f t="shared" si="55"/>
        <v>5.9846609437509164</v>
      </c>
      <c r="CE72" s="153">
        <f t="shared" si="55"/>
        <v>6.01849908682121</v>
      </c>
      <c r="CF72" s="153">
        <f t="shared" si="55"/>
        <v>6.0525285556720627</v>
      </c>
      <c r="CG72" s="153">
        <f t="shared" si="55"/>
        <v>6.0867504320872543</v>
      </c>
      <c r="CH72" s="153">
        <f t="shared" si="55"/>
        <v>6.1211658039671271</v>
      </c>
      <c r="CI72" s="153">
        <f t="shared" si="55"/>
        <v>0</v>
      </c>
      <c r="CJ72" s="153">
        <f t="shared" si="55"/>
        <v>0</v>
      </c>
      <c r="CK72" s="153">
        <f t="shared" si="55"/>
        <v>0</v>
      </c>
      <c r="CL72" s="153">
        <f t="shared" si="55"/>
        <v>0</v>
      </c>
      <c r="CM72" s="153">
        <f t="shared" si="55"/>
        <v>0</v>
      </c>
      <c r="CN72" s="153">
        <f t="shared" si="55"/>
        <v>0</v>
      </c>
      <c r="CO72" s="153">
        <f t="shared" si="55"/>
        <v>0</v>
      </c>
      <c r="CP72" s="153">
        <f t="shared" si="55"/>
        <v>0</v>
      </c>
      <c r="CQ72" s="153">
        <f t="shared" si="55"/>
        <v>0</v>
      </c>
      <c r="CR72" s="153">
        <f t="shared" si="55"/>
        <v>0</v>
      </c>
      <c r="CS72" s="153">
        <f t="shared" si="55"/>
        <v>0</v>
      </c>
      <c r="CT72" s="153">
        <f t="shared" si="55"/>
        <v>0</v>
      </c>
      <c r="CU72" s="153">
        <f t="shared" ref="CU72:DF72" si="56">(CU7+CU40+CU49+CU58+CU67)/1000</f>
        <v>0</v>
      </c>
      <c r="CV72" s="153">
        <f t="shared" si="56"/>
        <v>0</v>
      </c>
      <c r="CW72" s="153">
        <f t="shared" si="56"/>
        <v>0</v>
      </c>
      <c r="CX72" s="153">
        <f t="shared" si="56"/>
        <v>0</v>
      </c>
      <c r="CY72" s="153">
        <f t="shared" si="56"/>
        <v>0</v>
      </c>
      <c r="CZ72" s="153">
        <f t="shared" si="56"/>
        <v>0</v>
      </c>
      <c r="DA72" s="153">
        <f t="shared" si="56"/>
        <v>0</v>
      </c>
      <c r="DB72" s="153">
        <f t="shared" si="56"/>
        <v>0</v>
      </c>
      <c r="DC72" s="153">
        <f t="shared" si="56"/>
        <v>0</v>
      </c>
      <c r="DD72" s="153">
        <f t="shared" si="56"/>
        <v>0</v>
      </c>
      <c r="DE72" s="153">
        <f t="shared" si="56"/>
        <v>0</v>
      </c>
      <c r="DF72" s="153">
        <f t="shared" si="56"/>
        <v>0</v>
      </c>
      <c r="DG72" s="154">
        <f t="shared" si="52"/>
        <v>9372.0547237887877</v>
      </c>
    </row>
    <row r="73" spans="1:111" ht="13.8" x14ac:dyDescent="0.3">
      <c r="A73" s="16" t="s">
        <v>332</v>
      </c>
      <c r="C73" s="153">
        <f t="shared" ref="C73:AH73" si="57">(C12+C22+C31)/1000</f>
        <v>0</v>
      </c>
      <c r="D73" s="153">
        <f t="shared" si="57"/>
        <v>0</v>
      </c>
      <c r="E73" s="153">
        <f t="shared" si="57"/>
        <v>0</v>
      </c>
      <c r="F73" s="153">
        <f t="shared" si="57"/>
        <v>0</v>
      </c>
      <c r="G73" s="153">
        <f t="shared" si="57"/>
        <v>0</v>
      </c>
      <c r="H73" s="153">
        <f t="shared" si="57"/>
        <v>0</v>
      </c>
      <c r="I73" s="153">
        <f t="shared" si="57"/>
        <v>0</v>
      </c>
      <c r="J73" s="153">
        <f t="shared" si="57"/>
        <v>0</v>
      </c>
      <c r="K73" s="153">
        <f t="shared" si="57"/>
        <v>0</v>
      </c>
      <c r="L73" s="153">
        <f t="shared" si="57"/>
        <v>4.52759</v>
      </c>
      <c r="M73" s="153">
        <f t="shared" si="57"/>
        <v>30.88980011138111</v>
      </c>
      <c r="N73" s="153">
        <f t="shared" si="57"/>
        <v>31.131011951851651</v>
      </c>
      <c r="O73" s="153">
        <f t="shared" si="57"/>
        <v>31.265287175054464</v>
      </c>
      <c r="P73" s="153">
        <f t="shared" si="57"/>
        <v>31.443310549598142</v>
      </c>
      <c r="Q73" s="153">
        <f t="shared" si="57"/>
        <v>31.678866871053664</v>
      </c>
      <c r="R73" s="153">
        <f t="shared" si="57"/>
        <v>31.802720962106886</v>
      </c>
      <c r="S73" s="153">
        <f t="shared" si="57"/>
        <v>31.966747672711822</v>
      </c>
      <c r="T73" s="153">
        <f t="shared" si="57"/>
        <v>32.198121880244827</v>
      </c>
      <c r="U73" s="153">
        <f t="shared" si="57"/>
        <v>32.364388489659667</v>
      </c>
      <c r="V73" s="153">
        <f t="shared" si="57"/>
        <v>32.519092433643394</v>
      </c>
      <c r="W73" s="153">
        <f t="shared" si="57"/>
        <v>32.731998672773244</v>
      </c>
      <c r="X73" s="153">
        <f t="shared" si="57"/>
        <v>32.917442195674219</v>
      </c>
      <c r="Y73" s="153">
        <f t="shared" si="57"/>
        <v>33.092378019177787</v>
      </c>
      <c r="Z73" s="153">
        <f t="shared" si="57"/>
        <v>33.291431188481262</v>
      </c>
      <c r="AA73" s="153">
        <f t="shared" si="57"/>
        <v>33.450966777308274</v>
      </c>
      <c r="AB73" s="153">
        <f t="shared" si="57"/>
        <v>33.67832988807001</v>
      </c>
      <c r="AC73" s="153">
        <f t="shared" si="57"/>
        <v>33.868185652027414</v>
      </c>
      <c r="AD73" s="153">
        <f t="shared" si="57"/>
        <v>34.031739229454367</v>
      </c>
      <c r="AE73" s="153">
        <f t="shared" si="57"/>
        <v>34.25685580980165</v>
      </c>
      <c r="AF73" s="153">
        <f t="shared" si="57"/>
        <v>34.434250611861962</v>
      </c>
      <c r="AG73" s="153">
        <f t="shared" si="57"/>
        <v>34.626378883935836</v>
      </c>
      <c r="AH73" s="153">
        <f t="shared" si="57"/>
        <v>34.833415903998436</v>
      </c>
      <c r="AI73" s="153">
        <f t="shared" ref="AI73:BN73" si="58">(AI12+AI22+AI31)/1000</f>
        <v>35.025816979867365</v>
      </c>
      <c r="AJ73" s="153">
        <f t="shared" si="58"/>
        <v>35.225307449371414</v>
      </c>
      <c r="AK73" s="153">
        <f t="shared" si="58"/>
        <v>30.203572680520228</v>
      </c>
      <c r="AL73" s="153">
        <f t="shared" si="58"/>
        <v>30.374348071674952</v>
      </c>
      <c r="AM73" s="153">
        <f t="shared" si="58"/>
        <v>30.546089051719854</v>
      </c>
      <c r="AN73" s="153">
        <f t="shared" si="58"/>
        <v>30.718801080234908</v>
      </c>
      <c r="AO73" s="153">
        <f t="shared" si="58"/>
        <v>30.89248964766934</v>
      </c>
      <c r="AP73" s="153">
        <f t="shared" si="58"/>
        <v>31.067160275516173</v>
      </c>
      <c r="AQ73" s="153">
        <f t="shared" si="58"/>
        <v>31.242818516487763</v>
      </c>
      <c r="AR73" s="153">
        <f t="shared" si="58"/>
        <v>31.4194699546923</v>
      </c>
      <c r="AS73" s="153">
        <f t="shared" si="58"/>
        <v>31.597120205811343</v>
      </c>
      <c r="AT73" s="153">
        <f t="shared" si="58"/>
        <v>31.775774917278323</v>
      </c>
      <c r="AU73" s="153">
        <f t="shared" si="58"/>
        <v>31.955439768458081</v>
      </c>
      <c r="AV73" s="153">
        <f t="shared" si="58"/>
        <v>32.136120470827414</v>
      </c>
      <c r="AW73" s="153">
        <f t="shared" si="58"/>
        <v>0</v>
      </c>
      <c r="AX73" s="153">
        <f t="shared" si="58"/>
        <v>0</v>
      </c>
      <c r="AY73" s="153">
        <f t="shared" si="58"/>
        <v>0</v>
      </c>
      <c r="AZ73" s="153">
        <f t="shared" si="58"/>
        <v>0</v>
      </c>
      <c r="BA73" s="153">
        <f t="shared" si="58"/>
        <v>0</v>
      </c>
      <c r="BB73" s="153">
        <f t="shared" si="58"/>
        <v>0</v>
      </c>
      <c r="BC73" s="153">
        <f t="shared" si="58"/>
        <v>0</v>
      </c>
      <c r="BD73" s="153">
        <f t="shared" si="58"/>
        <v>0</v>
      </c>
      <c r="BE73" s="153">
        <f t="shared" si="58"/>
        <v>0</v>
      </c>
      <c r="BF73" s="153">
        <f t="shared" si="58"/>
        <v>0</v>
      </c>
      <c r="BG73" s="153">
        <f t="shared" si="58"/>
        <v>0</v>
      </c>
      <c r="BH73" s="153">
        <f t="shared" si="58"/>
        <v>0</v>
      </c>
      <c r="BI73" s="153">
        <f t="shared" si="58"/>
        <v>0</v>
      </c>
      <c r="BJ73" s="153">
        <f t="shared" si="58"/>
        <v>0</v>
      </c>
      <c r="BK73" s="153">
        <f t="shared" si="58"/>
        <v>26.38097011138111</v>
      </c>
      <c r="BL73" s="153">
        <f t="shared" si="58"/>
        <v>26.530131951851651</v>
      </c>
      <c r="BM73" s="153">
        <f t="shared" si="58"/>
        <v>26.680137175054465</v>
      </c>
      <c r="BN73" s="153">
        <f t="shared" si="58"/>
        <v>26.830990549598141</v>
      </c>
      <c r="BO73" s="153">
        <f t="shared" ref="BO73:CT73" si="59">(BO12+BO22+BO31)/1000</f>
        <v>26.982696871053665</v>
      </c>
      <c r="BP73" s="153">
        <f t="shared" si="59"/>
        <v>27.135260962106887</v>
      </c>
      <c r="BQ73" s="153">
        <f t="shared" si="59"/>
        <v>27.28868767271182</v>
      </c>
      <c r="BR73" s="153">
        <f t="shared" si="59"/>
        <v>27.44298188024483</v>
      </c>
      <c r="BS73" s="153">
        <f t="shared" si="59"/>
        <v>27.598148489659664</v>
      </c>
      <c r="BT73" s="153">
        <f t="shared" si="59"/>
        <v>27.754192433643396</v>
      </c>
      <c r="BU73" s="153">
        <f t="shared" si="59"/>
        <v>27.911118672773242</v>
      </c>
      <c r="BV73" s="153">
        <f t="shared" si="59"/>
        <v>28.068932195674222</v>
      </c>
      <c r="BW73" s="153">
        <f t="shared" si="59"/>
        <v>28.227638019177785</v>
      </c>
      <c r="BX73" s="153">
        <f t="shared" si="59"/>
        <v>28.387241188481266</v>
      </c>
      <c r="BY73" s="153">
        <f t="shared" si="59"/>
        <v>28.547746777308276</v>
      </c>
      <c r="BZ73" s="153">
        <f t="shared" si="59"/>
        <v>28.709159888070008</v>
      </c>
      <c r="CA73" s="153">
        <f t="shared" si="59"/>
        <v>28.87148565202742</v>
      </c>
      <c r="CB73" s="153">
        <f t="shared" si="59"/>
        <v>29.034729229454367</v>
      </c>
      <c r="CC73" s="153">
        <f t="shared" si="59"/>
        <v>29.198895809801648</v>
      </c>
      <c r="CD73" s="153">
        <f t="shared" si="59"/>
        <v>29.363990611861965</v>
      </c>
      <c r="CE73" s="153">
        <f t="shared" si="59"/>
        <v>29.530018883935838</v>
      </c>
      <c r="CF73" s="153">
        <f t="shared" si="59"/>
        <v>29.696985903998431</v>
      </c>
      <c r="CG73" s="153">
        <f t="shared" si="59"/>
        <v>29.864896979867364</v>
      </c>
      <c r="CH73" s="153">
        <f t="shared" si="59"/>
        <v>30.033757449371418</v>
      </c>
      <c r="CI73" s="153">
        <f t="shared" si="59"/>
        <v>30.203572680520228</v>
      </c>
      <c r="CJ73" s="153">
        <f t="shared" si="59"/>
        <v>30.374348071674952</v>
      </c>
      <c r="CK73" s="153">
        <f t="shared" si="59"/>
        <v>30.546089051719854</v>
      </c>
      <c r="CL73" s="153">
        <f t="shared" si="59"/>
        <v>30.718801080234908</v>
      </c>
      <c r="CM73" s="153">
        <f t="shared" si="59"/>
        <v>30.89248964766934</v>
      </c>
      <c r="CN73" s="153">
        <f t="shared" si="59"/>
        <v>31.067160275516173</v>
      </c>
      <c r="CO73" s="153">
        <f t="shared" si="59"/>
        <v>31.242818516487763</v>
      </c>
      <c r="CP73" s="153">
        <f t="shared" si="59"/>
        <v>31.4194699546923</v>
      </c>
      <c r="CQ73" s="153">
        <f t="shared" si="59"/>
        <v>31.597120205811343</v>
      </c>
      <c r="CR73" s="153">
        <f t="shared" si="59"/>
        <v>31.775774917278323</v>
      </c>
      <c r="CS73" s="153">
        <f t="shared" si="59"/>
        <v>31.955439768458081</v>
      </c>
      <c r="CT73" s="153">
        <f t="shared" si="59"/>
        <v>32.136120470827414</v>
      </c>
      <c r="CU73" s="153">
        <f t="shared" ref="CU73:DF73" si="60">(CU12+CU22+CU31)/1000</f>
        <v>0</v>
      </c>
      <c r="CV73" s="153">
        <f t="shared" si="60"/>
        <v>0</v>
      </c>
      <c r="CW73" s="153">
        <f t="shared" si="60"/>
        <v>0</v>
      </c>
      <c r="CX73" s="153">
        <f t="shared" si="60"/>
        <v>0</v>
      </c>
      <c r="CY73" s="153">
        <f t="shared" si="60"/>
        <v>0</v>
      </c>
      <c r="CZ73" s="153">
        <f t="shared" si="60"/>
        <v>0</v>
      </c>
      <c r="DA73" s="153">
        <f t="shared" si="60"/>
        <v>0</v>
      </c>
      <c r="DB73" s="153">
        <f t="shared" si="60"/>
        <v>0</v>
      </c>
      <c r="DC73" s="153">
        <f t="shared" si="60"/>
        <v>0</v>
      </c>
      <c r="DD73" s="153">
        <f t="shared" si="60"/>
        <v>0</v>
      </c>
      <c r="DE73" s="153">
        <f t="shared" si="60"/>
        <v>0</v>
      </c>
      <c r="DF73" s="153">
        <f t="shared" si="60"/>
        <v>0</v>
      </c>
      <c r="DG73" s="154">
        <f t="shared" si="52"/>
        <v>2221.1806399999991</v>
      </c>
    </row>
    <row r="74" spans="1:111" ht="13.8" x14ac:dyDescent="0.3">
      <c r="A74" s="16" t="s">
        <v>333</v>
      </c>
      <c r="C74" s="153">
        <f t="shared" ref="C74:AH74" si="61">(C8+C38+C47+C56+C65)/1000</f>
        <v>0</v>
      </c>
      <c r="D74" s="153">
        <f t="shared" si="61"/>
        <v>0</v>
      </c>
      <c r="E74" s="153">
        <f t="shared" si="61"/>
        <v>0</v>
      </c>
      <c r="F74" s="153">
        <f t="shared" si="61"/>
        <v>0</v>
      </c>
      <c r="G74" s="153">
        <f t="shared" si="61"/>
        <v>0</v>
      </c>
      <c r="H74" s="153">
        <f t="shared" si="61"/>
        <v>0</v>
      </c>
      <c r="I74" s="153">
        <f t="shared" si="61"/>
        <v>0</v>
      </c>
      <c r="J74" s="153">
        <f t="shared" si="61"/>
        <v>0</v>
      </c>
      <c r="K74" s="153">
        <f t="shared" si="61"/>
        <v>0</v>
      </c>
      <c r="L74" s="153">
        <f t="shared" si="61"/>
        <v>46.062158503102403</v>
      </c>
      <c r="M74" s="153">
        <f t="shared" si="61"/>
        <v>50.777243910364881</v>
      </c>
      <c r="N74" s="153">
        <f t="shared" si="61"/>
        <v>49.572310434274421</v>
      </c>
      <c r="O74" s="153">
        <f t="shared" si="61"/>
        <v>56.500577340683286</v>
      </c>
      <c r="P74" s="153">
        <f t="shared" si="61"/>
        <v>55.073476853252771</v>
      </c>
      <c r="Q74" s="153">
        <f t="shared" si="61"/>
        <v>53.636321776336885</v>
      </c>
      <c r="R74" s="153">
        <f t="shared" si="61"/>
        <v>52.189040369207241</v>
      </c>
      <c r="S74" s="153">
        <f t="shared" si="61"/>
        <v>50.731560373831179</v>
      </c>
      <c r="T74" s="153">
        <f t="shared" si="61"/>
        <v>49.263809011109466</v>
      </c>
      <c r="U74" s="153">
        <f t="shared" si="61"/>
        <v>47.785712977086284</v>
      </c>
      <c r="V74" s="153">
        <f t="shared" si="61"/>
        <v>46.297198439131286</v>
      </c>
      <c r="W74" s="153">
        <f t="shared" si="61"/>
        <v>44.798191032094621</v>
      </c>
      <c r="X74" s="153">
        <f t="shared" si="61"/>
        <v>43.28861585443223</v>
      </c>
      <c r="Y74" s="153">
        <f t="shared" si="61"/>
        <v>41.768397464304257</v>
      </c>
      <c r="Z74" s="153">
        <f t="shared" si="61"/>
        <v>40.237459875644007</v>
      </c>
      <c r="AA74" s="153">
        <f t="shared" si="61"/>
        <v>41.918589425019299</v>
      </c>
      <c r="AB74" s="153">
        <f t="shared" si="61"/>
        <v>40.2850097138192</v>
      </c>
      <c r="AC74" s="153">
        <f t="shared" si="61"/>
        <v>38.640021704444436</v>
      </c>
      <c r="AD74" s="153">
        <f t="shared" si="61"/>
        <v>36.983544605361146</v>
      </c>
      <c r="AE74" s="153">
        <f t="shared" si="61"/>
        <v>35.315497046081589</v>
      </c>
      <c r="AF74" s="153">
        <f t="shared" si="61"/>
        <v>33.635797072974874</v>
      </c>
      <c r="AG74" s="153">
        <f t="shared" si="61"/>
        <v>31.944362145047155</v>
      </c>
      <c r="AH74" s="153">
        <f t="shared" si="61"/>
        <v>30.241109129690123</v>
      </c>
      <c r="AI74" s="153">
        <f t="shared" ref="AI74:BN74" si="62">(AI8+AI38+AI47+AI56+AI65)/1000</f>
        <v>28.52595429839964</v>
      </c>
      <c r="AJ74" s="153">
        <f t="shared" si="62"/>
        <v>26.798813322462355</v>
      </c>
      <c r="AK74" s="153">
        <f t="shared" si="62"/>
        <v>25.059601268611647</v>
      </c>
      <c r="AL74" s="153">
        <f t="shared" si="62"/>
        <v>23.308232594650619</v>
      </c>
      <c r="AM74" s="153">
        <f t="shared" si="62"/>
        <v>21.544621145044189</v>
      </c>
      <c r="AN74" s="153">
        <f t="shared" si="62"/>
        <v>19.768680146479273</v>
      </c>
      <c r="AO74" s="153">
        <f t="shared" si="62"/>
        <v>17.980322203390909</v>
      </c>
      <c r="AP74" s="153">
        <f t="shared" si="62"/>
        <v>16.179459293458102</v>
      </c>
      <c r="AQ74" s="153">
        <f t="shared" si="62"/>
        <v>14.366002763064504</v>
      </c>
      <c r="AR74" s="153">
        <f t="shared" si="62"/>
        <v>12.539863322727737</v>
      </c>
      <c r="AS74" s="153">
        <f t="shared" si="62"/>
        <v>10.700951042494253</v>
      </c>
      <c r="AT74" s="153">
        <f t="shared" si="62"/>
        <v>8.8491753473011308</v>
      </c>
      <c r="AU74" s="153">
        <f t="shared" si="62"/>
        <v>6.9844450123037856</v>
      </c>
      <c r="AV74" s="153">
        <f t="shared" si="62"/>
        <v>5.1066681581697386</v>
      </c>
      <c r="AW74" s="153">
        <f t="shared" si="62"/>
        <v>3.2157522463378845</v>
      </c>
      <c r="AX74" s="153">
        <f t="shared" si="62"/>
        <v>1.4891128951063528</v>
      </c>
      <c r="AY74" s="153">
        <f t="shared" si="62"/>
        <v>2.2785648393408242</v>
      </c>
      <c r="AZ74" s="153">
        <f t="shared" si="62"/>
        <v>2.1574464192910137</v>
      </c>
      <c r="BA74" s="153">
        <f t="shared" si="62"/>
        <v>2.0356431780851496</v>
      </c>
      <c r="BB74" s="153">
        <f t="shared" si="62"/>
        <v>1.9131512436448492</v>
      </c>
      <c r="BC74" s="153">
        <f t="shared" si="62"/>
        <v>1.7899667219984394</v>
      </c>
      <c r="BD74" s="153">
        <f t="shared" si="62"/>
        <v>1.6660856971571629</v>
      </c>
      <c r="BE74" s="153">
        <f t="shared" si="62"/>
        <v>1.5415042309906932</v>
      </c>
      <c r="BF74" s="153">
        <f t="shared" si="62"/>
        <v>1.416218363101942</v>
      </c>
      <c r="BG74" s="153">
        <f t="shared" si="62"/>
        <v>1.2902241107011607</v>
      </c>
      <c r="BH74" s="153">
        <f t="shared" si="62"/>
        <v>1.1635174684793279</v>
      </c>
      <c r="BI74" s="153">
        <f t="shared" si="62"/>
        <v>1.0360944084808228</v>
      </c>
      <c r="BJ74" s="153">
        <f t="shared" si="62"/>
        <v>0.90795087997537782</v>
      </c>
      <c r="BK74" s="153">
        <f t="shared" si="62"/>
        <v>0.77908280932930674</v>
      </c>
      <c r="BL74" s="153">
        <f t="shared" si="62"/>
        <v>0.74868220565245347</v>
      </c>
      <c r="BM74" s="153">
        <f t="shared" si="62"/>
        <v>0.71810971254254641</v>
      </c>
      <c r="BN74" s="153">
        <f t="shared" si="62"/>
        <v>0.68736435811174035</v>
      </c>
      <c r="BO74" s="153">
        <f t="shared" ref="BO74:CT74" si="63">(BO8+BO38+BO47+BO56+BO65)/1000</f>
        <v>0.65644516497699534</v>
      </c>
      <c r="BP74" s="153">
        <f t="shared" si="63"/>
        <v>0.62535115022900511</v>
      </c>
      <c r="BQ74" s="153">
        <f t="shared" si="63"/>
        <v>0.5940813254009516</v>
      </c>
      <c r="BR74" s="153">
        <f t="shared" si="63"/>
        <v>0.56263469643708175</v>
      </c>
      <c r="BS74" s="153">
        <f t="shared" si="63"/>
        <v>0.53101026366110626</v>
      </c>
      <c r="BT74" s="153">
        <f t="shared" si="63"/>
        <v>0.49920702174442128</v>
      </c>
      <c r="BU74" s="153">
        <f t="shared" si="63"/>
        <v>0.46722395967414848</v>
      </c>
      <c r="BV74" s="153">
        <f t="shared" si="63"/>
        <v>0.4350600607209959</v>
      </c>
      <c r="BW74" s="153">
        <f t="shared" si="63"/>
        <v>0.40271430240693645</v>
      </c>
      <c r="BX74" s="153">
        <f t="shared" si="63"/>
        <v>0.37018565647270346</v>
      </c>
      <c r="BY74" s="153">
        <f t="shared" si="63"/>
        <v>0.33747308884510285</v>
      </c>
      <c r="BZ74" s="153">
        <f t="shared" si="63"/>
        <v>0.30457555960414046</v>
      </c>
      <c r="CA74" s="153">
        <f t="shared" si="63"/>
        <v>0.27149202294996327</v>
      </c>
      <c r="CB74" s="153">
        <f t="shared" si="63"/>
        <v>0.23822142716961375</v>
      </c>
      <c r="CC74" s="153">
        <f t="shared" si="63"/>
        <v>0.20476271460359657</v>
      </c>
      <c r="CD74" s="153">
        <f t="shared" si="63"/>
        <v>0.17111482161225575</v>
      </c>
      <c r="CE74" s="153">
        <f t="shared" si="63"/>
        <v>0.13727667854196202</v>
      </c>
      <c r="CF74" s="153">
        <f t="shared" si="63"/>
        <v>0.103247209691109</v>
      </c>
      <c r="CG74" s="153">
        <f t="shared" si="63"/>
        <v>6.9025333275917103E-2</v>
      </c>
      <c r="CH74" s="153">
        <f t="shared" si="63"/>
        <v>3.4609961396043894E-2</v>
      </c>
      <c r="CI74" s="153">
        <f t="shared" si="63"/>
        <v>0</v>
      </c>
      <c r="CJ74" s="153">
        <f t="shared" si="63"/>
        <v>0</v>
      </c>
      <c r="CK74" s="153">
        <f t="shared" si="63"/>
        <v>0</v>
      </c>
      <c r="CL74" s="153">
        <f t="shared" si="63"/>
        <v>0</v>
      </c>
      <c r="CM74" s="153">
        <f t="shared" si="63"/>
        <v>0</v>
      </c>
      <c r="CN74" s="153">
        <f t="shared" si="63"/>
        <v>0</v>
      </c>
      <c r="CO74" s="153">
        <f t="shared" si="63"/>
        <v>0</v>
      </c>
      <c r="CP74" s="153">
        <f t="shared" si="63"/>
        <v>0</v>
      </c>
      <c r="CQ74" s="153">
        <f t="shared" si="63"/>
        <v>0</v>
      </c>
      <c r="CR74" s="153">
        <f t="shared" si="63"/>
        <v>0</v>
      </c>
      <c r="CS74" s="153">
        <f t="shared" si="63"/>
        <v>0</v>
      </c>
      <c r="CT74" s="153">
        <f t="shared" si="63"/>
        <v>0</v>
      </c>
      <c r="CU74" s="153">
        <f t="shared" ref="CU74:DF74" si="64">(CU8+CU38+CU47+CU56+CU65)/1000</f>
        <v>0</v>
      </c>
      <c r="CV74" s="153">
        <f t="shared" si="64"/>
        <v>0</v>
      </c>
      <c r="CW74" s="153">
        <f t="shared" si="64"/>
        <v>0</v>
      </c>
      <c r="CX74" s="153">
        <f t="shared" si="64"/>
        <v>0</v>
      </c>
      <c r="CY74" s="153">
        <f t="shared" si="64"/>
        <v>0</v>
      </c>
      <c r="CZ74" s="153">
        <f t="shared" si="64"/>
        <v>0</v>
      </c>
      <c r="DA74" s="153">
        <f t="shared" si="64"/>
        <v>0</v>
      </c>
      <c r="DB74" s="153">
        <f t="shared" si="64"/>
        <v>0</v>
      </c>
      <c r="DC74" s="153">
        <f t="shared" si="64"/>
        <v>0</v>
      </c>
      <c r="DD74" s="153">
        <f t="shared" si="64"/>
        <v>0</v>
      </c>
      <c r="DE74" s="153">
        <f t="shared" si="64"/>
        <v>0</v>
      </c>
      <c r="DF74" s="153">
        <f t="shared" si="64"/>
        <v>0</v>
      </c>
      <c r="DG74" s="154">
        <f t="shared" si="52"/>
        <v>1288.5089791835935</v>
      </c>
    </row>
    <row r="75" spans="1:111" ht="13.8" x14ac:dyDescent="0.3">
      <c r="A75" s="16" t="s">
        <v>334</v>
      </c>
      <c r="C75" s="153">
        <f t="shared" ref="C75:AH75" si="65">(C13+C20+C29)/1000</f>
        <v>0</v>
      </c>
      <c r="D75" s="153">
        <f t="shared" si="65"/>
        <v>0</v>
      </c>
      <c r="E75" s="153">
        <f t="shared" si="65"/>
        <v>0</v>
      </c>
      <c r="F75" s="153">
        <f t="shared" si="65"/>
        <v>0</v>
      </c>
      <c r="G75" s="153">
        <f t="shared" si="65"/>
        <v>0</v>
      </c>
      <c r="H75" s="153">
        <f t="shared" si="65"/>
        <v>0</v>
      </c>
      <c r="I75" s="153">
        <f t="shared" si="65"/>
        <v>0</v>
      </c>
      <c r="J75" s="153">
        <f t="shared" si="65"/>
        <v>0</v>
      </c>
      <c r="K75" s="153">
        <f t="shared" si="65"/>
        <v>0</v>
      </c>
      <c r="L75" s="153">
        <f t="shared" si="65"/>
        <v>0.69465999999999994</v>
      </c>
      <c r="M75" s="153">
        <f t="shared" si="65"/>
        <v>6.6502726567755381</v>
      </c>
      <c r="N75" s="153">
        <f t="shared" si="65"/>
        <v>6.4090608163049954</v>
      </c>
      <c r="O75" s="153">
        <f t="shared" si="65"/>
        <v>6.2747855931021803</v>
      </c>
      <c r="P75" s="153">
        <f t="shared" si="65"/>
        <v>6.0967622185585064</v>
      </c>
      <c r="Q75" s="153">
        <f t="shared" si="65"/>
        <v>5.8612058971029812</v>
      </c>
      <c r="R75" s="153">
        <f t="shared" si="65"/>
        <v>5.7373518060497579</v>
      </c>
      <c r="S75" s="153">
        <f t="shared" si="65"/>
        <v>5.5733250954448232</v>
      </c>
      <c r="T75" s="153">
        <f t="shared" si="65"/>
        <v>5.3419508879118167</v>
      </c>
      <c r="U75" s="153">
        <f t="shared" si="65"/>
        <v>5.1756842784969841</v>
      </c>
      <c r="V75" s="153">
        <f t="shared" si="65"/>
        <v>5.0209803345132498</v>
      </c>
      <c r="W75" s="153">
        <f t="shared" si="65"/>
        <v>4.8080740953834056</v>
      </c>
      <c r="X75" s="153">
        <f t="shared" si="65"/>
        <v>4.6226305724824233</v>
      </c>
      <c r="Y75" s="153">
        <f t="shared" si="65"/>
        <v>4.4476947489788614</v>
      </c>
      <c r="Z75" s="153">
        <f t="shared" si="65"/>
        <v>4.2486415796753816</v>
      </c>
      <c r="AA75" s="153">
        <f t="shared" si="65"/>
        <v>4.0891059908483696</v>
      </c>
      <c r="AB75" s="153">
        <f t="shared" si="65"/>
        <v>3.8617428800866378</v>
      </c>
      <c r="AC75" s="153">
        <f t="shared" si="65"/>
        <v>3.6718871161292266</v>
      </c>
      <c r="AD75" s="153">
        <f t="shared" si="65"/>
        <v>3.5083335387022778</v>
      </c>
      <c r="AE75" s="153">
        <f t="shared" si="65"/>
        <v>3.2832169583549975</v>
      </c>
      <c r="AF75" s="153">
        <f t="shared" si="65"/>
        <v>3.1058221562946802</v>
      </c>
      <c r="AG75" s="153">
        <f t="shared" si="65"/>
        <v>2.9136938842208093</v>
      </c>
      <c r="AH75" s="153">
        <f t="shared" si="65"/>
        <v>2.7066568641582132</v>
      </c>
      <c r="AI75" s="153">
        <f t="shared" ref="AI75:BN75" si="66">(AI13+AI20+AI29)/1000</f>
        <v>2.5142557882892804</v>
      </c>
      <c r="AJ75" s="153">
        <f t="shared" si="66"/>
        <v>2.3148253187852301</v>
      </c>
      <c r="AK75" s="153">
        <f t="shared" si="66"/>
        <v>2.1142500876364179</v>
      </c>
      <c r="AL75" s="153">
        <f t="shared" si="66"/>
        <v>1.9434746964816942</v>
      </c>
      <c r="AM75" s="153">
        <f t="shared" si="66"/>
        <v>1.7717337164367915</v>
      </c>
      <c r="AN75" s="153">
        <f t="shared" si="66"/>
        <v>1.5990216879217387</v>
      </c>
      <c r="AO75" s="153">
        <f t="shared" si="66"/>
        <v>1.4253331204873083</v>
      </c>
      <c r="AP75" s="153">
        <f t="shared" si="66"/>
        <v>1.2506624926404737</v>
      </c>
      <c r="AQ75" s="153">
        <f t="shared" si="66"/>
        <v>1.0750042516688836</v>
      </c>
      <c r="AR75" s="153">
        <f t="shared" si="66"/>
        <v>0.89835281346434415</v>
      </c>
      <c r="AS75" s="153">
        <f t="shared" si="66"/>
        <v>0.72070256234530228</v>
      </c>
      <c r="AT75" s="153">
        <f t="shared" si="66"/>
        <v>0.54204785087832408</v>
      </c>
      <c r="AU75" s="153">
        <f t="shared" si="66"/>
        <v>0.36238299969856663</v>
      </c>
      <c r="AV75" s="153">
        <f t="shared" si="66"/>
        <v>0.18170229732923229</v>
      </c>
      <c r="AW75" s="153">
        <f t="shared" si="66"/>
        <v>0</v>
      </c>
      <c r="AX75" s="153">
        <f t="shared" si="66"/>
        <v>0</v>
      </c>
      <c r="AY75" s="153">
        <f t="shared" si="66"/>
        <v>0</v>
      </c>
      <c r="AZ75" s="153">
        <f t="shared" si="66"/>
        <v>0</v>
      </c>
      <c r="BA75" s="153">
        <f t="shared" si="66"/>
        <v>0</v>
      </c>
      <c r="BB75" s="153">
        <f t="shared" si="66"/>
        <v>0</v>
      </c>
      <c r="BC75" s="153">
        <f t="shared" si="66"/>
        <v>0</v>
      </c>
      <c r="BD75" s="153">
        <f t="shared" si="66"/>
        <v>0</v>
      </c>
      <c r="BE75" s="153">
        <f t="shared" si="66"/>
        <v>0</v>
      </c>
      <c r="BF75" s="153">
        <f t="shared" si="66"/>
        <v>0</v>
      </c>
      <c r="BG75" s="153">
        <f t="shared" si="66"/>
        <v>0</v>
      </c>
      <c r="BH75" s="153">
        <f t="shared" si="66"/>
        <v>0</v>
      </c>
      <c r="BI75" s="153">
        <f t="shared" si="66"/>
        <v>0</v>
      </c>
      <c r="BJ75" s="153">
        <f t="shared" si="66"/>
        <v>0</v>
      </c>
      <c r="BK75" s="153">
        <f t="shared" si="66"/>
        <v>5.936852656775538</v>
      </c>
      <c r="BL75" s="153">
        <f t="shared" si="66"/>
        <v>5.7876908163049956</v>
      </c>
      <c r="BM75" s="153">
        <f t="shared" si="66"/>
        <v>5.6376855931021801</v>
      </c>
      <c r="BN75" s="153">
        <f t="shared" si="66"/>
        <v>5.4868322185585061</v>
      </c>
      <c r="BO75" s="153">
        <f t="shared" ref="BO75:CT75" si="67">(BO13+BO20+BO29)/1000</f>
        <v>5.3351258971029809</v>
      </c>
      <c r="BP75" s="153">
        <f t="shared" si="67"/>
        <v>5.1825618060497582</v>
      </c>
      <c r="BQ75" s="153">
        <f t="shared" si="67"/>
        <v>5.0291350954448237</v>
      </c>
      <c r="BR75" s="153">
        <f t="shared" si="67"/>
        <v>4.8748408879118168</v>
      </c>
      <c r="BS75" s="153">
        <f t="shared" si="67"/>
        <v>4.7196742784969841</v>
      </c>
      <c r="BT75" s="153">
        <f t="shared" si="67"/>
        <v>4.563630334513249</v>
      </c>
      <c r="BU75" s="153">
        <f t="shared" si="67"/>
        <v>4.4067040953834056</v>
      </c>
      <c r="BV75" s="153">
        <f t="shared" si="67"/>
        <v>4.2488905724824235</v>
      </c>
      <c r="BW75" s="153">
        <f t="shared" si="67"/>
        <v>4.0901847489788619</v>
      </c>
      <c r="BX75" s="153">
        <f t="shared" si="67"/>
        <v>3.9305815796753816</v>
      </c>
      <c r="BY75" s="153">
        <f t="shared" si="67"/>
        <v>3.7700759908483694</v>
      </c>
      <c r="BZ75" s="153">
        <f t="shared" si="67"/>
        <v>3.608662880086638</v>
      </c>
      <c r="CA75" s="153">
        <f t="shared" si="67"/>
        <v>3.4463371161292264</v>
      </c>
      <c r="CB75" s="153">
        <f t="shared" si="67"/>
        <v>3.2830935387022784</v>
      </c>
      <c r="CC75" s="153">
        <f t="shared" si="67"/>
        <v>3.1189269583549977</v>
      </c>
      <c r="CD75" s="153">
        <f t="shared" si="67"/>
        <v>2.9538321562946801</v>
      </c>
      <c r="CE75" s="153">
        <f t="shared" si="67"/>
        <v>2.7878038842208093</v>
      </c>
      <c r="CF75" s="153">
        <f t="shared" si="67"/>
        <v>2.6208368641582127</v>
      </c>
      <c r="CG75" s="153">
        <f t="shared" si="67"/>
        <v>2.4529257882892805</v>
      </c>
      <c r="CH75" s="153">
        <f t="shared" si="67"/>
        <v>2.2840653187852298</v>
      </c>
      <c r="CI75" s="153">
        <f t="shared" si="67"/>
        <v>2.1142500876364179</v>
      </c>
      <c r="CJ75" s="153">
        <f t="shared" si="67"/>
        <v>1.9434746964816942</v>
      </c>
      <c r="CK75" s="153">
        <f t="shared" si="67"/>
        <v>1.7717337164367915</v>
      </c>
      <c r="CL75" s="153">
        <f t="shared" si="67"/>
        <v>1.5990216879217387</v>
      </c>
      <c r="CM75" s="153">
        <f t="shared" si="67"/>
        <v>1.4253331204873083</v>
      </c>
      <c r="CN75" s="153">
        <f t="shared" si="67"/>
        <v>1.2506624926404737</v>
      </c>
      <c r="CO75" s="153">
        <f t="shared" si="67"/>
        <v>1.0750042516688836</v>
      </c>
      <c r="CP75" s="153">
        <f t="shared" si="67"/>
        <v>0.89835281346434415</v>
      </c>
      <c r="CQ75" s="153">
        <f t="shared" si="67"/>
        <v>0.72070256234530228</v>
      </c>
      <c r="CR75" s="153">
        <f t="shared" si="67"/>
        <v>0.54204785087832408</v>
      </c>
      <c r="CS75" s="153">
        <f t="shared" si="67"/>
        <v>0.36238299969856663</v>
      </c>
      <c r="CT75" s="153">
        <f t="shared" si="67"/>
        <v>0.18170229732923229</v>
      </c>
      <c r="CU75" s="153">
        <f t="shared" ref="CU75:DF75" si="68">(CU13+CU20+CU29)/1000</f>
        <v>0</v>
      </c>
      <c r="CV75" s="153">
        <f t="shared" si="68"/>
        <v>0</v>
      </c>
      <c r="CW75" s="153">
        <f t="shared" si="68"/>
        <v>0</v>
      </c>
      <c r="CX75" s="153">
        <f t="shared" si="68"/>
        <v>0</v>
      </c>
      <c r="CY75" s="153">
        <f t="shared" si="68"/>
        <v>0</v>
      </c>
      <c r="CZ75" s="153">
        <f t="shared" si="68"/>
        <v>0</v>
      </c>
      <c r="DA75" s="153">
        <f t="shared" si="68"/>
        <v>0</v>
      </c>
      <c r="DB75" s="153">
        <f t="shared" si="68"/>
        <v>0</v>
      </c>
      <c r="DC75" s="153">
        <f t="shared" si="68"/>
        <v>0</v>
      </c>
      <c r="DD75" s="153">
        <f t="shared" si="68"/>
        <v>0</v>
      </c>
      <c r="DE75" s="153">
        <f t="shared" si="68"/>
        <v>0</v>
      </c>
      <c r="DF75" s="153">
        <f t="shared" si="68"/>
        <v>0</v>
      </c>
      <c r="DG75" s="154">
        <f t="shared" si="52"/>
        <v>236.25890930727942</v>
      </c>
    </row>
    <row r="76" spans="1:111" ht="13.8" x14ac:dyDescent="0.3">
      <c r="A76" s="16" t="s">
        <v>335</v>
      </c>
      <c r="C76" s="153">
        <f t="shared" ref="C76:AH76" si="69">(C9+C14)/1000</f>
        <v>0</v>
      </c>
      <c r="D76" s="153">
        <f t="shared" si="69"/>
        <v>0</v>
      </c>
      <c r="E76" s="153">
        <f t="shared" si="69"/>
        <v>0</v>
      </c>
      <c r="F76" s="153">
        <f t="shared" si="69"/>
        <v>0</v>
      </c>
      <c r="G76" s="153">
        <f t="shared" si="69"/>
        <v>0</v>
      </c>
      <c r="H76" s="153">
        <f t="shared" si="69"/>
        <v>0</v>
      </c>
      <c r="I76" s="153">
        <f t="shared" si="69"/>
        <v>0</v>
      </c>
      <c r="J76" s="153">
        <f t="shared" si="69"/>
        <v>0</v>
      </c>
      <c r="K76" s="153">
        <f t="shared" si="69"/>
        <v>0</v>
      </c>
      <c r="L76" s="153">
        <f t="shared" si="69"/>
        <v>0.94001000000000001</v>
      </c>
      <c r="M76" s="153">
        <f t="shared" si="69"/>
        <v>0.94001000000000001</v>
      </c>
      <c r="N76" s="153">
        <f t="shared" si="69"/>
        <v>0.94001000000000001</v>
      </c>
      <c r="O76" s="153">
        <f t="shared" si="69"/>
        <v>0.94001000000000001</v>
      </c>
      <c r="P76" s="153">
        <f t="shared" si="69"/>
        <v>0.94001000000000001</v>
      </c>
      <c r="Q76" s="153">
        <f t="shared" si="69"/>
        <v>0.94001000000000001</v>
      </c>
      <c r="R76" s="153">
        <f t="shared" si="69"/>
        <v>0.94001000000000001</v>
      </c>
      <c r="S76" s="153">
        <f t="shared" si="69"/>
        <v>0.94001000000000001</v>
      </c>
      <c r="T76" s="153">
        <f t="shared" si="69"/>
        <v>0.94001000000000001</v>
      </c>
      <c r="U76" s="153">
        <f t="shared" si="69"/>
        <v>0.94001000000000001</v>
      </c>
      <c r="V76" s="153">
        <f t="shared" si="69"/>
        <v>0.94001000000000001</v>
      </c>
      <c r="W76" s="153">
        <f t="shared" si="69"/>
        <v>0.94001000000000001</v>
      </c>
      <c r="X76" s="153">
        <f t="shared" si="69"/>
        <v>0.94001000000000001</v>
      </c>
      <c r="Y76" s="153">
        <f t="shared" si="69"/>
        <v>0.94001000000000001</v>
      </c>
      <c r="Z76" s="153">
        <f t="shared" si="69"/>
        <v>0.94001000000000001</v>
      </c>
      <c r="AA76" s="153">
        <f t="shared" si="69"/>
        <v>0.94001000000000001</v>
      </c>
      <c r="AB76" s="153">
        <f t="shared" si="69"/>
        <v>0.94001000000000001</v>
      </c>
      <c r="AC76" s="153">
        <f t="shared" si="69"/>
        <v>0.94001000000000001</v>
      </c>
      <c r="AD76" s="153">
        <f t="shared" si="69"/>
        <v>0.94001000000000001</v>
      </c>
      <c r="AE76" s="153">
        <f t="shared" si="69"/>
        <v>0.94001000000000001</v>
      </c>
      <c r="AF76" s="153">
        <f t="shared" si="69"/>
        <v>0.94001000000000001</v>
      </c>
      <c r="AG76" s="153">
        <f t="shared" si="69"/>
        <v>0.94001000000000001</v>
      </c>
      <c r="AH76" s="153">
        <f t="shared" si="69"/>
        <v>0.94001000000000001</v>
      </c>
      <c r="AI76" s="153">
        <f t="shared" ref="AI76:BN76" si="70">(AI9+AI14)/1000</f>
        <v>0.94001000000000001</v>
      </c>
      <c r="AJ76" s="153">
        <f t="shared" si="70"/>
        <v>0.94001999999999997</v>
      </c>
      <c r="AK76" s="153">
        <f t="shared" si="70"/>
        <v>0</v>
      </c>
      <c r="AL76" s="153">
        <f t="shared" si="70"/>
        <v>0</v>
      </c>
      <c r="AM76" s="153">
        <f t="shared" si="70"/>
        <v>0</v>
      </c>
      <c r="AN76" s="153">
        <f t="shared" si="70"/>
        <v>0</v>
      </c>
      <c r="AO76" s="153">
        <f t="shared" si="70"/>
        <v>0</v>
      </c>
      <c r="AP76" s="153">
        <f t="shared" si="70"/>
        <v>0</v>
      </c>
      <c r="AQ76" s="153">
        <f t="shared" si="70"/>
        <v>0</v>
      </c>
      <c r="AR76" s="153">
        <f t="shared" si="70"/>
        <v>0</v>
      </c>
      <c r="AS76" s="153">
        <f t="shared" si="70"/>
        <v>0</v>
      </c>
      <c r="AT76" s="153">
        <f t="shared" si="70"/>
        <v>0</v>
      </c>
      <c r="AU76" s="153">
        <f t="shared" si="70"/>
        <v>0</v>
      </c>
      <c r="AV76" s="153">
        <f t="shared" si="70"/>
        <v>0</v>
      </c>
      <c r="AW76" s="153">
        <f t="shared" si="70"/>
        <v>0</v>
      </c>
      <c r="AX76" s="153">
        <f t="shared" si="70"/>
        <v>0</v>
      </c>
      <c r="AY76" s="153">
        <f t="shared" si="70"/>
        <v>0</v>
      </c>
      <c r="AZ76" s="153">
        <f t="shared" si="70"/>
        <v>0</v>
      </c>
      <c r="BA76" s="153">
        <f t="shared" si="70"/>
        <v>0</v>
      </c>
      <c r="BB76" s="153">
        <f t="shared" si="70"/>
        <v>0</v>
      </c>
      <c r="BC76" s="153">
        <f t="shared" si="70"/>
        <v>0</v>
      </c>
      <c r="BD76" s="153">
        <f t="shared" si="70"/>
        <v>0</v>
      </c>
      <c r="BE76" s="153">
        <f t="shared" si="70"/>
        <v>0</v>
      </c>
      <c r="BF76" s="153">
        <f t="shared" si="70"/>
        <v>0</v>
      </c>
      <c r="BG76" s="153">
        <f t="shared" si="70"/>
        <v>0</v>
      </c>
      <c r="BH76" s="153">
        <f t="shared" si="70"/>
        <v>0</v>
      </c>
      <c r="BI76" s="153">
        <f t="shared" si="70"/>
        <v>0</v>
      </c>
      <c r="BJ76" s="153">
        <f t="shared" si="70"/>
        <v>0</v>
      </c>
      <c r="BK76" s="153">
        <f t="shared" si="70"/>
        <v>0</v>
      </c>
      <c r="BL76" s="153">
        <f t="shared" si="70"/>
        <v>0</v>
      </c>
      <c r="BM76" s="153">
        <f t="shared" si="70"/>
        <v>0</v>
      </c>
      <c r="BN76" s="153">
        <f t="shared" si="70"/>
        <v>0</v>
      </c>
      <c r="BO76" s="153">
        <f t="shared" ref="BO76:CT76" si="71">(BO9+BO14)/1000</f>
        <v>0</v>
      </c>
      <c r="BP76" s="153">
        <f t="shared" si="71"/>
        <v>0</v>
      </c>
      <c r="BQ76" s="153">
        <f t="shared" si="71"/>
        <v>0</v>
      </c>
      <c r="BR76" s="153">
        <f t="shared" si="71"/>
        <v>0</v>
      </c>
      <c r="BS76" s="153">
        <f t="shared" si="71"/>
        <v>0</v>
      </c>
      <c r="BT76" s="153">
        <f t="shared" si="71"/>
        <v>0</v>
      </c>
      <c r="BU76" s="153">
        <f t="shared" si="71"/>
        <v>0</v>
      </c>
      <c r="BV76" s="153">
        <f t="shared" si="71"/>
        <v>0</v>
      </c>
      <c r="BW76" s="153">
        <f t="shared" si="71"/>
        <v>0</v>
      </c>
      <c r="BX76" s="153">
        <f t="shared" si="71"/>
        <v>0</v>
      </c>
      <c r="BY76" s="153">
        <f t="shared" si="71"/>
        <v>0</v>
      </c>
      <c r="BZ76" s="153">
        <f t="shared" si="71"/>
        <v>0</v>
      </c>
      <c r="CA76" s="153">
        <f t="shared" si="71"/>
        <v>0</v>
      </c>
      <c r="CB76" s="153">
        <f t="shared" si="71"/>
        <v>0</v>
      </c>
      <c r="CC76" s="153">
        <f t="shared" si="71"/>
        <v>0</v>
      </c>
      <c r="CD76" s="153">
        <f t="shared" si="71"/>
        <v>0</v>
      </c>
      <c r="CE76" s="153">
        <f t="shared" si="71"/>
        <v>0</v>
      </c>
      <c r="CF76" s="153">
        <f t="shared" si="71"/>
        <v>0</v>
      </c>
      <c r="CG76" s="153">
        <f t="shared" si="71"/>
        <v>0</v>
      </c>
      <c r="CH76" s="153">
        <f t="shared" si="71"/>
        <v>0</v>
      </c>
      <c r="CI76" s="153">
        <f t="shared" si="71"/>
        <v>0</v>
      </c>
      <c r="CJ76" s="153">
        <f t="shared" si="71"/>
        <v>0</v>
      </c>
      <c r="CK76" s="153">
        <f t="shared" si="71"/>
        <v>0</v>
      </c>
      <c r="CL76" s="153">
        <f t="shared" si="71"/>
        <v>0</v>
      </c>
      <c r="CM76" s="153">
        <f t="shared" si="71"/>
        <v>0</v>
      </c>
      <c r="CN76" s="153">
        <f t="shared" si="71"/>
        <v>0</v>
      </c>
      <c r="CO76" s="153">
        <f t="shared" si="71"/>
        <v>0</v>
      </c>
      <c r="CP76" s="153">
        <f t="shared" si="71"/>
        <v>0</v>
      </c>
      <c r="CQ76" s="153">
        <f t="shared" si="71"/>
        <v>0</v>
      </c>
      <c r="CR76" s="153">
        <f t="shared" si="71"/>
        <v>0</v>
      </c>
      <c r="CS76" s="153">
        <f t="shared" si="71"/>
        <v>0</v>
      </c>
      <c r="CT76" s="153">
        <f t="shared" si="71"/>
        <v>0</v>
      </c>
      <c r="CU76" s="153">
        <f t="shared" ref="CU76:DF76" si="72">(CU9+CU14)/1000</f>
        <v>0</v>
      </c>
      <c r="CV76" s="153">
        <f t="shared" si="72"/>
        <v>0</v>
      </c>
      <c r="CW76" s="153">
        <f t="shared" si="72"/>
        <v>0</v>
      </c>
      <c r="CX76" s="153">
        <f t="shared" si="72"/>
        <v>0</v>
      </c>
      <c r="CY76" s="153">
        <f t="shared" si="72"/>
        <v>0</v>
      </c>
      <c r="CZ76" s="153">
        <f t="shared" si="72"/>
        <v>0</v>
      </c>
      <c r="DA76" s="153">
        <f t="shared" si="72"/>
        <v>0</v>
      </c>
      <c r="DB76" s="153">
        <f t="shared" si="72"/>
        <v>0</v>
      </c>
      <c r="DC76" s="153">
        <f t="shared" si="72"/>
        <v>0</v>
      </c>
      <c r="DD76" s="153">
        <f t="shared" si="72"/>
        <v>0</v>
      </c>
      <c r="DE76" s="153">
        <f t="shared" si="72"/>
        <v>0</v>
      </c>
      <c r="DF76" s="153">
        <f t="shared" si="72"/>
        <v>0</v>
      </c>
      <c r="DG76" s="154">
        <f t="shared" si="52"/>
        <v>23.500260000000015</v>
      </c>
    </row>
    <row r="77" spans="1:111" ht="13.8" x14ac:dyDescent="0.3">
      <c r="A77" s="18" t="s">
        <v>336</v>
      </c>
      <c r="B77" s="19"/>
      <c r="C77" s="155">
        <f t="shared" ref="C77:AH77" si="73">SUM(C72:C76)</f>
        <v>0</v>
      </c>
      <c r="D77" s="155">
        <f t="shared" si="73"/>
        <v>0</v>
      </c>
      <c r="E77" s="155">
        <f t="shared" si="73"/>
        <v>0</v>
      </c>
      <c r="F77" s="155">
        <f t="shared" si="73"/>
        <v>0</v>
      </c>
      <c r="G77" s="155">
        <f t="shared" si="73"/>
        <v>0</v>
      </c>
      <c r="H77" s="155">
        <f t="shared" si="73"/>
        <v>0</v>
      </c>
      <c r="I77" s="155">
        <f t="shared" si="73"/>
        <v>0</v>
      </c>
      <c r="J77" s="155">
        <f t="shared" si="73"/>
        <v>0</v>
      </c>
      <c r="K77" s="155">
        <f t="shared" si="73"/>
        <v>0</v>
      </c>
      <c r="L77" s="155">
        <f t="shared" si="73"/>
        <v>192.52004086816441</v>
      </c>
      <c r="M77" s="155">
        <f t="shared" si="73"/>
        <v>256.23232003967331</v>
      </c>
      <c r="N77" s="155">
        <f t="shared" si="73"/>
        <v>256.2323200396728</v>
      </c>
      <c r="O77" s="155">
        <f t="shared" si="73"/>
        <v>300.5539055502876</v>
      </c>
      <c r="P77" s="155">
        <f t="shared" si="73"/>
        <v>300.55390555028748</v>
      </c>
      <c r="Q77" s="155">
        <f t="shared" si="73"/>
        <v>300.5539055502876</v>
      </c>
      <c r="R77" s="155">
        <f t="shared" si="73"/>
        <v>300.55390555028771</v>
      </c>
      <c r="S77" s="155">
        <f t="shared" si="73"/>
        <v>300.55390555028805</v>
      </c>
      <c r="T77" s="155">
        <f t="shared" si="73"/>
        <v>300.55390555028822</v>
      </c>
      <c r="U77" s="155">
        <f t="shared" si="73"/>
        <v>300.55390555028822</v>
      </c>
      <c r="V77" s="155">
        <f t="shared" si="73"/>
        <v>300.55390555028816</v>
      </c>
      <c r="W77" s="155">
        <f t="shared" si="73"/>
        <v>300.5539055502872</v>
      </c>
      <c r="X77" s="155">
        <f t="shared" si="73"/>
        <v>300.55390555028731</v>
      </c>
      <c r="Y77" s="155">
        <f t="shared" si="73"/>
        <v>300.55390555028731</v>
      </c>
      <c r="Z77" s="155">
        <f t="shared" si="73"/>
        <v>300.55390555028822</v>
      </c>
      <c r="AA77" s="155">
        <f t="shared" si="73"/>
        <v>318.09786648157296</v>
      </c>
      <c r="AB77" s="155">
        <f t="shared" si="73"/>
        <v>318.09786648157245</v>
      </c>
      <c r="AC77" s="155">
        <f t="shared" si="73"/>
        <v>318.09786648157274</v>
      </c>
      <c r="AD77" s="155">
        <f t="shared" si="73"/>
        <v>318.09786648157319</v>
      </c>
      <c r="AE77" s="155">
        <f t="shared" si="73"/>
        <v>318.09786648157257</v>
      </c>
      <c r="AF77" s="155">
        <f t="shared" si="73"/>
        <v>318.09786648157279</v>
      </c>
      <c r="AG77" s="155">
        <f t="shared" si="73"/>
        <v>318.09786648157257</v>
      </c>
      <c r="AH77" s="155">
        <f t="shared" si="73"/>
        <v>318.09786648157325</v>
      </c>
      <c r="AI77" s="155">
        <f t="shared" ref="AI77:BN77" si="74">SUM(AI72:AI76)</f>
        <v>318.09786648157302</v>
      </c>
      <c r="AJ77" s="155">
        <f t="shared" si="74"/>
        <v>318.09793648157307</v>
      </c>
      <c r="AK77" s="155">
        <f t="shared" si="74"/>
        <v>311.93560648157239</v>
      </c>
      <c r="AL77" s="155">
        <f t="shared" si="74"/>
        <v>311.9356064815729</v>
      </c>
      <c r="AM77" s="155">
        <f t="shared" si="74"/>
        <v>311.93560648157234</v>
      </c>
      <c r="AN77" s="155">
        <f t="shared" si="74"/>
        <v>311.93560648157285</v>
      </c>
      <c r="AO77" s="155">
        <f t="shared" si="74"/>
        <v>311.93560648157279</v>
      </c>
      <c r="AP77" s="155">
        <f t="shared" si="74"/>
        <v>311.93560648157245</v>
      </c>
      <c r="AQ77" s="155">
        <f t="shared" si="74"/>
        <v>311.93560648157273</v>
      </c>
      <c r="AR77" s="155">
        <f t="shared" si="74"/>
        <v>311.93560648157302</v>
      </c>
      <c r="AS77" s="155">
        <f t="shared" si="74"/>
        <v>311.93560648157234</v>
      </c>
      <c r="AT77" s="155">
        <f t="shared" si="74"/>
        <v>311.93560648157325</v>
      </c>
      <c r="AU77" s="155">
        <f t="shared" si="74"/>
        <v>311.93560648157307</v>
      </c>
      <c r="AV77" s="155">
        <f t="shared" si="74"/>
        <v>311.93560648157302</v>
      </c>
      <c r="AW77" s="155">
        <f t="shared" si="74"/>
        <v>248.22332731006381</v>
      </c>
      <c r="AX77" s="155">
        <f t="shared" si="74"/>
        <v>61.865546441899859</v>
      </c>
      <c r="AY77" s="155">
        <f t="shared" si="74"/>
        <v>23.699736696648205</v>
      </c>
      <c r="AZ77" s="155">
        <f t="shared" si="74"/>
        <v>23.699736696648209</v>
      </c>
      <c r="BA77" s="155">
        <f t="shared" si="74"/>
        <v>23.699736696648209</v>
      </c>
      <c r="BB77" s="155">
        <f t="shared" si="74"/>
        <v>23.699736696648209</v>
      </c>
      <c r="BC77" s="155">
        <f t="shared" si="74"/>
        <v>23.699736696648209</v>
      </c>
      <c r="BD77" s="155">
        <f t="shared" si="74"/>
        <v>23.699736696648209</v>
      </c>
      <c r="BE77" s="155">
        <f t="shared" si="74"/>
        <v>23.699736696648209</v>
      </c>
      <c r="BF77" s="155">
        <f t="shared" si="74"/>
        <v>23.699736696648209</v>
      </c>
      <c r="BG77" s="155">
        <f t="shared" si="74"/>
        <v>23.699736696648205</v>
      </c>
      <c r="BH77" s="155">
        <f t="shared" si="74"/>
        <v>23.699736696648209</v>
      </c>
      <c r="BI77" s="155">
        <f t="shared" si="74"/>
        <v>23.699736696648209</v>
      </c>
      <c r="BJ77" s="155">
        <f t="shared" si="74"/>
        <v>23.699736696648209</v>
      </c>
      <c r="BK77" s="155">
        <f t="shared" si="74"/>
        <v>38.473598533519819</v>
      </c>
      <c r="BL77" s="155">
        <f t="shared" si="74"/>
        <v>38.473598533519812</v>
      </c>
      <c r="BM77" s="155">
        <f t="shared" si="74"/>
        <v>38.473598533519819</v>
      </c>
      <c r="BN77" s="155">
        <f t="shared" si="74"/>
        <v>38.473598533519819</v>
      </c>
      <c r="BO77" s="155">
        <f t="shared" ref="BO77:CT77" si="75">SUM(BO72:BO76)</f>
        <v>38.473598533519819</v>
      </c>
      <c r="BP77" s="155">
        <f t="shared" si="75"/>
        <v>38.473598533519819</v>
      </c>
      <c r="BQ77" s="155">
        <f t="shared" si="75"/>
        <v>38.473598533519812</v>
      </c>
      <c r="BR77" s="155">
        <f t="shared" si="75"/>
        <v>38.473598533519812</v>
      </c>
      <c r="BS77" s="155">
        <f t="shared" si="75"/>
        <v>38.473598533519819</v>
      </c>
      <c r="BT77" s="155">
        <f t="shared" si="75"/>
        <v>38.473598533519812</v>
      </c>
      <c r="BU77" s="155">
        <f t="shared" si="75"/>
        <v>38.473598533519819</v>
      </c>
      <c r="BV77" s="155">
        <f t="shared" si="75"/>
        <v>38.473598533519812</v>
      </c>
      <c r="BW77" s="155">
        <f t="shared" si="75"/>
        <v>38.473598533519819</v>
      </c>
      <c r="BX77" s="155">
        <f t="shared" si="75"/>
        <v>38.473598533519827</v>
      </c>
      <c r="BY77" s="155">
        <f t="shared" si="75"/>
        <v>38.473598533519812</v>
      </c>
      <c r="BZ77" s="155">
        <f t="shared" si="75"/>
        <v>38.473598533519819</v>
      </c>
      <c r="CA77" s="155">
        <f t="shared" si="75"/>
        <v>38.473598533519819</v>
      </c>
      <c r="CB77" s="155">
        <f t="shared" si="75"/>
        <v>38.473598533519819</v>
      </c>
      <c r="CC77" s="155">
        <f t="shared" si="75"/>
        <v>38.473598533519819</v>
      </c>
      <c r="CD77" s="155">
        <f t="shared" si="75"/>
        <v>38.473598533519819</v>
      </c>
      <c r="CE77" s="155">
        <f t="shared" si="75"/>
        <v>38.473598533519812</v>
      </c>
      <c r="CF77" s="155">
        <f t="shared" si="75"/>
        <v>38.473598533519819</v>
      </c>
      <c r="CG77" s="155">
        <f t="shared" si="75"/>
        <v>38.473598533519812</v>
      </c>
      <c r="CH77" s="155">
        <f t="shared" si="75"/>
        <v>38.473598533519819</v>
      </c>
      <c r="CI77" s="155">
        <f t="shared" si="75"/>
        <v>32.317822768156645</v>
      </c>
      <c r="CJ77" s="155">
        <f t="shared" si="75"/>
        <v>32.317822768156645</v>
      </c>
      <c r="CK77" s="155">
        <f t="shared" si="75"/>
        <v>32.317822768156645</v>
      </c>
      <c r="CL77" s="155">
        <f t="shared" si="75"/>
        <v>32.317822768156645</v>
      </c>
      <c r="CM77" s="155">
        <f t="shared" si="75"/>
        <v>32.317822768156645</v>
      </c>
      <c r="CN77" s="155">
        <f t="shared" si="75"/>
        <v>32.317822768156645</v>
      </c>
      <c r="CO77" s="155">
        <f t="shared" si="75"/>
        <v>32.317822768156645</v>
      </c>
      <c r="CP77" s="155">
        <f t="shared" si="75"/>
        <v>32.317822768156645</v>
      </c>
      <c r="CQ77" s="155">
        <f t="shared" si="75"/>
        <v>32.317822768156645</v>
      </c>
      <c r="CR77" s="155">
        <f t="shared" si="75"/>
        <v>32.317822768156645</v>
      </c>
      <c r="CS77" s="155">
        <f t="shared" si="75"/>
        <v>32.317822768156645</v>
      </c>
      <c r="CT77" s="155">
        <f t="shared" si="75"/>
        <v>32.317822768156645</v>
      </c>
      <c r="CU77" s="155">
        <f t="shared" ref="CU77:DZ77" si="76">SUM(CU72:CU76)</f>
        <v>0</v>
      </c>
      <c r="CV77" s="155">
        <f t="shared" si="76"/>
        <v>0</v>
      </c>
      <c r="CW77" s="155">
        <f t="shared" si="76"/>
        <v>0</v>
      </c>
      <c r="CX77" s="155">
        <f t="shared" si="76"/>
        <v>0</v>
      </c>
      <c r="CY77" s="155">
        <f t="shared" si="76"/>
        <v>0</v>
      </c>
      <c r="CZ77" s="155">
        <f t="shared" si="76"/>
        <v>0</v>
      </c>
      <c r="DA77" s="155">
        <f t="shared" si="76"/>
        <v>0</v>
      </c>
      <c r="DB77" s="155">
        <f t="shared" si="76"/>
        <v>0</v>
      </c>
      <c r="DC77" s="155">
        <f t="shared" si="76"/>
        <v>0</v>
      </c>
      <c r="DD77" s="155">
        <f t="shared" si="76"/>
        <v>0</v>
      </c>
      <c r="DE77" s="155">
        <f t="shared" si="76"/>
        <v>0</v>
      </c>
      <c r="DF77" s="155">
        <f t="shared" si="76"/>
        <v>0</v>
      </c>
      <c r="DG77" s="155">
        <f t="shared" si="76"/>
        <v>13141.50351227966</v>
      </c>
    </row>
    <row r="79" spans="1:111" ht="13.8" x14ac:dyDescent="0.3">
      <c r="A79" s="26" t="s">
        <v>135</v>
      </c>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row>
    <row r="80" spans="1:111" ht="13.8" x14ac:dyDescent="0.3">
      <c r="A80" s="28" t="s">
        <v>337</v>
      </c>
      <c r="C80" s="156">
        <f>ROUND(DG22-Supuestos!$C$35,2)</f>
        <v>0</v>
      </c>
    </row>
    <row r="81" spans="1:3" ht="13.8" x14ac:dyDescent="0.3">
      <c r="A81" s="28" t="s">
        <v>338</v>
      </c>
      <c r="C81" s="156">
        <f>ROUND(DG31-Supuestos!$C$36,2)</f>
        <v>0</v>
      </c>
    </row>
    <row r="82" spans="1:3" ht="13.8" x14ac:dyDescent="0.3">
      <c r="A82" s="28" t="s">
        <v>339</v>
      </c>
      <c r="C82" s="156">
        <f>ROUND(DG40-Supuestos!$C$37,2)</f>
        <v>0</v>
      </c>
    </row>
    <row r="83" spans="1:3" ht="13.8" x14ac:dyDescent="0.3">
      <c r="A83" s="28" t="s">
        <v>340</v>
      </c>
      <c r="C83" s="156">
        <f>ROUND(DG49-Supuestos!$C$38,2)</f>
        <v>0</v>
      </c>
    </row>
    <row r="84" spans="1:3" ht="13.8" x14ac:dyDescent="0.3">
      <c r="A84" s="28" t="s">
        <v>341</v>
      </c>
      <c r="C84" s="156">
        <f>ROUND(DG58-Supuestos!$C$39,2)</f>
        <v>0</v>
      </c>
    </row>
    <row r="85" spans="1:3" ht="13.8" x14ac:dyDescent="0.3">
      <c r="A85" s="28" t="s">
        <v>342</v>
      </c>
      <c r="C85" s="156">
        <f>ROUND(DG67-Supuestos!$C$40,2)</f>
        <v>0</v>
      </c>
    </row>
    <row r="86" spans="1:3" ht="13.8" x14ac:dyDescent="0.3">
      <c r="A86" s="28" t="s">
        <v>343</v>
      </c>
      <c r="C86" s="156">
        <f>ROUND(DG7-'Deuda Bancos'!H44,2)</f>
        <v>0</v>
      </c>
    </row>
    <row r="87" spans="1:3" ht="13.8" x14ac:dyDescent="0.3">
      <c r="A87" s="28" t="s">
        <v>344</v>
      </c>
      <c r="C87" s="156">
        <f>ROUND(DG12-'Deuda Bancos'!H74,2)</f>
        <v>0</v>
      </c>
    </row>
    <row r="88" spans="1:3" x14ac:dyDescent="0.25">
      <c r="A88" s="41" t="s">
        <v>345</v>
      </c>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N320"/>
  <sheetViews>
    <sheetView showGridLines="0" zoomScaleNormal="100" workbookViewId="0">
      <pane ySplit="3" topLeftCell="A4" activePane="bottomLeft" state="frozen"/>
      <selection pane="bottomLeft" activeCell="I20" sqref="I20"/>
    </sheetView>
  </sheetViews>
  <sheetFormatPr baseColWidth="10" defaultColWidth="8.6640625" defaultRowHeight="13.2" x14ac:dyDescent="0.25"/>
  <cols>
    <col min="1" max="1" width="35.21875" customWidth="1"/>
    <col min="2" max="2" width="15.77734375" customWidth="1"/>
    <col min="3" max="3" width="7.77734375" bestFit="1" customWidth="1"/>
    <col min="4" max="4" width="11.5546875" bestFit="1" customWidth="1"/>
    <col min="5" max="5" width="9.33203125" bestFit="1" customWidth="1"/>
    <col min="6" max="6" width="7.88671875" bestFit="1" customWidth="1"/>
    <col min="7" max="7" width="6.109375" bestFit="1" customWidth="1"/>
    <col min="8" max="8" width="11.6640625" bestFit="1" customWidth="1"/>
    <col min="9" max="9" width="10.109375" bestFit="1" customWidth="1"/>
    <col min="10" max="10" width="5.33203125" bestFit="1" customWidth="1"/>
    <col min="11" max="11" width="9.109375" bestFit="1" customWidth="1"/>
    <col min="12" max="12" width="6.109375" bestFit="1" customWidth="1"/>
    <col min="13" max="13" width="11.6640625" bestFit="1" customWidth="1"/>
    <col min="14" max="14" width="10.88671875" bestFit="1" customWidth="1"/>
  </cols>
  <sheetData>
    <row r="1" spans="1:14" ht="15.6" x14ac:dyDescent="0.3">
      <c r="A1" s="157" t="s">
        <v>346</v>
      </c>
    </row>
    <row r="2" spans="1:14" ht="13.8" x14ac:dyDescent="0.3">
      <c r="A2" s="294" t="s">
        <v>465</v>
      </c>
    </row>
    <row r="4" spans="1:14" ht="13.8" x14ac:dyDescent="0.3">
      <c r="A4" s="12" t="s">
        <v>347</v>
      </c>
      <c r="B4" s="12"/>
      <c r="C4" s="12"/>
      <c r="D4" s="12"/>
      <c r="E4" s="12"/>
      <c r="F4" s="12"/>
      <c r="G4" s="12"/>
      <c r="H4" s="12"/>
      <c r="I4" s="12"/>
      <c r="J4" s="12"/>
      <c r="K4" s="12"/>
      <c r="L4" s="12"/>
      <c r="M4" s="12"/>
      <c r="N4" s="12"/>
    </row>
    <row r="5" spans="1:14" ht="13.8" x14ac:dyDescent="0.3">
      <c r="A5" s="158" t="s">
        <v>348</v>
      </c>
      <c r="B5" s="158" t="s">
        <v>349</v>
      </c>
      <c r="C5" s="158" t="s">
        <v>217</v>
      </c>
      <c r="D5" s="158" t="s">
        <v>350</v>
      </c>
      <c r="E5" s="158" t="s">
        <v>351</v>
      </c>
      <c r="F5" s="158" t="s">
        <v>352</v>
      </c>
      <c r="G5" s="158" t="s">
        <v>353</v>
      </c>
      <c r="H5" s="158" t="s">
        <v>68</v>
      </c>
      <c r="I5" s="158" t="s">
        <v>70</v>
      </c>
      <c r="J5" s="158" t="s">
        <v>354</v>
      </c>
      <c r="K5" s="158" t="s">
        <v>90</v>
      </c>
      <c r="L5" s="158" t="s">
        <v>355</v>
      </c>
      <c r="M5" s="158" t="s">
        <v>356</v>
      </c>
      <c r="N5" s="158" t="s">
        <v>357</v>
      </c>
    </row>
    <row r="6" spans="1:14" ht="13.8" x14ac:dyDescent="0.3">
      <c r="A6" s="68">
        <v>20145863</v>
      </c>
      <c r="B6" s="68" t="s">
        <v>358</v>
      </c>
      <c r="C6" s="68" t="s">
        <v>227</v>
      </c>
      <c r="D6" s="73">
        <v>46314</v>
      </c>
      <c r="E6" s="159">
        <f t="shared" ref="E6:E43" si="0">DATE(YEAR(D6),MONTH(D6),1)</f>
        <v>46296</v>
      </c>
      <c r="F6" s="68">
        <v>23</v>
      </c>
      <c r="G6" s="68" t="s">
        <v>359</v>
      </c>
      <c r="H6" s="160">
        <v>140295.62236506201</v>
      </c>
      <c r="I6" s="160">
        <v>46062.158503102401</v>
      </c>
      <c r="J6" s="160"/>
      <c r="K6" s="160"/>
      <c r="L6" s="160"/>
      <c r="M6" s="160">
        <v>186357.780868164</v>
      </c>
      <c r="N6" s="161">
        <f t="shared" ref="N6:N43" si="1">SUM(J6:L6)</f>
        <v>0</v>
      </c>
    </row>
    <row r="7" spans="1:14" ht="13.8" x14ac:dyDescent="0.3">
      <c r="A7" s="68">
        <v>20145863</v>
      </c>
      <c r="B7" s="68" t="s">
        <v>358</v>
      </c>
      <c r="C7" s="68" t="s">
        <v>227</v>
      </c>
      <c r="D7" s="73">
        <v>46344</v>
      </c>
      <c r="E7" s="159">
        <f t="shared" si="0"/>
        <v>46327</v>
      </c>
      <c r="F7" s="68">
        <v>24</v>
      </c>
      <c r="G7" s="68" t="s">
        <v>359</v>
      </c>
      <c r="H7" s="160">
        <v>141347.76525295299</v>
      </c>
      <c r="I7" s="160">
        <v>45010.015615211501</v>
      </c>
      <c r="J7" s="160"/>
      <c r="K7" s="160"/>
      <c r="L7" s="160"/>
      <c r="M7" s="160">
        <v>186357.780868164</v>
      </c>
      <c r="N7" s="161">
        <f t="shared" si="1"/>
        <v>0</v>
      </c>
    </row>
    <row r="8" spans="1:14" ht="13.8" x14ac:dyDescent="0.3">
      <c r="A8" s="68">
        <v>20145863</v>
      </c>
      <c r="B8" s="68" t="s">
        <v>358</v>
      </c>
      <c r="C8" s="68" t="s">
        <v>227</v>
      </c>
      <c r="D8" s="73">
        <v>46374</v>
      </c>
      <c r="E8" s="159">
        <f t="shared" si="0"/>
        <v>46357</v>
      </c>
      <c r="F8" s="68">
        <v>25</v>
      </c>
      <c r="G8" s="68" t="s">
        <v>359</v>
      </c>
      <c r="H8" s="160">
        <v>142407.79865544301</v>
      </c>
      <c r="I8" s="160">
        <v>43949.982212720999</v>
      </c>
      <c r="J8" s="160"/>
      <c r="K8" s="160"/>
      <c r="L8" s="160"/>
      <c r="M8" s="160">
        <v>186357.780868164</v>
      </c>
      <c r="N8" s="161">
        <f t="shared" si="1"/>
        <v>0</v>
      </c>
    </row>
    <row r="9" spans="1:14" ht="13.8" x14ac:dyDescent="0.3">
      <c r="A9" s="68">
        <v>20145863</v>
      </c>
      <c r="B9" s="68" t="s">
        <v>358</v>
      </c>
      <c r="C9" s="68" t="s">
        <v>227</v>
      </c>
      <c r="D9" s="73">
        <v>46404</v>
      </c>
      <c r="E9" s="159">
        <f t="shared" si="0"/>
        <v>46388</v>
      </c>
      <c r="F9" s="68">
        <v>26</v>
      </c>
      <c r="G9" s="68" t="s">
        <v>359</v>
      </c>
      <c r="H9" s="160">
        <v>143475.78174721499</v>
      </c>
      <c r="I9" s="160">
        <v>42881.999120949004</v>
      </c>
      <c r="J9" s="160"/>
      <c r="K9" s="160"/>
      <c r="L9" s="160"/>
      <c r="M9" s="160">
        <v>186357.780868164</v>
      </c>
      <c r="N9" s="161">
        <f t="shared" si="1"/>
        <v>0</v>
      </c>
    </row>
    <row r="10" spans="1:14" ht="13.8" x14ac:dyDescent="0.3">
      <c r="A10" s="68">
        <v>20145863</v>
      </c>
      <c r="B10" s="68" t="s">
        <v>358</v>
      </c>
      <c r="C10" s="68" t="s">
        <v>227</v>
      </c>
      <c r="D10" s="73">
        <v>46434</v>
      </c>
      <c r="E10" s="159">
        <f t="shared" si="0"/>
        <v>46419</v>
      </c>
      <c r="F10" s="68">
        <v>27</v>
      </c>
      <c r="G10" s="68" t="s">
        <v>359</v>
      </c>
      <c r="H10" s="160">
        <v>144551.774146729</v>
      </c>
      <c r="I10" s="160">
        <v>41806.006721434802</v>
      </c>
      <c r="J10" s="160"/>
      <c r="K10" s="160"/>
      <c r="L10" s="160"/>
      <c r="M10" s="160">
        <v>186357.780868164</v>
      </c>
      <c r="N10" s="161">
        <f t="shared" si="1"/>
        <v>0</v>
      </c>
    </row>
    <row r="11" spans="1:14" ht="13.8" x14ac:dyDescent="0.3">
      <c r="A11" s="68">
        <v>20145863</v>
      </c>
      <c r="B11" s="68" t="s">
        <v>358</v>
      </c>
      <c r="C11" s="68" t="s">
        <v>227</v>
      </c>
      <c r="D11" s="73">
        <v>46464</v>
      </c>
      <c r="E11" s="159">
        <f t="shared" si="0"/>
        <v>46447</v>
      </c>
      <c r="F11" s="68">
        <v>28</v>
      </c>
      <c r="G11" s="68" t="s">
        <v>359</v>
      </c>
      <c r="H11" s="160">
        <v>145635.83591955301</v>
      </c>
      <c r="I11" s="160">
        <v>40721.944948611002</v>
      </c>
      <c r="J11" s="160"/>
      <c r="K11" s="160"/>
      <c r="L11" s="160"/>
      <c r="M11" s="160">
        <v>186357.780868164</v>
      </c>
      <c r="N11" s="161">
        <f t="shared" si="1"/>
        <v>0</v>
      </c>
    </row>
    <row r="12" spans="1:14" ht="13.8" x14ac:dyDescent="0.3">
      <c r="A12" s="68">
        <v>20145863</v>
      </c>
      <c r="B12" s="68" t="s">
        <v>358</v>
      </c>
      <c r="C12" s="68" t="s">
        <v>227</v>
      </c>
      <c r="D12" s="73">
        <v>46494</v>
      </c>
      <c r="E12" s="159">
        <f t="shared" si="0"/>
        <v>46478</v>
      </c>
      <c r="F12" s="68">
        <v>29</v>
      </c>
      <c r="G12" s="68" t="s">
        <v>359</v>
      </c>
      <c r="H12" s="160">
        <v>146728.02758171401</v>
      </c>
      <c r="I12" s="160">
        <v>39629.753286450097</v>
      </c>
      <c r="J12" s="160"/>
      <c r="K12" s="160"/>
      <c r="L12" s="160"/>
      <c r="M12" s="160">
        <v>186357.780868164</v>
      </c>
      <c r="N12" s="161">
        <f t="shared" si="1"/>
        <v>0</v>
      </c>
    </row>
    <row r="13" spans="1:14" ht="13.8" x14ac:dyDescent="0.3">
      <c r="A13" s="68">
        <v>20145863</v>
      </c>
      <c r="B13" s="68" t="s">
        <v>358</v>
      </c>
      <c r="C13" s="68" t="s">
        <v>227</v>
      </c>
      <c r="D13" s="73">
        <v>46524</v>
      </c>
      <c r="E13" s="159">
        <f t="shared" si="0"/>
        <v>46508</v>
      </c>
      <c r="F13" s="68">
        <v>30</v>
      </c>
      <c r="G13" s="68" t="s">
        <v>359</v>
      </c>
      <c r="H13" s="160">
        <v>147828.410103078</v>
      </c>
      <c r="I13" s="160">
        <v>38529.370765086402</v>
      </c>
      <c r="J13" s="160"/>
      <c r="K13" s="160"/>
      <c r="L13" s="160"/>
      <c r="M13" s="160">
        <v>186357.780868164</v>
      </c>
      <c r="N13" s="161">
        <f t="shared" si="1"/>
        <v>0</v>
      </c>
    </row>
    <row r="14" spans="1:14" ht="13.8" x14ac:dyDescent="0.3">
      <c r="A14" s="68">
        <v>20145863</v>
      </c>
      <c r="B14" s="68" t="s">
        <v>358</v>
      </c>
      <c r="C14" s="68" t="s">
        <v>227</v>
      </c>
      <c r="D14" s="73">
        <v>46554</v>
      </c>
      <c r="E14" s="159">
        <f t="shared" si="0"/>
        <v>46539</v>
      </c>
      <c r="F14" s="68">
        <v>31</v>
      </c>
      <c r="G14" s="68" t="s">
        <v>359</v>
      </c>
      <c r="H14" s="160">
        <v>148937.04491075201</v>
      </c>
      <c r="I14" s="160">
        <v>37420.735957412602</v>
      </c>
      <c r="J14" s="160"/>
      <c r="K14" s="160"/>
      <c r="L14" s="160"/>
      <c r="M14" s="160">
        <v>186357.780868164</v>
      </c>
      <c r="N14" s="161">
        <f t="shared" si="1"/>
        <v>0</v>
      </c>
    </row>
    <row r="15" spans="1:14" ht="13.8" x14ac:dyDescent="0.3">
      <c r="A15" s="68">
        <v>20145863</v>
      </c>
      <c r="B15" s="68" t="s">
        <v>358</v>
      </c>
      <c r="C15" s="68" t="s">
        <v>227</v>
      </c>
      <c r="D15" s="73">
        <v>46584</v>
      </c>
      <c r="E15" s="159">
        <f t="shared" si="0"/>
        <v>46569</v>
      </c>
      <c r="F15" s="68">
        <v>32</v>
      </c>
      <c r="G15" s="68" t="s">
        <v>359</v>
      </c>
      <c r="H15" s="160">
        <v>150053.993892514</v>
      </c>
      <c r="I15" s="160">
        <v>36303.786975650597</v>
      </c>
      <c r="J15" s="160"/>
      <c r="K15" s="160"/>
      <c r="L15" s="160"/>
      <c r="M15" s="160">
        <v>186357.780868164</v>
      </c>
      <c r="N15" s="161">
        <f t="shared" si="1"/>
        <v>0</v>
      </c>
    </row>
    <row r="16" spans="1:14" ht="13.8" x14ac:dyDescent="0.3">
      <c r="A16" s="68">
        <v>20145863</v>
      </c>
      <c r="B16" s="68" t="s">
        <v>358</v>
      </c>
      <c r="C16" s="68" t="s">
        <v>227</v>
      </c>
      <c r="D16" s="73">
        <v>46614</v>
      </c>
      <c r="E16" s="159">
        <f t="shared" si="0"/>
        <v>46600</v>
      </c>
      <c r="F16" s="68">
        <v>33</v>
      </c>
      <c r="G16" s="68" t="s">
        <v>359</v>
      </c>
      <c r="H16" s="160">
        <v>151179.319400268</v>
      </c>
      <c r="I16" s="160">
        <v>35178.461467896501</v>
      </c>
      <c r="J16" s="160"/>
      <c r="K16" s="160"/>
      <c r="L16" s="160"/>
      <c r="M16" s="160">
        <v>186357.780868164</v>
      </c>
      <c r="N16" s="161">
        <f t="shared" si="1"/>
        <v>0</v>
      </c>
    </row>
    <row r="17" spans="1:14" ht="13.8" x14ac:dyDescent="0.3">
      <c r="A17" s="68">
        <v>20145863</v>
      </c>
      <c r="B17" s="68" t="s">
        <v>358</v>
      </c>
      <c r="C17" s="68" t="s">
        <v>227</v>
      </c>
      <c r="D17" s="73">
        <v>46644</v>
      </c>
      <c r="E17" s="159">
        <f t="shared" si="0"/>
        <v>46631</v>
      </c>
      <c r="F17" s="68">
        <v>34</v>
      </c>
      <c r="G17" s="68" t="s">
        <v>359</v>
      </c>
      <c r="H17" s="160">
        <v>152313.084253523</v>
      </c>
      <c r="I17" s="160">
        <v>34044.696614640598</v>
      </c>
      <c r="J17" s="160"/>
      <c r="K17" s="160"/>
      <c r="L17" s="160"/>
      <c r="M17" s="160">
        <v>186357.780868164</v>
      </c>
      <c r="N17" s="161">
        <f t="shared" si="1"/>
        <v>0</v>
      </c>
    </row>
    <row r="18" spans="1:14" ht="13.8" x14ac:dyDescent="0.3">
      <c r="A18" s="68">
        <v>20145863</v>
      </c>
      <c r="B18" s="68" t="s">
        <v>358</v>
      </c>
      <c r="C18" s="68" t="s">
        <v>227</v>
      </c>
      <c r="D18" s="73">
        <v>46674</v>
      </c>
      <c r="E18" s="159">
        <f t="shared" si="0"/>
        <v>46661</v>
      </c>
      <c r="F18" s="68">
        <v>35</v>
      </c>
      <c r="G18" s="68" t="s">
        <v>359</v>
      </c>
      <c r="H18" s="160">
        <v>153455.35174290399</v>
      </c>
      <c r="I18" s="160">
        <v>32902.429125259703</v>
      </c>
      <c r="J18" s="160"/>
      <c r="K18" s="160"/>
      <c r="L18" s="160"/>
      <c r="M18" s="160">
        <v>186357.780868164</v>
      </c>
      <c r="N18" s="161">
        <f t="shared" si="1"/>
        <v>0</v>
      </c>
    </row>
    <row r="19" spans="1:14" ht="13.8" x14ac:dyDescent="0.3">
      <c r="A19" s="68">
        <v>20145863</v>
      </c>
      <c r="B19" s="68" t="s">
        <v>358</v>
      </c>
      <c r="C19" s="68" t="s">
        <v>227</v>
      </c>
      <c r="D19" s="73">
        <v>46704</v>
      </c>
      <c r="E19" s="159">
        <f t="shared" si="0"/>
        <v>46692</v>
      </c>
      <c r="F19" s="68">
        <v>36</v>
      </c>
      <c r="G19" s="68" t="s">
        <v>359</v>
      </c>
      <c r="H19" s="160">
        <v>154606.18563367901</v>
      </c>
      <c r="I19" s="160">
        <v>31751.595234484699</v>
      </c>
      <c r="J19" s="160"/>
      <c r="K19" s="160"/>
      <c r="L19" s="160"/>
      <c r="M19" s="160">
        <v>186357.780868164</v>
      </c>
      <c r="N19" s="161">
        <f t="shared" si="1"/>
        <v>0</v>
      </c>
    </row>
    <row r="20" spans="1:14" ht="13.8" x14ac:dyDescent="0.3">
      <c r="A20" s="68">
        <v>20145863</v>
      </c>
      <c r="B20" s="68" t="s">
        <v>358</v>
      </c>
      <c r="C20" s="68" t="s">
        <v>227</v>
      </c>
      <c r="D20" s="73">
        <v>46734</v>
      </c>
      <c r="E20" s="159">
        <f t="shared" si="0"/>
        <v>46722</v>
      </c>
      <c r="F20" s="68">
        <v>37</v>
      </c>
      <c r="G20" s="68" t="s">
        <v>359</v>
      </c>
      <c r="H20" s="160">
        <v>155765.65016932401</v>
      </c>
      <c r="I20" s="160">
        <v>30592.1306988406</v>
      </c>
      <c r="J20" s="160"/>
      <c r="K20" s="160"/>
      <c r="L20" s="160"/>
      <c r="M20" s="160">
        <v>186357.780868164</v>
      </c>
      <c r="N20" s="161">
        <f t="shared" si="1"/>
        <v>0</v>
      </c>
    </row>
    <row r="21" spans="1:14" ht="13.8" x14ac:dyDescent="0.3">
      <c r="A21" s="68">
        <v>20145863</v>
      </c>
      <c r="B21" s="68" t="s">
        <v>358</v>
      </c>
      <c r="C21" s="68" t="s">
        <v>227</v>
      </c>
      <c r="D21" s="73">
        <v>46764</v>
      </c>
      <c r="E21" s="159">
        <f t="shared" si="0"/>
        <v>46753</v>
      </c>
      <c r="F21" s="68">
        <v>38</v>
      </c>
      <c r="G21" s="68" t="s">
        <v>359</v>
      </c>
      <c r="H21" s="160">
        <v>156933.810075104</v>
      </c>
      <c r="I21" s="160">
        <v>29423.9707930603</v>
      </c>
      <c r="J21" s="160"/>
      <c r="K21" s="160"/>
      <c r="L21" s="160"/>
      <c r="M21" s="160">
        <v>186357.780868164</v>
      </c>
      <c r="N21" s="161">
        <f t="shared" si="1"/>
        <v>0</v>
      </c>
    </row>
    <row r="22" spans="1:14" ht="13.8" x14ac:dyDescent="0.3">
      <c r="A22" s="68">
        <v>20145863</v>
      </c>
      <c r="B22" s="68" t="s">
        <v>358</v>
      </c>
      <c r="C22" s="68" t="s">
        <v>227</v>
      </c>
      <c r="D22" s="73">
        <v>46794</v>
      </c>
      <c r="E22" s="159">
        <f t="shared" si="0"/>
        <v>46784</v>
      </c>
      <c r="F22" s="68">
        <v>39</v>
      </c>
      <c r="G22" s="68" t="s">
        <v>359</v>
      </c>
      <c r="H22" s="160">
        <v>158110.73056169201</v>
      </c>
      <c r="I22" s="160">
        <v>28247.0503064718</v>
      </c>
      <c r="J22" s="160"/>
      <c r="K22" s="160"/>
      <c r="L22" s="160"/>
      <c r="M22" s="160">
        <v>186357.780868164</v>
      </c>
      <c r="N22" s="161">
        <f t="shared" si="1"/>
        <v>0</v>
      </c>
    </row>
    <row r="23" spans="1:14" ht="13.8" x14ac:dyDescent="0.3">
      <c r="A23" s="68">
        <v>20145863</v>
      </c>
      <c r="B23" s="68" t="s">
        <v>358</v>
      </c>
      <c r="C23" s="68" t="s">
        <v>227</v>
      </c>
      <c r="D23" s="73">
        <v>46824</v>
      </c>
      <c r="E23" s="159">
        <f t="shared" si="0"/>
        <v>46813</v>
      </c>
      <c r="F23" s="68">
        <v>40</v>
      </c>
      <c r="G23" s="68" t="s">
        <v>359</v>
      </c>
      <c r="H23" s="160">
        <v>159296.477328807</v>
      </c>
      <c r="I23" s="160">
        <v>27061.303539357101</v>
      </c>
      <c r="J23" s="160"/>
      <c r="K23" s="160"/>
      <c r="L23" s="160"/>
      <c r="M23" s="160">
        <v>186357.780868164</v>
      </c>
      <c r="N23" s="161">
        <f t="shared" si="1"/>
        <v>0</v>
      </c>
    </row>
    <row r="24" spans="1:14" ht="13.8" x14ac:dyDescent="0.3">
      <c r="A24" s="68">
        <v>20145863</v>
      </c>
      <c r="B24" s="68" t="s">
        <v>358</v>
      </c>
      <c r="C24" s="68" t="s">
        <v>227</v>
      </c>
      <c r="D24" s="73">
        <v>46854</v>
      </c>
      <c r="E24" s="159">
        <f t="shared" si="0"/>
        <v>46844</v>
      </c>
      <c r="F24" s="68">
        <v>41</v>
      </c>
      <c r="G24" s="68" t="s">
        <v>359</v>
      </c>
      <c r="H24" s="160">
        <v>160491.11656887899</v>
      </c>
      <c r="I24" s="160">
        <v>25866.664299285501</v>
      </c>
      <c r="J24" s="160"/>
      <c r="K24" s="160"/>
      <c r="L24" s="160"/>
      <c r="M24" s="160">
        <v>186357.780868164</v>
      </c>
      <c r="N24" s="161">
        <f t="shared" si="1"/>
        <v>0</v>
      </c>
    </row>
    <row r="25" spans="1:14" ht="13.8" x14ac:dyDescent="0.3">
      <c r="A25" s="68">
        <v>20145863</v>
      </c>
      <c r="B25" s="68" t="s">
        <v>358</v>
      </c>
      <c r="C25" s="68" t="s">
        <v>227</v>
      </c>
      <c r="D25" s="73">
        <v>46884</v>
      </c>
      <c r="E25" s="159">
        <f t="shared" si="0"/>
        <v>46874</v>
      </c>
      <c r="F25" s="68">
        <v>42</v>
      </c>
      <c r="G25" s="68" t="s">
        <v>359</v>
      </c>
      <c r="H25" s="160">
        <v>161694.71497074599</v>
      </c>
      <c r="I25" s="160">
        <v>24663.065897417899</v>
      </c>
      <c r="J25" s="160"/>
      <c r="K25" s="160"/>
      <c r="L25" s="160"/>
      <c r="M25" s="160">
        <v>186357.780868164</v>
      </c>
      <c r="N25" s="161">
        <f t="shared" si="1"/>
        <v>0</v>
      </c>
    </row>
    <row r="26" spans="1:14" ht="13.8" x14ac:dyDescent="0.3">
      <c r="A26" s="68">
        <v>20145863</v>
      </c>
      <c r="B26" s="68" t="s">
        <v>358</v>
      </c>
      <c r="C26" s="68" t="s">
        <v>227</v>
      </c>
      <c r="D26" s="73">
        <v>46914</v>
      </c>
      <c r="E26" s="159">
        <f t="shared" si="0"/>
        <v>46905</v>
      </c>
      <c r="F26" s="68">
        <v>43</v>
      </c>
      <c r="G26" s="68" t="s">
        <v>359</v>
      </c>
      <c r="H26" s="160">
        <v>162907.33972337999</v>
      </c>
      <c r="I26" s="160">
        <v>23450.441144784199</v>
      </c>
      <c r="J26" s="160"/>
      <c r="K26" s="160"/>
      <c r="L26" s="160"/>
      <c r="M26" s="160">
        <v>186357.780868164</v>
      </c>
      <c r="N26" s="161">
        <f t="shared" si="1"/>
        <v>0</v>
      </c>
    </row>
    <row r="27" spans="1:14" ht="13.8" x14ac:dyDescent="0.3">
      <c r="A27" s="68">
        <v>20145863</v>
      </c>
      <c r="B27" s="68" t="s">
        <v>358</v>
      </c>
      <c r="C27" s="68" t="s">
        <v>227</v>
      </c>
      <c r="D27" s="73">
        <v>46944</v>
      </c>
      <c r="E27" s="159">
        <f t="shared" si="0"/>
        <v>46935</v>
      </c>
      <c r="F27" s="68">
        <v>44</v>
      </c>
      <c r="G27" s="68" t="s">
        <v>359</v>
      </c>
      <c r="H27" s="160">
        <v>164129.05851963101</v>
      </c>
      <c r="I27" s="160">
        <v>22228.722348532901</v>
      </c>
      <c r="J27" s="160"/>
      <c r="K27" s="160"/>
      <c r="L27" s="160"/>
      <c r="M27" s="160">
        <v>186357.780868164</v>
      </c>
      <c r="N27" s="161">
        <f t="shared" si="1"/>
        <v>0</v>
      </c>
    </row>
    <row r="28" spans="1:14" ht="13.8" x14ac:dyDescent="0.3">
      <c r="A28" s="68">
        <v>20145863</v>
      </c>
      <c r="B28" s="68" t="s">
        <v>358</v>
      </c>
      <c r="C28" s="68" t="s">
        <v>227</v>
      </c>
      <c r="D28" s="73">
        <v>46974</v>
      </c>
      <c r="E28" s="159">
        <f t="shared" si="0"/>
        <v>46966</v>
      </c>
      <c r="F28" s="68">
        <v>45</v>
      </c>
      <c r="G28" s="68" t="s">
        <v>359</v>
      </c>
      <c r="H28" s="160">
        <v>165359.93956001301</v>
      </c>
      <c r="I28" s="160">
        <v>20997.841308151601</v>
      </c>
      <c r="J28" s="160"/>
      <c r="K28" s="160"/>
      <c r="L28" s="160"/>
      <c r="M28" s="160">
        <v>186357.780868164</v>
      </c>
      <c r="N28" s="161">
        <f t="shared" si="1"/>
        <v>0</v>
      </c>
    </row>
    <row r="29" spans="1:14" ht="13.8" x14ac:dyDescent="0.3">
      <c r="A29" s="68">
        <v>20145863</v>
      </c>
      <c r="B29" s="68" t="s">
        <v>358</v>
      </c>
      <c r="C29" s="68" t="s">
        <v>227</v>
      </c>
      <c r="D29" s="73">
        <v>47004</v>
      </c>
      <c r="E29" s="159">
        <f t="shared" si="0"/>
        <v>46997</v>
      </c>
      <c r="F29" s="68">
        <v>46</v>
      </c>
      <c r="G29" s="68" t="s">
        <v>359</v>
      </c>
      <c r="H29" s="160">
        <v>166600.05155650401</v>
      </c>
      <c r="I29" s="160">
        <v>19757.7293116603</v>
      </c>
      <c r="J29" s="160"/>
      <c r="K29" s="160"/>
      <c r="L29" s="160"/>
      <c r="M29" s="160">
        <v>186357.780868164</v>
      </c>
      <c r="N29" s="161">
        <f t="shared" si="1"/>
        <v>0</v>
      </c>
    </row>
    <row r="30" spans="1:14" ht="13.8" x14ac:dyDescent="0.3">
      <c r="A30" s="68">
        <v>20145863</v>
      </c>
      <c r="B30" s="68" t="s">
        <v>358</v>
      </c>
      <c r="C30" s="68" t="s">
        <v>227</v>
      </c>
      <c r="D30" s="73">
        <v>47034</v>
      </c>
      <c r="E30" s="159">
        <f t="shared" si="0"/>
        <v>47027</v>
      </c>
      <c r="F30" s="68">
        <v>47</v>
      </c>
      <c r="G30" s="68" t="s">
        <v>359</v>
      </c>
      <c r="H30" s="160">
        <v>167849.46373638901</v>
      </c>
      <c r="I30" s="160">
        <v>18508.317131775399</v>
      </c>
      <c r="J30" s="160"/>
      <c r="K30" s="160"/>
      <c r="L30" s="160"/>
      <c r="M30" s="160">
        <v>186357.780868164</v>
      </c>
      <c r="N30" s="161">
        <f t="shared" si="1"/>
        <v>0</v>
      </c>
    </row>
    <row r="31" spans="1:14" ht="13.8" x14ac:dyDescent="0.3">
      <c r="A31" s="68">
        <v>20145863</v>
      </c>
      <c r="B31" s="68" t="s">
        <v>358</v>
      </c>
      <c r="C31" s="68" t="s">
        <v>227</v>
      </c>
      <c r="D31" s="73">
        <v>47064</v>
      </c>
      <c r="E31" s="159">
        <f t="shared" si="0"/>
        <v>47058</v>
      </c>
      <c r="F31" s="68">
        <v>48</v>
      </c>
      <c r="G31" s="68" t="s">
        <v>359</v>
      </c>
      <c r="H31" s="160">
        <v>169108.24584611799</v>
      </c>
      <c r="I31" s="160">
        <v>17249.5350220457</v>
      </c>
      <c r="J31" s="160"/>
      <c r="K31" s="160"/>
      <c r="L31" s="160"/>
      <c r="M31" s="160">
        <v>186357.780868164</v>
      </c>
      <c r="N31" s="161">
        <f t="shared" si="1"/>
        <v>0</v>
      </c>
    </row>
    <row r="32" spans="1:14" ht="13.8" x14ac:dyDescent="0.3">
      <c r="A32" s="68">
        <v>20145863</v>
      </c>
      <c r="B32" s="68" t="s">
        <v>358</v>
      </c>
      <c r="C32" s="68" t="s">
        <v>227</v>
      </c>
      <c r="D32" s="73">
        <v>47094</v>
      </c>
      <c r="E32" s="159">
        <f t="shared" si="0"/>
        <v>47088</v>
      </c>
      <c r="F32" s="68">
        <v>49</v>
      </c>
      <c r="G32" s="68" t="s">
        <v>359</v>
      </c>
      <c r="H32" s="160">
        <v>170376.46815520601</v>
      </c>
      <c r="I32" s="160">
        <v>15981.312712958201</v>
      </c>
      <c r="J32" s="160"/>
      <c r="K32" s="160"/>
      <c r="L32" s="160"/>
      <c r="M32" s="160">
        <v>186357.780868164</v>
      </c>
      <c r="N32" s="161">
        <f t="shared" si="1"/>
        <v>0</v>
      </c>
    </row>
    <row r="33" spans="1:14" ht="13.8" x14ac:dyDescent="0.3">
      <c r="A33" s="68">
        <v>20145863</v>
      </c>
      <c r="B33" s="68" t="s">
        <v>358</v>
      </c>
      <c r="C33" s="68" t="s">
        <v>227</v>
      </c>
      <c r="D33" s="73">
        <v>47124</v>
      </c>
      <c r="E33" s="159">
        <f t="shared" si="0"/>
        <v>47119</v>
      </c>
      <c r="F33" s="68">
        <v>50</v>
      </c>
      <c r="G33" s="68" t="s">
        <v>359</v>
      </c>
      <c r="H33" s="160">
        <v>171654.201460148</v>
      </c>
      <c r="I33" s="160">
        <v>14703.579408015699</v>
      </c>
      <c r="J33" s="160"/>
      <c r="K33" s="160"/>
      <c r="L33" s="160"/>
      <c r="M33" s="160">
        <v>186357.780868164</v>
      </c>
      <c r="N33" s="161">
        <f t="shared" si="1"/>
        <v>0</v>
      </c>
    </row>
    <row r="34" spans="1:14" ht="13.8" x14ac:dyDescent="0.3">
      <c r="A34" s="68">
        <v>20145863</v>
      </c>
      <c r="B34" s="68" t="s">
        <v>358</v>
      </c>
      <c r="C34" s="68" t="s">
        <v>227</v>
      </c>
      <c r="D34" s="73">
        <v>47154</v>
      </c>
      <c r="E34" s="159">
        <f t="shared" si="0"/>
        <v>47150</v>
      </c>
      <c r="F34" s="68">
        <v>51</v>
      </c>
      <c r="G34" s="68" t="s">
        <v>359</v>
      </c>
      <c r="H34" s="160">
        <v>172941.51708837901</v>
      </c>
      <c r="I34" s="160">
        <v>13416.2637797852</v>
      </c>
      <c r="J34" s="160"/>
      <c r="K34" s="160"/>
      <c r="L34" s="160"/>
      <c r="M34" s="160">
        <v>186357.780868164</v>
      </c>
      <c r="N34" s="161">
        <f t="shared" si="1"/>
        <v>0</v>
      </c>
    </row>
    <row r="35" spans="1:14" ht="13.8" x14ac:dyDescent="0.3">
      <c r="A35" s="68">
        <v>20145863</v>
      </c>
      <c r="B35" s="68" t="s">
        <v>358</v>
      </c>
      <c r="C35" s="68" t="s">
        <v>227</v>
      </c>
      <c r="D35" s="73">
        <v>47184</v>
      </c>
      <c r="E35" s="159">
        <f t="shared" si="0"/>
        <v>47178</v>
      </c>
      <c r="F35" s="68">
        <v>52</v>
      </c>
      <c r="G35" s="68" t="s">
        <v>359</v>
      </c>
      <c r="H35" s="160">
        <v>174238.48690224899</v>
      </c>
      <c r="I35" s="160">
        <v>12119.2939659151</v>
      </c>
      <c r="J35" s="160"/>
      <c r="K35" s="160"/>
      <c r="L35" s="160"/>
      <c r="M35" s="160">
        <v>186357.780868164</v>
      </c>
      <c r="N35" s="161">
        <f t="shared" si="1"/>
        <v>0</v>
      </c>
    </row>
    <row r="36" spans="1:14" ht="13.8" x14ac:dyDescent="0.3">
      <c r="A36" s="68">
        <v>20145863</v>
      </c>
      <c r="B36" s="68" t="s">
        <v>358</v>
      </c>
      <c r="C36" s="68" t="s">
        <v>227</v>
      </c>
      <c r="D36" s="73">
        <v>47214</v>
      </c>
      <c r="E36" s="159">
        <f t="shared" si="0"/>
        <v>47209</v>
      </c>
      <c r="F36" s="68">
        <v>53</v>
      </c>
      <c r="G36" s="68" t="s">
        <v>359</v>
      </c>
      <c r="H36" s="160">
        <v>175545.183303039</v>
      </c>
      <c r="I36" s="160">
        <v>10812.597565124801</v>
      </c>
      <c r="J36" s="160"/>
      <c r="K36" s="160"/>
      <c r="L36" s="160"/>
      <c r="M36" s="160">
        <v>186357.780868164</v>
      </c>
      <c r="N36" s="161">
        <f t="shared" si="1"/>
        <v>0</v>
      </c>
    </row>
    <row r="37" spans="1:14" ht="13.8" x14ac:dyDescent="0.3">
      <c r="A37" s="68">
        <v>20145863</v>
      </c>
      <c r="B37" s="68" t="s">
        <v>358</v>
      </c>
      <c r="C37" s="68" t="s">
        <v>227</v>
      </c>
      <c r="D37" s="73">
        <v>47244</v>
      </c>
      <c r="E37" s="159">
        <f t="shared" si="0"/>
        <v>47239</v>
      </c>
      <c r="F37" s="68">
        <v>54</v>
      </c>
      <c r="G37" s="68" t="s">
        <v>359</v>
      </c>
      <c r="H37" s="160">
        <v>176861.679235002</v>
      </c>
      <c r="I37" s="160">
        <v>9496.1016331619903</v>
      </c>
      <c r="J37" s="160"/>
      <c r="K37" s="160"/>
      <c r="L37" s="160"/>
      <c r="M37" s="160">
        <v>186357.780868164</v>
      </c>
      <c r="N37" s="161">
        <f t="shared" si="1"/>
        <v>0</v>
      </c>
    </row>
    <row r="38" spans="1:14" ht="13.8" x14ac:dyDescent="0.3">
      <c r="A38" s="68">
        <v>20145863</v>
      </c>
      <c r="B38" s="68" t="s">
        <v>358</v>
      </c>
      <c r="C38" s="68" t="s">
        <v>227</v>
      </c>
      <c r="D38" s="73">
        <v>47274</v>
      </c>
      <c r="E38" s="159">
        <f t="shared" si="0"/>
        <v>47270</v>
      </c>
      <c r="F38" s="68">
        <v>55</v>
      </c>
      <c r="G38" s="68" t="s">
        <v>359</v>
      </c>
      <c r="H38" s="160">
        <v>178188.048189433</v>
      </c>
      <c r="I38" s="160">
        <v>8169.7326787313496</v>
      </c>
      <c r="J38" s="160"/>
      <c r="K38" s="160"/>
      <c r="L38" s="160"/>
      <c r="M38" s="160">
        <v>186357.780868164</v>
      </c>
      <c r="N38" s="161">
        <f t="shared" si="1"/>
        <v>0</v>
      </c>
    </row>
    <row r="39" spans="1:14" ht="13.8" x14ac:dyDescent="0.3">
      <c r="A39" s="68">
        <v>20145863</v>
      </c>
      <c r="B39" s="68" t="s">
        <v>358</v>
      </c>
      <c r="C39" s="68" t="s">
        <v>227</v>
      </c>
      <c r="D39" s="73">
        <v>47304</v>
      </c>
      <c r="E39" s="159">
        <f t="shared" si="0"/>
        <v>47300</v>
      </c>
      <c r="F39" s="68">
        <v>56</v>
      </c>
      <c r="G39" s="68" t="s">
        <v>359</v>
      </c>
      <c r="H39" s="160">
        <v>179524.36420877199</v>
      </c>
      <c r="I39" s="160">
        <v>6833.4166593916398</v>
      </c>
      <c r="J39" s="160"/>
      <c r="K39" s="160"/>
      <c r="L39" s="160"/>
      <c r="M39" s="160">
        <v>186357.780868164</v>
      </c>
      <c r="N39" s="161">
        <f t="shared" si="1"/>
        <v>0</v>
      </c>
    </row>
    <row r="40" spans="1:14" ht="13.8" x14ac:dyDescent="0.3">
      <c r="A40" s="68">
        <v>20145863</v>
      </c>
      <c r="B40" s="68" t="s">
        <v>358</v>
      </c>
      <c r="C40" s="68" t="s">
        <v>227</v>
      </c>
      <c r="D40" s="73">
        <v>47334</v>
      </c>
      <c r="E40" s="159">
        <f t="shared" si="0"/>
        <v>47331</v>
      </c>
      <c r="F40" s="68">
        <v>57</v>
      </c>
      <c r="G40" s="68" t="s">
        <v>359</v>
      </c>
      <c r="H40" s="160">
        <v>180870.701890742</v>
      </c>
      <c r="I40" s="160">
        <v>5487.0789774225505</v>
      </c>
      <c r="J40" s="160"/>
      <c r="K40" s="160"/>
      <c r="L40" s="160"/>
      <c r="M40" s="160">
        <v>186357.780868164</v>
      </c>
      <c r="N40" s="161">
        <f t="shared" si="1"/>
        <v>0</v>
      </c>
    </row>
    <row r="41" spans="1:14" ht="13.8" x14ac:dyDescent="0.3">
      <c r="A41" s="68">
        <v>20145863</v>
      </c>
      <c r="B41" s="68" t="s">
        <v>358</v>
      </c>
      <c r="C41" s="68" t="s">
        <v>227</v>
      </c>
      <c r="D41" s="73">
        <v>47364</v>
      </c>
      <c r="E41" s="159">
        <f t="shared" si="0"/>
        <v>47362</v>
      </c>
      <c r="F41" s="68">
        <v>58</v>
      </c>
      <c r="G41" s="68" t="s">
        <v>359</v>
      </c>
      <c r="H41" s="160">
        <v>182227.13639250401</v>
      </c>
      <c r="I41" s="160">
        <v>4130.6444756603296</v>
      </c>
      <c r="J41" s="160"/>
      <c r="K41" s="160"/>
      <c r="L41" s="160"/>
      <c r="M41" s="160">
        <v>186357.780868164</v>
      </c>
      <c r="N41" s="161">
        <f t="shared" si="1"/>
        <v>0</v>
      </c>
    </row>
    <row r="42" spans="1:14" ht="13.8" x14ac:dyDescent="0.3">
      <c r="A42" s="68">
        <v>20145863</v>
      </c>
      <c r="B42" s="68" t="s">
        <v>358</v>
      </c>
      <c r="C42" s="68" t="s">
        <v>227</v>
      </c>
      <c r="D42" s="73">
        <v>47394</v>
      </c>
      <c r="E42" s="159">
        <f t="shared" si="0"/>
        <v>47392</v>
      </c>
      <c r="F42" s="68">
        <v>59</v>
      </c>
      <c r="G42" s="68" t="s">
        <v>359</v>
      </c>
      <c r="H42" s="160">
        <v>183593.743434862</v>
      </c>
      <c r="I42" s="160">
        <v>2764.0374333023301</v>
      </c>
      <c r="J42" s="160"/>
      <c r="K42" s="160"/>
      <c r="L42" s="160"/>
      <c r="M42" s="160">
        <v>186357.780868164</v>
      </c>
      <c r="N42" s="161">
        <f t="shared" si="1"/>
        <v>0</v>
      </c>
    </row>
    <row r="43" spans="1:14" ht="13.8" x14ac:dyDescent="0.3">
      <c r="A43" s="68">
        <v>20145863</v>
      </c>
      <c r="B43" s="68" t="s">
        <v>358</v>
      </c>
      <c r="C43" s="68" t="s">
        <v>227</v>
      </c>
      <c r="D43" s="73">
        <v>47424</v>
      </c>
      <c r="E43" s="159">
        <f t="shared" si="0"/>
        <v>47423</v>
      </c>
      <c r="F43" s="68">
        <v>60</v>
      </c>
      <c r="G43" s="68" t="s">
        <v>359</v>
      </c>
      <c r="H43" s="160">
        <v>184970.59930648399</v>
      </c>
      <c r="I43" s="160">
        <v>1387.1815616799599</v>
      </c>
      <c r="J43" s="160"/>
      <c r="K43" s="160"/>
      <c r="L43" s="160"/>
      <c r="M43" s="160">
        <v>186357.780868164</v>
      </c>
      <c r="N43" s="161">
        <f t="shared" si="1"/>
        <v>0</v>
      </c>
    </row>
    <row r="44" spans="1:14" ht="13.8" x14ac:dyDescent="0.3">
      <c r="A44" s="18" t="s">
        <v>360</v>
      </c>
      <c r="B44" s="19"/>
      <c r="C44" s="19"/>
      <c r="D44" s="19"/>
      <c r="E44" s="19"/>
      <c r="F44" s="19"/>
      <c r="G44" s="19"/>
      <c r="H44" s="162">
        <f t="shared" ref="H44:N44" si="2">SUM(H6:H43)</f>
        <v>6142054.7237887932</v>
      </c>
      <c r="I44" s="162">
        <f t="shared" si="2"/>
        <v>939540.94920144323</v>
      </c>
      <c r="J44" s="162">
        <f t="shared" si="2"/>
        <v>0</v>
      </c>
      <c r="K44" s="162">
        <f t="shared" si="2"/>
        <v>0</v>
      </c>
      <c r="L44" s="162">
        <f t="shared" si="2"/>
        <v>0</v>
      </c>
      <c r="M44" s="162">
        <f t="shared" si="2"/>
        <v>7081595.6729902336</v>
      </c>
      <c r="N44" s="162">
        <f t="shared" si="2"/>
        <v>0</v>
      </c>
    </row>
    <row r="47" spans="1:14" ht="13.8" x14ac:dyDescent="0.3">
      <c r="A47" s="12" t="s">
        <v>361</v>
      </c>
      <c r="B47" s="12"/>
      <c r="C47" s="12"/>
      <c r="D47" s="12"/>
      <c r="E47" s="12"/>
      <c r="F47" s="12"/>
      <c r="G47" s="12"/>
      <c r="H47" s="12"/>
      <c r="I47" s="12"/>
      <c r="J47" s="12"/>
      <c r="K47" s="12"/>
      <c r="L47" s="12"/>
      <c r="M47" s="12"/>
      <c r="N47" s="12"/>
    </row>
    <row r="48" spans="1:14" ht="13.8" x14ac:dyDescent="0.3">
      <c r="A48" s="158" t="s">
        <v>348</v>
      </c>
      <c r="B48" s="158" t="s">
        <v>349</v>
      </c>
      <c r="C48" s="158" t="s">
        <v>217</v>
      </c>
      <c r="D48" s="158" t="s">
        <v>350</v>
      </c>
      <c r="E48" s="158" t="s">
        <v>351</v>
      </c>
      <c r="F48" s="158" t="s">
        <v>352</v>
      </c>
      <c r="G48" s="158" t="s">
        <v>353</v>
      </c>
      <c r="H48" s="158" t="s">
        <v>68</v>
      </c>
      <c r="I48" s="158" t="s">
        <v>70</v>
      </c>
      <c r="J48" s="158" t="s">
        <v>354</v>
      </c>
      <c r="K48" s="158" t="s">
        <v>90</v>
      </c>
      <c r="L48" s="158" t="s">
        <v>355</v>
      </c>
      <c r="M48" s="158" t="s">
        <v>356</v>
      </c>
      <c r="N48" s="158" t="s">
        <v>357</v>
      </c>
    </row>
    <row r="49" spans="1:14" ht="13.8" x14ac:dyDescent="0.3">
      <c r="A49" s="68" t="s">
        <v>362</v>
      </c>
      <c r="B49" s="68" t="s">
        <v>363</v>
      </c>
      <c r="C49" s="68" t="s">
        <v>223</v>
      </c>
      <c r="D49" s="73">
        <v>46317</v>
      </c>
      <c r="E49" s="159">
        <f t="shared" ref="E49:E73" si="3">DATE(YEAR(D49),MONTH(D49),1)</f>
        <v>46296</v>
      </c>
      <c r="F49" s="68">
        <v>12</v>
      </c>
      <c r="G49" s="68" t="s">
        <v>359</v>
      </c>
      <c r="H49" s="160">
        <v>4527.59</v>
      </c>
      <c r="I49" s="160">
        <v>694.66</v>
      </c>
      <c r="J49" s="160"/>
      <c r="K49" s="160">
        <v>940.01</v>
      </c>
      <c r="L49" s="160"/>
      <c r="M49" s="160">
        <v>6162.26</v>
      </c>
      <c r="N49" s="161">
        <f t="shared" ref="N49:N73" si="4">SUM(J49:L49)</f>
        <v>940.01</v>
      </c>
    </row>
    <row r="50" spans="1:14" ht="13.8" x14ac:dyDescent="0.3">
      <c r="A50" s="68" t="s">
        <v>362</v>
      </c>
      <c r="B50" s="68" t="s">
        <v>363</v>
      </c>
      <c r="C50" s="68" t="s">
        <v>223</v>
      </c>
      <c r="D50" s="73">
        <v>46349</v>
      </c>
      <c r="E50" s="159">
        <f t="shared" si="3"/>
        <v>46327</v>
      </c>
      <c r="F50" s="68">
        <v>13</v>
      </c>
      <c r="G50" s="68" t="s">
        <v>359</v>
      </c>
      <c r="H50" s="160">
        <v>4508.83</v>
      </c>
      <c r="I50" s="160">
        <v>713.42</v>
      </c>
      <c r="J50" s="160"/>
      <c r="K50" s="160">
        <v>940.01</v>
      </c>
      <c r="L50" s="160"/>
      <c r="M50" s="160">
        <v>6162.26</v>
      </c>
      <c r="N50" s="161">
        <f t="shared" si="4"/>
        <v>940.01</v>
      </c>
    </row>
    <row r="51" spans="1:14" ht="13.8" x14ac:dyDescent="0.3">
      <c r="A51" s="68" t="s">
        <v>362</v>
      </c>
      <c r="B51" s="68" t="s">
        <v>363</v>
      </c>
      <c r="C51" s="68" t="s">
        <v>223</v>
      </c>
      <c r="D51" s="73">
        <v>46378</v>
      </c>
      <c r="E51" s="159">
        <f t="shared" si="3"/>
        <v>46357</v>
      </c>
      <c r="F51" s="68">
        <v>14</v>
      </c>
      <c r="G51" s="68" t="s">
        <v>359</v>
      </c>
      <c r="H51" s="160">
        <v>4600.88</v>
      </c>
      <c r="I51" s="160">
        <v>621.37</v>
      </c>
      <c r="J51" s="160"/>
      <c r="K51" s="160">
        <v>940.01</v>
      </c>
      <c r="L51" s="160"/>
      <c r="M51" s="160">
        <v>6162.26</v>
      </c>
      <c r="N51" s="161">
        <f t="shared" si="4"/>
        <v>940.01</v>
      </c>
    </row>
    <row r="52" spans="1:14" ht="13.8" x14ac:dyDescent="0.3">
      <c r="A52" s="68" t="s">
        <v>362</v>
      </c>
      <c r="B52" s="68" t="s">
        <v>363</v>
      </c>
      <c r="C52" s="68" t="s">
        <v>223</v>
      </c>
      <c r="D52" s="73">
        <v>46409</v>
      </c>
      <c r="E52" s="159">
        <f t="shared" si="3"/>
        <v>46388</v>
      </c>
      <c r="F52" s="68">
        <v>15</v>
      </c>
      <c r="G52" s="68" t="s">
        <v>359</v>
      </c>
      <c r="H52" s="160">
        <v>4585.1499999999996</v>
      </c>
      <c r="I52" s="160">
        <v>637.1</v>
      </c>
      <c r="J52" s="160"/>
      <c r="K52" s="160">
        <v>940.01</v>
      </c>
      <c r="L52" s="160"/>
      <c r="M52" s="160">
        <v>6162.26</v>
      </c>
      <c r="N52" s="161">
        <f t="shared" si="4"/>
        <v>940.01</v>
      </c>
    </row>
    <row r="53" spans="1:14" ht="13.8" x14ac:dyDescent="0.3">
      <c r="A53" s="68" t="s">
        <v>362</v>
      </c>
      <c r="B53" s="68" t="s">
        <v>363</v>
      </c>
      <c r="C53" s="68" t="s">
        <v>223</v>
      </c>
      <c r="D53" s="73">
        <v>46440</v>
      </c>
      <c r="E53" s="159">
        <f t="shared" si="3"/>
        <v>46419</v>
      </c>
      <c r="F53" s="68">
        <v>16</v>
      </c>
      <c r="G53" s="68" t="s">
        <v>359</v>
      </c>
      <c r="H53" s="160">
        <v>4612.32</v>
      </c>
      <c r="I53" s="160">
        <v>609.92999999999995</v>
      </c>
      <c r="J53" s="160"/>
      <c r="K53" s="160">
        <v>940.01</v>
      </c>
      <c r="L53" s="160"/>
      <c r="M53" s="160">
        <v>6162.26</v>
      </c>
      <c r="N53" s="161">
        <f t="shared" si="4"/>
        <v>940.01</v>
      </c>
    </row>
    <row r="54" spans="1:14" ht="13.8" x14ac:dyDescent="0.3">
      <c r="A54" s="68" t="s">
        <v>362</v>
      </c>
      <c r="B54" s="68" t="s">
        <v>363</v>
      </c>
      <c r="C54" s="68" t="s">
        <v>223</v>
      </c>
      <c r="D54" s="73">
        <v>46468</v>
      </c>
      <c r="E54" s="159">
        <f t="shared" si="3"/>
        <v>46447</v>
      </c>
      <c r="F54" s="68">
        <v>17</v>
      </c>
      <c r="G54" s="68" t="s">
        <v>359</v>
      </c>
      <c r="H54" s="160">
        <v>4696.17</v>
      </c>
      <c r="I54" s="160">
        <v>526.08000000000004</v>
      </c>
      <c r="J54" s="160"/>
      <c r="K54" s="160">
        <v>940.01</v>
      </c>
      <c r="L54" s="160"/>
      <c r="M54" s="160">
        <v>6162.26</v>
      </c>
      <c r="N54" s="161">
        <f t="shared" si="4"/>
        <v>940.01</v>
      </c>
    </row>
    <row r="55" spans="1:14" ht="13.8" x14ac:dyDescent="0.3">
      <c r="A55" s="68" t="s">
        <v>362</v>
      </c>
      <c r="B55" s="68" t="s">
        <v>363</v>
      </c>
      <c r="C55" s="68" t="s">
        <v>223</v>
      </c>
      <c r="D55" s="73">
        <v>46499</v>
      </c>
      <c r="E55" s="159">
        <f t="shared" si="3"/>
        <v>46478</v>
      </c>
      <c r="F55" s="68">
        <v>18</v>
      </c>
      <c r="G55" s="68" t="s">
        <v>359</v>
      </c>
      <c r="H55" s="160">
        <v>4667.46</v>
      </c>
      <c r="I55" s="160">
        <v>554.79</v>
      </c>
      <c r="J55" s="160"/>
      <c r="K55" s="160">
        <v>940.01</v>
      </c>
      <c r="L55" s="160"/>
      <c r="M55" s="160">
        <v>6162.26</v>
      </c>
      <c r="N55" s="161">
        <f t="shared" si="4"/>
        <v>940.01</v>
      </c>
    </row>
    <row r="56" spans="1:14" ht="13.8" x14ac:dyDescent="0.3">
      <c r="A56" s="68" t="s">
        <v>362</v>
      </c>
      <c r="B56" s="68" t="s">
        <v>363</v>
      </c>
      <c r="C56" s="68" t="s">
        <v>223</v>
      </c>
      <c r="D56" s="73">
        <v>46531</v>
      </c>
      <c r="E56" s="159">
        <f t="shared" si="3"/>
        <v>46508</v>
      </c>
      <c r="F56" s="68">
        <v>19</v>
      </c>
      <c r="G56" s="68" t="s">
        <v>359</v>
      </c>
      <c r="H56" s="160">
        <v>4678.0600000000004</v>
      </c>
      <c r="I56" s="160">
        <v>544.19000000000005</v>
      </c>
      <c r="J56" s="160"/>
      <c r="K56" s="160">
        <v>940.01</v>
      </c>
      <c r="L56" s="160"/>
      <c r="M56" s="160">
        <v>6162.26</v>
      </c>
      <c r="N56" s="161">
        <f t="shared" si="4"/>
        <v>940.01</v>
      </c>
    </row>
    <row r="57" spans="1:14" ht="13.8" x14ac:dyDescent="0.3">
      <c r="A57" s="68" t="s">
        <v>362</v>
      </c>
      <c r="B57" s="68" t="s">
        <v>363</v>
      </c>
      <c r="C57" s="68" t="s">
        <v>223</v>
      </c>
      <c r="D57" s="73">
        <v>46560</v>
      </c>
      <c r="E57" s="159">
        <f t="shared" si="3"/>
        <v>46539</v>
      </c>
      <c r="F57" s="68">
        <v>20</v>
      </c>
      <c r="G57" s="68" t="s">
        <v>359</v>
      </c>
      <c r="H57" s="160">
        <v>4755.1400000000003</v>
      </c>
      <c r="I57" s="160">
        <v>467.11</v>
      </c>
      <c r="J57" s="160"/>
      <c r="K57" s="160">
        <v>940.01</v>
      </c>
      <c r="L57" s="160"/>
      <c r="M57" s="160">
        <v>6162.26</v>
      </c>
      <c r="N57" s="161">
        <f t="shared" si="4"/>
        <v>940.01</v>
      </c>
    </row>
    <row r="58" spans="1:14" ht="13.8" x14ac:dyDescent="0.3">
      <c r="A58" s="68" t="s">
        <v>362</v>
      </c>
      <c r="B58" s="68" t="s">
        <v>363</v>
      </c>
      <c r="C58" s="68" t="s">
        <v>223</v>
      </c>
      <c r="D58" s="73">
        <v>46590</v>
      </c>
      <c r="E58" s="159">
        <f t="shared" si="3"/>
        <v>46569</v>
      </c>
      <c r="F58" s="68">
        <v>21</v>
      </c>
      <c r="G58" s="68" t="s">
        <v>359</v>
      </c>
      <c r="H58" s="160">
        <v>4766.24</v>
      </c>
      <c r="I58" s="160">
        <v>456.01</v>
      </c>
      <c r="J58" s="160"/>
      <c r="K58" s="160">
        <v>940.01</v>
      </c>
      <c r="L58" s="160"/>
      <c r="M58" s="160">
        <v>6162.26</v>
      </c>
      <c r="N58" s="161">
        <f t="shared" si="4"/>
        <v>940.01</v>
      </c>
    </row>
    <row r="59" spans="1:14" ht="13.8" x14ac:dyDescent="0.3">
      <c r="A59" s="68" t="s">
        <v>362</v>
      </c>
      <c r="B59" s="68" t="s">
        <v>363</v>
      </c>
      <c r="C59" s="68" t="s">
        <v>223</v>
      </c>
      <c r="D59" s="73">
        <v>46622</v>
      </c>
      <c r="E59" s="159">
        <f t="shared" si="3"/>
        <v>46600</v>
      </c>
      <c r="F59" s="68">
        <v>22</v>
      </c>
      <c r="G59" s="68" t="s">
        <v>359</v>
      </c>
      <c r="H59" s="160">
        <v>4764.8999999999996</v>
      </c>
      <c r="I59" s="160">
        <v>457.35</v>
      </c>
      <c r="J59" s="160"/>
      <c r="K59" s="160">
        <v>940.01</v>
      </c>
      <c r="L59" s="160"/>
      <c r="M59" s="160">
        <v>6162.26</v>
      </c>
      <c r="N59" s="161">
        <f t="shared" si="4"/>
        <v>940.01</v>
      </c>
    </row>
    <row r="60" spans="1:14" ht="13.8" x14ac:dyDescent="0.3">
      <c r="A60" s="68" t="s">
        <v>362</v>
      </c>
      <c r="B60" s="68" t="s">
        <v>363</v>
      </c>
      <c r="C60" s="68" t="s">
        <v>223</v>
      </c>
      <c r="D60" s="73">
        <v>46652</v>
      </c>
      <c r="E60" s="159">
        <f t="shared" si="3"/>
        <v>46631</v>
      </c>
      <c r="F60" s="68">
        <v>23</v>
      </c>
      <c r="G60" s="68" t="s">
        <v>359</v>
      </c>
      <c r="H60" s="160">
        <v>4820.88</v>
      </c>
      <c r="I60" s="160">
        <v>401.37</v>
      </c>
      <c r="J60" s="160"/>
      <c r="K60" s="160">
        <v>940.01</v>
      </c>
      <c r="L60" s="160"/>
      <c r="M60" s="160">
        <v>6162.26</v>
      </c>
      <c r="N60" s="161">
        <f t="shared" si="4"/>
        <v>940.01</v>
      </c>
    </row>
    <row r="61" spans="1:14" ht="13.8" x14ac:dyDescent="0.3">
      <c r="A61" s="68" t="s">
        <v>362</v>
      </c>
      <c r="B61" s="68" t="s">
        <v>363</v>
      </c>
      <c r="C61" s="68" t="s">
        <v>223</v>
      </c>
      <c r="D61" s="73">
        <v>46682</v>
      </c>
      <c r="E61" s="159">
        <f t="shared" si="3"/>
        <v>46661</v>
      </c>
      <c r="F61" s="68">
        <v>24</v>
      </c>
      <c r="G61" s="68" t="s">
        <v>359</v>
      </c>
      <c r="H61" s="160">
        <v>4848.51</v>
      </c>
      <c r="I61" s="160">
        <v>373.74</v>
      </c>
      <c r="J61" s="160"/>
      <c r="K61" s="160">
        <v>940.01</v>
      </c>
      <c r="L61" s="160"/>
      <c r="M61" s="160">
        <v>6162.26</v>
      </c>
      <c r="N61" s="161">
        <f t="shared" si="4"/>
        <v>940.01</v>
      </c>
    </row>
    <row r="62" spans="1:14" ht="13.8" x14ac:dyDescent="0.3">
      <c r="A62" s="68" t="s">
        <v>362</v>
      </c>
      <c r="B62" s="68" t="s">
        <v>363</v>
      </c>
      <c r="C62" s="68" t="s">
        <v>223</v>
      </c>
      <c r="D62" s="73">
        <v>46713</v>
      </c>
      <c r="E62" s="159">
        <f t="shared" si="3"/>
        <v>46692</v>
      </c>
      <c r="F62" s="68">
        <v>25</v>
      </c>
      <c r="G62" s="68" t="s">
        <v>359</v>
      </c>
      <c r="H62" s="160">
        <v>4864.74</v>
      </c>
      <c r="I62" s="160">
        <v>357.51</v>
      </c>
      <c r="J62" s="160"/>
      <c r="K62" s="160">
        <v>940.01</v>
      </c>
      <c r="L62" s="160"/>
      <c r="M62" s="160">
        <v>6162.26</v>
      </c>
      <c r="N62" s="161">
        <f t="shared" si="4"/>
        <v>940.01</v>
      </c>
    </row>
    <row r="63" spans="1:14" ht="13.8" x14ac:dyDescent="0.3">
      <c r="A63" s="68" t="s">
        <v>362</v>
      </c>
      <c r="B63" s="68" t="s">
        <v>363</v>
      </c>
      <c r="C63" s="68" t="s">
        <v>223</v>
      </c>
      <c r="D63" s="73">
        <v>46743</v>
      </c>
      <c r="E63" s="159">
        <f t="shared" si="3"/>
        <v>46722</v>
      </c>
      <c r="F63" s="68">
        <v>26</v>
      </c>
      <c r="G63" s="68" t="s">
        <v>359</v>
      </c>
      <c r="H63" s="160">
        <v>4904.1899999999996</v>
      </c>
      <c r="I63" s="160">
        <v>318.06</v>
      </c>
      <c r="J63" s="160"/>
      <c r="K63" s="160">
        <v>940.01</v>
      </c>
      <c r="L63" s="160"/>
      <c r="M63" s="160">
        <v>6162.26</v>
      </c>
      <c r="N63" s="161">
        <f t="shared" si="4"/>
        <v>940.01</v>
      </c>
    </row>
    <row r="64" spans="1:14" ht="13.8" x14ac:dyDescent="0.3">
      <c r="A64" s="68" t="s">
        <v>362</v>
      </c>
      <c r="B64" s="68" t="s">
        <v>363</v>
      </c>
      <c r="C64" s="68" t="s">
        <v>223</v>
      </c>
      <c r="D64" s="73">
        <v>46776</v>
      </c>
      <c r="E64" s="159">
        <f t="shared" si="3"/>
        <v>46753</v>
      </c>
      <c r="F64" s="68">
        <v>27</v>
      </c>
      <c r="G64" s="68" t="s">
        <v>359</v>
      </c>
      <c r="H64" s="160">
        <v>4903.22</v>
      </c>
      <c r="I64" s="160">
        <v>319.02999999999997</v>
      </c>
      <c r="J64" s="160"/>
      <c r="K64" s="160">
        <v>940.01</v>
      </c>
      <c r="L64" s="160"/>
      <c r="M64" s="160">
        <v>6162.26</v>
      </c>
      <c r="N64" s="161">
        <f t="shared" si="4"/>
        <v>940.01</v>
      </c>
    </row>
    <row r="65" spans="1:14" ht="13.8" x14ac:dyDescent="0.3">
      <c r="A65" s="68" t="s">
        <v>362</v>
      </c>
      <c r="B65" s="68" t="s">
        <v>363</v>
      </c>
      <c r="C65" s="68" t="s">
        <v>223</v>
      </c>
      <c r="D65" s="73">
        <v>46805</v>
      </c>
      <c r="E65" s="159">
        <f t="shared" si="3"/>
        <v>46784</v>
      </c>
      <c r="F65" s="68">
        <v>28</v>
      </c>
      <c r="G65" s="68" t="s">
        <v>359</v>
      </c>
      <c r="H65" s="160">
        <v>4969.17</v>
      </c>
      <c r="I65" s="160">
        <v>253.08</v>
      </c>
      <c r="J65" s="160"/>
      <c r="K65" s="160">
        <v>940.01</v>
      </c>
      <c r="L65" s="160"/>
      <c r="M65" s="160">
        <v>6162.26</v>
      </c>
      <c r="N65" s="161">
        <f t="shared" si="4"/>
        <v>940.01</v>
      </c>
    </row>
    <row r="66" spans="1:14" ht="13.8" x14ac:dyDescent="0.3">
      <c r="A66" s="68" t="s">
        <v>362</v>
      </c>
      <c r="B66" s="68" t="s">
        <v>363</v>
      </c>
      <c r="C66" s="68" t="s">
        <v>223</v>
      </c>
      <c r="D66" s="73">
        <v>46834</v>
      </c>
      <c r="E66" s="159">
        <f t="shared" si="3"/>
        <v>46813</v>
      </c>
      <c r="F66" s="68">
        <v>29</v>
      </c>
      <c r="G66" s="68" t="s">
        <v>359</v>
      </c>
      <c r="H66" s="160">
        <v>4996.7</v>
      </c>
      <c r="I66" s="160">
        <v>225.55</v>
      </c>
      <c r="J66" s="160"/>
      <c r="K66" s="160">
        <v>940.01</v>
      </c>
      <c r="L66" s="160"/>
      <c r="M66" s="160">
        <v>6162.26</v>
      </c>
      <c r="N66" s="161">
        <f t="shared" si="4"/>
        <v>940.01</v>
      </c>
    </row>
    <row r="67" spans="1:14" ht="13.8" x14ac:dyDescent="0.3">
      <c r="A67" s="68" t="s">
        <v>362</v>
      </c>
      <c r="B67" s="68" t="s">
        <v>363</v>
      </c>
      <c r="C67" s="68" t="s">
        <v>223</v>
      </c>
      <c r="D67" s="73">
        <v>46867</v>
      </c>
      <c r="E67" s="159">
        <f t="shared" si="3"/>
        <v>46844</v>
      </c>
      <c r="F67" s="68">
        <v>30</v>
      </c>
      <c r="G67" s="68" t="s">
        <v>359</v>
      </c>
      <c r="H67" s="160">
        <v>4997.01</v>
      </c>
      <c r="I67" s="160">
        <v>225.24</v>
      </c>
      <c r="J67" s="160"/>
      <c r="K67" s="160">
        <v>940.01</v>
      </c>
      <c r="L67" s="160"/>
      <c r="M67" s="160">
        <v>6162.26</v>
      </c>
      <c r="N67" s="161">
        <f t="shared" si="4"/>
        <v>940.01</v>
      </c>
    </row>
    <row r="68" spans="1:14" ht="13.8" x14ac:dyDescent="0.3">
      <c r="A68" s="68" t="s">
        <v>362</v>
      </c>
      <c r="B68" s="68" t="s">
        <v>363</v>
      </c>
      <c r="C68" s="68" t="s">
        <v>223</v>
      </c>
      <c r="D68" s="73">
        <v>46895</v>
      </c>
      <c r="E68" s="159">
        <f t="shared" si="3"/>
        <v>46874</v>
      </c>
      <c r="F68" s="68">
        <v>31</v>
      </c>
      <c r="G68" s="68" t="s">
        <v>359</v>
      </c>
      <c r="H68" s="160">
        <v>5057.96</v>
      </c>
      <c r="I68" s="160">
        <v>164.29</v>
      </c>
      <c r="J68" s="160"/>
      <c r="K68" s="160">
        <v>940.01</v>
      </c>
      <c r="L68" s="160"/>
      <c r="M68" s="160">
        <v>6162.26</v>
      </c>
      <c r="N68" s="161">
        <f t="shared" si="4"/>
        <v>940.01</v>
      </c>
    </row>
    <row r="69" spans="1:14" ht="13.8" x14ac:dyDescent="0.3">
      <c r="A69" s="68" t="s">
        <v>362</v>
      </c>
      <c r="B69" s="68" t="s">
        <v>363</v>
      </c>
      <c r="C69" s="68" t="s">
        <v>223</v>
      </c>
      <c r="D69" s="73">
        <v>46926</v>
      </c>
      <c r="E69" s="159">
        <f t="shared" si="3"/>
        <v>46905</v>
      </c>
      <c r="F69" s="68">
        <v>32</v>
      </c>
      <c r="G69" s="68" t="s">
        <v>359</v>
      </c>
      <c r="H69" s="160">
        <v>5070.26</v>
      </c>
      <c r="I69" s="160">
        <v>151.99</v>
      </c>
      <c r="J69" s="160"/>
      <c r="K69" s="160">
        <v>940.01</v>
      </c>
      <c r="L69" s="160"/>
      <c r="M69" s="160">
        <v>6162.26</v>
      </c>
      <c r="N69" s="161">
        <f t="shared" si="4"/>
        <v>940.01</v>
      </c>
    </row>
    <row r="70" spans="1:14" ht="13.8" x14ac:dyDescent="0.3">
      <c r="A70" s="68" t="s">
        <v>362</v>
      </c>
      <c r="B70" s="68" t="s">
        <v>363</v>
      </c>
      <c r="C70" s="68" t="s">
        <v>223</v>
      </c>
      <c r="D70" s="73">
        <v>46958</v>
      </c>
      <c r="E70" s="159">
        <f t="shared" si="3"/>
        <v>46935</v>
      </c>
      <c r="F70" s="68">
        <v>33</v>
      </c>
      <c r="G70" s="68" t="s">
        <v>359</v>
      </c>
      <c r="H70" s="160">
        <v>5096.3599999999997</v>
      </c>
      <c r="I70" s="160">
        <v>125.89</v>
      </c>
      <c r="J70" s="160"/>
      <c r="K70" s="160">
        <v>940.01</v>
      </c>
      <c r="L70" s="160"/>
      <c r="M70" s="160">
        <v>6162.26</v>
      </c>
      <c r="N70" s="161">
        <f t="shared" si="4"/>
        <v>940.01</v>
      </c>
    </row>
    <row r="71" spans="1:14" ht="13.8" x14ac:dyDescent="0.3">
      <c r="A71" s="68" t="s">
        <v>362</v>
      </c>
      <c r="B71" s="68" t="s">
        <v>363</v>
      </c>
      <c r="C71" s="68" t="s">
        <v>223</v>
      </c>
      <c r="D71" s="73">
        <v>46987</v>
      </c>
      <c r="E71" s="159">
        <f t="shared" si="3"/>
        <v>46966</v>
      </c>
      <c r="F71" s="68">
        <v>34</v>
      </c>
      <c r="G71" s="68" t="s">
        <v>359</v>
      </c>
      <c r="H71" s="160">
        <v>5136.43</v>
      </c>
      <c r="I71" s="160">
        <v>85.82</v>
      </c>
      <c r="J71" s="160"/>
      <c r="K71" s="160">
        <v>940.01</v>
      </c>
      <c r="L71" s="160"/>
      <c r="M71" s="160">
        <v>6162.26</v>
      </c>
      <c r="N71" s="161">
        <f t="shared" si="4"/>
        <v>940.01</v>
      </c>
    </row>
    <row r="72" spans="1:14" ht="13.8" x14ac:dyDescent="0.3">
      <c r="A72" s="68" t="s">
        <v>362</v>
      </c>
      <c r="B72" s="68" t="s">
        <v>363</v>
      </c>
      <c r="C72" s="68" t="s">
        <v>223</v>
      </c>
      <c r="D72" s="73">
        <v>47018</v>
      </c>
      <c r="E72" s="159">
        <f t="shared" si="3"/>
        <v>46997</v>
      </c>
      <c r="F72" s="68">
        <v>35</v>
      </c>
      <c r="G72" s="68" t="s">
        <v>359</v>
      </c>
      <c r="H72" s="160">
        <v>5160.92</v>
      </c>
      <c r="I72" s="160">
        <v>61.33</v>
      </c>
      <c r="J72" s="160"/>
      <c r="K72" s="160">
        <v>940.01</v>
      </c>
      <c r="L72" s="160"/>
      <c r="M72" s="160">
        <v>6162.26</v>
      </c>
      <c r="N72" s="161">
        <f t="shared" si="4"/>
        <v>940.01</v>
      </c>
    </row>
    <row r="73" spans="1:14" ht="13.8" x14ac:dyDescent="0.3">
      <c r="A73" s="68" t="s">
        <v>362</v>
      </c>
      <c r="B73" s="68" t="s">
        <v>363</v>
      </c>
      <c r="C73" s="68" t="s">
        <v>223</v>
      </c>
      <c r="D73" s="73">
        <v>47049</v>
      </c>
      <c r="E73" s="159">
        <f t="shared" si="3"/>
        <v>47027</v>
      </c>
      <c r="F73" s="68">
        <v>36</v>
      </c>
      <c r="G73" s="68" t="s">
        <v>359</v>
      </c>
      <c r="H73" s="160">
        <v>5191.55</v>
      </c>
      <c r="I73" s="160">
        <v>30.76</v>
      </c>
      <c r="J73" s="160"/>
      <c r="K73" s="160">
        <v>940.02</v>
      </c>
      <c r="L73" s="160"/>
      <c r="M73" s="160">
        <v>6162.33</v>
      </c>
      <c r="N73" s="161">
        <f t="shared" si="4"/>
        <v>940.02</v>
      </c>
    </row>
    <row r="74" spans="1:14" ht="13.8" x14ac:dyDescent="0.3">
      <c r="A74" s="18" t="s">
        <v>360</v>
      </c>
      <c r="B74" s="19"/>
      <c r="C74" s="19"/>
      <c r="D74" s="19"/>
      <c r="E74" s="19"/>
      <c r="F74" s="19"/>
      <c r="G74" s="19"/>
      <c r="H74" s="162">
        <f t="shared" ref="H74:N74" si="5">SUM(H49:H73)</f>
        <v>121180.63999999998</v>
      </c>
      <c r="I74" s="162">
        <f t="shared" si="5"/>
        <v>9375.6699999999983</v>
      </c>
      <c r="J74" s="162">
        <f t="shared" si="5"/>
        <v>0</v>
      </c>
      <c r="K74" s="162">
        <f t="shared" si="5"/>
        <v>23500.259999999991</v>
      </c>
      <c r="L74" s="162">
        <f t="shared" si="5"/>
        <v>0</v>
      </c>
      <c r="M74" s="162">
        <f t="shared" si="5"/>
        <v>154056.56999999998</v>
      </c>
      <c r="N74" s="162">
        <f t="shared" si="5"/>
        <v>23500.259999999991</v>
      </c>
    </row>
    <row r="77" spans="1:14" ht="13.8" x14ac:dyDescent="0.3">
      <c r="A77" s="12" t="s">
        <v>453</v>
      </c>
      <c r="B77" s="12"/>
      <c r="C77" s="12"/>
      <c r="D77" s="12"/>
      <c r="E77" s="12"/>
      <c r="F77" s="12"/>
      <c r="G77" s="12"/>
      <c r="H77" s="12"/>
      <c r="I77" s="12"/>
      <c r="J77" s="12"/>
      <c r="K77" s="12"/>
      <c r="L77" s="12"/>
      <c r="M77" s="12"/>
      <c r="N77" s="12"/>
    </row>
    <row r="78" spans="1:14" ht="13.8" x14ac:dyDescent="0.3">
      <c r="A78" s="158" t="s">
        <v>348</v>
      </c>
      <c r="B78" s="158" t="s">
        <v>349</v>
      </c>
      <c r="C78" s="158" t="s">
        <v>217</v>
      </c>
      <c r="D78" s="158" t="s">
        <v>350</v>
      </c>
      <c r="E78" s="158" t="s">
        <v>351</v>
      </c>
      <c r="F78" s="158" t="s">
        <v>352</v>
      </c>
      <c r="G78" s="158" t="s">
        <v>353</v>
      </c>
      <c r="H78" s="158" t="s">
        <v>68</v>
      </c>
      <c r="I78" s="158" t="s">
        <v>70</v>
      </c>
      <c r="J78" s="158" t="s">
        <v>354</v>
      </c>
      <c r="K78" s="158" t="s">
        <v>90</v>
      </c>
      <c r="L78" s="158" t="s">
        <v>355</v>
      </c>
      <c r="M78" s="158" t="s">
        <v>356</v>
      </c>
      <c r="N78" s="158" t="s">
        <v>357</v>
      </c>
    </row>
    <row r="79" spans="1:14" ht="13.8" x14ac:dyDescent="0.3">
      <c r="A79" s="68" t="str">
        <f>Supuestos!$A$35</f>
        <v>CAMIONES 1</v>
      </c>
      <c r="B79" s="68" t="s">
        <v>452</v>
      </c>
      <c r="C79" s="68" t="str">
        <f>Supuestos!$B$35</f>
        <v>LEASING</v>
      </c>
      <c r="D79" s="73">
        <f>EDATE(Supuestos!$H$35,F79-1)</f>
        <v>46327</v>
      </c>
      <c r="E79" s="159">
        <f>DATE(YEAR(D79),MONTH(D79),1)</f>
        <v>46327</v>
      </c>
      <c r="F79" s="68">
        <v>1</v>
      </c>
      <c r="G79" s="68" t="s">
        <v>359</v>
      </c>
      <c r="H79" s="291">
        <f>M79-I79</f>
        <v>26380.97011138111</v>
      </c>
      <c r="I79" s="291">
        <f>Supuestos!$C$35*Supuestos!$F$35</f>
        <v>5936.852656775538</v>
      </c>
      <c r="J79" s="291">
        <v>0</v>
      </c>
      <c r="K79" s="291">
        <v>0</v>
      </c>
      <c r="L79" s="291">
        <v>0</v>
      </c>
      <c r="M79" s="291">
        <f>Supuestos!$G$35</f>
        <v>32317.822768156646</v>
      </c>
      <c r="N79" s="292">
        <f>SUM(J79:L79)</f>
        <v>0</v>
      </c>
    </row>
    <row r="80" spans="1:14" ht="13.8" x14ac:dyDescent="0.3">
      <c r="A80" s="68" t="str">
        <f>Supuestos!$A$35</f>
        <v>CAMIONES 1</v>
      </c>
      <c r="B80" s="68" t="s">
        <v>452</v>
      </c>
      <c r="C80" s="68" t="str">
        <f>Supuestos!$B$35</f>
        <v>LEASING</v>
      </c>
      <c r="D80" s="73">
        <f>EDATE(Supuestos!$H$35,F80-1)</f>
        <v>46357</v>
      </c>
      <c r="E80" s="159">
        <f>DATE(YEAR(D80),MONTH(D80),1)</f>
        <v>46357</v>
      </c>
      <c r="F80" s="68">
        <v>2</v>
      </c>
      <c r="G80" s="68" t="s">
        <v>359</v>
      </c>
      <c r="H80" s="291">
        <f>M80-I80</f>
        <v>26530.13195185165</v>
      </c>
      <c r="I80" s="291">
        <f>(Supuestos!$C$35-SUM($H$79:H79))*Supuestos!$F$35</f>
        <v>5787.6908163049957</v>
      </c>
      <c r="J80" s="291">
        <v>0</v>
      </c>
      <c r="K80" s="291">
        <v>0</v>
      </c>
      <c r="L80" s="291">
        <v>0</v>
      </c>
      <c r="M80" s="291">
        <f>Supuestos!$G$35</f>
        <v>32317.822768156646</v>
      </c>
      <c r="N80" s="292">
        <f>SUM(J80:L80)</f>
        <v>0</v>
      </c>
    </row>
    <row r="81" spans="1:14" ht="13.8" x14ac:dyDescent="0.3">
      <c r="A81" s="68" t="str">
        <f>Supuestos!$A$35</f>
        <v>CAMIONES 1</v>
      </c>
      <c r="B81" s="68" t="s">
        <v>452</v>
      </c>
      <c r="C81" s="68" t="str">
        <f>Supuestos!$B$35</f>
        <v>LEASING</v>
      </c>
      <c r="D81" s="73">
        <f>EDATE(Supuestos!$H$35,F81-1)</f>
        <v>46388</v>
      </c>
      <c r="E81" s="159">
        <f>DATE(YEAR(D81),MONTH(D81),1)</f>
        <v>46388</v>
      </c>
      <c r="F81" s="68">
        <v>3</v>
      </c>
      <c r="G81" s="68" t="s">
        <v>359</v>
      </c>
      <c r="H81" s="291">
        <f>M81-I81</f>
        <v>26680.137175054464</v>
      </c>
      <c r="I81" s="291">
        <f>(Supuestos!$C$35-SUM($H$79:H80))*Supuestos!$F$35</f>
        <v>5637.6855931021801</v>
      </c>
      <c r="J81" s="291">
        <v>0</v>
      </c>
      <c r="K81" s="291">
        <v>0</v>
      </c>
      <c r="L81" s="291">
        <v>0</v>
      </c>
      <c r="M81" s="291">
        <f>Supuestos!$G$35</f>
        <v>32317.822768156646</v>
      </c>
      <c r="N81" s="292">
        <f>SUM(J81:L81)</f>
        <v>0</v>
      </c>
    </row>
    <row r="82" spans="1:14" ht="13.8" x14ac:dyDescent="0.3">
      <c r="A82" s="68" t="str">
        <f>Supuestos!$A$35</f>
        <v>CAMIONES 1</v>
      </c>
      <c r="B82" s="68" t="s">
        <v>452</v>
      </c>
      <c r="C82" s="68" t="str">
        <f>Supuestos!$B$35</f>
        <v>LEASING</v>
      </c>
      <c r="D82" s="73">
        <f>EDATE(Supuestos!$H$35,F82-1)</f>
        <v>46419</v>
      </c>
      <c r="E82" s="159">
        <f>DATE(YEAR(D82),MONTH(D82),1)</f>
        <v>46419</v>
      </c>
      <c r="F82" s="68">
        <v>4</v>
      </c>
      <c r="G82" s="68" t="s">
        <v>359</v>
      </c>
      <c r="H82" s="291">
        <f>M82-I82</f>
        <v>26830.99054959814</v>
      </c>
      <c r="I82" s="291">
        <f>(Supuestos!$C$35-SUM($H$79:H81))*Supuestos!$F$35</f>
        <v>5486.8322185585066</v>
      </c>
      <c r="J82" s="291">
        <v>0</v>
      </c>
      <c r="K82" s="291">
        <v>0</v>
      </c>
      <c r="L82" s="291">
        <v>0</v>
      </c>
      <c r="M82" s="291">
        <f>Supuestos!$G$35</f>
        <v>32317.822768156646</v>
      </c>
      <c r="N82" s="292">
        <f>SUM(J82:L82)</f>
        <v>0</v>
      </c>
    </row>
    <row r="83" spans="1:14" ht="13.8" x14ac:dyDescent="0.3">
      <c r="A83" s="68" t="str">
        <f>Supuestos!$A$35</f>
        <v>CAMIONES 1</v>
      </c>
      <c r="B83" s="68" t="s">
        <v>452</v>
      </c>
      <c r="C83" s="68" t="str">
        <f>Supuestos!$B$35</f>
        <v>LEASING</v>
      </c>
      <c r="D83" s="73">
        <f>EDATE(Supuestos!$H$35,F83-1)</f>
        <v>46447</v>
      </c>
      <c r="E83" s="159">
        <f>DATE(YEAR(D83),MONTH(D83),1)</f>
        <v>46447</v>
      </c>
      <c r="F83" s="68">
        <v>5</v>
      </c>
      <c r="G83" s="68" t="s">
        <v>359</v>
      </c>
      <c r="H83" s="291">
        <f>M83-I83</f>
        <v>26982.696871053664</v>
      </c>
      <c r="I83" s="291">
        <f>(Supuestos!$C$35-SUM($H$79:H82))*Supuestos!$F$35</f>
        <v>5335.125897102982</v>
      </c>
      <c r="J83" s="291">
        <v>0</v>
      </c>
      <c r="K83" s="291">
        <v>0</v>
      </c>
      <c r="L83" s="291">
        <v>0</v>
      </c>
      <c r="M83" s="291">
        <f>Supuestos!$G$35</f>
        <v>32317.822768156646</v>
      </c>
      <c r="N83" s="292">
        <f>SUM(J83:L83)</f>
        <v>0</v>
      </c>
    </row>
    <row r="84" spans="1:14" ht="13.8" x14ac:dyDescent="0.3">
      <c r="A84" s="68" t="str">
        <f>Supuestos!$A$35</f>
        <v>CAMIONES 1</v>
      </c>
      <c r="B84" s="68" t="s">
        <v>452</v>
      </c>
      <c r="C84" s="68" t="str">
        <f>Supuestos!$B$35</f>
        <v>LEASING</v>
      </c>
      <c r="D84" s="73">
        <f>EDATE(Supuestos!$H$35,F84-1)</f>
        <v>46478</v>
      </c>
      <c r="E84" s="159">
        <f>DATE(YEAR(D84),MONTH(D84),1)</f>
        <v>46478</v>
      </c>
      <c r="F84" s="68">
        <v>6</v>
      </c>
      <c r="G84" s="68" t="s">
        <v>359</v>
      </c>
      <c r="H84" s="291">
        <f>M84-I84</f>
        <v>27135.260962106888</v>
      </c>
      <c r="I84" s="291">
        <f>(Supuestos!$C$35-SUM($H$79:H83))*Supuestos!$F$35</f>
        <v>5182.5618060497591</v>
      </c>
      <c r="J84" s="291">
        <v>0</v>
      </c>
      <c r="K84" s="291">
        <v>0</v>
      </c>
      <c r="L84" s="291">
        <v>0</v>
      </c>
      <c r="M84" s="291">
        <f>Supuestos!$G$35</f>
        <v>32317.822768156646</v>
      </c>
      <c r="N84" s="292">
        <f>SUM(J84:L84)</f>
        <v>0</v>
      </c>
    </row>
    <row r="85" spans="1:14" ht="13.8" x14ac:dyDescent="0.3">
      <c r="A85" s="68" t="str">
        <f>Supuestos!$A$35</f>
        <v>CAMIONES 1</v>
      </c>
      <c r="B85" s="68" t="s">
        <v>452</v>
      </c>
      <c r="C85" s="68" t="str">
        <f>Supuestos!$B$35</f>
        <v>LEASING</v>
      </c>
      <c r="D85" s="73">
        <f>EDATE(Supuestos!$H$35,F85-1)</f>
        <v>46508</v>
      </c>
      <c r="E85" s="159">
        <f>DATE(YEAR(D85),MONTH(D85),1)</f>
        <v>46508</v>
      </c>
      <c r="F85" s="68">
        <v>7</v>
      </c>
      <c r="G85" s="68" t="s">
        <v>359</v>
      </c>
      <c r="H85" s="291">
        <f>M85-I85</f>
        <v>27288.687672711822</v>
      </c>
      <c r="I85" s="291">
        <f>(Supuestos!$C$35-SUM($H$79:H84))*Supuestos!$F$35</f>
        <v>5029.1350954448235</v>
      </c>
      <c r="J85" s="291">
        <v>0</v>
      </c>
      <c r="K85" s="291">
        <v>0</v>
      </c>
      <c r="L85" s="291">
        <v>0</v>
      </c>
      <c r="M85" s="291">
        <f>Supuestos!$G$35</f>
        <v>32317.822768156646</v>
      </c>
      <c r="N85" s="292">
        <f>SUM(J85:L85)</f>
        <v>0</v>
      </c>
    </row>
    <row r="86" spans="1:14" ht="13.8" x14ac:dyDescent="0.3">
      <c r="A86" s="68" t="str">
        <f>Supuestos!$A$35</f>
        <v>CAMIONES 1</v>
      </c>
      <c r="B86" s="68" t="s">
        <v>452</v>
      </c>
      <c r="C86" s="68" t="str">
        <f>Supuestos!$B$35</f>
        <v>LEASING</v>
      </c>
      <c r="D86" s="73">
        <f>EDATE(Supuestos!$H$35,F86-1)</f>
        <v>46539</v>
      </c>
      <c r="E86" s="159">
        <f>DATE(YEAR(D86),MONTH(D86),1)</f>
        <v>46539</v>
      </c>
      <c r="F86" s="68">
        <v>8</v>
      </c>
      <c r="G86" s="68" t="s">
        <v>359</v>
      </c>
      <c r="H86" s="291">
        <f>M86-I86</f>
        <v>27442.981880244828</v>
      </c>
      <c r="I86" s="291">
        <f>(Supuestos!$C$35-SUM($H$79:H85))*Supuestos!$F$35</f>
        <v>4874.8408879118169</v>
      </c>
      <c r="J86" s="291">
        <v>0</v>
      </c>
      <c r="K86" s="291">
        <v>0</v>
      </c>
      <c r="L86" s="291">
        <v>0</v>
      </c>
      <c r="M86" s="291">
        <f>Supuestos!$G$35</f>
        <v>32317.822768156646</v>
      </c>
      <c r="N86" s="292">
        <f>SUM(J86:L86)</f>
        <v>0</v>
      </c>
    </row>
    <row r="87" spans="1:14" ht="13.8" x14ac:dyDescent="0.3">
      <c r="A87" s="68" t="str">
        <f>Supuestos!$A$35</f>
        <v>CAMIONES 1</v>
      </c>
      <c r="B87" s="68" t="s">
        <v>452</v>
      </c>
      <c r="C87" s="68" t="str">
        <f>Supuestos!$B$35</f>
        <v>LEASING</v>
      </c>
      <c r="D87" s="73">
        <f>EDATE(Supuestos!$H$35,F87-1)</f>
        <v>46569</v>
      </c>
      <c r="E87" s="159">
        <f>DATE(YEAR(D87),MONTH(D87),1)</f>
        <v>46569</v>
      </c>
      <c r="F87" s="68">
        <v>9</v>
      </c>
      <c r="G87" s="68" t="s">
        <v>359</v>
      </c>
      <c r="H87" s="291">
        <f>M87-I87</f>
        <v>27598.148489659663</v>
      </c>
      <c r="I87" s="291">
        <f>(Supuestos!$C$35-SUM($H$79:H86))*Supuestos!$F$35</f>
        <v>4719.6742784969838</v>
      </c>
      <c r="J87" s="291">
        <v>0</v>
      </c>
      <c r="K87" s="291">
        <v>0</v>
      </c>
      <c r="L87" s="291">
        <v>0</v>
      </c>
      <c r="M87" s="291">
        <f>Supuestos!$G$35</f>
        <v>32317.822768156646</v>
      </c>
      <c r="N87" s="292">
        <f>SUM(J87:L87)</f>
        <v>0</v>
      </c>
    </row>
    <row r="88" spans="1:14" ht="13.8" x14ac:dyDescent="0.3">
      <c r="A88" s="68" t="str">
        <f>Supuestos!$A$35</f>
        <v>CAMIONES 1</v>
      </c>
      <c r="B88" s="68" t="s">
        <v>452</v>
      </c>
      <c r="C88" s="68" t="str">
        <f>Supuestos!$B$35</f>
        <v>LEASING</v>
      </c>
      <c r="D88" s="73">
        <f>EDATE(Supuestos!$H$35,F88-1)</f>
        <v>46600</v>
      </c>
      <c r="E88" s="159">
        <f>DATE(YEAR(D88),MONTH(D88),1)</f>
        <v>46600</v>
      </c>
      <c r="F88" s="68">
        <v>10</v>
      </c>
      <c r="G88" s="68" t="s">
        <v>359</v>
      </c>
      <c r="H88" s="291">
        <f>M88-I88</f>
        <v>27754.192433643395</v>
      </c>
      <c r="I88" s="291">
        <f>(Supuestos!$C$35-SUM($H$79:H87))*Supuestos!$F$35</f>
        <v>4563.6303345132492</v>
      </c>
      <c r="J88" s="291">
        <v>0</v>
      </c>
      <c r="K88" s="291">
        <v>0</v>
      </c>
      <c r="L88" s="291">
        <v>0</v>
      </c>
      <c r="M88" s="291">
        <f>Supuestos!$G$35</f>
        <v>32317.822768156646</v>
      </c>
      <c r="N88" s="292">
        <f>SUM(J88:L88)</f>
        <v>0</v>
      </c>
    </row>
    <row r="89" spans="1:14" ht="13.8" x14ac:dyDescent="0.3">
      <c r="A89" s="68" t="str">
        <f>Supuestos!$A$35</f>
        <v>CAMIONES 1</v>
      </c>
      <c r="B89" s="68" t="s">
        <v>452</v>
      </c>
      <c r="C89" s="68" t="str">
        <f>Supuestos!$B$35</f>
        <v>LEASING</v>
      </c>
      <c r="D89" s="73">
        <f>EDATE(Supuestos!$H$35,F89-1)</f>
        <v>46631</v>
      </c>
      <c r="E89" s="159">
        <f>DATE(YEAR(D89),MONTH(D89),1)</f>
        <v>46631</v>
      </c>
      <c r="F89" s="68">
        <v>11</v>
      </c>
      <c r="G89" s="68" t="s">
        <v>359</v>
      </c>
      <c r="H89" s="291">
        <f>M89-I89</f>
        <v>27911.118672773242</v>
      </c>
      <c r="I89" s="291">
        <f>(Supuestos!$C$35-SUM($H$79:H88))*Supuestos!$F$35</f>
        <v>4406.7040953834057</v>
      </c>
      <c r="J89" s="291">
        <v>0</v>
      </c>
      <c r="K89" s="291">
        <v>0</v>
      </c>
      <c r="L89" s="291">
        <v>0</v>
      </c>
      <c r="M89" s="291">
        <f>Supuestos!$G$35</f>
        <v>32317.822768156646</v>
      </c>
      <c r="N89" s="292">
        <f>SUM(J89:L89)</f>
        <v>0</v>
      </c>
    </row>
    <row r="90" spans="1:14" ht="13.8" x14ac:dyDescent="0.3">
      <c r="A90" s="68" t="str">
        <f>Supuestos!$A$35</f>
        <v>CAMIONES 1</v>
      </c>
      <c r="B90" s="68" t="s">
        <v>452</v>
      </c>
      <c r="C90" s="68" t="str">
        <f>Supuestos!$B$35</f>
        <v>LEASING</v>
      </c>
      <c r="D90" s="73">
        <f>EDATE(Supuestos!$H$35,F90-1)</f>
        <v>46661</v>
      </c>
      <c r="E90" s="159">
        <f>DATE(YEAR(D90),MONTH(D90),1)</f>
        <v>46661</v>
      </c>
      <c r="F90" s="68">
        <v>12</v>
      </c>
      <c r="G90" s="68" t="s">
        <v>359</v>
      </c>
      <c r="H90" s="291">
        <f>M90-I90</f>
        <v>28068.932195674221</v>
      </c>
      <c r="I90" s="291">
        <f>(Supuestos!$C$35-SUM($H$79:H89))*Supuestos!$F$35</f>
        <v>4248.8905724824235</v>
      </c>
      <c r="J90" s="291">
        <v>0</v>
      </c>
      <c r="K90" s="291">
        <v>0</v>
      </c>
      <c r="L90" s="291">
        <v>0</v>
      </c>
      <c r="M90" s="291">
        <f>Supuestos!$G$35</f>
        <v>32317.822768156646</v>
      </c>
      <c r="N90" s="292">
        <f>SUM(J90:L90)</f>
        <v>0</v>
      </c>
    </row>
    <row r="91" spans="1:14" ht="13.8" x14ac:dyDescent="0.3">
      <c r="A91" s="68" t="str">
        <f>Supuestos!$A$35</f>
        <v>CAMIONES 1</v>
      </c>
      <c r="B91" s="68" t="s">
        <v>452</v>
      </c>
      <c r="C91" s="68" t="str">
        <f>Supuestos!$B$35</f>
        <v>LEASING</v>
      </c>
      <c r="D91" s="73">
        <f>EDATE(Supuestos!$H$35,F91-1)</f>
        <v>46692</v>
      </c>
      <c r="E91" s="159">
        <f>DATE(YEAR(D91),MONTH(D91),1)</f>
        <v>46692</v>
      </c>
      <c r="F91" s="68">
        <v>13</v>
      </c>
      <c r="G91" s="68" t="s">
        <v>359</v>
      </c>
      <c r="H91" s="291">
        <f>M91-I91</f>
        <v>28227.638019177786</v>
      </c>
      <c r="I91" s="291">
        <f>(Supuestos!$C$35-SUM($H$79:H90))*Supuestos!$F$35</f>
        <v>4090.1847489788615</v>
      </c>
      <c r="J91" s="291">
        <v>0</v>
      </c>
      <c r="K91" s="291">
        <v>0</v>
      </c>
      <c r="L91" s="291">
        <v>0</v>
      </c>
      <c r="M91" s="291">
        <f>Supuestos!$G$35</f>
        <v>32317.822768156646</v>
      </c>
      <c r="N91" s="292">
        <f>SUM(J91:L91)</f>
        <v>0</v>
      </c>
    </row>
    <row r="92" spans="1:14" ht="13.8" x14ac:dyDescent="0.3">
      <c r="A92" s="68" t="str">
        <f>Supuestos!$A$35</f>
        <v>CAMIONES 1</v>
      </c>
      <c r="B92" s="68" t="s">
        <v>452</v>
      </c>
      <c r="C92" s="68" t="str">
        <f>Supuestos!$B$35</f>
        <v>LEASING</v>
      </c>
      <c r="D92" s="73">
        <f>EDATE(Supuestos!$H$35,F92-1)</f>
        <v>46722</v>
      </c>
      <c r="E92" s="159">
        <f>DATE(YEAR(D92),MONTH(D92),1)</f>
        <v>46722</v>
      </c>
      <c r="F92" s="68">
        <v>14</v>
      </c>
      <c r="G92" s="68" t="s">
        <v>359</v>
      </c>
      <c r="H92" s="291">
        <f>M92-I92</f>
        <v>28387.241188481265</v>
      </c>
      <c r="I92" s="291">
        <f>(Supuestos!$C$35-SUM($H$79:H91))*Supuestos!$F$35</f>
        <v>3930.5815796753814</v>
      </c>
      <c r="J92" s="291">
        <v>0</v>
      </c>
      <c r="K92" s="291">
        <v>0</v>
      </c>
      <c r="L92" s="291">
        <v>0</v>
      </c>
      <c r="M92" s="291">
        <f>Supuestos!$G$35</f>
        <v>32317.822768156646</v>
      </c>
      <c r="N92" s="292">
        <f>SUM(J92:L92)</f>
        <v>0</v>
      </c>
    </row>
    <row r="93" spans="1:14" ht="13.8" x14ac:dyDescent="0.3">
      <c r="A93" s="68" t="str">
        <f>Supuestos!$A$35</f>
        <v>CAMIONES 1</v>
      </c>
      <c r="B93" s="68" t="s">
        <v>452</v>
      </c>
      <c r="C93" s="68" t="str">
        <f>Supuestos!$B$35</f>
        <v>LEASING</v>
      </c>
      <c r="D93" s="73">
        <f>EDATE(Supuestos!$H$35,F93-1)</f>
        <v>46753</v>
      </c>
      <c r="E93" s="159">
        <f>DATE(YEAR(D93),MONTH(D93),1)</f>
        <v>46753</v>
      </c>
      <c r="F93" s="68">
        <v>15</v>
      </c>
      <c r="G93" s="68" t="s">
        <v>359</v>
      </c>
      <c r="H93" s="291">
        <f>M93-I93</f>
        <v>28547.746777308275</v>
      </c>
      <c r="I93" s="291">
        <f>(Supuestos!$C$35-SUM($H$79:H92))*Supuestos!$F$35</f>
        <v>3770.0759908483692</v>
      </c>
      <c r="J93" s="291">
        <v>0</v>
      </c>
      <c r="K93" s="291">
        <v>0</v>
      </c>
      <c r="L93" s="291">
        <v>0</v>
      </c>
      <c r="M93" s="291">
        <f>Supuestos!$G$35</f>
        <v>32317.822768156646</v>
      </c>
      <c r="N93" s="292">
        <f>SUM(J93:L93)</f>
        <v>0</v>
      </c>
    </row>
    <row r="94" spans="1:14" ht="13.8" x14ac:dyDescent="0.3">
      <c r="A94" s="68" t="str">
        <f>Supuestos!$A$35</f>
        <v>CAMIONES 1</v>
      </c>
      <c r="B94" s="68" t="s">
        <v>452</v>
      </c>
      <c r="C94" s="68" t="str">
        <f>Supuestos!$B$35</f>
        <v>LEASING</v>
      </c>
      <c r="D94" s="73">
        <f>EDATE(Supuestos!$H$35,F94-1)</f>
        <v>46784</v>
      </c>
      <c r="E94" s="159">
        <f>DATE(YEAR(D94),MONTH(D94),1)</f>
        <v>46784</v>
      </c>
      <c r="F94" s="68">
        <v>16</v>
      </c>
      <c r="G94" s="68" t="s">
        <v>359</v>
      </c>
      <c r="H94" s="291">
        <f>M94-I94</f>
        <v>28709.159888070008</v>
      </c>
      <c r="I94" s="291">
        <f>(Supuestos!$C$35-SUM($H$79:H93))*Supuestos!$F$35</f>
        <v>3608.6628800866374</v>
      </c>
      <c r="J94" s="291">
        <v>0</v>
      </c>
      <c r="K94" s="291">
        <v>0</v>
      </c>
      <c r="L94" s="291">
        <v>0</v>
      </c>
      <c r="M94" s="291">
        <f>Supuestos!$G$35</f>
        <v>32317.822768156646</v>
      </c>
      <c r="N94" s="292">
        <f>SUM(J94:L94)</f>
        <v>0</v>
      </c>
    </row>
    <row r="95" spans="1:14" ht="13.8" x14ac:dyDescent="0.3">
      <c r="A95" s="68" t="str">
        <f>Supuestos!$A$35</f>
        <v>CAMIONES 1</v>
      </c>
      <c r="B95" s="68" t="s">
        <v>452</v>
      </c>
      <c r="C95" s="68" t="str">
        <f>Supuestos!$B$35</f>
        <v>LEASING</v>
      </c>
      <c r="D95" s="73">
        <f>EDATE(Supuestos!$H$35,F95-1)</f>
        <v>46813</v>
      </c>
      <c r="E95" s="159">
        <f>DATE(YEAR(D95),MONTH(D95),1)</f>
        <v>46813</v>
      </c>
      <c r="F95" s="68">
        <v>17</v>
      </c>
      <c r="G95" s="68" t="s">
        <v>359</v>
      </c>
      <c r="H95" s="291">
        <f>M95-I95</f>
        <v>28871.485652027419</v>
      </c>
      <c r="I95" s="291">
        <f>(Supuestos!$C$35-SUM($H$79:H94))*Supuestos!$F$35</f>
        <v>3446.3371161292262</v>
      </c>
      <c r="J95" s="291">
        <v>0</v>
      </c>
      <c r="K95" s="291">
        <v>0</v>
      </c>
      <c r="L95" s="291">
        <v>0</v>
      </c>
      <c r="M95" s="291">
        <f>Supuestos!$G$35</f>
        <v>32317.822768156646</v>
      </c>
      <c r="N95" s="292">
        <f>SUM(J95:L95)</f>
        <v>0</v>
      </c>
    </row>
    <row r="96" spans="1:14" ht="13.8" x14ac:dyDescent="0.3">
      <c r="A96" s="68" t="str">
        <f>Supuestos!$A$35</f>
        <v>CAMIONES 1</v>
      </c>
      <c r="B96" s="68" t="s">
        <v>452</v>
      </c>
      <c r="C96" s="68" t="str">
        <f>Supuestos!$B$35</f>
        <v>LEASING</v>
      </c>
      <c r="D96" s="73">
        <f>EDATE(Supuestos!$H$35,F96-1)</f>
        <v>46844</v>
      </c>
      <c r="E96" s="159">
        <f>DATE(YEAR(D96),MONTH(D96),1)</f>
        <v>46844</v>
      </c>
      <c r="F96" s="68">
        <v>18</v>
      </c>
      <c r="G96" s="68" t="s">
        <v>359</v>
      </c>
      <c r="H96" s="291">
        <f>M96-I96</f>
        <v>29034.729229454369</v>
      </c>
      <c r="I96" s="291">
        <f>(Supuestos!$C$35-SUM($H$79:H95))*Supuestos!$F$35</f>
        <v>3283.0935387022778</v>
      </c>
      <c r="J96" s="291">
        <v>0</v>
      </c>
      <c r="K96" s="291">
        <v>0</v>
      </c>
      <c r="L96" s="291">
        <v>0</v>
      </c>
      <c r="M96" s="291">
        <f>Supuestos!$G$35</f>
        <v>32317.822768156646</v>
      </c>
      <c r="N96" s="292">
        <f>SUM(J96:L96)</f>
        <v>0</v>
      </c>
    </row>
    <row r="97" spans="1:14" ht="13.8" x14ac:dyDescent="0.3">
      <c r="A97" s="68" t="str">
        <f>Supuestos!$A$35</f>
        <v>CAMIONES 1</v>
      </c>
      <c r="B97" s="68" t="s">
        <v>452</v>
      </c>
      <c r="C97" s="68" t="str">
        <f>Supuestos!$B$35</f>
        <v>LEASING</v>
      </c>
      <c r="D97" s="73">
        <f>EDATE(Supuestos!$H$35,F97-1)</f>
        <v>46874</v>
      </c>
      <c r="E97" s="159">
        <f>DATE(YEAR(D97),MONTH(D97),1)</f>
        <v>46874</v>
      </c>
      <c r="F97" s="68">
        <v>19</v>
      </c>
      <c r="G97" s="68" t="s">
        <v>359</v>
      </c>
      <c r="H97" s="291">
        <f>M97-I97</f>
        <v>29198.895809801648</v>
      </c>
      <c r="I97" s="291">
        <f>(Supuestos!$C$35-SUM($H$79:H96))*Supuestos!$F$35</f>
        <v>3118.9269583549976</v>
      </c>
      <c r="J97" s="291">
        <v>0</v>
      </c>
      <c r="K97" s="291">
        <v>0</v>
      </c>
      <c r="L97" s="291">
        <v>0</v>
      </c>
      <c r="M97" s="291">
        <f>Supuestos!$G$35</f>
        <v>32317.822768156646</v>
      </c>
      <c r="N97" s="292">
        <f>SUM(J97:L97)</f>
        <v>0</v>
      </c>
    </row>
    <row r="98" spans="1:14" ht="13.8" x14ac:dyDescent="0.3">
      <c r="A98" s="68" t="str">
        <f>Supuestos!$A$35</f>
        <v>CAMIONES 1</v>
      </c>
      <c r="B98" s="68" t="s">
        <v>452</v>
      </c>
      <c r="C98" s="68" t="str">
        <f>Supuestos!$B$35</f>
        <v>LEASING</v>
      </c>
      <c r="D98" s="73">
        <f>EDATE(Supuestos!$H$35,F98-1)</f>
        <v>46905</v>
      </c>
      <c r="E98" s="159">
        <f>DATE(YEAR(D98),MONTH(D98),1)</f>
        <v>46905</v>
      </c>
      <c r="F98" s="68">
        <v>20</v>
      </c>
      <c r="G98" s="68" t="s">
        <v>359</v>
      </c>
      <c r="H98" s="291">
        <f>M98-I98</f>
        <v>29363.990611861966</v>
      </c>
      <c r="I98" s="291">
        <f>(Supuestos!$C$35-SUM($H$79:H97))*Supuestos!$F$35</f>
        <v>2953.8321562946799</v>
      </c>
      <c r="J98" s="291">
        <v>0</v>
      </c>
      <c r="K98" s="291">
        <v>0</v>
      </c>
      <c r="L98" s="291">
        <v>0</v>
      </c>
      <c r="M98" s="291">
        <f>Supuestos!$G$35</f>
        <v>32317.822768156646</v>
      </c>
      <c r="N98" s="292">
        <f>SUM(J98:L98)</f>
        <v>0</v>
      </c>
    </row>
    <row r="99" spans="1:14" ht="13.8" x14ac:dyDescent="0.3">
      <c r="A99" s="68" t="str">
        <f>Supuestos!$A$35</f>
        <v>CAMIONES 1</v>
      </c>
      <c r="B99" s="68" t="s">
        <v>452</v>
      </c>
      <c r="C99" s="68" t="str">
        <f>Supuestos!$B$35</f>
        <v>LEASING</v>
      </c>
      <c r="D99" s="73">
        <f>EDATE(Supuestos!$H$35,F99-1)</f>
        <v>46935</v>
      </c>
      <c r="E99" s="159">
        <f>DATE(YEAR(D99),MONTH(D99),1)</f>
        <v>46935</v>
      </c>
      <c r="F99" s="68">
        <v>21</v>
      </c>
      <c r="G99" s="68" t="s">
        <v>359</v>
      </c>
      <c r="H99" s="291">
        <f>M99-I99</f>
        <v>29530.018883935838</v>
      </c>
      <c r="I99" s="291">
        <f>(Supuestos!$C$35-SUM($H$79:H98))*Supuestos!$F$35</f>
        <v>2787.8038842208089</v>
      </c>
      <c r="J99" s="291">
        <v>0</v>
      </c>
      <c r="K99" s="291">
        <v>0</v>
      </c>
      <c r="L99" s="291">
        <v>0</v>
      </c>
      <c r="M99" s="291">
        <f>Supuestos!$G$35</f>
        <v>32317.822768156646</v>
      </c>
      <c r="N99" s="292">
        <f>SUM(J99:L99)</f>
        <v>0</v>
      </c>
    </row>
    <row r="100" spans="1:14" ht="13.8" x14ac:dyDescent="0.3">
      <c r="A100" s="68" t="str">
        <f>Supuestos!$A$35</f>
        <v>CAMIONES 1</v>
      </c>
      <c r="B100" s="68" t="s">
        <v>452</v>
      </c>
      <c r="C100" s="68" t="str">
        <f>Supuestos!$B$35</f>
        <v>LEASING</v>
      </c>
      <c r="D100" s="73">
        <f>EDATE(Supuestos!$H$35,F100-1)</f>
        <v>46966</v>
      </c>
      <c r="E100" s="159">
        <f>DATE(YEAR(D100),MONTH(D100),1)</f>
        <v>46966</v>
      </c>
      <c r="F100" s="68">
        <v>22</v>
      </c>
      <c r="G100" s="68" t="s">
        <v>359</v>
      </c>
      <c r="H100" s="291">
        <f>M100-I100</f>
        <v>29696.985903998433</v>
      </c>
      <c r="I100" s="291">
        <f>(Supuestos!$C$35-SUM($H$79:H99))*Supuestos!$F$35</f>
        <v>2620.8368641582119</v>
      </c>
      <c r="J100" s="291">
        <v>0</v>
      </c>
      <c r="K100" s="291">
        <v>0</v>
      </c>
      <c r="L100" s="291">
        <v>0</v>
      </c>
      <c r="M100" s="291">
        <f>Supuestos!$G$35</f>
        <v>32317.822768156646</v>
      </c>
      <c r="N100" s="292">
        <f>SUM(J100:L100)</f>
        <v>0</v>
      </c>
    </row>
    <row r="101" spans="1:14" ht="13.8" x14ac:dyDescent="0.3">
      <c r="A101" s="68" t="str">
        <f>Supuestos!$A$35</f>
        <v>CAMIONES 1</v>
      </c>
      <c r="B101" s="68" t="s">
        <v>452</v>
      </c>
      <c r="C101" s="68" t="str">
        <f>Supuestos!$B$35</f>
        <v>LEASING</v>
      </c>
      <c r="D101" s="73">
        <f>EDATE(Supuestos!$H$35,F101-1)</f>
        <v>46997</v>
      </c>
      <c r="E101" s="159">
        <f>DATE(YEAR(D101),MONTH(D101),1)</f>
        <v>46997</v>
      </c>
      <c r="F101" s="68">
        <v>23</v>
      </c>
      <c r="G101" s="68" t="s">
        <v>359</v>
      </c>
      <c r="H101" s="291">
        <f>M101-I101</f>
        <v>29864.896979867364</v>
      </c>
      <c r="I101" s="291">
        <f>(Supuestos!$C$35-SUM($H$79:H100))*Supuestos!$F$35</f>
        <v>2452.9257882892798</v>
      </c>
      <c r="J101" s="291">
        <v>0</v>
      </c>
      <c r="K101" s="291">
        <v>0</v>
      </c>
      <c r="L101" s="291">
        <v>0</v>
      </c>
      <c r="M101" s="291">
        <f>Supuestos!$G$35</f>
        <v>32317.822768156646</v>
      </c>
      <c r="N101" s="292">
        <f>SUM(J101:L101)</f>
        <v>0</v>
      </c>
    </row>
    <row r="102" spans="1:14" ht="13.8" x14ac:dyDescent="0.3">
      <c r="A102" s="68" t="str">
        <f>Supuestos!$A$35</f>
        <v>CAMIONES 1</v>
      </c>
      <c r="B102" s="68" t="s">
        <v>452</v>
      </c>
      <c r="C102" s="68" t="str">
        <f>Supuestos!$B$35</f>
        <v>LEASING</v>
      </c>
      <c r="D102" s="73">
        <f>EDATE(Supuestos!$H$35,F102-1)</f>
        <v>47027</v>
      </c>
      <c r="E102" s="159">
        <f>DATE(YEAR(D102),MONTH(D102),1)</f>
        <v>47027</v>
      </c>
      <c r="F102" s="68">
        <v>24</v>
      </c>
      <c r="G102" s="68" t="s">
        <v>359</v>
      </c>
      <c r="H102" s="291">
        <f>M102-I102</f>
        <v>30033.757449371416</v>
      </c>
      <c r="I102" s="291">
        <f>(Supuestos!$C$35-SUM($H$79:H101))*Supuestos!$F$35</f>
        <v>2284.065318785229</v>
      </c>
      <c r="J102" s="291">
        <v>0</v>
      </c>
      <c r="K102" s="291">
        <v>0</v>
      </c>
      <c r="L102" s="291">
        <v>0</v>
      </c>
      <c r="M102" s="291">
        <f>Supuestos!$G$35</f>
        <v>32317.822768156646</v>
      </c>
      <c r="N102" s="292">
        <f>SUM(J102:L102)</f>
        <v>0</v>
      </c>
    </row>
    <row r="103" spans="1:14" ht="13.8" x14ac:dyDescent="0.3">
      <c r="A103" s="68" t="str">
        <f>Supuestos!$A$35</f>
        <v>CAMIONES 1</v>
      </c>
      <c r="B103" s="68" t="s">
        <v>452</v>
      </c>
      <c r="C103" s="68" t="str">
        <f>Supuestos!$B$35</f>
        <v>LEASING</v>
      </c>
      <c r="D103" s="73">
        <f>EDATE(Supuestos!$H$35,F103-1)</f>
        <v>47058</v>
      </c>
      <c r="E103" s="159">
        <f>DATE(YEAR(D103),MONTH(D103),1)</f>
        <v>47058</v>
      </c>
      <c r="F103" s="68">
        <v>25</v>
      </c>
      <c r="G103" s="68" t="s">
        <v>359</v>
      </c>
      <c r="H103" s="291">
        <f>M103-I103</f>
        <v>30203.572680520228</v>
      </c>
      <c r="I103" s="291">
        <f>(Supuestos!$C$35-SUM($H$79:H102))*Supuestos!$F$35</f>
        <v>2114.250087636417</v>
      </c>
      <c r="J103" s="291">
        <v>0</v>
      </c>
      <c r="K103" s="291">
        <v>0</v>
      </c>
      <c r="L103" s="291">
        <v>0</v>
      </c>
      <c r="M103" s="291">
        <f>Supuestos!$G$35</f>
        <v>32317.822768156646</v>
      </c>
      <c r="N103" s="292">
        <f>SUM(J103:L103)</f>
        <v>0</v>
      </c>
    </row>
    <row r="104" spans="1:14" ht="13.8" x14ac:dyDescent="0.3">
      <c r="A104" s="68" t="str">
        <f>Supuestos!$A$35</f>
        <v>CAMIONES 1</v>
      </c>
      <c r="B104" s="68" t="s">
        <v>452</v>
      </c>
      <c r="C104" s="68" t="str">
        <f>Supuestos!$B$35</f>
        <v>LEASING</v>
      </c>
      <c r="D104" s="73">
        <f>EDATE(Supuestos!$H$35,F104-1)</f>
        <v>47088</v>
      </c>
      <c r="E104" s="159">
        <f>DATE(YEAR(D104),MONTH(D104),1)</f>
        <v>47088</v>
      </c>
      <c r="F104" s="68">
        <v>26</v>
      </c>
      <c r="G104" s="68" t="s">
        <v>359</v>
      </c>
      <c r="H104" s="291">
        <f>M104-I104</f>
        <v>30374.348071674951</v>
      </c>
      <c r="I104" s="291">
        <f>(Supuestos!$C$35-SUM($H$79:H103))*Supuestos!$F$35</f>
        <v>1943.4746964816934</v>
      </c>
      <c r="J104" s="291">
        <v>0</v>
      </c>
      <c r="K104" s="291">
        <v>0</v>
      </c>
      <c r="L104" s="291">
        <v>0</v>
      </c>
      <c r="M104" s="291">
        <f>Supuestos!$G$35</f>
        <v>32317.822768156646</v>
      </c>
      <c r="N104" s="292">
        <f>SUM(J104:L104)</f>
        <v>0</v>
      </c>
    </row>
    <row r="105" spans="1:14" ht="13.8" x14ac:dyDescent="0.3">
      <c r="A105" s="68" t="str">
        <f>Supuestos!$A$35</f>
        <v>CAMIONES 1</v>
      </c>
      <c r="B105" s="68" t="s">
        <v>452</v>
      </c>
      <c r="C105" s="68" t="str">
        <f>Supuestos!$B$35</f>
        <v>LEASING</v>
      </c>
      <c r="D105" s="73">
        <f>EDATE(Supuestos!$H$35,F105-1)</f>
        <v>47119</v>
      </c>
      <c r="E105" s="159">
        <f>DATE(YEAR(D105),MONTH(D105),1)</f>
        <v>47119</v>
      </c>
      <c r="F105" s="68">
        <v>27</v>
      </c>
      <c r="G105" s="68" t="s">
        <v>359</v>
      </c>
      <c r="H105" s="291">
        <f>M105-I105</f>
        <v>30546.089051719857</v>
      </c>
      <c r="I105" s="291">
        <f>(Supuestos!$C$35-SUM($H$79:H104))*Supuestos!$F$35</f>
        <v>1771.7337164367902</v>
      </c>
      <c r="J105" s="291">
        <v>0</v>
      </c>
      <c r="K105" s="291">
        <v>0</v>
      </c>
      <c r="L105" s="291">
        <v>0</v>
      </c>
      <c r="M105" s="291">
        <f>Supuestos!$G$35</f>
        <v>32317.822768156646</v>
      </c>
      <c r="N105" s="292">
        <f>SUM(J105:L105)</f>
        <v>0</v>
      </c>
    </row>
    <row r="106" spans="1:14" ht="13.8" x14ac:dyDescent="0.3">
      <c r="A106" s="68" t="str">
        <f>Supuestos!$A$35</f>
        <v>CAMIONES 1</v>
      </c>
      <c r="B106" s="68" t="s">
        <v>452</v>
      </c>
      <c r="C106" s="68" t="str">
        <f>Supuestos!$B$35</f>
        <v>LEASING</v>
      </c>
      <c r="D106" s="73">
        <f>EDATE(Supuestos!$H$35,F106-1)</f>
        <v>47150</v>
      </c>
      <c r="E106" s="159">
        <f>DATE(YEAR(D106),MONTH(D106),1)</f>
        <v>47150</v>
      </c>
      <c r="F106" s="68">
        <v>28</v>
      </c>
      <c r="G106" s="68" t="s">
        <v>359</v>
      </c>
      <c r="H106" s="291">
        <f>M106-I106</f>
        <v>30718.801080234909</v>
      </c>
      <c r="I106" s="291">
        <f>(Supuestos!$C$35-SUM($H$79:H105))*Supuestos!$F$35</f>
        <v>1599.0216879217376</v>
      </c>
      <c r="J106" s="291">
        <v>0</v>
      </c>
      <c r="K106" s="291">
        <v>0</v>
      </c>
      <c r="L106" s="291">
        <v>0</v>
      </c>
      <c r="M106" s="291">
        <f>Supuestos!$G$35</f>
        <v>32317.822768156646</v>
      </c>
      <c r="N106" s="292">
        <f>SUM(J106:L106)</f>
        <v>0</v>
      </c>
    </row>
    <row r="107" spans="1:14" ht="13.8" x14ac:dyDescent="0.3">
      <c r="A107" s="68" t="str">
        <f>Supuestos!$A$35</f>
        <v>CAMIONES 1</v>
      </c>
      <c r="B107" s="68" t="s">
        <v>452</v>
      </c>
      <c r="C107" s="68" t="str">
        <f>Supuestos!$B$35</f>
        <v>LEASING</v>
      </c>
      <c r="D107" s="73">
        <f>EDATE(Supuestos!$H$35,F107-1)</f>
        <v>47178</v>
      </c>
      <c r="E107" s="159">
        <f>DATE(YEAR(D107),MONTH(D107),1)</f>
        <v>47178</v>
      </c>
      <c r="F107" s="68">
        <v>29</v>
      </c>
      <c r="G107" s="68" t="s">
        <v>359</v>
      </c>
      <c r="H107" s="291">
        <f>M107-I107</f>
        <v>30892.489647669339</v>
      </c>
      <c r="I107" s="291">
        <f>(Supuestos!$C$35-SUM($H$79:H106))*Supuestos!$F$35</f>
        <v>1425.3331204873073</v>
      </c>
      <c r="J107" s="291">
        <v>0</v>
      </c>
      <c r="K107" s="291">
        <v>0</v>
      </c>
      <c r="L107" s="291">
        <v>0</v>
      </c>
      <c r="M107" s="291">
        <f>Supuestos!$G$35</f>
        <v>32317.822768156646</v>
      </c>
      <c r="N107" s="292">
        <f>SUM(J107:L107)</f>
        <v>0</v>
      </c>
    </row>
    <row r="108" spans="1:14" ht="13.8" x14ac:dyDescent="0.3">
      <c r="A108" s="68" t="str">
        <f>Supuestos!$A$35</f>
        <v>CAMIONES 1</v>
      </c>
      <c r="B108" s="68" t="s">
        <v>452</v>
      </c>
      <c r="C108" s="68" t="str">
        <f>Supuestos!$B$35</f>
        <v>LEASING</v>
      </c>
      <c r="D108" s="73">
        <f>EDATE(Supuestos!$H$35,F108-1)</f>
        <v>47209</v>
      </c>
      <c r="E108" s="159">
        <f>DATE(YEAR(D108),MONTH(D108),1)</f>
        <v>47209</v>
      </c>
      <c r="F108" s="68">
        <v>30</v>
      </c>
      <c r="G108" s="68" t="s">
        <v>359</v>
      </c>
      <c r="H108" s="291">
        <f>M108-I108</f>
        <v>31067.160275516173</v>
      </c>
      <c r="I108" s="291">
        <f>(Supuestos!$C$35-SUM($H$79:H107))*Supuestos!$F$35</f>
        <v>1250.6624926404722</v>
      </c>
      <c r="J108" s="291">
        <v>0</v>
      </c>
      <c r="K108" s="291">
        <v>0</v>
      </c>
      <c r="L108" s="291">
        <v>0</v>
      </c>
      <c r="M108" s="291">
        <f>Supuestos!$G$35</f>
        <v>32317.822768156646</v>
      </c>
      <c r="N108" s="292">
        <f>SUM(J108:L108)</f>
        <v>0</v>
      </c>
    </row>
    <row r="109" spans="1:14" ht="13.8" x14ac:dyDescent="0.3">
      <c r="A109" s="68" t="str">
        <f>Supuestos!$A$35</f>
        <v>CAMIONES 1</v>
      </c>
      <c r="B109" s="68" t="s">
        <v>452</v>
      </c>
      <c r="C109" s="68" t="str">
        <f>Supuestos!$B$35</f>
        <v>LEASING</v>
      </c>
      <c r="D109" s="73">
        <f>EDATE(Supuestos!$H$35,F109-1)</f>
        <v>47239</v>
      </c>
      <c r="E109" s="159">
        <f>DATE(YEAR(D109),MONTH(D109),1)</f>
        <v>47239</v>
      </c>
      <c r="F109" s="68">
        <v>31</v>
      </c>
      <c r="G109" s="68" t="s">
        <v>359</v>
      </c>
      <c r="H109" s="291">
        <f>M109-I109</f>
        <v>31242.818516487765</v>
      </c>
      <c r="I109" s="291">
        <f>(Supuestos!$C$35-SUM($H$79:H108))*Supuestos!$F$35</f>
        <v>1075.0042516688818</v>
      </c>
      <c r="J109" s="291">
        <v>0</v>
      </c>
      <c r="K109" s="291">
        <v>0</v>
      </c>
      <c r="L109" s="291">
        <v>0</v>
      </c>
      <c r="M109" s="291">
        <f>Supuestos!$G$35</f>
        <v>32317.822768156646</v>
      </c>
      <c r="N109" s="292">
        <f>SUM(J109:L109)</f>
        <v>0</v>
      </c>
    </row>
    <row r="110" spans="1:14" ht="13.8" x14ac:dyDescent="0.3">
      <c r="A110" s="68" t="str">
        <f>Supuestos!$A$35</f>
        <v>CAMIONES 1</v>
      </c>
      <c r="B110" s="68" t="s">
        <v>452</v>
      </c>
      <c r="C110" s="68" t="str">
        <f>Supuestos!$B$35</f>
        <v>LEASING</v>
      </c>
      <c r="D110" s="73">
        <f>EDATE(Supuestos!$H$35,F110-1)</f>
        <v>47270</v>
      </c>
      <c r="E110" s="159">
        <f>DATE(YEAR(D110),MONTH(D110),1)</f>
        <v>47270</v>
      </c>
      <c r="F110" s="68">
        <v>32</v>
      </c>
      <c r="G110" s="68" t="s">
        <v>359</v>
      </c>
      <c r="H110" s="291">
        <f>M110-I110</f>
        <v>31419.469954692304</v>
      </c>
      <c r="I110" s="291">
        <f>(Supuestos!$C$35-SUM($H$79:H109))*Supuestos!$F$35</f>
        <v>898.35281346434272</v>
      </c>
      <c r="J110" s="291">
        <v>0</v>
      </c>
      <c r="K110" s="291">
        <v>0</v>
      </c>
      <c r="L110" s="291">
        <v>0</v>
      </c>
      <c r="M110" s="291">
        <f>Supuestos!$G$35</f>
        <v>32317.822768156646</v>
      </c>
      <c r="N110" s="292">
        <f>SUM(J110:L110)</f>
        <v>0</v>
      </c>
    </row>
    <row r="111" spans="1:14" ht="13.8" x14ac:dyDescent="0.3">
      <c r="A111" s="68" t="str">
        <f>Supuestos!$A$35</f>
        <v>CAMIONES 1</v>
      </c>
      <c r="B111" s="68" t="s">
        <v>452</v>
      </c>
      <c r="C111" s="68" t="str">
        <f>Supuestos!$B$35</f>
        <v>LEASING</v>
      </c>
      <c r="D111" s="73">
        <f>EDATE(Supuestos!$H$35,F111-1)</f>
        <v>47300</v>
      </c>
      <c r="E111" s="159">
        <f>DATE(YEAR(D111),MONTH(D111),1)</f>
        <v>47300</v>
      </c>
      <c r="F111" s="68">
        <v>33</v>
      </c>
      <c r="G111" s="68" t="s">
        <v>359</v>
      </c>
      <c r="H111" s="291">
        <f>M111-I111</f>
        <v>31597.120205811345</v>
      </c>
      <c r="I111" s="291">
        <f>(Supuestos!$C$35-SUM($H$79:H110))*Supuestos!$F$35</f>
        <v>720.70256234530075</v>
      </c>
      <c r="J111" s="291">
        <v>0</v>
      </c>
      <c r="K111" s="291">
        <v>0</v>
      </c>
      <c r="L111" s="291">
        <v>0</v>
      </c>
      <c r="M111" s="291">
        <f>Supuestos!$G$35</f>
        <v>32317.822768156646</v>
      </c>
      <c r="N111" s="292">
        <f>SUM(J111:L111)</f>
        <v>0</v>
      </c>
    </row>
    <row r="112" spans="1:14" ht="13.8" x14ac:dyDescent="0.3">
      <c r="A112" s="68" t="str">
        <f>Supuestos!$A$35</f>
        <v>CAMIONES 1</v>
      </c>
      <c r="B112" s="68" t="s">
        <v>452</v>
      </c>
      <c r="C112" s="68" t="str">
        <f>Supuestos!$B$35</f>
        <v>LEASING</v>
      </c>
      <c r="D112" s="73">
        <f>EDATE(Supuestos!$H$35,F112-1)</f>
        <v>47331</v>
      </c>
      <c r="E112" s="159">
        <f>DATE(YEAR(D112),MONTH(D112),1)</f>
        <v>47331</v>
      </c>
      <c r="F112" s="68">
        <v>34</v>
      </c>
      <c r="G112" s="68" t="s">
        <v>359</v>
      </c>
      <c r="H112" s="291">
        <f>M112-I112</f>
        <v>31775.774917278322</v>
      </c>
      <c r="I112" s="291">
        <f>(Supuestos!$C$35-SUM($H$79:H111))*Supuestos!$F$35</f>
        <v>542.04785087832261</v>
      </c>
      <c r="J112" s="291">
        <v>0</v>
      </c>
      <c r="K112" s="291">
        <v>0</v>
      </c>
      <c r="L112" s="291">
        <v>0</v>
      </c>
      <c r="M112" s="291">
        <f>Supuestos!$G$35</f>
        <v>32317.822768156646</v>
      </c>
      <c r="N112" s="292">
        <f>SUM(J112:L112)</f>
        <v>0</v>
      </c>
    </row>
    <row r="113" spans="1:14" ht="13.8" x14ac:dyDescent="0.3">
      <c r="A113" s="68" t="str">
        <f>Supuestos!$A$35</f>
        <v>CAMIONES 1</v>
      </c>
      <c r="B113" s="68" t="s">
        <v>452</v>
      </c>
      <c r="C113" s="68" t="str">
        <f>Supuestos!$B$35</f>
        <v>LEASING</v>
      </c>
      <c r="D113" s="73">
        <f>EDATE(Supuestos!$H$35,F113-1)</f>
        <v>47362</v>
      </c>
      <c r="E113" s="159">
        <f>DATE(YEAR(D113),MONTH(D113),1)</f>
        <v>47362</v>
      </c>
      <c r="F113" s="68">
        <v>35</v>
      </c>
      <c r="G113" s="68" t="s">
        <v>359</v>
      </c>
      <c r="H113" s="291">
        <f>M113-I113</f>
        <v>31955.43976845808</v>
      </c>
      <c r="I113" s="291">
        <f>(Supuestos!$C$35-SUM($H$79:H112))*Supuestos!$F$35</f>
        <v>362.38299969856513</v>
      </c>
      <c r="J113" s="291">
        <v>0</v>
      </c>
      <c r="K113" s="291">
        <v>0</v>
      </c>
      <c r="L113" s="291">
        <v>0</v>
      </c>
      <c r="M113" s="291">
        <f>Supuestos!$G$35</f>
        <v>32317.822768156646</v>
      </c>
      <c r="N113" s="292">
        <f>SUM(J113:L113)</f>
        <v>0</v>
      </c>
    </row>
    <row r="114" spans="1:14" ht="13.8" x14ac:dyDescent="0.3">
      <c r="A114" s="68" t="str">
        <f>Supuestos!$A$35</f>
        <v>CAMIONES 1</v>
      </c>
      <c r="B114" s="68" t="s">
        <v>452</v>
      </c>
      <c r="C114" s="68" t="str">
        <f>Supuestos!$B$35</f>
        <v>LEASING</v>
      </c>
      <c r="D114" s="73">
        <f>EDATE(Supuestos!$H$35,F114-1)</f>
        <v>47392</v>
      </c>
      <c r="E114" s="159">
        <f>DATE(YEAR(D114),MONTH(D114),1)</f>
        <v>47392</v>
      </c>
      <c r="F114" s="68">
        <v>36</v>
      </c>
      <c r="G114" s="68" t="s">
        <v>359</v>
      </c>
      <c r="H114" s="291">
        <f>M114-I114</f>
        <v>32136.120470827416</v>
      </c>
      <c r="I114" s="291">
        <f>(Supuestos!$C$35-SUM($H$79:H113))*Supuestos!$F$35</f>
        <v>181.7022973292305</v>
      </c>
      <c r="J114" s="291">
        <v>0</v>
      </c>
      <c r="K114" s="291">
        <v>0</v>
      </c>
      <c r="L114" s="291">
        <v>0</v>
      </c>
      <c r="M114" s="291">
        <f>Supuestos!$G$35</f>
        <v>32317.822768156646</v>
      </c>
      <c r="N114" s="292">
        <f>SUM(J114:L114)</f>
        <v>0</v>
      </c>
    </row>
    <row r="115" spans="1:14" ht="13.8" x14ac:dyDescent="0.3">
      <c r="A115" s="18" t="s">
        <v>360</v>
      </c>
      <c r="B115" s="19"/>
      <c r="C115" s="19"/>
      <c r="D115" s="19"/>
      <c r="E115" s="19"/>
      <c r="F115" s="19"/>
      <c r="G115" s="19"/>
      <c r="H115" s="293">
        <f>SUM(H79:H114)</f>
        <v>1049999.9999999998</v>
      </c>
      <c r="I115" s="293">
        <f>SUM(I79:I114)</f>
        <v>113441.61965363967</v>
      </c>
      <c r="J115" s="293">
        <f>SUM(J79:J114)</f>
        <v>0</v>
      </c>
      <c r="K115" s="293">
        <f>SUM(K79:K114)</f>
        <v>0</v>
      </c>
      <c r="L115" s="293">
        <f>SUM(L79:L114)</f>
        <v>0</v>
      </c>
      <c r="M115" s="293">
        <f>SUM(M79:M114)</f>
        <v>1163441.6196536392</v>
      </c>
      <c r="N115" s="293">
        <f>SUM(N79:N114)</f>
        <v>0</v>
      </c>
    </row>
    <row r="118" spans="1:14" ht="13.8" x14ac:dyDescent="0.3">
      <c r="A118" s="12" t="s">
        <v>454</v>
      </c>
      <c r="B118" s="12"/>
      <c r="C118" s="12"/>
      <c r="D118" s="12"/>
      <c r="E118" s="12"/>
      <c r="F118" s="12"/>
      <c r="G118" s="12"/>
      <c r="H118" s="12"/>
      <c r="I118" s="12"/>
      <c r="J118" s="12"/>
      <c r="K118" s="12"/>
      <c r="L118" s="12"/>
      <c r="M118" s="12"/>
      <c r="N118" s="12"/>
    </row>
    <row r="119" spans="1:14" ht="13.8" x14ac:dyDescent="0.3">
      <c r="A119" s="158" t="s">
        <v>348</v>
      </c>
      <c r="B119" s="158" t="s">
        <v>349</v>
      </c>
      <c r="C119" s="158" t="s">
        <v>217</v>
      </c>
      <c r="D119" s="158" t="s">
        <v>350</v>
      </c>
      <c r="E119" s="158" t="s">
        <v>351</v>
      </c>
      <c r="F119" s="158" t="s">
        <v>352</v>
      </c>
      <c r="G119" s="158" t="s">
        <v>353</v>
      </c>
      <c r="H119" s="158" t="s">
        <v>68</v>
      </c>
      <c r="I119" s="158" t="s">
        <v>70</v>
      </c>
      <c r="J119" s="158" t="s">
        <v>354</v>
      </c>
      <c r="K119" s="158" t="s">
        <v>90</v>
      </c>
      <c r="L119" s="158" t="s">
        <v>355</v>
      </c>
      <c r="M119" s="158" t="s">
        <v>356</v>
      </c>
      <c r="N119" s="158" t="s">
        <v>357</v>
      </c>
    </row>
    <row r="120" spans="1:14" ht="13.8" x14ac:dyDescent="0.3">
      <c r="A120" s="68" t="str">
        <f>Supuestos!$A$36</f>
        <v>CAMIONES 2</v>
      </c>
      <c r="B120" s="68" t="s">
        <v>452</v>
      </c>
      <c r="C120" s="68" t="str">
        <f>Supuestos!$B$36</f>
        <v>LEASING</v>
      </c>
      <c r="D120" s="73">
        <f>EDATE(Supuestos!$H$36,F120-1)</f>
        <v>47849</v>
      </c>
      <c r="E120" s="159">
        <f>DATE(YEAR(D120),MONTH(D120),1)</f>
        <v>47849</v>
      </c>
      <c r="F120" s="68">
        <v>1</v>
      </c>
      <c r="G120" s="68" t="s">
        <v>359</v>
      </c>
      <c r="H120" s="291">
        <f>M120-I120</f>
        <v>26380.97011138111</v>
      </c>
      <c r="I120" s="291">
        <f>Supuestos!$C$36*Supuestos!$F$36</f>
        <v>5936.852656775538</v>
      </c>
      <c r="J120" s="291">
        <v>0</v>
      </c>
      <c r="K120" s="291">
        <v>0</v>
      </c>
      <c r="L120" s="291">
        <v>0</v>
      </c>
      <c r="M120" s="291">
        <f>Supuestos!$G$36</f>
        <v>32317.822768156646</v>
      </c>
      <c r="N120" s="292">
        <f>SUM(J120:L120)</f>
        <v>0</v>
      </c>
    </row>
    <row r="121" spans="1:14" ht="13.8" x14ac:dyDescent="0.3">
      <c r="A121" s="68" t="str">
        <f>Supuestos!$A$36</f>
        <v>CAMIONES 2</v>
      </c>
      <c r="B121" s="68" t="s">
        <v>452</v>
      </c>
      <c r="C121" s="68" t="str">
        <f>Supuestos!$B$36</f>
        <v>LEASING</v>
      </c>
      <c r="D121" s="73">
        <f>EDATE(Supuestos!$H$36,F121-1)</f>
        <v>47880</v>
      </c>
      <c r="E121" s="159">
        <f>DATE(YEAR(D121),MONTH(D121),1)</f>
        <v>47880</v>
      </c>
      <c r="F121" s="68">
        <v>2</v>
      </c>
      <c r="G121" s="68" t="s">
        <v>359</v>
      </c>
      <c r="H121" s="291">
        <f>M121-I121</f>
        <v>26530.13195185165</v>
      </c>
      <c r="I121" s="291">
        <f>(Supuestos!$C$36-SUM($H$120:H120))*Supuestos!$F$36</f>
        <v>5787.6908163049957</v>
      </c>
      <c r="J121" s="291">
        <v>0</v>
      </c>
      <c r="K121" s="291">
        <v>0</v>
      </c>
      <c r="L121" s="291">
        <v>0</v>
      </c>
      <c r="M121" s="291">
        <f>Supuestos!$G$36</f>
        <v>32317.822768156646</v>
      </c>
      <c r="N121" s="292">
        <f>SUM(J121:L121)</f>
        <v>0</v>
      </c>
    </row>
    <row r="122" spans="1:14" ht="13.8" x14ac:dyDescent="0.3">
      <c r="A122" s="68" t="str">
        <f>Supuestos!$A$36</f>
        <v>CAMIONES 2</v>
      </c>
      <c r="B122" s="68" t="s">
        <v>452</v>
      </c>
      <c r="C122" s="68" t="str">
        <f>Supuestos!$B$36</f>
        <v>LEASING</v>
      </c>
      <c r="D122" s="73">
        <f>EDATE(Supuestos!$H$36,F122-1)</f>
        <v>47908</v>
      </c>
      <c r="E122" s="159">
        <f>DATE(YEAR(D122),MONTH(D122),1)</f>
        <v>47908</v>
      </c>
      <c r="F122" s="68">
        <v>3</v>
      </c>
      <c r="G122" s="68" t="s">
        <v>359</v>
      </c>
      <c r="H122" s="291">
        <f>M122-I122</f>
        <v>26680.137175054464</v>
      </c>
      <c r="I122" s="291">
        <f>(Supuestos!$C$36-SUM($H$120:H121))*Supuestos!$F$36</f>
        <v>5637.6855931021801</v>
      </c>
      <c r="J122" s="291">
        <v>0</v>
      </c>
      <c r="K122" s="291">
        <v>0</v>
      </c>
      <c r="L122" s="291">
        <v>0</v>
      </c>
      <c r="M122" s="291">
        <f>Supuestos!$G$36</f>
        <v>32317.822768156646</v>
      </c>
      <c r="N122" s="292">
        <f>SUM(J122:L122)</f>
        <v>0</v>
      </c>
    </row>
    <row r="123" spans="1:14" ht="13.8" x14ac:dyDescent="0.3">
      <c r="A123" s="68" t="str">
        <f>Supuestos!$A$36</f>
        <v>CAMIONES 2</v>
      </c>
      <c r="B123" s="68" t="s">
        <v>452</v>
      </c>
      <c r="C123" s="68" t="str">
        <f>Supuestos!$B$36</f>
        <v>LEASING</v>
      </c>
      <c r="D123" s="73">
        <f>EDATE(Supuestos!$H$36,F123-1)</f>
        <v>47939</v>
      </c>
      <c r="E123" s="159">
        <f>DATE(YEAR(D123),MONTH(D123),1)</f>
        <v>47939</v>
      </c>
      <c r="F123" s="68">
        <v>4</v>
      </c>
      <c r="G123" s="68" t="s">
        <v>359</v>
      </c>
      <c r="H123" s="291">
        <f>M123-I123</f>
        <v>26830.99054959814</v>
      </c>
      <c r="I123" s="291">
        <f>(Supuestos!$C$36-SUM($H$120:H122))*Supuestos!$F$36</f>
        <v>5486.8322185585066</v>
      </c>
      <c r="J123" s="291">
        <v>0</v>
      </c>
      <c r="K123" s="291">
        <v>0</v>
      </c>
      <c r="L123" s="291">
        <v>0</v>
      </c>
      <c r="M123" s="291">
        <f>Supuestos!$G$36</f>
        <v>32317.822768156646</v>
      </c>
      <c r="N123" s="292">
        <f>SUM(J123:L123)</f>
        <v>0</v>
      </c>
    </row>
    <row r="124" spans="1:14" ht="13.8" x14ac:dyDescent="0.3">
      <c r="A124" s="68" t="str">
        <f>Supuestos!$A$36</f>
        <v>CAMIONES 2</v>
      </c>
      <c r="B124" s="68" t="s">
        <v>452</v>
      </c>
      <c r="C124" s="68" t="str">
        <f>Supuestos!$B$36</f>
        <v>LEASING</v>
      </c>
      <c r="D124" s="73">
        <f>EDATE(Supuestos!$H$36,F124-1)</f>
        <v>47969</v>
      </c>
      <c r="E124" s="159">
        <f>DATE(YEAR(D124),MONTH(D124),1)</f>
        <v>47969</v>
      </c>
      <c r="F124" s="68">
        <v>5</v>
      </c>
      <c r="G124" s="68" t="s">
        <v>359</v>
      </c>
      <c r="H124" s="291">
        <f>M124-I124</f>
        <v>26982.696871053664</v>
      </c>
      <c r="I124" s="291">
        <f>(Supuestos!$C$36-SUM($H$120:H123))*Supuestos!$F$36</f>
        <v>5335.125897102982</v>
      </c>
      <c r="J124" s="291">
        <v>0</v>
      </c>
      <c r="K124" s="291">
        <v>0</v>
      </c>
      <c r="L124" s="291">
        <v>0</v>
      </c>
      <c r="M124" s="291">
        <f>Supuestos!$G$36</f>
        <v>32317.822768156646</v>
      </c>
      <c r="N124" s="292">
        <f>SUM(J124:L124)</f>
        <v>0</v>
      </c>
    </row>
    <row r="125" spans="1:14" ht="13.8" x14ac:dyDescent="0.3">
      <c r="A125" s="68" t="str">
        <f>Supuestos!$A$36</f>
        <v>CAMIONES 2</v>
      </c>
      <c r="B125" s="68" t="s">
        <v>452</v>
      </c>
      <c r="C125" s="68" t="str">
        <f>Supuestos!$B$36</f>
        <v>LEASING</v>
      </c>
      <c r="D125" s="73">
        <f>EDATE(Supuestos!$H$36,F125-1)</f>
        <v>48000</v>
      </c>
      <c r="E125" s="159">
        <f>DATE(YEAR(D125),MONTH(D125),1)</f>
        <v>48000</v>
      </c>
      <c r="F125" s="68">
        <v>6</v>
      </c>
      <c r="G125" s="68" t="s">
        <v>359</v>
      </c>
      <c r="H125" s="291">
        <f>M125-I125</f>
        <v>27135.260962106888</v>
      </c>
      <c r="I125" s="291">
        <f>(Supuestos!$C$36-SUM($H$120:H124))*Supuestos!$F$36</f>
        <v>5182.5618060497591</v>
      </c>
      <c r="J125" s="291">
        <v>0</v>
      </c>
      <c r="K125" s="291">
        <v>0</v>
      </c>
      <c r="L125" s="291">
        <v>0</v>
      </c>
      <c r="M125" s="291">
        <f>Supuestos!$G$36</f>
        <v>32317.822768156646</v>
      </c>
      <c r="N125" s="292">
        <f>SUM(J125:L125)</f>
        <v>0</v>
      </c>
    </row>
    <row r="126" spans="1:14" ht="13.8" x14ac:dyDescent="0.3">
      <c r="A126" s="68" t="str">
        <f>Supuestos!$A$36</f>
        <v>CAMIONES 2</v>
      </c>
      <c r="B126" s="68" t="s">
        <v>452</v>
      </c>
      <c r="C126" s="68" t="str">
        <f>Supuestos!$B$36</f>
        <v>LEASING</v>
      </c>
      <c r="D126" s="73">
        <f>EDATE(Supuestos!$H$36,F126-1)</f>
        <v>48030</v>
      </c>
      <c r="E126" s="159">
        <f>DATE(YEAR(D126),MONTH(D126),1)</f>
        <v>48030</v>
      </c>
      <c r="F126" s="68">
        <v>7</v>
      </c>
      <c r="G126" s="68" t="s">
        <v>359</v>
      </c>
      <c r="H126" s="291">
        <f>M126-I126</f>
        <v>27288.687672711822</v>
      </c>
      <c r="I126" s="291">
        <f>(Supuestos!$C$36-SUM($H$120:H125))*Supuestos!$F$36</f>
        <v>5029.1350954448235</v>
      </c>
      <c r="J126" s="291">
        <v>0</v>
      </c>
      <c r="K126" s="291">
        <v>0</v>
      </c>
      <c r="L126" s="291">
        <v>0</v>
      </c>
      <c r="M126" s="291">
        <f>Supuestos!$G$36</f>
        <v>32317.822768156646</v>
      </c>
      <c r="N126" s="292">
        <f>SUM(J126:L126)</f>
        <v>0</v>
      </c>
    </row>
    <row r="127" spans="1:14" ht="13.8" x14ac:dyDescent="0.3">
      <c r="A127" s="68" t="str">
        <f>Supuestos!$A$36</f>
        <v>CAMIONES 2</v>
      </c>
      <c r="B127" s="68" t="s">
        <v>452</v>
      </c>
      <c r="C127" s="68" t="str">
        <f>Supuestos!$B$36</f>
        <v>LEASING</v>
      </c>
      <c r="D127" s="73">
        <f>EDATE(Supuestos!$H$36,F127-1)</f>
        <v>48061</v>
      </c>
      <c r="E127" s="159">
        <f>DATE(YEAR(D127),MONTH(D127),1)</f>
        <v>48061</v>
      </c>
      <c r="F127" s="68">
        <v>8</v>
      </c>
      <c r="G127" s="68" t="s">
        <v>359</v>
      </c>
      <c r="H127" s="291">
        <f>M127-I127</f>
        <v>27442.981880244828</v>
      </c>
      <c r="I127" s="291">
        <f>(Supuestos!$C$36-SUM($H$120:H126))*Supuestos!$F$36</f>
        <v>4874.8408879118169</v>
      </c>
      <c r="J127" s="291">
        <v>0</v>
      </c>
      <c r="K127" s="291">
        <v>0</v>
      </c>
      <c r="L127" s="291">
        <v>0</v>
      </c>
      <c r="M127" s="291">
        <f>Supuestos!$G$36</f>
        <v>32317.822768156646</v>
      </c>
      <c r="N127" s="292">
        <f>SUM(J127:L127)</f>
        <v>0</v>
      </c>
    </row>
    <row r="128" spans="1:14" ht="13.8" x14ac:dyDescent="0.3">
      <c r="A128" s="68" t="str">
        <f>Supuestos!$A$36</f>
        <v>CAMIONES 2</v>
      </c>
      <c r="B128" s="68" t="s">
        <v>452</v>
      </c>
      <c r="C128" s="68" t="str">
        <f>Supuestos!$B$36</f>
        <v>LEASING</v>
      </c>
      <c r="D128" s="73">
        <f>EDATE(Supuestos!$H$36,F128-1)</f>
        <v>48092</v>
      </c>
      <c r="E128" s="159">
        <f>DATE(YEAR(D128),MONTH(D128),1)</f>
        <v>48092</v>
      </c>
      <c r="F128" s="68">
        <v>9</v>
      </c>
      <c r="G128" s="68" t="s">
        <v>359</v>
      </c>
      <c r="H128" s="291">
        <f>M128-I128</f>
        <v>27598.148489659663</v>
      </c>
      <c r="I128" s="291">
        <f>(Supuestos!$C$36-SUM($H$120:H127))*Supuestos!$F$36</f>
        <v>4719.6742784969838</v>
      </c>
      <c r="J128" s="291">
        <v>0</v>
      </c>
      <c r="K128" s="291">
        <v>0</v>
      </c>
      <c r="L128" s="291">
        <v>0</v>
      </c>
      <c r="M128" s="291">
        <f>Supuestos!$G$36</f>
        <v>32317.822768156646</v>
      </c>
      <c r="N128" s="292">
        <f>SUM(J128:L128)</f>
        <v>0</v>
      </c>
    </row>
    <row r="129" spans="1:14" ht="13.8" x14ac:dyDescent="0.3">
      <c r="A129" s="68" t="str">
        <f>Supuestos!$A$36</f>
        <v>CAMIONES 2</v>
      </c>
      <c r="B129" s="68" t="s">
        <v>452</v>
      </c>
      <c r="C129" s="68" t="str">
        <f>Supuestos!$B$36</f>
        <v>LEASING</v>
      </c>
      <c r="D129" s="73">
        <f>EDATE(Supuestos!$H$36,F129-1)</f>
        <v>48122</v>
      </c>
      <c r="E129" s="159">
        <f>DATE(YEAR(D129),MONTH(D129),1)</f>
        <v>48122</v>
      </c>
      <c r="F129" s="68">
        <v>10</v>
      </c>
      <c r="G129" s="68" t="s">
        <v>359</v>
      </c>
      <c r="H129" s="291">
        <f>M129-I129</f>
        <v>27754.192433643395</v>
      </c>
      <c r="I129" s="291">
        <f>(Supuestos!$C$36-SUM($H$120:H128))*Supuestos!$F$36</f>
        <v>4563.6303345132492</v>
      </c>
      <c r="J129" s="291">
        <v>0</v>
      </c>
      <c r="K129" s="291">
        <v>0</v>
      </c>
      <c r="L129" s="291">
        <v>0</v>
      </c>
      <c r="M129" s="291">
        <f>Supuestos!$G$36</f>
        <v>32317.822768156646</v>
      </c>
      <c r="N129" s="292">
        <f>SUM(J129:L129)</f>
        <v>0</v>
      </c>
    </row>
    <row r="130" spans="1:14" ht="13.8" x14ac:dyDescent="0.3">
      <c r="A130" s="68" t="str">
        <f>Supuestos!$A$36</f>
        <v>CAMIONES 2</v>
      </c>
      <c r="B130" s="68" t="s">
        <v>452</v>
      </c>
      <c r="C130" s="68" t="str">
        <f>Supuestos!$B$36</f>
        <v>LEASING</v>
      </c>
      <c r="D130" s="73">
        <f>EDATE(Supuestos!$H$36,F130-1)</f>
        <v>48153</v>
      </c>
      <c r="E130" s="159">
        <f>DATE(YEAR(D130),MONTH(D130),1)</f>
        <v>48153</v>
      </c>
      <c r="F130" s="68">
        <v>11</v>
      </c>
      <c r="G130" s="68" t="s">
        <v>359</v>
      </c>
      <c r="H130" s="291">
        <f>M130-I130</f>
        <v>27911.118672773242</v>
      </c>
      <c r="I130" s="291">
        <f>(Supuestos!$C$36-SUM($H$120:H129))*Supuestos!$F$36</f>
        <v>4406.7040953834057</v>
      </c>
      <c r="J130" s="291">
        <v>0</v>
      </c>
      <c r="K130" s="291">
        <v>0</v>
      </c>
      <c r="L130" s="291">
        <v>0</v>
      </c>
      <c r="M130" s="291">
        <f>Supuestos!$G$36</f>
        <v>32317.822768156646</v>
      </c>
      <c r="N130" s="292">
        <f>SUM(J130:L130)</f>
        <v>0</v>
      </c>
    </row>
    <row r="131" spans="1:14" ht="13.8" x14ac:dyDescent="0.3">
      <c r="A131" s="68" t="str">
        <f>Supuestos!$A$36</f>
        <v>CAMIONES 2</v>
      </c>
      <c r="B131" s="68" t="s">
        <v>452</v>
      </c>
      <c r="C131" s="68" t="str">
        <f>Supuestos!$B$36</f>
        <v>LEASING</v>
      </c>
      <c r="D131" s="73">
        <f>EDATE(Supuestos!$H$36,F131-1)</f>
        <v>48183</v>
      </c>
      <c r="E131" s="159">
        <f>DATE(YEAR(D131),MONTH(D131),1)</f>
        <v>48183</v>
      </c>
      <c r="F131" s="68">
        <v>12</v>
      </c>
      <c r="G131" s="68" t="s">
        <v>359</v>
      </c>
      <c r="H131" s="291">
        <f>M131-I131</f>
        <v>28068.932195674221</v>
      </c>
      <c r="I131" s="291">
        <f>(Supuestos!$C$36-SUM($H$120:H130))*Supuestos!$F$36</f>
        <v>4248.8905724824235</v>
      </c>
      <c r="J131" s="291">
        <v>0</v>
      </c>
      <c r="K131" s="291">
        <v>0</v>
      </c>
      <c r="L131" s="291">
        <v>0</v>
      </c>
      <c r="M131" s="291">
        <f>Supuestos!$G$36</f>
        <v>32317.822768156646</v>
      </c>
      <c r="N131" s="292">
        <f>SUM(J131:L131)</f>
        <v>0</v>
      </c>
    </row>
    <row r="132" spans="1:14" ht="13.8" x14ac:dyDescent="0.3">
      <c r="A132" s="68" t="str">
        <f>Supuestos!$A$36</f>
        <v>CAMIONES 2</v>
      </c>
      <c r="B132" s="68" t="s">
        <v>452</v>
      </c>
      <c r="C132" s="68" t="str">
        <f>Supuestos!$B$36</f>
        <v>LEASING</v>
      </c>
      <c r="D132" s="73">
        <f>EDATE(Supuestos!$H$36,F132-1)</f>
        <v>48214</v>
      </c>
      <c r="E132" s="159">
        <f>DATE(YEAR(D132),MONTH(D132),1)</f>
        <v>48214</v>
      </c>
      <c r="F132" s="68">
        <v>13</v>
      </c>
      <c r="G132" s="68" t="s">
        <v>359</v>
      </c>
      <c r="H132" s="291">
        <f>M132-I132</f>
        <v>28227.638019177786</v>
      </c>
      <c r="I132" s="291">
        <f>(Supuestos!$C$36-SUM($H$120:H131))*Supuestos!$F$36</f>
        <v>4090.1847489788615</v>
      </c>
      <c r="J132" s="291">
        <v>0</v>
      </c>
      <c r="K132" s="291">
        <v>0</v>
      </c>
      <c r="L132" s="291">
        <v>0</v>
      </c>
      <c r="M132" s="291">
        <f>Supuestos!$G$36</f>
        <v>32317.822768156646</v>
      </c>
      <c r="N132" s="292">
        <f>SUM(J132:L132)</f>
        <v>0</v>
      </c>
    </row>
    <row r="133" spans="1:14" ht="13.8" x14ac:dyDescent="0.3">
      <c r="A133" s="68" t="str">
        <f>Supuestos!$A$36</f>
        <v>CAMIONES 2</v>
      </c>
      <c r="B133" s="68" t="s">
        <v>452</v>
      </c>
      <c r="C133" s="68" t="str">
        <f>Supuestos!$B$36</f>
        <v>LEASING</v>
      </c>
      <c r="D133" s="73">
        <f>EDATE(Supuestos!$H$36,F133-1)</f>
        <v>48245</v>
      </c>
      <c r="E133" s="159">
        <f>DATE(YEAR(D133),MONTH(D133),1)</f>
        <v>48245</v>
      </c>
      <c r="F133" s="68">
        <v>14</v>
      </c>
      <c r="G133" s="68" t="s">
        <v>359</v>
      </c>
      <c r="H133" s="291">
        <f>M133-I133</f>
        <v>28387.241188481265</v>
      </c>
      <c r="I133" s="291">
        <f>(Supuestos!$C$36-SUM($H$120:H132))*Supuestos!$F$36</f>
        <v>3930.5815796753814</v>
      </c>
      <c r="J133" s="291">
        <v>0</v>
      </c>
      <c r="K133" s="291">
        <v>0</v>
      </c>
      <c r="L133" s="291">
        <v>0</v>
      </c>
      <c r="M133" s="291">
        <f>Supuestos!$G$36</f>
        <v>32317.822768156646</v>
      </c>
      <c r="N133" s="292">
        <f>SUM(J133:L133)</f>
        <v>0</v>
      </c>
    </row>
    <row r="134" spans="1:14" ht="13.8" x14ac:dyDescent="0.3">
      <c r="A134" s="68" t="str">
        <f>Supuestos!$A$36</f>
        <v>CAMIONES 2</v>
      </c>
      <c r="B134" s="68" t="s">
        <v>452</v>
      </c>
      <c r="C134" s="68" t="str">
        <f>Supuestos!$B$36</f>
        <v>LEASING</v>
      </c>
      <c r="D134" s="73">
        <f>EDATE(Supuestos!$H$36,F134-1)</f>
        <v>48274</v>
      </c>
      <c r="E134" s="159">
        <f>DATE(YEAR(D134),MONTH(D134),1)</f>
        <v>48274</v>
      </c>
      <c r="F134" s="68">
        <v>15</v>
      </c>
      <c r="G134" s="68" t="s">
        <v>359</v>
      </c>
      <c r="H134" s="291">
        <f>M134-I134</f>
        <v>28547.746777308275</v>
      </c>
      <c r="I134" s="291">
        <f>(Supuestos!$C$36-SUM($H$120:H133))*Supuestos!$F$36</f>
        <v>3770.0759908483692</v>
      </c>
      <c r="J134" s="291">
        <v>0</v>
      </c>
      <c r="K134" s="291">
        <v>0</v>
      </c>
      <c r="L134" s="291">
        <v>0</v>
      </c>
      <c r="M134" s="291">
        <f>Supuestos!$G$36</f>
        <v>32317.822768156646</v>
      </c>
      <c r="N134" s="292">
        <f>SUM(J134:L134)</f>
        <v>0</v>
      </c>
    </row>
    <row r="135" spans="1:14" ht="13.8" x14ac:dyDescent="0.3">
      <c r="A135" s="68" t="str">
        <f>Supuestos!$A$36</f>
        <v>CAMIONES 2</v>
      </c>
      <c r="B135" s="68" t="s">
        <v>452</v>
      </c>
      <c r="C135" s="68" t="str">
        <f>Supuestos!$B$36</f>
        <v>LEASING</v>
      </c>
      <c r="D135" s="73">
        <f>EDATE(Supuestos!$H$36,F135-1)</f>
        <v>48305</v>
      </c>
      <c r="E135" s="159">
        <f>DATE(YEAR(D135),MONTH(D135),1)</f>
        <v>48305</v>
      </c>
      <c r="F135" s="68">
        <v>16</v>
      </c>
      <c r="G135" s="68" t="s">
        <v>359</v>
      </c>
      <c r="H135" s="291">
        <f>M135-I135</f>
        <v>28709.159888070008</v>
      </c>
      <c r="I135" s="291">
        <f>(Supuestos!$C$36-SUM($H$120:H134))*Supuestos!$F$36</f>
        <v>3608.6628800866374</v>
      </c>
      <c r="J135" s="291">
        <v>0</v>
      </c>
      <c r="K135" s="291">
        <v>0</v>
      </c>
      <c r="L135" s="291">
        <v>0</v>
      </c>
      <c r="M135" s="291">
        <f>Supuestos!$G$36</f>
        <v>32317.822768156646</v>
      </c>
      <c r="N135" s="292">
        <f>SUM(J135:L135)</f>
        <v>0</v>
      </c>
    </row>
    <row r="136" spans="1:14" ht="13.8" x14ac:dyDescent="0.3">
      <c r="A136" s="68" t="str">
        <f>Supuestos!$A$36</f>
        <v>CAMIONES 2</v>
      </c>
      <c r="B136" s="68" t="s">
        <v>452</v>
      </c>
      <c r="C136" s="68" t="str">
        <f>Supuestos!$B$36</f>
        <v>LEASING</v>
      </c>
      <c r="D136" s="73">
        <f>EDATE(Supuestos!$H$36,F136-1)</f>
        <v>48335</v>
      </c>
      <c r="E136" s="159">
        <f>DATE(YEAR(D136),MONTH(D136),1)</f>
        <v>48335</v>
      </c>
      <c r="F136" s="68">
        <v>17</v>
      </c>
      <c r="G136" s="68" t="s">
        <v>359</v>
      </c>
      <c r="H136" s="291">
        <f>M136-I136</f>
        <v>28871.485652027419</v>
      </c>
      <c r="I136" s="291">
        <f>(Supuestos!$C$36-SUM($H$120:H135))*Supuestos!$F$36</f>
        <v>3446.3371161292262</v>
      </c>
      <c r="J136" s="291">
        <v>0</v>
      </c>
      <c r="K136" s="291">
        <v>0</v>
      </c>
      <c r="L136" s="291">
        <v>0</v>
      </c>
      <c r="M136" s="291">
        <f>Supuestos!$G$36</f>
        <v>32317.822768156646</v>
      </c>
      <c r="N136" s="292">
        <f>SUM(J136:L136)</f>
        <v>0</v>
      </c>
    </row>
    <row r="137" spans="1:14" ht="13.8" x14ac:dyDescent="0.3">
      <c r="A137" s="68" t="str">
        <f>Supuestos!$A$36</f>
        <v>CAMIONES 2</v>
      </c>
      <c r="B137" s="68" t="s">
        <v>452</v>
      </c>
      <c r="C137" s="68" t="str">
        <f>Supuestos!$B$36</f>
        <v>LEASING</v>
      </c>
      <c r="D137" s="73">
        <f>EDATE(Supuestos!$H$36,F137-1)</f>
        <v>48366</v>
      </c>
      <c r="E137" s="159">
        <f>DATE(YEAR(D137),MONTH(D137),1)</f>
        <v>48366</v>
      </c>
      <c r="F137" s="68">
        <v>18</v>
      </c>
      <c r="G137" s="68" t="s">
        <v>359</v>
      </c>
      <c r="H137" s="291">
        <f>M137-I137</f>
        <v>29034.729229454369</v>
      </c>
      <c r="I137" s="291">
        <f>(Supuestos!$C$36-SUM($H$120:H136))*Supuestos!$F$36</f>
        <v>3283.0935387022778</v>
      </c>
      <c r="J137" s="291">
        <v>0</v>
      </c>
      <c r="K137" s="291">
        <v>0</v>
      </c>
      <c r="L137" s="291">
        <v>0</v>
      </c>
      <c r="M137" s="291">
        <f>Supuestos!$G$36</f>
        <v>32317.822768156646</v>
      </c>
      <c r="N137" s="292">
        <f>SUM(J137:L137)</f>
        <v>0</v>
      </c>
    </row>
    <row r="138" spans="1:14" ht="13.8" x14ac:dyDescent="0.3">
      <c r="A138" s="68" t="str">
        <f>Supuestos!$A$36</f>
        <v>CAMIONES 2</v>
      </c>
      <c r="B138" s="68" t="s">
        <v>452</v>
      </c>
      <c r="C138" s="68" t="str">
        <f>Supuestos!$B$36</f>
        <v>LEASING</v>
      </c>
      <c r="D138" s="73">
        <f>EDATE(Supuestos!$H$36,F138-1)</f>
        <v>48396</v>
      </c>
      <c r="E138" s="159">
        <f>DATE(YEAR(D138),MONTH(D138),1)</f>
        <v>48396</v>
      </c>
      <c r="F138" s="68">
        <v>19</v>
      </c>
      <c r="G138" s="68" t="s">
        <v>359</v>
      </c>
      <c r="H138" s="291">
        <f>M138-I138</f>
        <v>29198.895809801648</v>
      </c>
      <c r="I138" s="291">
        <f>(Supuestos!$C$36-SUM($H$120:H137))*Supuestos!$F$36</f>
        <v>3118.9269583549976</v>
      </c>
      <c r="J138" s="291">
        <v>0</v>
      </c>
      <c r="K138" s="291">
        <v>0</v>
      </c>
      <c r="L138" s="291">
        <v>0</v>
      </c>
      <c r="M138" s="291">
        <f>Supuestos!$G$36</f>
        <v>32317.822768156646</v>
      </c>
      <c r="N138" s="292">
        <f>SUM(J138:L138)</f>
        <v>0</v>
      </c>
    </row>
    <row r="139" spans="1:14" ht="13.8" x14ac:dyDescent="0.3">
      <c r="A139" s="68" t="str">
        <f>Supuestos!$A$36</f>
        <v>CAMIONES 2</v>
      </c>
      <c r="B139" s="68" t="s">
        <v>452</v>
      </c>
      <c r="C139" s="68" t="str">
        <f>Supuestos!$B$36</f>
        <v>LEASING</v>
      </c>
      <c r="D139" s="73">
        <f>EDATE(Supuestos!$H$36,F139-1)</f>
        <v>48427</v>
      </c>
      <c r="E139" s="159">
        <f>DATE(YEAR(D139),MONTH(D139),1)</f>
        <v>48427</v>
      </c>
      <c r="F139" s="68">
        <v>20</v>
      </c>
      <c r="G139" s="68" t="s">
        <v>359</v>
      </c>
      <c r="H139" s="291">
        <f>M139-I139</f>
        <v>29363.990611861966</v>
      </c>
      <c r="I139" s="291">
        <f>(Supuestos!$C$36-SUM($H$120:H138))*Supuestos!$F$36</f>
        <v>2953.8321562946799</v>
      </c>
      <c r="J139" s="291">
        <v>0</v>
      </c>
      <c r="K139" s="291">
        <v>0</v>
      </c>
      <c r="L139" s="291">
        <v>0</v>
      </c>
      <c r="M139" s="291">
        <f>Supuestos!$G$36</f>
        <v>32317.822768156646</v>
      </c>
      <c r="N139" s="292">
        <f>SUM(J139:L139)</f>
        <v>0</v>
      </c>
    </row>
    <row r="140" spans="1:14" ht="13.8" x14ac:dyDescent="0.3">
      <c r="A140" s="68" t="str">
        <f>Supuestos!$A$36</f>
        <v>CAMIONES 2</v>
      </c>
      <c r="B140" s="68" t="s">
        <v>452</v>
      </c>
      <c r="C140" s="68" t="str">
        <f>Supuestos!$B$36</f>
        <v>LEASING</v>
      </c>
      <c r="D140" s="73">
        <f>EDATE(Supuestos!$H$36,F140-1)</f>
        <v>48458</v>
      </c>
      <c r="E140" s="159">
        <f>DATE(YEAR(D140),MONTH(D140),1)</f>
        <v>48458</v>
      </c>
      <c r="F140" s="68">
        <v>21</v>
      </c>
      <c r="G140" s="68" t="s">
        <v>359</v>
      </c>
      <c r="H140" s="291">
        <f>M140-I140</f>
        <v>29530.018883935838</v>
      </c>
      <c r="I140" s="291">
        <f>(Supuestos!$C$36-SUM($H$120:H139))*Supuestos!$F$36</f>
        <v>2787.8038842208089</v>
      </c>
      <c r="J140" s="291">
        <v>0</v>
      </c>
      <c r="K140" s="291">
        <v>0</v>
      </c>
      <c r="L140" s="291">
        <v>0</v>
      </c>
      <c r="M140" s="291">
        <f>Supuestos!$G$36</f>
        <v>32317.822768156646</v>
      </c>
      <c r="N140" s="292">
        <f>SUM(J140:L140)</f>
        <v>0</v>
      </c>
    </row>
    <row r="141" spans="1:14" ht="13.8" x14ac:dyDescent="0.3">
      <c r="A141" s="68" t="str">
        <f>Supuestos!$A$36</f>
        <v>CAMIONES 2</v>
      </c>
      <c r="B141" s="68" t="s">
        <v>452</v>
      </c>
      <c r="C141" s="68" t="str">
        <f>Supuestos!$B$36</f>
        <v>LEASING</v>
      </c>
      <c r="D141" s="73">
        <f>EDATE(Supuestos!$H$36,F141-1)</f>
        <v>48488</v>
      </c>
      <c r="E141" s="159">
        <f>DATE(YEAR(D141),MONTH(D141),1)</f>
        <v>48488</v>
      </c>
      <c r="F141" s="68">
        <v>22</v>
      </c>
      <c r="G141" s="68" t="s">
        <v>359</v>
      </c>
      <c r="H141" s="291">
        <f>M141-I141</f>
        <v>29696.985903998433</v>
      </c>
      <c r="I141" s="291">
        <f>(Supuestos!$C$36-SUM($H$120:H140))*Supuestos!$F$36</f>
        <v>2620.8368641582119</v>
      </c>
      <c r="J141" s="291">
        <v>0</v>
      </c>
      <c r="K141" s="291">
        <v>0</v>
      </c>
      <c r="L141" s="291">
        <v>0</v>
      </c>
      <c r="M141" s="291">
        <f>Supuestos!$G$36</f>
        <v>32317.822768156646</v>
      </c>
      <c r="N141" s="292">
        <f>SUM(J141:L141)</f>
        <v>0</v>
      </c>
    </row>
    <row r="142" spans="1:14" ht="13.8" x14ac:dyDescent="0.3">
      <c r="A142" s="68" t="str">
        <f>Supuestos!$A$36</f>
        <v>CAMIONES 2</v>
      </c>
      <c r="B142" s="68" t="s">
        <v>452</v>
      </c>
      <c r="C142" s="68" t="str">
        <f>Supuestos!$B$36</f>
        <v>LEASING</v>
      </c>
      <c r="D142" s="73">
        <f>EDATE(Supuestos!$H$36,F142-1)</f>
        <v>48519</v>
      </c>
      <c r="E142" s="159">
        <f>DATE(YEAR(D142),MONTH(D142),1)</f>
        <v>48519</v>
      </c>
      <c r="F142" s="68">
        <v>23</v>
      </c>
      <c r="G142" s="68" t="s">
        <v>359</v>
      </c>
      <c r="H142" s="291">
        <f>M142-I142</f>
        <v>29864.896979867364</v>
      </c>
      <c r="I142" s="291">
        <f>(Supuestos!$C$36-SUM($H$120:H141))*Supuestos!$F$36</f>
        <v>2452.9257882892798</v>
      </c>
      <c r="J142" s="291">
        <v>0</v>
      </c>
      <c r="K142" s="291">
        <v>0</v>
      </c>
      <c r="L142" s="291">
        <v>0</v>
      </c>
      <c r="M142" s="291">
        <f>Supuestos!$G$36</f>
        <v>32317.822768156646</v>
      </c>
      <c r="N142" s="292">
        <f>SUM(J142:L142)</f>
        <v>0</v>
      </c>
    </row>
    <row r="143" spans="1:14" ht="13.8" x14ac:dyDescent="0.3">
      <c r="A143" s="68" t="str">
        <f>Supuestos!$A$36</f>
        <v>CAMIONES 2</v>
      </c>
      <c r="B143" s="68" t="s">
        <v>452</v>
      </c>
      <c r="C143" s="68" t="str">
        <f>Supuestos!$B$36</f>
        <v>LEASING</v>
      </c>
      <c r="D143" s="73">
        <f>EDATE(Supuestos!$H$36,F143-1)</f>
        <v>48549</v>
      </c>
      <c r="E143" s="159">
        <f>DATE(YEAR(D143),MONTH(D143),1)</f>
        <v>48549</v>
      </c>
      <c r="F143" s="68">
        <v>24</v>
      </c>
      <c r="G143" s="68" t="s">
        <v>359</v>
      </c>
      <c r="H143" s="291">
        <f>M143-I143</f>
        <v>30033.757449371416</v>
      </c>
      <c r="I143" s="291">
        <f>(Supuestos!$C$36-SUM($H$120:H142))*Supuestos!$F$36</f>
        <v>2284.065318785229</v>
      </c>
      <c r="J143" s="291">
        <v>0</v>
      </c>
      <c r="K143" s="291">
        <v>0</v>
      </c>
      <c r="L143" s="291">
        <v>0</v>
      </c>
      <c r="M143" s="291">
        <f>Supuestos!$G$36</f>
        <v>32317.822768156646</v>
      </c>
      <c r="N143" s="292">
        <f>SUM(J143:L143)</f>
        <v>0</v>
      </c>
    </row>
    <row r="144" spans="1:14" ht="13.8" x14ac:dyDescent="0.3">
      <c r="A144" s="68" t="str">
        <f>Supuestos!$A$36</f>
        <v>CAMIONES 2</v>
      </c>
      <c r="B144" s="68" t="s">
        <v>452</v>
      </c>
      <c r="C144" s="68" t="str">
        <f>Supuestos!$B$36</f>
        <v>LEASING</v>
      </c>
      <c r="D144" s="73">
        <f>EDATE(Supuestos!$H$36,F144-1)</f>
        <v>48580</v>
      </c>
      <c r="E144" s="159">
        <f>DATE(YEAR(D144),MONTH(D144),1)</f>
        <v>48580</v>
      </c>
      <c r="F144" s="68">
        <v>25</v>
      </c>
      <c r="G144" s="68" t="s">
        <v>359</v>
      </c>
      <c r="H144" s="291">
        <f>M144-I144</f>
        <v>30203.572680520228</v>
      </c>
      <c r="I144" s="291">
        <f>(Supuestos!$C$36-SUM($H$120:H143))*Supuestos!$F$36</f>
        <v>2114.250087636417</v>
      </c>
      <c r="J144" s="291">
        <v>0</v>
      </c>
      <c r="K144" s="291">
        <v>0</v>
      </c>
      <c r="L144" s="291">
        <v>0</v>
      </c>
      <c r="M144" s="291">
        <f>Supuestos!$G$36</f>
        <v>32317.822768156646</v>
      </c>
      <c r="N144" s="292">
        <f>SUM(J144:L144)</f>
        <v>0</v>
      </c>
    </row>
    <row r="145" spans="1:14" ht="13.8" x14ac:dyDescent="0.3">
      <c r="A145" s="68" t="str">
        <f>Supuestos!$A$36</f>
        <v>CAMIONES 2</v>
      </c>
      <c r="B145" s="68" t="s">
        <v>452</v>
      </c>
      <c r="C145" s="68" t="str">
        <f>Supuestos!$B$36</f>
        <v>LEASING</v>
      </c>
      <c r="D145" s="73">
        <f>EDATE(Supuestos!$H$36,F145-1)</f>
        <v>48611</v>
      </c>
      <c r="E145" s="159">
        <f>DATE(YEAR(D145),MONTH(D145),1)</f>
        <v>48611</v>
      </c>
      <c r="F145" s="68">
        <v>26</v>
      </c>
      <c r="G145" s="68" t="s">
        <v>359</v>
      </c>
      <c r="H145" s="291">
        <f>M145-I145</f>
        <v>30374.348071674951</v>
      </c>
      <c r="I145" s="291">
        <f>(Supuestos!$C$36-SUM($H$120:H144))*Supuestos!$F$36</f>
        <v>1943.4746964816934</v>
      </c>
      <c r="J145" s="291">
        <v>0</v>
      </c>
      <c r="K145" s="291">
        <v>0</v>
      </c>
      <c r="L145" s="291">
        <v>0</v>
      </c>
      <c r="M145" s="291">
        <f>Supuestos!$G$36</f>
        <v>32317.822768156646</v>
      </c>
      <c r="N145" s="292">
        <f>SUM(J145:L145)</f>
        <v>0</v>
      </c>
    </row>
    <row r="146" spans="1:14" ht="13.8" x14ac:dyDescent="0.3">
      <c r="A146" s="68" t="str">
        <f>Supuestos!$A$36</f>
        <v>CAMIONES 2</v>
      </c>
      <c r="B146" s="68" t="s">
        <v>452</v>
      </c>
      <c r="C146" s="68" t="str">
        <f>Supuestos!$B$36</f>
        <v>LEASING</v>
      </c>
      <c r="D146" s="73">
        <f>EDATE(Supuestos!$H$36,F146-1)</f>
        <v>48639</v>
      </c>
      <c r="E146" s="159">
        <f>DATE(YEAR(D146),MONTH(D146),1)</f>
        <v>48639</v>
      </c>
      <c r="F146" s="68">
        <v>27</v>
      </c>
      <c r="G146" s="68" t="s">
        <v>359</v>
      </c>
      <c r="H146" s="291">
        <f>M146-I146</f>
        <v>30546.089051719857</v>
      </c>
      <c r="I146" s="291">
        <f>(Supuestos!$C$36-SUM($H$120:H145))*Supuestos!$F$36</f>
        <v>1771.7337164367902</v>
      </c>
      <c r="J146" s="291">
        <v>0</v>
      </c>
      <c r="K146" s="291">
        <v>0</v>
      </c>
      <c r="L146" s="291">
        <v>0</v>
      </c>
      <c r="M146" s="291">
        <f>Supuestos!$G$36</f>
        <v>32317.822768156646</v>
      </c>
      <c r="N146" s="292">
        <f>SUM(J146:L146)</f>
        <v>0</v>
      </c>
    </row>
    <row r="147" spans="1:14" ht="13.8" x14ac:dyDescent="0.3">
      <c r="A147" s="68" t="str">
        <f>Supuestos!$A$36</f>
        <v>CAMIONES 2</v>
      </c>
      <c r="B147" s="68" t="s">
        <v>452</v>
      </c>
      <c r="C147" s="68" t="str">
        <f>Supuestos!$B$36</f>
        <v>LEASING</v>
      </c>
      <c r="D147" s="73">
        <f>EDATE(Supuestos!$H$36,F147-1)</f>
        <v>48670</v>
      </c>
      <c r="E147" s="159">
        <f>DATE(YEAR(D147),MONTH(D147),1)</f>
        <v>48670</v>
      </c>
      <c r="F147" s="68">
        <v>28</v>
      </c>
      <c r="G147" s="68" t="s">
        <v>359</v>
      </c>
      <c r="H147" s="291">
        <f>M147-I147</f>
        <v>30718.801080234909</v>
      </c>
      <c r="I147" s="291">
        <f>(Supuestos!$C$36-SUM($H$120:H146))*Supuestos!$F$36</f>
        <v>1599.0216879217376</v>
      </c>
      <c r="J147" s="291">
        <v>0</v>
      </c>
      <c r="K147" s="291">
        <v>0</v>
      </c>
      <c r="L147" s="291">
        <v>0</v>
      </c>
      <c r="M147" s="291">
        <f>Supuestos!$G$36</f>
        <v>32317.822768156646</v>
      </c>
      <c r="N147" s="292">
        <f>SUM(J147:L147)</f>
        <v>0</v>
      </c>
    </row>
    <row r="148" spans="1:14" ht="13.8" x14ac:dyDescent="0.3">
      <c r="A148" s="68" t="str">
        <f>Supuestos!$A$36</f>
        <v>CAMIONES 2</v>
      </c>
      <c r="B148" s="68" t="s">
        <v>452</v>
      </c>
      <c r="C148" s="68" t="str">
        <f>Supuestos!$B$36</f>
        <v>LEASING</v>
      </c>
      <c r="D148" s="73">
        <f>EDATE(Supuestos!$H$36,F148-1)</f>
        <v>48700</v>
      </c>
      <c r="E148" s="159">
        <f>DATE(YEAR(D148),MONTH(D148),1)</f>
        <v>48700</v>
      </c>
      <c r="F148" s="68">
        <v>29</v>
      </c>
      <c r="G148" s="68" t="s">
        <v>359</v>
      </c>
      <c r="H148" s="291">
        <f>M148-I148</f>
        <v>30892.489647669339</v>
      </c>
      <c r="I148" s="291">
        <f>(Supuestos!$C$36-SUM($H$120:H147))*Supuestos!$F$36</f>
        <v>1425.3331204873073</v>
      </c>
      <c r="J148" s="291">
        <v>0</v>
      </c>
      <c r="K148" s="291">
        <v>0</v>
      </c>
      <c r="L148" s="291">
        <v>0</v>
      </c>
      <c r="M148" s="291">
        <f>Supuestos!$G$36</f>
        <v>32317.822768156646</v>
      </c>
      <c r="N148" s="292">
        <f>SUM(J148:L148)</f>
        <v>0</v>
      </c>
    </row>
    <row r="149" spans="1:14" ht="13.8" x14ac:dyDescent="0.3">
      <c r="A149" s="68" t="str">
        <f>Supuestos!$A$36</f>
        <v>CAMIONES 2</v>
      </c>
      <c r="B149" s="68" t="s">
        <v>452</v>
      </c>
      <c r="C149" s="68" t="str">
        <f>Supuestos!$B$36</f>
        <v>LEASING</v>
      </c>
      <c r="D149" s="73">
        <f>EDATE(Supuestos!$H$36,F149-1)</f>
        <v>48731</v>
      </c>
      <c r="E149" s="159">
        <f>DATE(YEAR(D149),MONTH(D149),1)</f>
        <v>48731</v>
      </c>
      <c r="F149" s="68">
        <v>30</v>
      </c>
      <c r="G149" s="68" t="s">
        <v>359</v>
      </c>
      <c r="H149" s="291">
        <f>M149-I149</f>
        <v>31067.160275516173</v>
      </c>
      <c r="I149" s="291">
        <f>(Supuestos!$C$36-SUM($H$120:H148))*Supuestos!$F$36</f>
        <v>1250.6624926404722</v>
      </c>
      <c r="J149" s="291">
        <v>0</v>
      </c>
      <c r="K149" s="291">
        <v>0</v>
      </c>
      <c r="L149" s="291">
        <v>0</v>
      </c>
      <c r="M149" s="291">
        <f>Supuestos!$G$36</f>
        <v>32317.822768156646</v>
      </c>
      <c r="N149" s="292">
        <f>SUM(J149:L149)</f>
        <v>0</v>
      </c>
    </row>
    <row r="150" spans="1:14" ht="13.8" x14ac:dyDescent="0.3">
      <c r="A150" s="68" t="str">
        <f>Supuestos!$A$36</f>
        <v>CAMIONES 2</v>
      </c>
      <c r="B150" s="68" t="s">
        <v>452</v>
      </c>
      <c r="C150" s="68" t="str">
        <f>Supuestos!$B$36</f>
        <v>LEASING</v>
      </c>
      <c r="D150" s="73">
        <f>EDATE(Supuestos!$H$36,F150-1)</f>
        <v>48761</v>
      </c>
      <c r="E150" s="159">
        <f>DATE(YEAR(D150),MONTH(D150),1)</f>
        <v>48761</v>
      </c>
      <c r="F150" s="68">
        <v>31</v>
      </c>
      <c r="G150" s="68" t="s">
        <v>359</v>
      </c>
      <c r="H150" s="291">
        <f>M150-I150</f>
        <v>31242.818516487765</v>
      </c>
      <c r="I150" s="291">
        <f>(Supuestos!$C$36-SUM($H$120:H149))*Supuestos!$F$36</f>
        <v>1075.0042516688818</v>
      </c>
      <c r="J150" s="291">
        <v>0</v>
      </c>
      <c r="K150" s="291">
        <v>0</v>
      </c>
      <c r="L150" s="291">
        <v>0</v>
      </c>
      <c r="M150" s="291">
        <f>Supuestos!$G$36</f>
        <v>32317.822768156646</v>
      </c>
      <c r="N150" s="292">
        <f>SUM(J150:L150)</f>
        <v>0</v>
      </c>
    </row>
    <row r="151" spans="1:14" ht="13.8" x14ac:dyDescent="0.3">
      <c r="A151" s="68" t="str">
        <f>Supuestos!$A$36</f>
        <v>CAMIONES 2</v>
      </c>
      <c r="B151" s="68" t="s">
        <v>452</v>
      </c>
      <c r="C151" s="68" t="str">
        <f>Supuestos!$B$36</f>
        <v>LEASING</v>
      </c>
      <c r="D151" s="73">
        <f>EDATE(Supuestos!$H$36,F151-1)</f>
        <v>48792</v>
      </c>
      <c r="E151" s="159">
        <f>DATE(YEAR(D151),MONTH(D151),1)</f>
        <v>48792</v>
      </c>
      <c r="F151" s="68">
        <v>32</v>
      </c>
      <c r="G151" s="68" t="s">
        <v>359</v>
      </c>
      <c r="H151" s="291">
        <f>M151-I151</f>
        <v>31419.469954692304</v>
      </c>
      <c r="I151" s="291">
        <f>(Supuestos!$C$36-SUM($H$120:H150))*Supuestos!$F$36</f>
        <v>898.35281346434272</v>
      </c>
      <c r="J151" s="291">
        <v>0</v>
      </c>
      <c r="K151" s="291">
        <v>0</v>
      </c>
      <c r="L151" s="291">
        <v>0</v>
      </c>
      <c r="M151" s="291">
        <f>Supuestos!$G$36</f>
        <v>32317.822768156646</v>
      </c>
      <c r="N151" s="292">
        <f>SUM(J151:L151)</f>
        <v>0</v>
      </c>
    </row>
    <row r="152" spans="1:14" ht="13.8" x14ac:dyDescent="0.3">
      <c r="A152" s="68" t="str">
        <f>Supuestos!$A$36</f>
        <v>CAMIONES 2</v>
      </c>
      <c r="B152" s="68" t="s">
        <v>452</v>
      </c>
      <c r="C152" s="68" t="str">
        <f>Supuestos!$B$36</f>
        <v>LEASING</v>
      </c>
      <c r="D152" s="73">
        <f>EDATE(Supuestos!$H$36,F152-1)</f>
        <v>48823</v>
      </c>
      <c r="E152" s="159">
        <f>DATE(YEAR(D152),MONTH(D152),1)</f>
        <v>48823</v>
      </c>
      <c r="F152" s="68">
        <v>33</v>
      </c>
      <c r="G152" s="68" t="s">
        <v>359</v>
      </c>
      <c r="H152" s="291">
        <f>M152-I152</f>
        <v>31597.120205811345</v>
      </c>
      <c r="I152" s="291">
        <f>(Supuestos!$C$36-SUM($H$120:H151))*Supuestos!$F$36</f>
        <v>720.70256234530075</v>
      </c>
      <c r="J152" s="291">
        <v>0</v>
      </c>
      <c r="K152" s="291">
        <v>0</v>
      </c>
      <c r="L152" s="291">
        <v>0</v>
      </c>
      <c r="M152" s="291">
        <f>Supuestos!$G$36</f>
        <v>32317.822768156646</v>
      </c>
      <c r="N152" s="292">
        <f>SUM(J152:L152)</f>
        <v>0</v>
      </c>
    </row>
    <row r="153" spans="1:14" ht="13.8" x14ac:dyDescent="0.3">
      <c r="A153" s="68" t="str">
        <f>Supuestos!$A$36</f>
        <v>CAMIONES 2</v>
      </c>
      <c r="B153" s="68" t="s">
        <v>452</v>
      </c>
      <c r="C153" s="68" t="str">
        <f>Supuestos!$B$36</f>
        <v>LEASING</v>
      </c>
      <c r="D153" s="73">
        <f>EDATE(Supuestos!$H$36,F153-1)</f>
        <v>48853</v>
      </c>
      <c r="E153" s="159">
        <f>DATE(YEAR(D153),MONTH(D153),1)</f>
        <v>48853</v>
      </c>
      <c r="F153" s="68">
        <v>34</v>
      </c>
      <c r="G153" s="68" t="s">
        <v>359</v>
      </c>
      <c r="H153" s="291">
        <f>M153-I153</f>
        <v>31775.774917278322</v>
      </c>
      <c r="I153" s="291">
        <f>(Supuestos!$C$36-SUM($H$120:H152))*Supuestos!$F$36</f>
        <v>542.04785087832261</v>
      </c>
      <c r="J153" s="291">
        <v>0</v>
      </c>
      <c r="K153" s="291">
        <v>0</v>
      </c>
      <c r="L153" s="291">
        <v>0</v>
      </c>
      <c r="M153" s="291">
        <f>Supuestos!$G$36</f>
        <v>32317.822768156646</v>
      </c>
      <c r="N153" s="292">
        <f>SUM(J153:L153)</f>
        <v>0</v>
      </c>
    </row>
    <row r="154" spans="1:14" ht="13.8" x14ac:dyDescent="0.3">
      <c r="A154" s="68" t="str">
        <f>Supuestos!$A$36</f>
        <v>CAMIONES 2</v>
      </c>
      <c r="B154" s="68" t="s">
        <v>452</v>
      </c>
      <c r="C154" s="68" t="str">
        <f>Supuestos!$B$36</f>
        <v>LEASING</v>
      </c>
      <c r="D154" s="73">
        <f>EDATE(Supuestos!$H$36,F154-1)</f>
        <v>48884</v>
      </c>
      <c r="E154" s="159">
        <f>DATE(YEAR(D154),MONTH(D154),1)</f>
        <v>48884</v>
      </c>
      <c r="F154" s="68">
        <v>35</v>
      </c>
      <c r="G154" s="68" t="s">
        <v>359</v>
      </c>
      <c r="H154" s="291">
        <f>M154-I154</f>
        <v>31955.43976845808</v>
      </c>
      <c r="I154" s="291">
        <f>(Supuestos!$C$36-SUM($H$120:H153))*Supuestos!$F$36</f>
        <v>362.38299969856513</v>
      </c>
      <c r="J154" s="291">
        <v>0</v>
      </c>
      <c r="K154" s="291">
        <v>0</v>
      </c>
      <c r="L154" s="291">
        <v>0</v>
      </c>
      <c r="M154" s="291">
        <f>Supuestos!$G$36</f>
        <v>32317.822768156646</v>
      </c>
      <c r="N154" s="292">
        <f>SUM(J154:L154)</f>
        <v>0</v>
      </c>
    </row>
    <row r="155" spans="1:14" ht="13.8" x14ac:dyDescent="0.3">
      <c r="A155" s="68" t="str">
        <f>Supuestos!$A$36</f>
        <v>CAMIONES 2</v>
      </c>
      <c r="B155" s="68" t="s">
        <v>452</v>
      </c>
      <c r="C155" s="68" t="str">
        <f>Supuestos!$B$36</f>
        <v>LEASING</v>
      </c>
      <c r="D155" s="73">
        <f>EDATE(Supuestos!$H$36,F155-1)</f>
        <v>48914</v>
      </c>
      <c r="E155" s="159">
        <f>DATE(YEAR(D155),MONTH(D155),1)</f>
        <v>48914</v>
      </c>
      <c r="F155" s="68">
        <v>36</v>
      </c>
      <c r="G155" s="68" t="s">
        <v>359</v>
      </c>
      <c r="H155" s="291">
        <f>M155-I155</f>
        <v>32136.120470827416</v>
      </c>
      <c r="I155" s="291">
        <f>(Supuestos!$C$36-SUM($H$120:H154))*Supuestos!$F$36</f>
        <v>181.7022973292305</v>
      </c>
      <c r="J155" s="291">
        <v>0</v>
      </c>
      <c r="K155" s="291">
        <v>0</v>
      </c>
      <c r="L155" s="291">
        <v>0</v>
      </c>
      <c r="M155" s="291">
        <f>Supuestos!$G$36</f>
        <v>32317.822768156646</v>
      </c>
      <c r="N155" s="292">
        <f>SUM(J155:L155)</f>
        <v>0</v>
      </c>
    </row>
    <row r="156" spans="1:14" ht="13.8" x14ac:dyDescent="0.3">
      <c r="A156" s="18" t="s">
        <v>360</v>
      </c>
      <c r="B156" s="19"/>
      <c r="C156" s="19"/>
      <c r="D156" s="19"/>
      <c r="E156" s="19"/>
      <c r="F156" s="19"/>
      <c r="G156" s="19"/>
      <c r="H156" s="293">
        <f>SUM(H120:H155)</f>
        <v>1049999.9999999998</v>
      </c>
      <c r="I156" s="293">
        <f>SUM(I120:I155)</f>
        <v>113441.61965363967</v>
      </c>
      <c r="J156" s="293">
        <f>SUM(J120:J155)</f>
        <v>0</v>
      </c>
      <c r="K156" s="293">
        <f>SUM(K120:K155)</f>
        <v>0</v>
      </c>
      <c r="L156" s="293">
        <f>SUM(L120:L155)</f>
        <v>0</v>
      </c>
      <c r="M156" s="293">
        <f>SUM(M120:M155)</f>
        <v>1163441.6196536392</v>
      </c>
      <c r="N156" s="293">
        <f>SUM(N120:N155)</f>
        <v>0</v>
      </c>
    </row>
    <row r="159" spans="1:14" ht="13.8" x14ac:dyDescent="0.3">
      <c r="A159" s="12" t="s">
        <v>455</v>
      </c>
      <c r="B159" s="12"/>
      <c r="C159" s="12"/>
      <c r="D159" s="12"/>
      <c r="E159" s="12"/>
      <c r="F159" s="12"/>
      <c r="G159" s="12"/>
      <c r="H159" s="12"/>
      <c r="I159" s="12"/>
      <c r="J159" s="12"/>
      <c r="K159" s="12"/>
      <c r="L159" s="12"/>
      <c r="M159" s="12"/>
      <c r="N159" s="12"/>
    </row>
    <row r="160" spans="1:14" ht="13.8" x14ac:dyDescent="0.3">
      <c r="A160" s="158" t="s">
        <v>348</v>
      </c>
      <c r="B160" s="158" t="s">
        <v>349</v>
      </c>
      <c r="C160" s="158" t="s">
        <v>217</v>
      </c>
      <c r="D160" s="158" t="s">
        <v>350</v>
      </c>
      <c r="E160" s="158" t="s">
        <v>351</v>
      </c>
      <c r="F160" s="158" t="s">
        <v>352</v>
      </c>
      <c r="G160" s="158" t="s">
        <v>353</v>
      </c>
      <c r="H160" s="158" t="s">
        <v>68</v>
      </c>
      <c r="I160" s="158" t="s">
        <v>70</v>
      </c>
      <c r="J160" s="158" t="s">
        <v>354</v>
      </c>
      <c r="K160" s="158" t="s">
        <v>90</v>
      </c>
      <c r="L160" s="158" t="s">
        <v>355</v>
      </c>
      <c r="M160" s="158" t="s">
        <v>356</v>
      </c>
      <c r="N160" s="158" t="s">
        <v>357</v>
      </c>
    </row>
    <row r="161" spans="1:14" ht="13.8" x14ac:dyDescent="0.3">
      <c r="A161" s="68" t="str">
        <f>Supuestos!$A$37</f>
        <v>INVERSION 2026</v>
      </c>
      <c r="B161" s="68" t="s">
        <v>452</v>
      </c>
      <c r="C161" s="68" t="str">
        <f>Supuestos!$B$37</f>
        <v>MP</v>
      </c>
      <c r="D161" s="73">
        <f>EDATE(Supuestos!$H$37,F161-1)</f>
        <v>46327</v>
      </c>
      <c r="E161" s="159">
        <f>DATE(YEAR(D161),MONTH(D161),1)</f>
        <v>46327</v>
      </c>
      <c r="F161" s="68">
        <v>1</v>
      </c>
      <c r="G161" s="68" t="s">
        <v>359</v>
      </c>
      <c r="H161" s="291">
        <f>M161-I161</f>
        <v>25627.228108198793</v>
      </c>
      <c r="I161" s="291">
        <f>Supuestos!$C$37*Supuestos!$F$37</f>
        <v>5767.2282951533789</v>
      </c>
      <c r="J161" s="291">
        <v>0</v>
      </c>
      <c r="K161" s="291">
        <v>0</v>
      </c>
      <c r="L161" s="291">
        <v>0</v>
      </c>
      <c r="M161" s="291">
        <f>Supuestos!$G$37</f>
        <v>31394.456403352171</v>
      </c>
      <c r="N161" s="292">
        <f>SUM(J161:L161)</f>
        <v>0</v>
      </c>
    </row>
    <row r="162" spans="1:14" ht="13.8" x14ac:dyDescent="0.3">
      <c r="A162" s="68" t="str">
        <f>Supuestos!$A$37</f>
        <v>INVERSION 2026</v>
      </c>
      <c r="B162" s="68" t="s">
        <v>452</v>
      </c>
      <c r="C162" s="68" t="str">
        <f>Supuestos!$B$37</f>
        <v>MP</v>
      </c>
      <c r="D162" s="73">
        <f>EDATE(Supuestos!$H$37,F162-1)</f>
        <v>46357</v>
      </c>
      <c r="E162" s="159">
        <f>DATE(YEAR(D162),MONTH(D162),1)</f>
        <v>46357</v>
      </c>
      <c r="F162" s="68">
        <v>2</v>
      </c>
      <c r="G162" s="68" t="s">
        <v>359</v>
      </c>
      <c r="H162" s="291">
        <f>M162-I162</f>
        <v>25772.128181798747</v>
      </c>
      <c r="I162" s="291">
        <f>(Supuestos!$C$37-SUM($H$161:H161))*Supuestos!$F$37</f>
        <v>5622.3282215534236</v>
      </c>
      <c r="J162" s="291">
        <v>0</v>
      </c>
      <c r="K162" s="291">
        <v>0</v>
      </c>
      <c r="L162" s="291">
        <v>0</v>
      </c>
      <c r="M162" s="291">
        <f>Supuestos!$G$37</f>
        <v>31394.456403352171</v>
      </c>
      <c r="N162" s="292">
        <f>SUM(J162:L162)</f>
        <v>0</v>
      </c>
    </row>
    <row r="163" spans="1:14" ht="13.8" x14ac:dyDescent="0.3">
      <c r="A163" s="68" t="str">
        <f>Supuestos!$A$37</f>
        <v>INVERSION 2026</v>
      </c>
      <c r="B163" s="68" t="s">
        <v>452</v>
      </c>
      <c r="C163" s="68" t="str">
        <f>Supuestos!$B$37</f>
        <v>MP</v>
      </c>
      <c r="D163" s="73">
        <f>EDATE(Supuestos!$H$37,F163-1)</f>
        <v>46388</v>
      </c>
      <c r="E163" s="159">
        <f>DATE(YEAR(D163),MONTH(D163),1)</f>
        <v>46388</v>
      </c>
      <c r="F163" s="68">
        <v>3</v>
      </c>
      <c r="G163" s="68" t="s">
        <v>359</v>
      </c>
      <c r="H163" s="291">
        <f>M163-I163</f>
        <v>25917.847541481482</v>
      </c>
      <c r="I163" s="291">
        <f>(Supuestos!$C$37-SUM($H$161:H162))*Supuestos!$F$37</f>
        <v>5476.608861870689</v>
      </c>
      <c r="J163" s="291">
        <v>0</v>
      </c>
      <c r="K163" s="291">
        <v>0</v>
      </c>
      <c r="L163" s="291">
        <v>0</v>
      </c>
      <c r="M163" s="291">
        <f>Supuestos!$G$37</f>
        <v>31394.456403352171</v>
      </c>
      <c r="N163" s="292">
        <f>SUM(J163:L163)</f>
        <v>0</v>
      </c>
    </row>
    <row r="164" spans="1:14" ht="13.8" x14ac:dyDescent="0.3">
      <c r="A164" s="68" t="str">
        <f>Supuestos!$A$37</f>
        <v>INVERSION 2026</v>
      </c>
      <c r="B164" s="68" t="s">
        <v>452</v>
      </c>
      <c r="C164" s="68" t="str">
        <f>Supuestos!$B$37</f>
        <v>MP</v>
      </c>
      <c r="D164" s="73">
        <f>EDATE(Supuestos!$H$37,F164-1)</f>
        <v>46419</v>
      </c>
      <c r="E164" s="159">
        <f>DATE(YEAR(D164),MONTH(D164),1)</f>
        <v>46419</v>
      </c>
      <c r="F164" s="68">
        <v>4</v>
      </c>
      <c r="G164" s="68" t="s">
        <v>359</v>
      </c>
      <c r="H164" s="291">
        <f>M164-I164</f>
        <v>26064.390819609624</v>
      </c>
      <c r="I164" s="291">
        <f>(Supuestos!$C$37-SUM($H$161:H163))*Supuestos!$F$37</f>
        <v>5330.0655837425493</v>
      </c>
      <c r="J164" s="291">
        <v>0</v>
      </c>
      <c r="K164" s="291">
        <v>0</v>
      </c>
      <c r="L164" s="291">
        <v>0</v>
      </c>
      <c r="M164" s="291">
        <f>Supuestos!$G$37</f>
        <v>31394.456403352171</v>
      </c>
      <c r="N164" s="292">
        <f>SUM(J164:L164)</f>
        <v>0</v>
      </c>
    </row>
    <row r="165" spans="1:14" ht="13.8" x14ac:dyDescent="0.3">
      <c r="A165" s="68" t="str">
        <f>Supuestos!$A$37</f>
        <v>INVERSION 2026</v>
      </c>
      <c r="B165" s="68" t="s">
        <v>452</v>
      </c>
      <c r="C165" s="68" t="str">
        <f>Supuestos!$B$37</f>
        <v>MP</v>
      </c>
      <c r="D165" s="73">
        <f>EDATE(Supuestos!$H$37,F165-1)</f>
        <v>46447</v>
      </c>
      <c r="E165" s="159">
        <f>DATE(YEAR(D165),MONTH(D165),1)</f>
        <v>46447</v>
      </c>
      <c r="F165" s="68">
        <v>5</v>
      </c>
      <c r="G165" s="68" t="s">
        <v>359</v>
      </c>
      <c r="H165" s="291">
        <f>M165-I165</f>
        <v>26211.762674737845</v>
      </c>
      <c r="I165" s="291">
        <f>(Supuestos!$C$37-SUM($H$161:H164))*Supuestos!$F$37</f>
        <v>5182.6937286143248</v>
      </c>
      <c r="J165" s="291">
        <v>0</v>
      </c>
      <c r="K165" s="291">
        <v>0</v>
      </c>
      <c r="L165" s="291">
        <v>0</v>
      </c>
      <c r="M165" s="291">
        <f>Supuestos!$G$37</f>
        <v>31394.456403352171</v>
      </c>
      <c r="N165" s="292">
        <f>SUM(J165:L165)</f>
        <v>0</v>
      </c>
    </row>
    <row r="166" spans="1:14" ht="13.8" x14ac:dyDescent="0.3">
      <c r="A166" s="68" t="str">
        <f>Supuestos!$A$37</f>
        <v>INVERSION 2026</v>
      </c>
      <c r="B166" s="68" t="s">
        <v>452</v>
      </c>
      <c r="C166" s="68" t="str">
        <f>Supuestos!$B$37</f>
        <v>MP</v>
      </c>
      <c r="D166" s="73">
        <f>EDATE(Supuestos!$H$37,F166-1)</f>
        <v>46478</v>
      </c>
      <c r="E166" s="159">
        <f>DATE(YEAR(D166),MONTH(D166),1)</f>
        <v>46478</v>
      </c>
      <c r="F166" s="68">
        <v>6</v>
      </c>
      <c r="G166" s="68" t="s">
        <v>359</v>
      </c>
      <c r="H166" s="291">
        <f>M166-I166</f>
        <v>26359.967791760977</v>
      </c>
      <c r="I166" s="291">
        <f>(Supuestos!$C$37-SUM($H$161:H165))*Supuestos!$F$37</f>
        <v>5034.4886115911941</v>
      </c>
      <c r="J166" s="291">
        <v>0</v>
      </c>
      <c r="K166" s="291">
        <v>0</v>
      </c>
      <c r="L166" s="291">
        <v>0</v>
      </c>
      <c r="M166" s="291">
        <f>Supuestos!$G$37</f>
        <v>31394.456403352171</v>
      </c>
      <c r="N166" s="292">
        <f>SUM(J166:L166)</f>
        <v>0</v>
      </c>
    </row>
    <row r="167" spans="1:14" ht="13.8" x14ac:dyDescent="0.3">
      <c r="A167" s="68" t="str">
        <f>Supuestos!$A$37</f>
        <v>INVERSION 2026</v>
      </c>
      <c r="B167" s="68" t="s">
        <v>452</v>
      </c>
      <c r="C167" s="68" t="str">
        <f>Supuestos!$B$37</f>
        <v>MP</v>
      </c>
      <c r="D167" s="73">
        <f>EDATE(Supuestos!$H$37,F167-1)</f>
        <v>46508</v>
      </c>
      <c r="E167" s="159">
        <f>DATE(YEAR(D167),MONTH(D167),1)</f>
        <v>46508</v>
      </c>
      <c r="F167" s="68">
        <v>7</v>
      </c>
      <c r="G167" s="68" t="s">
        <v>359</v>
      </c>
      <c r="H167" s="291">
        <f>M167-I167</f>
        <v>26509.010882062914</v>
      </c>
      <c r="I167" s="291">
        <f>(Supuestos!$C$37-SUM($H$161:H166))*Supuestos!$F$37</f>
        <v>4885.4455212892572</v>
      </c>
      <c r="J167" s="291">
        <v>0</v>
      </c>
      <c r="K167" s="291">
        <v>0</v>
      </c>
      <c r="L167" s="291">
        <v>0</v>
      </c>
      <c r="M167" s="291">
        <f>Supuestos!$G$37</f>
        <v>31394.456403352171</v>
      </c>
      <c r="N167" s="292">
        <f>SUM(J167:L167)</f>
        <v>0</v>
      </c>
    </row>
    <row r="168" spans="1:14" ht="13.8" x14ac:dyDescent="0.3">
      <c r="A168" s="68" t="str">
        <f>Supuestos!$A$37</f>
        <v>INVERSION 2026</v>
      </c>
      <c r="B168" s="68" t="s">
        <v>452</v>
      </c>
      <c r="C168" s="68" t="str">
        <f>Supuestos!$B$37</f>
        <v>MP</v>
      </c>
      <c r="D168" s="73">
        <f>EDATE(Supuestos!$H$37,F168-1)</f>
        <v>46539</v>
      </c>
      <c r="E168" s="159">
        <f>DATE(YEAR(D168),MONTH(D168),1)</f>
        <v>46539</v>
      </c>
      <c r="F168" s="68">
        <v>8</v>
      </c>
      <c r="G168" s="68" t="s">
        <v>359</v>
      </c>
      <c r="H168" s="291">
        <f>M168-I168</f>
        <v>26658.896683666408</v>
      </c>
      <c r="I168" s="291">
        <f>(Supuestos!$C$37-SUM($H$161:H167))*Supuestos!$F$37</f>
        <v>4735.5597196857643</v>
      </c>
      <c r="J168" s="291">
        <v>0</v>
      </c>
      <c r="K168" s="291">
        <v>0</v>
      </c>
      <c r="L168" s="291">
        <v>0</v>
      </c>
      <c r="M168" s="291">
        <f>Supuestos!$G$37</f>
        <v>31394.456403352171</v>
      </c>
      <c r="N168" s="292">
        <f>SUM(J168:L168)</f>
        <v>0</v>
      </c>
    </row>
    <row r="169" spans="1:14" ht="13.8" x14ac:dyDescent="0.3">
      <c r="A169" s="68" t="str">
        <f>Supuestos!$A$37</f>
        <v>INVERSION 2026</v>
      </c>
      <c r="B169" s="68" t="s">
        <v>452</v>
      </c>
      <c r="C169" s="68" t="str">
        <f>Supuestos!$B$37</f>
        <v>MP</v>
      </c>
      <c r="D169" s="73">
        <f>EDATE(Supuestos!$H$37,F169-1)</f>
        <v>46569</v>
      </c>
      <c r="E169" s="159">
        <f>DATE(YEAR(D169),MONTH(D169),1)</f>
        <v>46569</v>
      </c>
      <c r="F169" s="68">
        <v>9</v>
      </c>
      <c r="G169" s="68" t="s">
        <v>359</v>
      </c>
      <c r="H169" s="291">
        <f>M169-I169</f>
        <v>26809.629961383675</v>
      </c>
      <c r="I169" s="291">
        <f>(Supuestos!$C$37-SUM($H$161:H168))*Supuestos!$F$37</f>
        <v>4584.8264419684983</v>
      </c>
      <c r="J169" s="291">
        <v>0</v>
      </c>
      <c r="K169" s="291">
        <v>0</v>
      </c>
      <c r="L169" s="291">
        <v>0</v>
      </c>
      <c r="M169" s="291">
        <f>Supuestos!$G$37</f>
        <v>31394.456403352171</v>
      </c>
      <c r="N169" s="292">
        <f>SUM(J169:L169)</f>
        <v>0</v>
      </c>
    </row>
    <row r="170" spans="1:14" ht="13.8" x14ac:dyDescent="0.3">
      <c r="A170" s="68" t="str">
        <f>Supuestos!$A$37</f>
        <v>INVERSION 2026</v>
      </c>
      <c r="B170" s="68" t="s">
        <v>452</v>
      </c>
      <c r="C170" s="68" t="str">
        <f>Supuestos!$B$37</f>
        <v>MP</v>
      </c>
      <c r="D170" s="73">
        <f>EDATE(Supuestos!$H$37,F170-1)</f>
        <v>46600</v>
      </c>
      <c r="E170" s="159">
        <f>DATE(YEAR(D170),MONTH(D170),1)</f>
        <v>46600</v>
      </c>
      <c r="F170" s="68">
        <v>10</v>
      </c>
      <c r="G170" s="68" t="s">
        <v>359</v>
      </c>
      <c r="H170" s="291">
        <f>M170-I170</f>
        <v>26961.21550696787</v>
      </c>
      <c r="I170" s="291">
        <f>(Supuestos!$C$37-SUM($H$161:H169))*Supuestos!$F$37</f>
        <v>4433.240896384299</v>
      </c>
      <c r="J170" s="291">
        <v>0</v>
      </c>
      <c r="K170" s="291">
        <v>0</v>
      </c>
      <c r="L170" s="291">
        <v>0</v>
      </c>
      <c r="M170" s="291">
        <f>Supuestos!$G$37</f>
        <v>31394.456403352171</v>
      </c>
      <c r="N170" s="292">
        <f>SUM(J170:L170)</f>
        <v>0</v>
      </c>
    </row>
    <row r="171" spans="1:14" ht="13.8" x14ac:dyDescent="0.3">
      <c r="A171" s="68" t="str">
        <f>Supuestos!$A$37</f>
        <v>INVERSION 2026</v>
      </c>
      <c r="B171" s="68" t="s">
        <v>452</v>
      </c>
      <c r="C171" s="68" t="str">
        <f>Supuestos!$B$37</f>
        <v>MP</v>
      </c>
      <c r="D171" s="73">
        <f>EDATE(Supuestos!$H$37,F171-1)</f>
        <v>46631</v>
      </c>
      <c r="E171" s="159">
        <f>DATE(YEAR(D171),MONTH(D171),1)</f>
        <v>46631</v>
      </c>
      <c r="F171" s="68">
        <v>11</v>
      </c>
      <c r="G171" s="68" t="s">
        <v>359</v>
      </c>
      <c r="H171" s="291">
        <f>M171-I171</f>
        <v>27113.658139265433</v>
      </c>
      <c r="I171" s="291">
        <f>(Supuestos!$C$37-SUM($H$161:H170))*Supuestos!$F$37</f>
        <v>4280.7982640867367</v>
      </c>
      <c r="J171" s="291">
        <v>0</v>
      </c>
      <c r="K171" s="291">
        <v>0</v>
      </c>
      <c r="L171" s="291">
        <v>0</v>
      </c>
      <c r="M171" s="291">
        <f>Supuestos!$G$37</f>
        <v>31394.456403352171</v>
      </c>
      <c r="N171" s="292">
        <f>SUM(J171:L171)</f>
        <v>0</v>
      </c>
    </row>
    <row r="172" spans="1:14" ht="13.8" x14ac:dyDescent="0.3">
      <c r="A172" s="68" t="str">
        <f>Supuestos!$A$37</f>
        <v>INVERSION 2026</v>
      </c>
      <c r="B172" s="68" t="s">
        <v>452</v>
      </c>
      <c r="C172" s="68" t="str">
        <f>Supuestos!$B$37</f>
        <v>MP</v>
      </c>
      <c r="D172" s="73">
        <f>EDATE(Supuestos!$H$37,F172-1)</f>
        <v>46661</v>
      </c>
      <c r="E172" s="159">
        <f>DATE(YEAR(D172),MONTH(D172),1)</f>
        <v>46661</v>
      </c>
      <c r="F172" s="68">
        <v>12</v>
      </c>
      <c r="G172" s="68" t="s">
        <v>359</v>
      </c>
      <c r="H172" s="291">
        <f>M172-I172</f>
        <v>27266.962704369245</v>
      </c>
      <c r="I172" s="291">
        <f>(Supuestos!$C$37-SUM($H$161:H171))*Supuestos!$F$37</f>
        <v>4127.4936989829257</v>
      </c>
      <c r="J172" s="291">
        <v>0</v>
      </c>
      <c r="K172" s="291">
        <v>0</v>
      </c>
      <c r="L172" s="291">
        <v>0</v>
      </c>
      <c r="M172" s="291">
        <f>Supuestos!$G$37</f>
        <v>31394.456403352171</v>
      </c>
      <c r="N172" s="292">
        <f>SUM(J172:L172)</f>
        <v>0</v>
      </c>
    </row>
    <row r="173" spans="1:14" ht="13.8" x14ac:dyDescent="0.3">
      <c r="A173" s="68" t="str">
        <f>Supuestos!$A$37</f>
        <v>INVERSION 2026</v>
      </c>
      <c r="B173" s="68" t="s">
        <v>452</v>
      </c>
      <c r="C173" s="68" t="str">
        <f>Supuestos!$B$37</f>
        <v>MP</v>
      </c>
      <c r="D173" s="73">
        <f>EDATE(Supuestos!$H$37,F173-1)</f>
        <v>46692</v>
      </c>
      <c r="E173" s="159">
        <f>DATE(YEAR(D173),MONTH(D173),1)</f>
        <v>46692</v>
      </c>
      <c r="F173" s="68">
        <v>13</v>
      </c>
      <c r="G173" s="68" t="s">
        <v>359</v>
      </c>
      <c r="H173" s="291">
        <f>M173-I173</f>
        <v>27421.134075772705</v>
      </c>
      <c r="I173" s="291">
        <f>(Supuestos!$C$37-SUM($H$161:H172))*Supuestos!$F$37</f>
        <v>3973.3223275794649</v>
      </c>
      <c r="J173" s="291">
        <v>0</v>
      </c>
      <c r="K173" s="291">
        <v>0</v>
      </c>
      <c r="L173" s="291">
        <v>0</v>
      </c>
      <c r="M173" s="291">
        <f>Supuestos!$G$37</f>
        <v>31394.456403352171</v>
      </c>
      <c r="N173" s="292">
        <f>SUM(J173:L173)</f>
        <v>0</v>
      </c>
    </row>
    <row r="174" spans="1:14" ht="13.8" x14ac:dyDescent="0.3">
      <c r="A174" s="68" t="str">
        <f>Supuestos!$A$37</f>
        <v>INVERSION 2026</v>
      </c>
      <c r="B174" s="68" t="s">
        <v>452</v>
      </c>
      <c r="C174" s="68" t="str">
        <f>Supuestos!$B$37</f>
        <v>MP</v>
      </c>
      <c r="D174" s="73">
        <f>EDATE(Supuestos!$H$37,F174-1)</f>
        <v>46722</v>
      </c>
      <c r="E174" s="159">
        <f>DATE(YEAR(D174),MONTH(D174),1)</f>
        <v>46722</v>
      </c>
      <c r="F174" s="68">
        <v>14</v>
      </c>
      <c r="G174" s="68" t="s">
        <v>359</v>
      </c>
      <c r="H174" s="291">
        <f>M174-I174</f>
        <v>27576.177154524659</v>
      </c>
      <c r="I174" s="291">
        <f>(Supuestos!$C$37-SUM($H$161:H173))*Supuestos!$F$37</f>
        <v>3818.2792488275131</v>
      </c>
      <c r="J174" s="291">
        <v>0</v>
      </c>
      <c r="K174" s="291">
        <v>0</v>
      </c>
      <c r="L174" s="291">
        <v>0</v>
      </c>
      <c r="M174" s="291">
        <f>Supuestos!$G$37</f>
        <v>31394.456403352171</v>
      </c>
      <c r="N174" s="292">
        <f>SUM(J174:L174)</f>
        <v>0</v>
      </c>
    </row>
    <row r="175" spans="1:14" ht="13.8" x14ac:dyDescent="0.3">
      <c r="A175" s="68" t="str">
        <f>Supuestos!$A$37</f>
        <v>INVERSION 2026</v>
      </c>
      <c r="B175" s="68" t="s">
        <v>452</v>
      </c>
      <c r="C175" s="68" t="str">
        <f>Supuestos!$B$37</f>
        <v>MP</v>
      </c>
      <c r="D175" s="73">
        <f>EDATE(Supuestos!$H$37,F175-1)</f>
        <v>46753</v>
      </c>
      <c r="E175" s="159">
        <f>DATE(YEAR(D175),MONTH(D175),1)</f>
        <v>46753</v>
      </c>
      <c r="F175" s="68">
        <v>15</v>
      </c>
      <c r="G175" s="68" t="s">
        <v>359</v>
      </c>
      <c r="H175" s="291">
        <f>M175-I175</f>
        <v>27732.096869385183</v>
      </c>
      <c r="I175" s="291">
        <f>(Supuestos!$C$37-SUM($H$161:H174))*Supuestos!$F$37</f>
        <v>3662.3595339669869</v>
      </c>
      <c r="J175" s="291">
        <v>0</v>
      </c>
      <c r="K175" s="291">
        <v>0</v>
      </c>
      <c r="L175" s="291">
        <v>0</v>
      </c>
      <c r="M175" s="291">
        <f>Supuestos!$G$37</f>
        <v>31394.456403352171</v>
      </c>
      <c r="N175" s="292">
        <f>SUM(J175:L175)</f>
        <v>0</v>
      </c>
    </row>
    <row r="176" spans="1:14" ht="13.8" x14ac:dyDescent="0.3">
      <c r="A176" s="68" t="str">
        <f>Supuestos!$A$37</f>
        <v>INVERSION 2026</v>
      </c>
      <c r="B176" s="68" t="s">
        <v>452</v>
      </c>
      <c r="C176" s="68" t="str">
        <f>Supuestos!$B$37</f>
        <v>MP</v>
      </c>
      <c r="D176" s="73">
        <f>EDATE(Supuestos!$H$37,F176-1)</f>
        <v>46784</v>
      </c>
      <c r="E176" s="159">
        <f>DATE(YEAR(D176),MONTH(D176),1)</f>
        <v>46784</v>
      </c>
      <c r="F176" s="68">
        <v>16</v>
      </c>
      <c r="G176" s="68" t="s">
        <v>359</v>
      </c>
      <c r="H176" s="291">
        <f>M176-I176</f>
        <v>27888.898176982293</v>
      </c>
      <c r="I176" s="291">
        <f>(Supuestos!$C$37-SUM($H$161:H175))*Supuestos!$F$37</f>
        <v>3505.5582263698766</v>
      </c>
      <c r="J176" s="291">
        <v>0</v>
      </c>
      <c r="K176" s="291">
        <v>0</v>
      </c>
      <c r="L176" s="291">
        <v>0</v>
      </c>
      <c r="M176" s="291">
        <f>Supuestos!$G$37</f>
        <v>31394.456403352171</v>
      </c>
      <c r="N176" s="292">
        <f>SUM(J176:L176)</f>
        <v>0</v>
      </c>
    </row>
    <row r="177" spans="1:14" ht="13.8" x14ac:dyDescent="0.3">
      <c r="A177" s="68" t="str">
        <f>Supuestos!$A$37</f>
        <v>INVERSION 2026</v>
      </c>
      <c r="B177" s="68" t="s">
        <v>452</v>
      </c>
      <c r="C177" s="68" t="str">
        <f>Supuestos!$B$37</f>
        <v>MP</v>
      </c>
      <c r="D177" s="73">
        <f>EDATE(Supuestos!$H$37,F177-1)</f>
        <v>46813</v>
      </c>
      <c r="E177" s="159">
        <f>DATE(YEAR(D177),MONTH(D177),1)</f>
        <v>46813</v>
      </c>
      <c r="F177" s="68">
        <v>17</v>
      </c>
      <c r="G177" s="68" t="s">
        <v>359</v>
      </c>
      <c r="H177" s="291">
        <f>M177-I177</f>
        <v>28046.586061969494</v>
      </c>
      <c r="I177" s="291">
        <f>(Supuestos!$C$37-SUM($H$161:H176))*Supuestos!$F$37</f>
        <v>3347.8703413826765</v>
      </c>
      <c r="J177" s="291">
        <v>0</v>
      </c>
      <c r="K177" s="291">
        <v>0</v>
      </c>
      <c r="L177" s="291">
        <v>0</v>
      </c>
      <c r="M177" s="291">
        <f>Supuestos!$G$37</f>
        <v>31394.456403352171</v>
      </c>
      <c r="N177" s="292">
        <f>SUM(J177:L177)</f>
        <v>0</v>
      </c>
    </row>
    <row r="178" spans="1:14" ht="13.8" x14ac:dyDescent="0.3">
      <c r="A178" s="68" t="str">
        <f>Supuestos!$A$37</f>
        <v>INVERSION 2026</v>
      </c>
      <c r="B178" s="68" t="s">
        <v>452</v>
      </c>
      <c r="C178" s="68" t="str">
        <f>Supuestos!$B$37</f>
        <v>MP</v>
      </c>
      <c r="D178" s="73">
        <f>EDATE(Supuestos!$H$37,F178-1)</f>
        <v>46844</v>
      </c>
      <c r="E178" s="159">
        <f>DATE(YEAR(D178),MONTH(D178),1)</f>
        <v>46844</v>
      </c>
      <c r="F178" s="68">
        <v>18</v>
      </c>
      <c r="G178" s="68" t="s">
        <v>359</v>
      </c>
      <c r="H178" s="291">
        <f>M178-I178</f>
        <v>28205.165537184243</v>
      </c>
      <c r="I178" s="291">
        <f>(Supuestos!$C$37-SUM($H$161:H177))*Supuestos!$F$37</f>
        <v>3189.2908661679267</v>
      </c>
      <c r="J178" s="291">
        <v>0</v>
      </c>
      <c r="K178" s="291">
        <v>0</v>
      </c>
      <c r="L178" s="291">
        <v>0</v>
      </c>
      <c r="M178" s="291">
        <f>Supuestos!$G$37</f>
        <v>31394.456403352171</v>
      </c>
      <c r="N178" s="292">
        <f>SUM(J178:L178)</f>
        <v>0</v>
      </c>
    </row>
    <row r="179" spans="1:14" ht="13.8" x14ac:dyDescent="0.3">
      <c r="A179" s="68" t="str">
        <f>Supuestos!$A$37</f>
        <v>INVERSION 2026</v>
      </c>
      <c r="B179" s="68" t="s">
        <v>452</v>
      </c>
      <c r="C179" s="68" t="str">
        <f>Supuestos!$B$37</f>
        <v>MP</v>
      </c>
      <c r="D179" s="73">
        <f>EDATE(Supuestos!$H$37,F179-1)</f>
        <v>46874</v>
      </c>
      <c r="E179" s="159">
        <f>DATE(YEAR(D179),MONTH(D179),1)</f>
        <v>46874</v>
      </c>
      <c r="F179" s="68">
        <v>19</v>
      </c>
      <c r="G179" s="68" t="s">
        <v>359</v>
      </c>
      <c r="H179" s="291">
        <f>M179-I179</f>
        <v>28364.641643807317</v>
      </c>
      <c r="I179" s="291">
        <f>(Supuestos!$C$37-SUM($H$161:H178))*Supuestos!$F$37</f>
        <v>3029.814759544854</v>
      </c>
      <c r="J179" s="291">
        <v>0</v>
      </c>
      <c r="K179" s="291">
        <v>0</v>
      </c>
      <c r="L179" s="291">
        <v>0</v>
      </c>
      <c r="M179" s="291">
        <f>Supuestos!$G$37</f>
        <v>31394.456403352171</v>
      </c>
      <c r="N179" s="292">
        <f>SUM(J179:L179)</f>
        <v>0</v>
      </c>
    </row>
    <row r="180" spans="1:14" ht="13.8" x14ac:dyDescent="0.3">
      <c r="A180" s="68" t="str">
        <f>Supuestos!$A$37</f>
        <v>INVERSION 2026</v>
      </c>
      <c r="B180" s="68" t="s">
        <v>452</v>
      </c>
      <c r="C180" s="68" t="str">
        <f>Supuestos!$B$37</f>
        <v>MP</v>
      </c>
      <c r="D180" s="73">
        <f>EDATE(Supuestos!$H$37,F180-1)</f>
        <v>46905</v>
      </c>
      <c r="E180" s="159">
        <f>DATE(YEAR(D180),MONTH(D180),1)</f>
        <v>46905</v>
      </c>
      <c r="F180" s="68">
        <v>20</v>
      </c>
      <c r="G180" s="68" t="s">
        <v>359</v>
      </c>
      <c r="H180" s="291">
        <f>M180-I180</f>
        <v>28525.019451523054</v>
      </c>
      <c r="I180" s="291">
        <f>(Supuestos!$C$37-SUM($H$161:H179))*Supuestos!$F$37</f>
        <v>2869.4369518291178</v>
      </c>
      <c r="J180" s="291">
        <v>0</v>
      </c>
      <c r="K180" s="291">
        <v>0</v>
      </c>
      <c r="L180" s="291">
        <v>0</v>
      </c>
      <c r="M180" s="291">
        <f>Supuestos!$G$37</f>
        <v>31394.456403352171</v>
      </c>
      <c r="N180" s="292">
        <f>SUM(J180:L180)</f>
        <v>0</v>
      </c>
    </row>
    <row r="181" spans="1:14" ht="13.8" x14ac:dyDescent="0.3">
      <c r="A181" s="68" t="str">
        <f>Supuestos!$A$37</f>
        <v>INVERSION 2026</v>
      </c>
      <c r="B181" s="68" t="s">
        <v>452</v>
      </c>
      <c r="C181" s="68" t="str">
        <f>Supuestos!$B$37</f>
        <v>MP</v>
      </c>
      <c r="D181" s="73">
        <f>EDATE(Supuestos!$H$37,F181-1)</f>
        <v>46935</v>
      </c>
      <c r="E181" s="159">
        <f>DATE(YEAR(D181),MONTH(D181),1)</f>
        <v>46935</v>
      </c>
      <c r="F181" s="68">
        <v>21</v>
      </c>
      <c r="G181" s="68" t="s">
        <v>359</v>
      </c>
      <c r="H181" s="291">
        <f>M181-I181</f>
        <v>28686.304058680529</v>
      </c>
      <c r="I181" s="291">
        <f>(Supuestos!$C$37-SUM($H$161:H180))*Supuestos!$F$37</f>
        <v>2708.1523446716428</v>
      </c>
      <c r="J181" s="291">
        <v>0</v>
      </c>
      <c r="K181" s="291">
        <v>0</v>
      </c>
      <c r="L181" s="291">
        <v>0</v>
      </c>
      <c r="M181" s="291">
        <f>Supuestos!$G$37</f>
        <v>31394.456403352171</v>
      </c>
      <c r="N181" s="292">
        <f>SUM(J181:L181)</f>
        <v>0</v>
      </c>
    </row>
    <row r="182" spans="1:14" ht="13.8" x14ac:dyDescent="0.3">
      <c r="A182" s="68" t="str">
        <f>Supuestos!$A$37</f>
        <v>INVERSION 2026</v>
      </c>
      <c r="B182" s="68" t="s">
        <v>452</v>
      </c>
      <c r="C182" s="68" t="str">
        <f>Supuestos!$B$37</f>
        <v>MP</v>
      </c>
      <c r="D182" s="73">
        <f>EDATE(Supuestos!$H$37,F182-1)</f>
        <v>46966</v>
      </c>
      <c r="E182" s="159">
        <f>DATE(YEAR(D182),MONTH(D182),1)</f>
        <v>46966</v>
      </c>
      <c r="F182" s="68">
        <v>22</v>
      </c>
      <c r="G182" s="68" t="s">
        <v>359</v>
      </c>
      <c r="H182" s="291">
        <f>M182-I182</f>
        <v>28848.500592455621</v>
      </c>
      <c r="I182" s="291">
        <f>(Supuestos!$C$37-SUM($H$161:H181))*Supuestos!$F$37</f>
        <v>2545.9558108965489</v>
      </c>
      <c r="J182" s="291">
        <v>0</v>
      </c>
      <c r="K182" s="291">
        <v>0</v>
      </c>
      <c r="L182" s="291">
        <v>0</v>
      </c>
      <c r="M182" s="291">
        <f>Supuestos!$G$37</f>
        <v>31394.456403352171</v>
      </c>
      <c r="N182" s="292">
        <f>SUM(J182:L182)</f>
        <v>0</v>
      </c>
    </row>
    <row r="183" spans="1:14" ht="13.8" x14ac:dyDescent="0.3">
      <c r="A183" s="68" t="str">
        <f>Supuestos!$A$37</f>
        <v>INVERSION 2026</v>
      </c>
      <c r="B183" s="68" t="s">
        <v>452</v>
      </c>
      <c r="C183" s="68" t="str">
        <f>Supuestos!$B$37</f>
        <v>MP</v>
      </c>
      <c r="D183" s="73">
        <f>EDATE(Supuestos!$H$37,F183-1)</f>
        <v>46997</v>
      </c>
      <c r="E183" s="159">
        <f>DATE(YEAR(D183),MONTH(D183),1)</f>
        <v>46997</v>
      </c>
      <c r="F183" s="68">
        <v>23</v>
      </c>
      <c r="G183" s="68" t="s">
        <v>359</v>
      </c>
      <c r="H183" s="291">
        <f>M183-I183</f>
        <v>29011.614209014013</v>
      </c>
      <c r="I183" s="291">
        <f>(Supuestos!$C$37-SUM($H$161:H182))*Supuestos!$F$37</f>
        <v>2382.8421943381577</v>
      </c>
      <c r="J183" s="291">
        <v>0</v>
      </c>
      <c r="K183" s="291">
        <v>0</v>
      </c>
      <c r="L183" s="291">
        <v>0</v>
      </c>
      <c r="M183" s="291">
        <f>Supuestos!$G$37</f>
        <v>31394.456403352171</v>
      </c>
      <c r="N183" s="292">
        <f>SUM(J183:L183)</f>
        <v>0</v>
      </c>
    </row>
    <row r="184" spans="1:14" ht="13.8" x14ac:dyDescent="0.3">
      <c r="A184" s="68" t="str">
        <f>Supuestos!$A$37</f>
        <v>INVERSION 2026</v>
      </c>
      <c r="B184" s="68" t="s">
        <v>452</v>
      </c>
      <c r="C184" s="68" t="str">
        <f>Supuestos!$B$37</f>
        <v>MP</v>
      </c>
      <c r="D184" s="73">
        <f>EDATE(Supuestos!$H$37,F184-1)</f>
        <v>47027</v>
      </c>
      <c r="E184" s="159">
        <f>DATE(YEAR(D184),MONTH(D184),1)</f>
        <v>47027</v>
      </c>
      <c r="F184" s="68">
        <v>24</v>
      </c>
      <c r="G184" s="68" t="s">
        <v>359</v>
      </c>
      <c r="H184" s="291">
        <f>M184-I184</f>
        <v>29175.650093675093</v>
      </c>
      <c r="I184" s="291">
        <f>(Supuestos!$C$37-SUM($H$161:H183))*Supuestos!$F$37</f>
        <v>2218.8063096770798</v>
      </c>
      <c r="J184" s="291">
        <v>0</v>
      </c>
      <c r="K184" s="291">
        <v>0</v>
      </c>
      <c r="L184" s="291">
        <v>0</v>
      </c>
      <c r="M184" s="291">
        <f>Supuestos!$G$37</f>
        <v>31394.456403352171</v>
      </c>
      <c r="N184" s="292">
        <f>SUM(J184:L184)</f>
        <v>0</v>
      </c>
    </row>
    <row r="185" spans="1:14" ht="13.8" x14ac:dyDescent="0.3">
      <c r="A185" s="68" t="str">
        <f>Supuestos!$A$37</f>
        <v>INVERSION 2026</v>
      </c>
      <c r="B185" s="68" t="s">
        <v>452</v>
      </c>
      <c r="C185" s="68" t="str">
        <f>Supuestos!$B$37</f>
        <v>MP</v>
      </c>
      <c r="D185" s="73">
        <f>EDATE(Supuestos!$H$37,F185-1)</f>
        <v>47058</v>
      </c>
      <c r="E185" s="159">
        <f>DATE(YEAR(D185),MONTH(D185),1)</f>
        <v>47058</v>
      </c>
      <c r="F185" s="68">
        <v>25</v>
      </c>
      <c r="G185" s="68" t="s">
        <v>359</v>
      </c>
      <c r="H185" s="291">
        <f>M185-I185</f>
        <v>29340.613461076795</v>
      </c>
      <c r="I185" s="291">
        <f>(Supuestos!$C$37-SUM($H$161:H184))*Supuestos!$F$37</f>
        <v>2053.8429422753766</v>
      </c>
      <c r="J185" s="291">
        <v>0</v>
      </c>
      <c r="K185" s="291">
        <v>0</v>
      </c>
      <c r="L185" s="291">
        <v>0</v>
      </c>
      <c r="M185" s="291">
        <f>Supuestos!$G$37</f>
        <v>31394.456403352171</v>
      </c>
      <c r="N185" s="292">
        <f>SUM(J185:L185)</f>
        <v>0</v>
      </c>
    </row>
    <row r="186" spans="1:14" ht="13.8" x14ac:dyDescent="0.3">
      <c r="A186" s="68" t="str">
        <f>Supuestos!$A$37</f>
        <v>INVERSION 2026</v>
      </c>
      <c r="B186" s="68" t="s">
        <v>452</v>
      </c>
      <c r="C186" s="68" t="str">
        <f>Supuestos!$B$37</f>
        <v>MP</v>
      </c>
      <c r="D186" s="73">
        <f>EDATE(Supuestos!$H$37,F186-1)</f>
        <v>47088</v>
      </c>
      <c r="E186" s="159">
        <f>DATE(YEAR(D186),MONTH(D186),1)</f>
        <v>47088</v>
      </c>
      <c r="F186" s="68">
        <v>26</v>
      </c>
      <c r="G186" s="68" t="s">
        <v>359</v>
      </c>
      <c r="H186" s="291">
        <f>M186-I186</f>
        <v>29506.509555341381</v>
      </c>
      <c r="I186" s="291">
        <f>(Supuestos!$C$37-SUM($H$161:H185))*Supuestos!$F$37</f>
        <v>1887.9468480107882</v>
      </c>
      <c r="J186" s="291">
        <v>0</v>
      </c>
      <c r="K186" s="291">
        <v>0</v>
      </c>
      <c r="L186" s="291">
        <v>0</v>
      </c>
      <c r="M186" s="291">
        <f>Supuestos!$G$37</f>
        <v>31394.456403352171</v>
      </c>
      <c r="N186" s="292">
        <f>SUM(J186:L186)</f>
        <v>0</v>
      </c>
    </row>
    <row r="187" spans="1:14" ht="13.8" x14ac:dyDescent="0.3">
      <c r="A187" s="68" t="str">
        <f>Supuestos!$A$37</f>
        <v>INVERSION 2026</v>
      </c>
      <c r="B187" s="68" t="s">
        <v>452</v>
      </c>
      <c r="C187" s="68" t="str">
        <f>Supuestos!$B$37</f>
        <v>MP</v>
      </c>
      <c r="D187" s="73">
        <f>EDATE(Supuestos!$H$37,F187-1)</f>
        <v>47119</v>
      </c>
      <c r="E187" s="159">
        <f>DATE(YEAR(D187),MONTH(D187),1)</f>
        <v>47119</v>
      </c>
      <c r="F187" s="68">
        <v>27</v>
      </c>
      <c r="G187" s="68" t="s">
        <v>359</v>
      </c>
      <c r="H187" s="291">
        <f>M187-I187</f>
        <v>29673.343650242146</v>
      </c>
      <c r="I187" s="291">
        <f>(Supuestos!$C$37-SUM($H$161:H186))*Supuestos!$F$37</f>
        <v>1721.1127531100256</v>
      </c>
      <c r="J187" s="291">
        <v>0</v>
      </c>
      <c r="K187" s="291">
        <v>0</v>
      </c>
      <c r="L187" s="291">
        <v>0</v>
      </c>
      <c r="M187" s="291">
        <f>Supuestos!$G$37</f>
        <v>31394.456403352171</v>
      </c>
      <c r="N187" s="292">
        <f>SUM(J187:L187)</f>
        <v>0</v>
      </c>
    </row>
    <row r="188" spans="1:14" ht="13.8" x14ac:dyDescent="0.3">
      <c r="A188" s="68" t="str">
        <f>Supuestos!$A$37</f>
        <v>INVERSION 2026</v>
      </c>
      <c r="B188" s="68" t="s">
        <v>452</v>
      </c>
      <c r="C188" s="68" t="str">
        <f>Supuestos!$B$37</f>
        <v>MP</v>
      </c>
      <c r="D188" s="73">
        <f>EDATE(Supuestos!$H$37,F188-1)</f>
        <v>47150</v>
      </c>
      <c r="E188" s="159">
        <f>DATE(YEAR(D188),MONTH(D188),1)</f>
        <v>47150</v>
      </c>
      <c r="F188" s="68">
        <v>28</v>
      </c>
      <c r="G188" s="68" t="s">
        <v>359</v>
      </c>
      <c r="H188" s="291">
        <f>M188-I188</f>
        <v>29841.121049371053</v>
      </c>
      <c r="I188" s="291">
        <f>(Supuestos!$C$37-SUM($H$161:H187))*Supuestos!$F$37</f>
        <v>1553.3353539811171</v>
      </c>
      <c r="J188" s="291">
        <v>0</v>
      </c>
      <c r="K188" s="291">
        <v>0</v>
      </c>
      <c r="L188" s="291">
        <v>0</v>
      </c>
      <c r="M188" s="291">
        <f>Supuestos!$G$37</f>
        <v>31394.456403352171</v>
      </c>
      <c r="N188" s="292">
        <f>SUM(J188:L188)</f>
        <v>0</v>
      </c>
    </row>
    <row r="189" spans="1:14" ht="13.8" x14ac:dyDescent="0.3">
      <c r="A189" s="68" t="str">
        <f>Supuestos!$A$37</f>
        <v>INVERSION 2026</v>
      </c>
      <c r="B189" s="68" t="s">
        <v>452</v>
      </c>
      <c r="C189" s="68" t="str">
        <f>Supuestos!$B$37</f>
        <v>MP</v>
      </c>
      <c r="D189" s="73">
        <f>EDATE(Supuestos!$H$37,F189-1)</f>
        <v>47178</v>
      </c>
      <c r="E189" s="159">
        <f>DATE(YEAR(D189),MONTH(D189),1)</f>
        <v>47178</v>
      </c>
      <c r="F189" s="68">
        <v>29</v>
      </c>
      <c r="G189" s="68" t="s">
        <v>359</v>
      </c>
      <c r="H189" s="291">
        <f>M189-I189</f>
        <v>30009.847086307356</v>
      </c>
      <c r="I189" s="291">
        <f>(Supuestos!$C$37-SUM($H$161:H188))*Supuestos!$F$37</f>
        <v>1384.6093170448132</v>
      </c>
      <c r="J189" s="291">
        <v>0</v>
      </c>
      <c r="K189" s="291">
        <v>0</v>
      </c>
      <c r="L189" s="291">
        <v>0</v>
      </c>
      <c r="M189" s="291">
        <f>Supuestos!$G$37</f>
        <v>31394.456403352171</v>
      </c>
      <c r="N189" s="292">
        <f>SUM(J189:L189)</f>
        <v>0</v>
      </c>
    </row>
    <row r="190" spans="1:14" ht="13.8" x14ac:dyDescent="0.3">
      <c r="A190" s="68" t="str">
        <f>Supuestos!$A$37</f>
        <v>INVERSION 2026</v>
      </c>
      <c r="B190" s="68" t="s">
        <v>452</v>
      </c>
      <c r="C190" s="68" t="str">
        <f>Supuestos!$B$37</f>
        <v>MP</v>
      </c>
      <c r="D190" s="73">
        <f>EDATE(Supuestos!$H$37,F190-1)</f>
        <v>47209</v>
      </c>
      <c r="E190" s="159">
        <f>DATE(YEAR(D190),MONTH(D190),1)</f>
        <v>47209</v>
      </c>
      <c r="F190" s="68">
        <v>30</v>
      </c>
      <c r="G190" s="68" t="s">
        <v>359</v>
      </c>
      <c r="H190" s="291">
        <f>M190-I190</f>
        <v>30179.527124787139</v>
      </c>
      <c r="I190" s="291">
        <f>(Supuestos!$C$37-SUM($H$161:H189))*Supuestos!$F$37</f>
        <v>1214.9292785650307</v>
      </c>
      <c r="J190" s="291">
        <v>0</v>
      </c>
      <c r="K190" s="291">
        <v>0</v>
      </c>
      <c r="L190" s="291">
        <v>0</v>
      </c>
      <c r="M190" s="291">
        <f>Supuestos!$G$37</f>
        <v>31394.456403352171</v>
      </c>
      <c r="N190" s="292">
        <f>SUM(J190:L190)</f>
        <v>0</v>
      </c>
    </row>
    <row r="191" spans="1:14" ht="13.8" x14ac:dyDescent="0.3">
      <c r="A191" s="68" t="str">
        <f>Supuestos!$A$37</f>
        <v>INVERSION 2026</v>
      </c>
      <c r="B191" s="68" t="s">
        <v>452</v>
      </c>
      <c r="C191" s="68" t="str">
        <f>Supuestos!$B$37</f>
        <v>MP</v>
      </c>
      <c r="D191" s="73">
        <f>EDATE(Supuestos!$H$37,F191-1)</f>
        <v>47239</v>
      </c>
      <c r="E191" s="159">
        <f>DATE(YEAR(D191),MONTH(D191),1)</f>
        <v>47239</v>
      </c>
      <c r="F191" s="68">
        <v>31</v>
      </c>
      <c r="G191" s="68" t="s">
        <v>359</v>
      </c>
      <c r="H191" s="291">
        <f>M191-I191</f>
        <v>30350.166558873829</v>
      </c>
      <c r="I191" s="291">
        <f>(Supuestos!$C$37-SUM($H$161:H190))*Supuestos!$F$37</f>
        <v>1044.2898444783434</v>
      </c>
      <c r="J191" s="291">
        <v>0</v>
      </c>
      <c r="K191" s="291">
        <v>0</v>
      </c>
      <c r="L191" s="291">
        <v>0</v>
      </c>
      <c r="M191" s="291">
        <f>Supuestos!$G$37</f>
        <v>31394.456403352171</v>
      </c>
      <c r="N191" s="292">
        <f>SUM(J191:L191)</f>
        <v>0</v>
      </c>
    </row>
    <row r="192" spans="1:14" ht="13.8" x14ac:dyDescent="0.3">
      <c r="A192" s="68" t="str">
        <f>Supuestos!$A$37</f>
        <v>INVERSION 2026</v>
      </c>
      <c r="B192" s="68" t="s">
        <v>452</v>
      </c>
      <c r="C192" s="68" t="str">
        <f>Supuestos!$B$37</f>
        <v>MP</v>
      </c>
      <c r="D192" s="73">
        <f>EDATE(Supuestos!$H$37,F192-1)</f>
        <v>47270</v>
      </c>
      <c r="E192" s="159">
        <f>DATE(YEAR(D192),MONTH(D192),1)</f>
        <v>47270</v>
      </c>
      <c r="F192" s="68">
        <v>32</v>
      </c>
      <c r="G192" s="68" t="s">
        <v>359</v>
      </c>
      <c r="H192" s="291">
        <f>M192-I192</f>
        <v>30521.770813129668</v>
      </c>
      <c r="I192" s="291">
        <f>(Supuestos!$C$37-SUM($H$161:H191))*Supuestos!$F$37</f>
        <v>872.68559022250508</v>
      </c>
      <c r="J192" s="291">
        <v>0</v>
      </c>
      <c r="K192" s="291">
        <v>0</v>
      </c>
      <c r="L192" s="291">
        <v>0</v>
      </c>
      <c r="M192" s="291">
        <f>Supuestos!$G$37</f>
        <v>31394.456403352171</v>
      </c>
      <c r="N192" s="292">
        <f>SUM(J192:L192)</f>
        <v>0</v>
      </c>
    </row>
    <row r="193" spans="1:14" ht="13.8" x14ac:dyDescent="0.3">
      <c r="A193" s="68" t="str">
        <f>Supuestos!$A$37</f>
        <v>INVERSION 2026</v>
      </c>
      <c r="B193" s="68" t="s">
        <v>452</v>
      </c>
      <c r="C193" s="68" t="str">
        <f>Supuestos!$B$37</f>
        <v>MP</v>
      </c>
      <c r="D193" s="73">
        <f>EDATE(Supuestos!$H$37,F193-1)</f>
        <v>47300</v>
      </c>
      <c r="E193" s="159">
        <f>DATE(YEAR(D193),MONTH(D193),1)</f>
        <v>47300</v>
      </c>
      <c r="F193" s="68">
        <v>33</v>
      </c>
      <c r="G193" s="68" t="s">
        <v>359</v>
      </c>
      <c r="H193" s="291">
        <f>M193-I193</f>
        <v>30694.345342788165</v>
      </c>
      <c r="I193" s="291">
        <f>(Supuestos!$C$37-SUM($H$161:H192))*Supuestos!$F$37</f>
        <v>700.1110605640074</v>
      </c>
      <c r="J193" s="291">
        <v>0</v>
      </c>
      <c r="K193" s="291">
        <v>0</v>
      </c>
      <c r="L193" s="291">
        <v>0</v>
      </c>
      <c r="M193" s="291">
        <f>Supuestos!$G$37</f>
        <v>31394.456403352171</v>
      </c>
      <c r="N193" s="292">
        <f>SUM(J193:L193)</f>
        <v>0</v>
      </c>
    </row>
    <row r="194" spans="1:14" ht="13.8" x14ac:dyDescent="0.3">
      <c r="A194" s="68" t="str">
        <f>Supuestos!$A$37</f>
        <v>INVERSION 2026</v>
      </c>
      <c r="B194" s="68" t="s">
        <v>452</v>
      </c>
      <c r="C194" s="68" t="str">
        <f>Supuestos!$B$37</f>
        <v>MP</v>
      </c>
      <c r="D194" s="73">
        <f>EDATE(Supuestos!$H$37,F194-1)</f>
        <v>47331</v>
      </c>
      <c r="E194" s="159">
        <f>DATE(YEAR(D194),MONTH(D194),1)</f>
        <v>47331</v>
      </c>
      <c r="F194" s="68">
        <v>34</v>
      </c>
      <c r="G194" s="68" t="s">
        <v>359</v>
      </c>
      <c r="H194" s="291">
        <f>M194-I194</f>
        <v>30867.895633927514</v>
      </c>
      <c r="I194" s="291">
        <f>(Supuestos!$C$37-SUM($H$161:H193))*Supuestos!$F$37</f>
        <v>526.56076942465734</v>
      </c>
      <c r="J194" s="291">
        <v>0</v>
      </c>
      <c r="K194" s="291">
        <v>0</v>
      </c>
      <c r="L194" s="291">
        <v>0</v>
      </c>
      <c r="M194" s="291">
        <f>Supuestos!$G$37</f>
        <v>31394.456403352171</v>
      </c>
      <c r="N194" s="292">
        <f>SUM(J194:L194)</f>
        <v>0</v>
      </c>
    </row>
    <row r="195" spans="1:14" ht="13.8" x14ac:dyDescent="0.3">
      <c r="A195" s="68" t="str">
        <f>Supuestos!$A$37</f>
        <v>INVERSION 2026</v>
      </c>
      <c r="B195" s="68" t="s">
        <v>452</v>
      </c>
      <c r="C195" s="68" t="str">
        <f>Supuestos!$B$37</f>
        <v>MP</v>
      </c>
      <c r="D195" s="73">
        <f>EDATE(Supuestos!$H$37,F195-1)</f>
        <v>47362</v>
      </c>
      <c r="E195" s="159">
        <f>DATE(YEAR(D195),MONTH(D195),1)</f>
        <v>47362</v>
      </c>
      <c r="F195" s="68">
        <v>35</v>
      </c>
      <c r="G195" s="68" t="s">
        <v>359</v>
      </c>
      <c r="H195" s="291">
        <f>M195-I195</f>
        <v>31042.427203644991</v>
      </c>
      <c r="I195" s="291">
        <f>(Supuestos!$C$37-SUM($H$161:H194))*Supuestos!$F$37</f>
        <v>352.02919970717846</v>
      </c>
      <c r="J195" s="291">
        <v>0</v>
      </c>
      <c r="K195" s="291">
        <v>0</v>
      </c>
      <c r="L195" s="291">
        <v>0</v>
      </c>
      <c r="M195" s="291">
        <f>Supuestos!$G$37</f>
        <v>31394.456403352171</v>
      </c>
      <c r="N195" s="292">
        <f>SUM(J195:L195)</f>
        <v>0</v>
      </c>
    </row>
    <row r="196" spans="1:14" ht="13.8" x14ac:dyDescent="0.3">
      <c r="A196" s="68" t="str">
        <f>Supuestos!$A$37</f>
        <v>INVERSION 2026</v>
      </c>
      <c r="B196" s="68" t="s">
        <v>452</v>
      </c>
      <c r="C196" s="68" t="str">
        <f>Supuestos!$B$37</f>
        <v>MP</v>
      </c>
      <c r="D196" s="73">
        <f>EDATE(Supuestos!$H$37,F196-1)</f>
        <v>47392</v>
      </c>
      <c r="E196" s="159">
        <f>DATE(YEAR(D196),MONTH(D196),1)</f>
        <v>47392</v>
      </c>
      <c r="F196" s="68">
        <v>36</v>
      </c>
      <c r="G196" s="68" t="s">
        <v>359</v>
      </c>
      <c r="H196" s="291">
        <f>M196-I196</f>
        <v>31217.945600232346</v>
      </c>
      <c r="I196" s="291">
        <f>(Supuestos!$C$37-SUM($H$161:H195))*Supuestos!$F$37</f>
        <v>176.51080311982508</v>
      </c>
      <c r="J196" s="291">
        <v>0</v>
      </c>
      <c r="K196" s="291">
        <v>0</v>
      </c>
      <c r="L196" s="291">
        <v>0</v>
      </c>
      <c r="M196" s="291">
        <f>Supuestos!$G$37</f>
        <v>31394.456403352171</v>
      </c>
      <c r="N196" s="292">
        <f>SUM(J196:L196)</f>
        <v>0</v>
      </c>
    </row>
    <row r="197" spans="1:14" ht="13.8" x14ac:dyDescent="0.3">
      <c r="A197" s="18" t="s">
        <v>360</v>
      </c>
      <c r="B197" s="19"/>
      <c r="C197" s="19"/>
      <c r="D197" s="19"/>
      <c r="E197" s="19"/>
      <c r="F197" s="19"/>
      <c r="G197" s="19"/>
      <c r="H197" s="293">
        <f>SUM(H161:H196)</f>
        <v>1019999.9999999995</v>
      </c>
      <c r="I197" s="293">
        <f>SUM(I161:I196)</f>
        <v>110200.43052067855</v>
      </c>
      <c r="J197" s="293">
        <f>SUM(J161:J196)</f>
        <v>0</v>
      </c>
      <c r="K197" s="293">
        <f>SUM(K161:K196)</f>
        <v>0</v>
      </c>
      <c r="L197" s="293">
        <f>SUM(L161:L196)</f>
        <v>0</v>
      </c>
      <c r="M197" s="293">
        <f>SUM(M161:M196)</f>
        <v>1130200.4305206784</v>
      </c>
      <c r="N197" s="293">
        <f>SUM(N161:N196)</f>
        <v>0</v>
      </c>
    </row>
    <row r="200" spans="1:14" ht="13.8" x14ac:dyDescent="0.3">
      <c r="A200" s="12" t="s">
        <v>456</v>
      </c>
      <c r="B200" s="12"/>
      <c r="C200" s="12"/>
      <c r="D200" s="12"/>
      <c r="E200" s="12"/>
      <c r="F200" s="12"/>
      <c r="G200" s="12"/>
      <c r="H200" s="12"/>
      <c r="I200" s="12"/>
      <c r="J200" s="12"/>
      <c r="K200" s="12"/>
      <c r="L200" s="12"/>
      <c r="M200" s="12"/>
      <c r="N200" s="12"/>
    </row>
    <row r="201" spans="1:14" ht="13.8" x14ac:dyDescent="0.3">
      <c r="A201" s="158" t="s">
        <v>348</v>
      </c>
      <c r="B201" s="158" t="s">
        <v>349</v>
      </c>
      <c r="C201" s="158" t="s">
        <v>217</v>
      </c>
      <c r="D201" s="158" t="s">
        <v>350</v>
      </c>
      <c r="E201" s="158" t="s">
        <v>351</v>
      </c>
      <c r="F201" s="158" t="s">
        <v>352</v>
      </c>
      <c r="G201" s="158" t="s">
        <v>353</v>
      </c>
      <c r="H201" s="158" t="s">
        <v>68</v>
      </c>
      <c r="I201" s="158" t="s">
        <v>70</v>
      </c>
      <c r="J201" s="158" t="s">
        <v>354</v>
      </c>
      <c r="K201" s="158" t="s">
        <v>90</v>
      </c>
      <c r="L201" s="158" t="s">
        <v>355</v>
      </c>
      <c r="M201" s="158" t="s">
        <v>356</v>
      </c>
      <c r="N201" s="158" t="s">
        <v>357</v>
      </c>
    </row>
    <row r="202" spans="1:14" ht="13.8" x14ac:dyDescent="0.3">
      <c r="A202" s="68" t="str">
        <f>Supuestos!$A$38</f>
        <v>INVERSION 2027</v>
      </c>
      <c r="B202" s="68" t="s">
        <v>452</v>
      </c>
      <c r="C202" s="68" t="str">
        <f>Supuestos!$B$38</f>
        <v>MP</v>
      </c>
      <c r="D202" s="73">
        <f>EDATE(Supuestos!$H$38,F202-1)</f>
        <v>46388</v>
      </c>
      <c r="E202" s="159">
        <f>DATE(YEAR(D202),MONTH(D202),1)</f>
        <v>46388</v>
      </c>
      <c r="F202" s="68">
        <v>1</v>
      </c>
      <c r="G202" s="68" t="s">
        <v>359</v>
      </c>
      <c r="H202" s="291">
        <f>M202-I202</f>
        <v>36179.616152751238</v>
      </c>
      <c r="I202" s="291">
        <f>Supuestos!$C$38*Supuestos!$F$38</f>
        <v>8141.9693578635943</v>
      </c>
      <c r="J202" s="291">
        <v>0</v>
      </c>
      <c r="K202" s="291">
        <v>0</v>
      </c>
      <c r="L202" s="291">
        <v>0</v>
      </c>
      <c r="M202" s="291">
        <f>Supuestos!$G$38</f>
        <v>44321.58551061483</v>
      </c>
      <c r="N202" s="292">
        <f>SUM(J202:L202)</f>
        <v>0</v>
      </c>
    </row>
    <row r="203" spans="1:14" ht="13.8" x14ac:dyDescent="0.3">
      <c r="A203" s="68" t="str">
        <f>Supuestos!$A$38</f>
        <v>INVERSION 2027</v>
      </c>
      <c r="B203" s="68" t="s">
        <v>452</v>
      </c>
      <c r="C203" s="68" t="str">
        <f>Supuestos!$B$38</f>
        <v>MP</v>
      </c>
      <c r="D203" s="73">
        <f>EDATE(Supuestos!$H$38,F203-1)</f>
        <v>46419</v>
      </c>
      <c r="E203" s="159">
        <f>DATE(YEAR(D203),MONTH(D203),1)</f>
        <v>46419</v>
      </c>
      <c r="F203" s="68">
        <v>2</v>
      </c>
      <c r="G203" s="68" t="s">
        <v>359</v>
      </c>
      <c r="H203" s="291">
        <f>M203-I203</f>
        <v>36384.180962539409</v>
      </c>
      <c r="I203" s="291">
        <f>(Supuestos!$C$38-SUM($H$202:H202))*Supuestos!$F$38</f>
        <v>7937.4045480754221</v>
      </c>
      <c r="J203" s="291">
        <v>0</v>
      </c>
      <c r="K203" s="291">
        <v>0</v>
      </c>
      <c r="L203" s="291">
        <v>0</v>
      </c>
      <c r="M203" s="291">
        <f>Supuestos!$G$38</f>
        <v>44321.58551061483</v>
      </c>
      <c r="N203" s="292">
        <f>SUM(J203:L203)</f>
        <v>0</v>
      </c>
    </row>
    <row r="204" spans="1:14" ht="13.8" x14ac:dyDescent="0.3">
      <c r="A204" s="68" t="str">
        <f>Supuestos!$A$38</f>
        <v>INVERSION 2027</v>
      </c>
      <c r="B204" s="68" t="s">
        <v>452</v>
      </c>
      <c r="C204" s="68" t="str">
        <f>Supuestos!$B$38</f>
        <v>MP</v>
      </c>
      <c r="D204" s="73">
        <f>EDATE(Supuestos!$H$38,F204-1)</f>
        <v>46447</v>
      </c>
      <c r="E204" s="159">
        <f>DATE(YEAR(D204),MONTH(D204),1)</f>
        <v>46447</v>
      </c>
      <c r="F204" s="68">
        <v>3</v>
      </c>
      <c r="G204" s="68" t="s">
        <v>359</v>
      </c>
      <c r="H204" s="291">
        <f>M204-I204</f>
        <v>36589.902411503266</v>
      </c>
      <c r="I204" s="291">
        <f>(Supuestos!$C$38-SUM($H$202:H203))*Supuestos!$F$38</f>
        <v>7731.6830991115621</v>
      </c>
      <c r="J204" s="291">
        <v>0</v>
      </c>
      <c r="K204" s="291">
        <v>0</v>
      </c>
      <c r="L204" s="291">
        <v>0</v>
      </c>
      <c r="M204" s="291">
        <f>Supuestos!$G$38</f>
        <v>44321.58551061483</v>
      </c>
      <c r="N204" s="292">
        <f>SUM(J204:L204)</f>
        <v>0</v>
      </c>
    </row>
    <row r="205" spans="1:14" ht="13.8" x14ac:dyDescent="0.3">
      <c r="A205" s="68" t="str">
        <f>Supuestos!$A$38</f>
        <v>INVERSION 2027</v>
      </c>
      <c r="B205" s="68" t="s">
        <v>452</v>
      </c>
      <c r="C205" s="68" t="str">
        <f>Supuestos!$B$38</f>
        <v>MP</v>
      </c>
      <c r="D205" s="73">
        <f>EDATE(Supuestos!$H$38,F205-1)</f>
        <v>46478</v>
      </c>
      <c r="E205" s="159">
        <f>DATE(YEAR(D205),MONTH(D205),1)</f>
        <v>46478</v>
      </c>
      <c r="F205" s="68">
        <v>4</v>
      </c>
      <c r="G205" s="68" t="s">
        <v>359</v>
      </c>
      <c r="H205" s="291">
        <f>M205-I205</f>
        <v>36796.787039448878</v>
      </c>
      <c r="I205" s="291">
        <f>(Supuestos!$C$38-SUM($H$202:H204))*Supuestos!$F$38</f>
        <v>7524.798471165951</v>
      </c>
      <c r="J205" s="291">
        <v>0</v>
      </c>
      <c r="K205" s="291">
        <v>0</v>
      </c>
      <c r="L205" s="291">
        <v>0</v>
      </c>
      <c r="M205" s="291">
        <f>Supuestos!$G$38</f>
        <v>44321.58551061483</v>
      </c>
      <c r="N205" s="292">
        <f>SUM(J205:L205)</f>
        <v>0</v>
      </c>
    </row>
    <row r="206" spans="1:14" ht="13.8" x14ac:dyDescent="0.3">
      <c r="A206" s="68" t="str">
        <f>Supuestos!$A$38</f>
        <v>INVERSION 2027</v>
      </c>
      <c r="B206" s="68" t="s">
        <v>452</v>
      </c>
      <c r="C206" s="68" t="str">
        <f>Supuestos!$B$38</f>
        <v>MP</v>
      </c>
      <c r="D206" s="73">
        <f>EDATE(Supuestos!$H$38,F206-1)</f>
        <v>46508</v>
      </c>
      <c r="E206" s="159">
        <f>DATE(YEAR(D206),MONTH(D206),1)</f>
        <v>46508</v>
      </c>
      <c r="F206" s="68">
        <v>5</v>
      </c>
      <c r="G206" s="68" t="s">
        <v>359</v>
      </c>
      <c r="H206" s="291">
        <f>M206-I206</f>
        <v>37004.841423159312</v>
      </c>
      <c r="I206" s="291">
        <f>(Supuestos!$C$38-SUM($H$202:H205))*Supuestos!$F$38</f>
        <v>7316.7440874555177</v>
      </c>
      <c r="J206" s="291">
        <v>0</v>
      </c>
      <c r="K206" s="291">
        <v>0</v>
      </c>
      <c r="L206" s="291">
        <v>0</v>
      </c>
      <c r="M206" s="291">
        <f>Supuestos!$G$38</f>
        <v>44321.58551061483</v>
      </c>
      <c r="N206" s="292">
        <f>SUM(J206:L206)</f>
        <v>0</v>
      </c>
    </row>
    <row r="207" spans="1:14" ht="13.8" x14ac:dyDescent="0.3">
      <c r="A207" s="68" t="str">
        <f>Supuestos!$A$38</f>
        <v>INVERSION 2027</v>
      </c>
      <c r="B207" s="68" t="s">
        <v>452</v>
      </c>
      <c r="C207" s="68" t="str">
        <f>Supuestos!$B$38</f>
        <v>MP</v>
      </c>
      <c r="D207" s="73">
        <f>EDATE(Supuestos!$H$38,F207-1)</f>
        <v>46539</v>
      </c>
      <c r="E207" s="159">
        <f>DATE(YEAR(D207),MONTH(D207),1)</f>
        <v>46539</v>
      </c>
      <c r="F207" s="68">
        <v>6</v>
      </c>
      <c r="G207" s="68" t="s">
        <v>359</v>
      </c>
      <c r="H207" s="291">
        <f>M207-I207</f>
        <v>37214.072176603731</v>
      </c>
      <c r="I207" s="291">
        <f>(Supuestos!$C$38-SUM($H$202:H206))*Supuestos!$F$38</f>
        <v>7107.513334011097</v>
      </c>
      <c r="J207" s="291">
        <v>0</v>
      </c>
      <c r="K207" s="291">
        <v>0</v>
      </c>
      <c r="L207" s="291">
        <v>0</v>
      </c>
      <c r="M207" s="291">
        <f>Supuestos!$G$38</f>
        <v>44321.58551061483</v>
      </c>
      <c r="N207" s="292">
        <f>SUM(J207:L207)</f>
        <v>0</v>
      </c>
    </row>
    <row r="208" spans="1:14" ht="13.8" x14ac:dyDescent="0.3">
      <c r="A208" s="68" t="str">
        <f>Supuestos!$A$38</f>
        <v>INVERSION 2027</v>
      </c>
      <c r="B208" s="68" t="s">
        <v>452</v>
      </c>
      <c r="C208" s="68" t="str">
        <f>Supuestos!$B$38</f>
        <v>MP</v>
      </c>
      <c r="D208" s="73">
        <f>EDATE(Supuestos!$H$38,F208-1)</f>
        <v>46569</v>
      </c>
      <c r="E208" s="159">
        <f>DATE(YEAR(D208),MONTH(D208),1)</f>
        <v>46569</v>
      </c>
      <c r="F208" s="68">
        <v>7</v>
      </c>
      <c r="G208" s="68" t="s">
        <v>359</v>
      </c>
      <c r="H208" s="291">
        <f>M208-I208</f>
        <v>37424.485951147646</v>
      </c>
      <c r="I208" s="291">
        <f>(Supuestos!$C$38-SUM($H$202:H207))*Supuestos!$F$38</f>
        <v>6897.0995594671867</v>
      </c>
      <c r="J208" s="291">
        <v>0</v>
      </c>
      <c r="K208" s="291">
        <v>0</v>
      </c>
      <c r="L208" s="291">
        <v>0</v>
      </c>
      <c r="M208" s="291">
        <f>Supuestos!$G$38</f>
        <v>44321.58551061483</v>
      </c>
      <c r="N208" s="292">
        <f>SUM(J208:L208)</f>
        <v>0</v>
      </c>
    </row>
    <row r="209" spans="1:14" ht="13.8" x14ac:dyDescent="0.3">
      <c r="A209" s="68" t="str">
        <f>Supuestos!$A$38</f>
        <v>INVERSION 2027</v>
      </c>
      <c r="B209" s="68" t="s">
        <v>452</v>
      </c>
      <c r="C209" s="68" t="str">
        <f>Supuestos!$B$38</f>
        <v>MP</v>
      </c>
      <c r="D209" s="73">
        <f>EDATE(Supuestos!$H$38,F209-1)</f>
        <v>46600</v>
      </c>
      <c r="E209" s="159">
        <f>DATE(YEAR(D209),MONTH(D209),1)</f>
        <v>46600</v>
      </c>
      <c r="F209" s="68">
        <v>8</v>
      </c>
      <c r="G209" s="68" t="s">
        <v>359</v>
      </c>
      <c r="H209" s="291">
        <f>M209-I209</f>
        <v>37636.089435764341</v>
      </c>
      <c r="I209" s="291">
        <f>(Supuestos!$C$38-SUM($H$202:H208))*Supuestos!$F$38</f>
        <v>6685.4960748504909</v>
      </c>
      <c r="J209" s="291">
        <v>0</v>
      </c>
      <c r="K209" s="291">
        <v>0</v>
      </c>
      <c r="L209" s="291">
        <v>0</v>
      </c>
      <c r="M209" s="291">
        <f>Supuestos!$G$38</f>
        <v>44321.58551061483</v>
      </c>
      <c r="N209" s="292">
        <f>SUM(J209:L209)</f>
        <v>0</v>
      </c>
    </row>
    <row r="210" spans="1:14" ht="13.8" x14ac:dyDescent="0.3">
      <c r="A210" s="68" t="str">
        <f>Supuestos!$A$38</f>
        <v>INVERSION 2027</v>
      </c>
      <c r="B210" s="68" t="s">
        <v>452</v>
      </c>
      <c r="C210" s="68" t="str">
        <f>Supuestos!$B$38</f>
        <v>MP</v>
      </c>
      <c r="D210" s="73">
        <f>EDATE(Supuestos!$H$38,F210-1)</f>
        <v>46631</v>
      </c>
      <c r="E210" s="159">
        <f>DATE(YEAR(D210),MONTH(D210),1)</f>
        <v>46631</v>
      </c>
      <c r="F210" s="68">
        <v>9</v>
      </c>
      <c r="G210" s="68" t="s">
        <v>359</v>
      </c>
      <c r="H210" s="291">
        <f>M210-I210</f>
        <v>37848.889357247535</v>
      </c>
      <c r="I210" s="291">
        <f>(Supuestos!$C$38-SUM($H$202:H209))*Supuestos!$F$38</f>
        <v>6472.696153367292</v>
      </c>
      <c r="J210" s="291">
        <v>0</v>
      </c>
      <c r="K210" s="291">
        <v>0</v>
      </c>
      <c r="L210" s="291">
        <v>0</v>
      </c>
      <c r="M210" s="291">
        <f>Supuestos!$G$38</f>
        <v>44321.58551061483</v>
      </c>
      <c r="N210" s="292">
        <f>SUM(J210:L210)</f>
        <v>0</v>
      </c>
    </row>
    <row r="211" spans="1:14" ht="13.8" x14ac:dyDescent="0.3">
      <c r="A211" s="68" t="str">
        <f>Supuestos!$A$38</f>
        <v>INVERSION 2027</v>
      </c>
      <c r="B211" s="68" t="s">
        <v>452</v>
      </c>
      <c r="C211" s="68" t="str">
        <f>Supuestos!$B$38</f>
        <v>MP</v>
      </c>
      <c r="D211" s="73">
        <f>EDATE(Supuestos!$H$38,F211-1)</f>
        <v>46661</v>
      </c>
      <c r="E211" s="159">
        <f>DATE(YEAR(D211),MONTH(D211),1)</f>
        <v>46661</v>
      </c>
      <c r="F211" s="68">
        <v>10</v>
      </c>
      <c r="G211" s="68" t="s">
        <v>359</v>
      </c>
      <c r="H211" s="291">
        <f>M211-I211</f>
        <v>38062.892480425231</v>
      </c>
      <c r="I211" s="291">
        <f>(Supuestos!$C$38-SUM($H$202:H210))*Supuestos!$F$38</f>
        <v>6258.6930301895991</v>
      </c>
      <c r="J211" s="291">
        <v>0</v>
      </c>
      <c r="K211" s="291">
        <v>0</v>
      </c>
      <c r="L211" s="291">
        <v>0</v>
      </c>
      <c r="M211" s="291">
        <f>Supuestos!$G$38</f>
        <v>44321.58551061483</v>
      </c>
      <c r="N211" s="292">
        <f>SUM(J211:L211)</f>
        <v>0</v>
      </c>
    </row>
    <row r="212" spans="1:14" ht="13.8" x14ac:dyDescent="0.3">
      <c r="A212" s="68" t="str">
        <f>Supuestos!$A$38</f>
        <v>INVERSION 2027</v>
      </c>
      <c r="B212" s="68" t="s">
        <v>452</v>
      </c>
      <c r="C212" s="68" t="str">
        <f>Supuestos!$B$38</f>
        <v>MP</v>
      </c>
      <c r="D212" s="73">
        <f>EDATE(Supuestos!$H$38,F212-1)</f>
        <v>46692</v>
      </c>
      <c r="E212" s="159">
        <f>DATE(YEAR(D212),MONTH(D212),1)</f>
        <v>46692</v>
      </c>
      <c r="F212" s="68">
        <v>11</v>
      </c>
      <c r="G212" s="68" t="s">
        <v>359</v>
      </c>
      <c r="H212" s="291">
        <f>M212-I212</f>
        <v>38278.105608374732</v>
      </c>
      <c r="I212" s="291">
        <f>(Supuestos!$C$38-SUM($H$202:H211))*Supuestos!$F$38</f>
        <v>6043.4799022400994</v>
      </c>
      <c r="J212" s="291">
        <v>0</v>
      </c>
      <c r="K212" s="291">
        <v>0</v>
      </c>
      <c r="L212" s="291">
        <v>0</v>
      </c>
      <c r="M212" s="291">
        <f>Supuestos!$G$38</f>
        <v>44321.58551061483</v>
      </c>
      <c r="N212" s="292">
        <f>SUM(J212:L212)</f>
        <v>0</v>
      </c>
    </row>
    <row r="213" spans="1:14" ht="13.8" x14ac:dyDescent="0.3">
      <c r="A213" s="68" t="str">
        <f>Supuestos!$A$38</f>
        <v>INVERSION 2027</v>
      </c>
      <c r="B213" s="68" t="s">
        <v>452</v>
      </c>
      <c r="C213" s="68" t="str">
        <f>Supuestos!$B$38</f>
        <v>MP</v>
      </c>
      <c r="D213" s="73">
        <f>EDATE(Supuestos!$H$38,F213-1)</f>
        <v>46722</v>
      </c>
      <c r="E213" s="159">
        <f>DATE(YEAR(D213),MONTH(D213),1)</f>
        <v>46722</v>
      </c>
      <c r="F213" s="68">
        <v>12</v>
      </c>
      <c r="G213" s="68" t="s">
        <v>359</v>
      </c>
      <c r="H213" s="291">
        <f>M213-I213</f>
        <v>38494.535582638935</v>
      </c>
      <c r="I213" s="291">
        <f>(Supuestos!$C$38-SUM($H$202:H212))*Supuestos!$F$38</f>
        <v>5827.0499279758951</v>
      </c>
      <c r="J213" s="291">
        <v>0</v>
      </c>
      <c r="K213" s="291">
        <v>0</v>
      </c>
      <c r="L213" s="291">
        <v>0</v>
      </c>
      <c r="M213" s="291">
        <f>Supuestos!$G$38</f>
        <v>44321.58551061483</v>
      </c>
      <c r="N213" s="292">
        <f>SUM(J213:L213)</f>
        <v>0</v>
      </c>
    </row>
    <row r="214" spans="1:14" ht="13.8" x14ac:dyDescent="0.3">
      <c r="A214" s="68" t="str">
        <f>Supuestos!$A$38</f>
        <v>INVERSION 2027</v>
      </c>
      <c r="B214" s="68" t="s">
        <v>452</v>
      </c>
      <c r="C214" s="68" t="str">
        <f>Supuestos!$B$38</f>
        <v>MP</v>
      </c>
      <c r="D214" s="73">
        <f>EDATE(Supuestos!$H$38,F214-1)</f>
        <v>46753</v>
      </c>
      <c r="E214" s="159">
        <f>DATE(YEAR(D214),MONTH(D214),1)</f>
        <v>46753</v>
      </c>
      <c r="F214" s="68">
        <v>13</v>
      </c>
      <c r="G214" s="68" t="s">
        <v>359</v>
      </c>
      <c r="H214" s="291">
        <f>M214-I214</f>
        <v>38712.189283443819</v>
      </c>
      <c r="I214" s="291">
        <f>(Supuestos!$C$38-SUM($H$202:H213))*Supuestos!$F$38</f>
        <v>5609.3962271710097</v>
      </c>
      <c r="J214" s="291">
        <v>0</v>
      </c>
      <c r="K214" s="291">
        <v>0</v>
      </c>
      <c r="L214" s="291">
        <v>0</v>
      </c>
      <c r="M214" s="291">
        <f>Supuestos!$G$38</f>
        <v>44321.58551061483</v>
      </c>
      <c r="N214" s="292">
        <f>SUM(J214:L214)</f>
        <v>0</v>
      </c>
    </row>
    <row r="215" spans="1:14" ht="13.8" x14ac:dyDescent="0.3">
      <c r="A215" s="68" t="str">
        <f>Supuestos!$A$38</f>
        <v>INVERSION 2027</v>
      </c>
      <c r="B215" s="68" t="s">
        <v>452</v>
      </c>
      <c r="C215" s="68" t="str">
        <f>Supuestos!$B$38</f>
        <v>MP</v>
      </c>
      <c r="D215" s="73">
        <f>EDATE(Supuestos!$H$38,F215-1)</f>
        <v>46784</v>
      </c>
      <c r="E215" s="159">
        <f>DATE(YEAR(D215),MONTH(D215),1)</f>
        <v>46784</v>
      </c>
      <c r="F215" s="68">
        <v>14</v>
      </c>
      <c r="G215" s="68" t="s">
        <v>359</v>
      </c>
      <c r="H215" s="291">
        <f>M215-I215</f>
        <v>38931.073629917162</v>
      </c>
      <c r="I215" s="291">
        <f>(Supuestos!$C$38-SUM($H$202:H214))*Supuestos!$F$38</f>
        <v>5390.5118806976652</v>
      </c>
      <c r="J215" s="291">
        <v>0</v>
      </c>
      <c r="K215" s="291">
        <v>0</v>
      </c>
      <c r="L215" s="291">
        <v>0</v>
      </c>
      <c r="M215" s="291">
        <f>Supuestos!$G$38</f>
        <v>44321.58551061483</v>
      </c>
      <c r="N215" s="292">
        <f>SUM(J215:L215)</f>
        <v>0</v>
      </c>
    </row>
    <row r="216" spans="1:14" ht="13.8" x14ac:dyDescent="0.3">
      <c r="A216" s="68" t="str">
        <f>Supuestos!$A$38</f>
        <v>INVERSION 2027</v>
      </c>
      <c r="B216" s="68" t="s">
        <v>452</v>
      </c>
      <c r="C216" s="68" t="str">
        <f>Supuestos!$B$38</f>
        <v>MP</v>
      </c>
      <c r="D216" s="73">
        <f>EDATE(Supuestos!$H$38,F216-1)</f>
        <v>46813</v>
      </c>
      <c r="E216" s="159">
        <f>DATE(YEAR(D216),MONTH(D216),1)</f>
        <v>46813</v>
      </c>
      <c r="F216" s="68">
        <v>15</v>
      </c>
      <c r="G216" s="68" t="s">
        <v>359</v>
      </c>
      <c r="H216" s="291">
        <f>M216-I216</f>
        <v>39151.195580308493</v>
      </c>
      <c r="I216" s="291">
        <f>(Supuestos!$C$38-SUM($H$202:H215))*Supuestos!$F$38</f>
        <v>5170.3899303063345</v>
      </c>
      <c r="J216" s="291">
        <v>0</v>
      </c>
      <c r="K216" s="291">
        <v>0</v>
      </c>
      <c r="L216" s="291">
        <v>0</v>
      </c>
      <c r="M216" s="291">
        <f>Supuestos!$G$38</f>
        <v>44321.58551061483</v>
      </c>
      <c r="N216" s="292">
        <f>SUM(J216:L216)</f>
        <v>0</v>
      </c>
    </row>
    <row r="217" spans="1:14" ht="13.8" x14ac:dyDescent="0.3">
      <c r="A217" s="68" t="str">
        <f>Supuestos!$A$38</f>
        <v>INVERSION 2027</v>
      </c>
      <c r="B217" s="68" t="s">
        <v>452</v>
      </c>
      <c r="C217" s="68" t="str">
        <f>Supuestos!$B$38</f>
        <v>MP</v>
      </c>
      <c r="D217" s="73">
        <f>EDATE(Supuestos!$H$38,F217-1)</f>
        <v>46844</v>
      </c>
      <c r="E217" s="159">
        <f>DATE(YEAR(D217),MONTH(D217),1)</f>
        <v>46844</v>
      </c>
      <c r="F217" s="68">
        <v>16</v>
      </c>
      <c r="G217" s="68" t="s">
        <v>359</v>
      </c>
      <c r="H217" s="291">
        <f>M217-I217</f>
        <v>39372.562132210296</v>
      </c>
      <c r="I217" s="291">
        <f>(Supuestos!$C$38-SUM($H$202:H216))*Supuestos!$F$38</f>
        <v>4949.0233784045322</v>
      </c>
      <c r="J217" s="291">
        <v>0</v>
      </c>
      <c r="K217" s="291">
        <v>0</v>
      </c>
      <c r="L217" s="291">
        <v>0</v>
      </c>
      <c r="M217" s="291">
        <f>Supuestos!$G$38</f>
        <v>44321.58551061483</v>
      </c>
      <c r="N217" s="292">
        <f>SUM(J217:L217)</f>
        <v>0</v>
      </c>
    </row>
    <row r="218" spans="1:14" ht="13.8" x14ac:dyDescent="0.3">
      <c r="A218" s="68" t="str">
        <f>Supuestos!$A$38</f>
        <v>INVERSION 2027</v>
      </c>
      <c r="B218" s="68" t="s">
        <v>452</v>
      </c>
      <c r="C218" s="68" t="str">
        <f>Supuestos!$B$38</f>
        <v>MP</v>
      </c>
      <c r="D218" s="73">
        <f>EDATE(Supuestos!$H$38,F218-1)</f>
        <v>46874</v>
      </c>
      <c r="E218" s="159">
        <f>DATE(YEAR(D218),MONTH(D218),1)</f>
        <v>46874</v>
      </c>
      <c r="F218" s="68">
        <v>17</v>
      </c>
      <c r="G218" s="68" t="s">
        <v>359</v>
      </c>
      <c r="H218" s="291">
        <f>M218-I218</f>
        <v>39595.180322780463</v>
      </c>
      <c r="I218" s="291">
        <f>(Supuestos!$C$38-SUM($H$202:H217))*Supuestos!$F$38</f>
        <v>4726.4051878343671</v>
      </c>
      <c r="J218" s="291">
        <v>0</v>
      </c>
      <c r="K218" s="291">
        <v>0</v>
      </c>
      <c r="L218" s="291">
        <v>0</v>
      </c>
      <c r="M218" s="291">
        <f>Supuestos!$G$38</f>
        <v>44321.58551061483</v>
      </c>
      <c r="N218" s="292">
        <f>SUM(J218:L218)</f>
        <v>0</v>
      </c>
    </row>
    <row r="219" spans="1:14" ht="13.8" x14ac:dyDescent="0.3">
      <c r="A219" s="68" t="str">
        <f>Supuestos!$A$38</f>
        <v>INVERSION 2027</v>
      </c>
      <c r="B219" s="68" t="s">
        <v>452</v>
      </c>
      <c r="C219" s="68" t="str">
        <f>Supuestos!$B$38</f>
        <v>MP</v>
      </c>
      <c r="D219" s="73">
        <f>EDATE(Supuestos!$H$38,F219-1)</f>
        <v>46905</v>
      </c>
      <c r="E219" s="159">
        <f>DATE(YEAR(D219),MONTH(D219),1)</f>
        <v>46905</v>
      </c>
      <c r="F219" s="68">
        <v>18</v>
      </c>
      <c r="G219" s="68" t="s">
        <v>359</v>
      </c>
      <c r="H219" s="291">
        <f>M219-I219</f>
        <v>39819.05722896599</v>
      </c>
      <c r="I219" s="291">
        <f>(Supuestos!$C$38-SUM($H$202:H218))*Supuestos!$F$38</f>
        <v>4502.5282816488379</v>
      </c>
      <c r="J219" s="291">
        <v>0</v>
      </c>
      <c r="K219" s="291">
        <v>0</v>
      </c>
      <c r="L219" s="291">
        <v>0</v>
      </c>
      <c r="M219" s="291">
        <f>Supuestos!$G$38</f>
        <v>44321.58551061483</v>
      </c>
      <c r="N219" s="292">
        <f>SUM(J219:L219)</f>
        <v>0</v>
      </c>
    </row>
    <row r="220" spans="1:14" ht="13.8" x14ac:dyDescent="0.3">
      <c r="A220" s="68" t="str">
        <f>Supuestos!$A$38</f>
        <v>INVERSION 2027</v>
      </c>
      <c r="B220" s="68" t="s">
        <v>452</v>
      </c>
      <c r="C220" s="68" t="str">
        <f>Supuestos!$B$38</f>
        <v>MP</v>
      </c>
      <c r="D220" s="73">
        <f>EDATE(Supuestos!$H$38,F220-1)</f>
        <v>46935</v>
      </c>
      <c r="E220" s="159">
        <f>DATE(YEAR(D220),MONTH(D220),1)</f>
        <v>46935</v>
      </c>
      <c r="F220" s="68">
        <v>19</v>
      </c>
      <c r="G220" s="68" t="s">
        <v>359</v>
      </c>
      <c r="H220" s="291">
        <f>M220-I220</f>
        <v>40044.199967727975</v>
      </c>
      <c r="I220" s="291">
        <f>(Supuestos!$C$38-SUM($H$202:H219))*Supuestos!$F$38</f>
        <v>4277.3855428868528</v>
      </c>
      <c r="J220" s="291">
        <v>0</v>
      </c>
      <c r="K220" s="291">
        <v>0</v>
      </c>
      <c r="L220" s="291">
        <v>0</v>
      </c>
      <c r="M220" s="291">
        <f>Supuestos!$G$38</f>
        <v>44321.58551061483</v>
      </c>
      <c r="N220" s="292">
        <f>SUM(J220:L220)</f>
        <v>0</v>
      </c>
    </row>
    <row r="221" spans="1:14" ht="13.8" x14ac:dyDescent="0.3">
      <c r="A221" s="68" t="str">
        <f>Supuestos!$A$38</f>
        <v>INVERSION 2027</v>
      </c>
      <c r="B221" s="68" t="s">
        <v>452</v>
      </c>
      <c r="C221" s="68" t="str">
        <f>Supuestos!$B$38</f>
        <v>MP</v>
      </c>
      <c r="D221" s="73">
        <f>EDATE(Supuestos!$H$38,F221-1)</f>
        <v>46966</v>
      </c>
      <c r="E221" s="159">
        <f>DATE(YEAR(D221),MONTH(D221),1)</f>
        <v>46966</v>
      </c>
      <c r="F221" s="68">
        <v>20</v>
      </c>
      <c r="G221" s="68" t="s">
        <v>359</v>
      </c>
      <c r="H221" s="291">
        <f>M221-I221</f>
        <v>40270.615696267843</v>
      </c>
      <c r="I221" s="291">
        <f>(Supuestos!$C$38-SUM($H$202:H220))*Supuestos!$F$38</f>
        <v>4050.9698143469891</v>
      </c>
      <c r="J221" s="291">
        <v>0</v>
      </c>
      <c r="K221" s="291">
        <v>0</v>
      </c>
      <c r="L221" s="291">
        <v>0</v>
      </c>
      <c r="M221" s="291">
        <f>Supuestos!$G$38</f>
        <v>44321.58551061483</v>
      </c>
      <c r="N221" s="292">
        <f>SUM(J221:L221)</f>
        <v>0</v>
      </c>
    </row>
    <row r="222" spans="1:14" ht="13.8" x14ac:dyDescent="0.3">
      <c r="A222" s="68" t="str">
        <f>Supuestos!$A$38</f>
        <v>INVERSION 2027</v>
      </c>
      <c r="B222" s="68" t="s">
        <v>452</v>
      </c>
      <c r="C222" s="68" t="str">
        <f>Supuestos!$B$38</f>
        <v>MP</v>
      </c>
      <c r="D222" s="73">
        <f>EDATE(Supuestos!$H$38,F222-1)</f>
        <v>46997</v>
      </c>
      <c r="E222" s="159">
        <f>DATE(YEAR(D222),MONTH(D222),1)</f>
        <v>46997</v>
      </c>
      <c r="F222" s="68">
        <v>21</v>
      </c>
      <c r="G222" s="68" t="s">
        <v>359</v>
      </c>
      <c r="H222" s="291">
        <f>M222-I222</f>
        <v>40498.311612254867</v>
      </c>
      <c r="I222" s="291">
        <f>(Supuestos!$C$38-SUM($H$202:H221))*Supuestos!$F$38</f>
        <v>3823.2738983599661</v>
      </c>
      <c r="J222" s="291">
        <v>0</v>
      </c>
      <c r="K222" s="291">
        <v>0</v>
      </c>
      <c r="L222" s="291">
        <v>0</v>
      </c>
      <c r="M222" s="291">
        <f>Supuestos!$G$38</f>
        <v>44321.58551061483</v>
      </c>
      <c r="N222" s="292">
        <f>SUM(J222:L222)</f>
        <v>0</v>
      </c>
    </row>
    <row r="223" spans="1:14" ht="13.8" x14ac:dyDescent="0.3">
      <c r="A223" s="68" t="str">
        <f>Supuestos!$A$38</f>
        <v>INVERSION 2027</v>
      </c>
      <c r="B223" s="68" t="s">
        <v>452</v>
      </c>
      <c r="C223" s="68" t="str">
        <f>Supuestos!$B$38</f>
        <v>MP</v>
      </c>
      <c r="D223" s="73">
        <f>EDATE(Supuestos!$H$38,F223-1)</f>
        <v>47027</v>
      </c>
      <c r="E223" s="159">
        <f>DATE(YEAR(D223),MONTH(D223),1)</f>
        <v>47027</v>
      </c>
      <c r="F223" s="68">
        <v>22</v>
      </c>
      <c r="G223" s="68" t="s">
        <v>359</v>
      </c>
      <c r="H223" s="291">
        <f>M223-I223</f>
        <v>40727.294954054996</v>
      </c>
      <c r="I223" s="291">
        <f>(Supuestos!$C$38-SUM($H$202:H222))*Supuestos!$F$38</f>
        <v>3594.2905565598339</v>
      </c>
      <c r="J223" s="291">
        <v>0</v>
      </c>
      <c r="K223" s="291">
        <v>0</v>
      </c>
      <c r="L223" s="291">
        <v>0</v>
      </c>
      <c r="M223" s="291">
        <f>Supuestos!$G$38</f>
        <v>44321.58551061483</v>
      </c>
      <c r="N223" s="292">
        <f>SUM(J223:L223)</f>
        <v>0</v>
      </c>
    </row>
    <row r="224" spans="1:14" ht="13.8" x14ac:dyDescent="0.3">
      <c r="A224" s="68" t="str">
        <f>Supuestos!$A$38</f>
        <v>INVERSION 2027</v>
      </c>
      <c r="B224" s="68" t="s">
        <v>452</v>
      </c>
      <c r="C224" s="68" t="str">
        <f>Supuestos!$B$38</f>
        <v>MP</v>
      </c>
      <c r="D224" s="73">
        <f>EDATE(Supuestos!$H$38,F224-1)</f>
        <v>47058</v>
      </c>
      <c r="E224" s="159">
        <f>DATE(YEAR(D224),MONTH(D224),1)</f>
        <v>47058</v>
      </c>
      <c r="F224" s="68">
        <v>23</v>
      </c>
      <c r="G224" s="68" t="s">
        <v>359</v>
      </c>
      <c r="H224" s="291">
        <f>M224-I224</f>
        <v>40957.573000960962</v>
      </c>
      <c r="I224" s="291">
        <f>(Supuestos!$C$38-SUM($H$202:H223))*Supuestos!$F$38</f>
        <v>3364.01250965387</v>
      </c>
      <c r="J224" s="291">
        <v>0</v>
      </c>
      <c r="K224" s="291">
        <v>0</v>
      </c>
      <c r="L224" s="291">
        <v>0</v>
      </c>
      <c r="M224" s="291">
        <f>Supuestos!$G$38</f>
        <v>44321.58551061483</v>
      </c>
      <c r="N224" s="292">
        <f>SUM(J224:L224)</f>
        <v>0</v>
      </c>
    </row>
    <row r="225" spans="1:14" ht="13.8" x14ac:dyDescent="0.3">
      <c r="A225" s="68" t="str">
        <f>Supuestos!$A$38</f>
        <v>INVERSION 2027</v>
      </c>
      <c r="B225" s="68" t="s">
        <v>452</v>
      </c>
      <c r="C225" s="68" t="str">
        <f>Supuestos!$B$38</f>
        <v>MP</v>
      </c>
      <c r="D225" s="73">
        <f>EDATE(Supuestos!$H$38,F225-1)</f>
        <v>47088</v>
      </c>
      <c r="E225" s="159">
        <f>DATE(YEAR(D225),MONTH(D225),1)</f>
        <v>47088</v>
      </c>
      <c r="F225" s="68">
        <v>24</v>
      </c>
      <c r="G225" s="68" t="s">
        <v>359</v>
      </c>
      <c r="H225" s="291">
        <f>M225-I225</f>
        <v>41189.153073423658</v>
      </c>
      <c r="I225" s="291">
        <f>(Supuestos!$C$38-SUM($H$202:H224))*Supuestos!$F$38</f>
        <v>3132.4324371911716</v>
      </c>
      <c r="J225" s="291">
        <v>0</v>
      </c>
      <c r="K225" s="291">
        <v>0</v>
      </c>
      <c r="L225" s="291">
        <v>0</v>
      </c>
      <c r="M225" s="291">
        <f>Supuestos!$G$38</f>
        <v>44321.58551061483</v>
      </c>
      <c r="N225" s="292">
        <f>SUM(J225:L225)</f>
        <v>0</v>
      </c>
    </row>
    <row r="226" spans="1:14" ht="13.8" x14ac:dyDescent="0.3">
      <c r="A226" s="68" t="str">
        <f>Supuestos!$A$38</f>
        <v>INVERSION 2027</v>
      </c>
      <c r="B226" s="68" t="s">
        <v>452</v>
      </c>
      <c r="C226" s="68" t="str">
        <f>Supuestos!$B$38</f>
        <v>MP</v>
      </c>
      <c r="D226" s="73">
        <f>EDATE(Supuestos!$H$38,F226-1)</f>
        <v>47119</v>
      </c>
      <c r="E226" s="159">
        <f>DATE(YEAR(D226),MONTH(D226),1)</f>
        <v>47119</v>
      </c>
      <c r="F226" s="68">
        <v>25</v>
      </c>
      <c r="G226" s="68" t="s">
        <v>359</v>
      </c>
      <c r="H226" s="291">
        <f>M226-I226</f>
        <v>41422.04253328489</v>
      </c>
      <c r="I226" s="291">
        <f>(Supuestos!$C$38-SUM($H$202:H225))*Supuestos!$F$38</f>
        <v>2899.5429773299434</v>
      </c>
      <c r="J226" s="291">
        <v>0</v>
      </c>
      <c r="K226" s="291">
        <v>0</v>
      </c>
      <c r="L226" s="291">
        <v>0</v>
      </c>
      <c r="M226" s="291">
        <f>Supuestos!$G$38</f>
        <v>44321.58551061483</v>
      </c>
      <c r="N226" s="292">
        <f>SUM(J226:L226)</f>
        <v>0</v>
      </c>
    </row>
    <row r="227" spans="1:14" ht="13.8" x14ac:dyDescent="0.3">
      <c r="A227" s="68" t="str">
        <f>Supuestos!$A$38</f>
        <v>INVERSION 2027</v>
      </c>
      <c r="B227" s="68" t="s">
        <v>452</v>
      </c>
      <c r="C227" s="68" t="str">
        <f>Supuestos!$B$38</f>
        <v>MP</v>
      </c>
      <c r="D227" s="73">
        <f>EDATE(Supuestos!$H$38,F227-1)</f>
        <v>47150</v>
      </c>
      <c r="E227" s="159">
        <f>DATE(YEAR(D227),MONTH(D227),1)</f>
        <v>47150</v>
      </c>
      <c r="F227" s="68">
        <v>26</v>
      </c>
      <c r="G227" s="68" t="s">
        <v>359</v>
      </c>
      <c r="H227" s="291">
        <f>M227-I227</f>
        <v>41656.248784011361</v>
      </c>
      <c r="I227" s="291">
        <f>(Supuestos!$C$38-SUM($H$202:H226))*Supuestos!$F$38</f>
        <v>2665.3367266034656</v>
      </c>
      <c r="J227" s="291">
        <v>0</v>
      </c>
      <c r="K227" s="291">
        <v>0</v>
      </c>
      <c r="L227" s="291">
        <v>0</v>
      </c>
      <c r="M227" s="291">
        <f>Supuestos!$G$38</f>
        <v>44321.58551061483</v>
      </c>
      <c r="N227" s="292">
        <f>SUM(J227:L227)</f>
        <v>0</v>
      </c>
    </row>
    <row r="228" spans="1:14" ht="13.8" x14ac:dyDescent="0.3">
      <c r="A228" s="68" t="str">
        <f>Supuestos!$A$38</f>
        <v>INVERSION 2027</v>
      </c>
      <c r="B228" s="68" t="s">
        <v>452</v>
      </c>
      <c r="C228" s="68" t="str">
        <f>Supuestos!$B$38</f>
        <v>MP</v>
      </c>
      <c r="D228" s="73">
        <f>EDATE(Supuestos!$H$38,F228-1)</f>
        <v>47178</v>
      </c>
      <c r="E228" s="159">
        <f>DATE(YEAR(D228),MONTH(D228),1)</f>
        <v>47178</v>
      </c>
      <c r="F228" s="68">
        <v>27</v>
      </c>
      <c r="G228" s="68" t="s">
        <v>359</v>
      </c>
      <c r="H228" s="291">
        <f>M228-I228</f>
        <v>41891.779270930092</v>
      </c>
      <c r="I228" s="291">
        <f>(Supuestos!$C$38-SUM($H$202:H227))*Supuestos!$F$38</f>
        <v>2429.8062396847413</v>
      </c>
      <c r="J228" s="291">
        <v>0</v>
      </c>
      <c r="K228" s="291">
        <v>0</v>
      </c>
      <c r="L228" s="291">
        <v>0</v>
      </c>
      <c r="M228" s="291">
        <f>Supuestos!$G$38</f>
        <v>44321.58551061483</v>
      </c>
      <c r="N228" s="292">
        <f>SUM(J228:L228)</f>
        <v>0</v>
      </c>
    </row>
    <row r="229" spans="1:14" ht="13.8" x14ac:dyDescent="0.3">
      <c r="A229" s="68" t="str">
        <f>Supuestos!$A$38</f>
        <v>INVERSION 2027</v>
      </c>
      <c r="B229" s="68" t="s">
        <v>452</v>
      </c>
      <c r="C229" s="68" t="str">
        <f>Supuestos!$B$38</f>
        <v>MP</v>
      </c>
      <c r="D229" s="73">
        <f>EDATE(Supuestos!$H$38,F229-1)</f>
        <v>47209</v>
      </c>
      <c r="E229" s="159">
        <f>DATE(YEAR(D229),MONTH(D229),1)</f>
        <v>47209</v>
      </c>
      <c r="F229" s="68">
        <v>28</v>
      </c>
      <c r="G229" s="68" t="s">
        <v>359</v>
      </c>
      <c r="H229" s="291">
        <f>M229-I229</f>
        <v>42128.64148146502</v>
      </c>
      <c r="I229" s="291">
        <f>(Supuestos!$C$38-SUM($H$202:H228))*Supuestos!$F$38</f>
        <v>2192.9440291498126</v>
      </c>
      <c r="J229" s="291">
        <v>0</v>
      </c>
      <c r="K229" s="291">
        <v>0</v>
      </c>
      <c r="L229" s="291">
        <v>0</v>
      </c>
      <c r="M229" s="291">
        <f>Supuestos!$G$38</f>
        <v>44321.58551061483</v>
      </c>
      <c r="N229" s="292">
        <f>SUM(J229:L229)</f>
        <v>0</v>
      </c>
    </row>
    <row r="230" spans="1:14" ht="13.8" x14ac:dyDescent="0.3">
      <c r="A230" s="68" t="str">
        <f>Supuestos!$A$38</f>
        <v>INVERSION 2027</v>
      </c>
      <c r="B230" s="68" t="s">
        <v>452</v>
      </c>
      <c r="C230" s="68" t="str">
        <f>Supuestos!$B$38</f>
        <v>MP</v>
      </c>
      <c r="D230" s="73">
        <f>EDATE(Supuestos!$H$38,F230-1)</f>
        <v>47239</v>
      </c>
      <c r="E230" s="159">
        <f>DATE(YEAR(D230),MONTH(D230),1)</f>
        <v>47239</v>
      </c>
      <c r="F230" s="68">
        <v>29</v>
      </c>
      <c r="G230" s="68" t="s">
        <v>359</v>
      </c>
      <c r="H230" s="291">
        <f>M230-I230</f>
        <v>42366.842945375094</v>
      </c>
      <c r="I230" s="291">
        <f>(Supuestos!$C$38-SUM($H$202:H229))*Supuestos!$F$38</f>
        <v>1954.7425652397371</v>
      </c>
      <c r="J230" s="291">
        <v>0</v>
      </c>
      <c r="K230" s="291">
        <v>0</v>
      </c>
      <c r="L230" s="291">
        <v>0</v>
      </c>
      <c r="M230" s="291">
        <f>Supuestos!$G$38</f>
        <v>44321.58551061483</v>
      </c>
      <c r="N230" s="292">
        <f>SUM(J230:L230)</f>
        <v>0</v>
      </c>
    </row>
    <row r="231" spans="1:14" ht="13.8" x14ac:dyDescent="0.3">
      <c r="A231" s="68" t="str">
        <f>Supuestos!$A$38</f>
        <v>INVERSION 2027</v>
      </c>
      <c r="B231" s="68" t="s">
        <v>452</v>
      </c>
      <c r="C231" s="68" t="str">
        <f>Supuestos!$B$38</f>
        <v>MP</v>
      </c>
      <c r="D231" s="73">
        <f>EDATE(Supuestos!$H$38,F231-1)</f>
        <v>47270</v>
      </c>
      <c r="E231" s="159">
        <f>DATE(YEAR(D231),MONTH(D231),1)</f>
        <v>47270</v>
      </c>
      <c r="F231" s="68">
        <v>30</v>
      </c>
      <c r="G231" s="68" t="s">
        <v>359</v>
      </c>
      <c r="H231" s="291">
        <f>M231-I231</f>
        <v>42606.391234993607</v>
      </c>
      <c r="I231" s="291">
        <f>(Supuestos!$C$38-SUM($H$202:H230))*Supuestos!$F$38</f>
        <v>1715.1942756212213</v>
      </c>
      <c r="J231" s="291">
        <v>0</v>
      </c>
      <c r="K231" s="291">
        <v>0</v>
      </c>
      <c r="L231" s="291">
        <v>0</v>
      </c>
      <c r="M231" s="291">
        <f>Supuestos!$G$38</f>
        <v>44321.58551061483</v>
      </c>
      <c r="N231" s="292">
        <f>SUM(J231:L231)</f>
        <v>0</v>
      </c>
    </row>
    <row r="232" spans="1:14" ht="13.8" x14ac:dyDescent="0.3">
      <c r="A232" s="68" t="str">
        <f>Supuestos!$A$38</f>
        <v>INVERSION 2027</v>
      </c>
      <c r="B232" s="68" t="s">
        <v>452</v>
      </c>
      <c r="C232" s="68" t="str">
        <f>Supuestos!$B$38</f>
        <v>MP</v>
      </c>
      <c r="D232" s="73">
        <f>EDATE(Supuestos!$H$38,F232-1)</f>
        <v>47300</v>
      </c>
      <c r="E232" s="159">
        <f>DATE(YEAR(D232),MONTH(D232),1)</f>
        <v>47300</v>
      </c>
      <c r="F232" s="68">
        <v>31</v>
      </c>
      <c r="G232" s="68" t="s">
        <v>359</v>
      </c>
      <c r="H232" s="291">
        <f>M232-I232</f>
        <v>42847.293965468933</v>
      </c>
      <c r="I232" s="291">
        <f>(Supuestos!$C$38-SUM($H$202:H231))*Supuestos!$F$38</f>
        <v>1474.2915451458973</v>
      </c>
      <c r="J232" s="291">
        <v>0</v>
      </c>
      <c r="K232" s="291">
        <v>0</v>
      </c>
      <c r="L232" s="291">
        <v>0</v>
      </c>
      <c r="M232" s="291">
        <f>Supuestos!$G$38</f>
        <v>44321.58551061483</v>
      </c>
      <c r="N232" s="292">
        <f>SUM(J232:L232)</f>
        <v>0</v>
      </c>
    </row>
    <row r="233" spans="1:14" ht="13.8" x14ac:dyDescent="0.3">
      <c r="A233" s="68" t="str">
        <f>Supuestos!$A$38</f>
        <v>INVERSION 2027</v>
      </c>
      <c r="B233" s="68" t="s">
        <v>452</v>
      </c>
      <c r="C233" s="68" t="str">
        <f>Supuestos!$B$38</f>
        <v>MP</v>
      </c>
      <c r="D233" s="73">
        <f>EDATE(Supuestos!$H$38,F233-1)</f>
        <v>47331</v>
      </c>
      <c r="E233" s="159">
        <f>DATE(YEAR(D233),MONTH(D233),1)</f>
        <v>47331</v>
      </c>
      <c r="F233" s="68">
        <v>32</v>
      </c>
      <c r="G233" s="68" t="s">
        <v>359</v>
      </c>
      <c r="H233" s="291">
        <f>M233-I233</f>
        <v>43089.558795006589</v>
      </c>
      <c r="I233" s="291">
        <f>(Supuestos!$C$38-SUM($H$202:H232))*Supuestos!$F$38</f>
        <v>1232.0267156082436</v>
      </c>
      <c r="J233" s="291">
        <v>0</v>
      </c>
      <c r="K233" s="291">
        <v>0</v>
      </c>
      <c r="L233" s="291">
        <v>0</v>
      </c>
      <c r="M233" s="291">
        <f>Supuestos!$G$38</f>
        <v>44321.58551061483</v>
      </c>
      <c r="N233" s="292">
        <f>SUM(J233:L233)</f>
        <v>0</v>
      </c>
    </row>
    <row r="234" spans="1:14" ht="13.8" x14ac:dyDescent="0.3">
      <c r="A234" s="68" t="str">
        <f>Supuestos!$A$38</f>
        <v>INVERSION 2027</v>
      </c>
      <c r="B234" s="68" t="s">
        <v>452</v>
      </c>
      <c r="C234" s="68" t="str">
        <f>Supuestos!$B$38</f>
        <v>MP</v>
      </c>
      <c r="D234" s="73">
        <f>EDATE(Supuestos!$H$38,F234-1)</f>
        <v>47362</v>
      </c>
      <c r="E234" s="159">
        <f>DATE(YEAR(D234),MONTH(D234),1)</f>
        <v>47362</v>
      </c>
      <c r="F234" s="68">
        <v>33</v>
      </c>
      <c r="G234" s="68" t="s">
        <v>359</v>
      </c>
      <c r="H234" s="291">
        <f>M234-I234</f>
        <v>43333.193425112702</v>
      </c>
      <c r="I234" s="291">
        <f>(Supuestos!$C$38-SUM($H$202:H233))*Supuestos!$F$38</f>
        <v>988.39208550212925</v>
      </c>
      <c r="J234" s="291">
        <v>0</v>
      </c>
      <c r="K234" s="291">
        <v>0</v>
      </c>
      <c r="L234" s="291">
        <v>0</v>
      </c>
      <c r="M234" s="291">
        <f>Supuestos!$G$38</f>
        <v>44321.58551061483</v>
      </c>
      <c r="N234" s="292">
        <f>SUM(J234:L234)</f>
        <v>0</v>
      </c>
    </row>
    <row r="235" spans="1:14" ht="13.8" x14ac:dyDescent="0.3">
      <c r="A235" s="68" t="str">
        <f>Supuestos!$A$38</f>
        <v>INVERSION 2027</v>
      </c>
      <c r="B235" s="68" t="s">
        <v>452</v>
      </c>
      <c r="C235" s="68" t="str">
        <f>Supuestos!$B$38</f>
        <v>MP</v>
      </c>
      <c r="D235" s="73">
        <f>EDATE(Supuestos!$H$38,F235-1)</f>
        <v>47392</v>
      </c>
      <c r="E235" s="159">
        <f>DATE(YEAR(D235),MONTH(D235),1)</f>
        <v>47392</v>
      </c>
      <c r="F235" s="68">
        <v>34</v>
      </c>
      <c r="G235" s="68" t="s">
        <v>359</v>
      </c>
      <c r="H235" s="291">
        <f>M235-I235</f>
        <v>43578.205600838839</v>
      </c>
      <c r="I235" s="291">
        <f>(Supuestos!$C$38-SUM($H$202:H234))*Supuestos!$F$38</f>
        <v>743.37990977598815</v>
      </c>
      <c r="J235" s="291">
        <v>0</v>
      </c>
      <c r="K235" s="291">
        <v>0</v>
      </c>
      <c r="L235" s="291">
        <v>0</v>
      </c>
      <c r="M235" s="291">
        <f>Supuestos!$G$38</f>
        <v>44321.58551061483</v>
      </c>
      <c r="N235" s="292">
        <f>SUM(J235:L235)</f>
        <v>0</v>
      </c>
    </row>
    <row r="236" spans="1:14" ht="13.8" x14ac:dyDescent="0.3">
      <c r="A236" s="68" t="str">
        <f>Supuestos!$A$38</f>
        <v>INVERSION 2027</v>
      </c>
      <c r="B236" s="68" t="s">
        <v>452</v>
      </c>
      <c r="C236" s="68" t="str">
        <f>Supuestos!$B$38</f>
        <v>MP</v>
      </c>
      <c r="D236" s="73">
        <f>EDATE(Supuestos!$H$38,F236-1)</f>
        <v>47423</v>
      </c>
      <c r="E236" s="159">
        <f>DATE(YEAR(D236),MONTH(D236),1)</f>
        <v>47423</v>
      </c>
      <c r="F236" s="68">
        <v>35</v>
      </c>
      <c r="G236" s="68" t="s">
        <v>359</v>
      </c>
      <c r="H236" s="291">
        <f>M236-I236</f>
        <v>43824.60311102822</v>
      </c>
      <c r="I236" s="291">
        <f>(Supuestos!$C$38-SUM($H$202:H235))*Supuestos!$F$38</f>
        <v>496.98239958660633</v>
      </c>
      <c r="J236" s="291">
        <v>0</v>
      </c>
      <c r="K236" s="291">
        <v>0</v>
      </c>
      <c r="L236" s="291">
        <v>0</v>
      </c>
      <c r="M236" s="291">
        <f>Supuestos!$G$38</f>
        <v>44321.58551061483</v>
      </c>
      <c r="N236" s="292">
        <f>SUM(J236:L236)</f>
        <v>0</v>
      </c>
    </row>
    <row r="237" spans="1:14" ht="13.8" x14ac:dyDescent="0.3">
      <c r="A237" s="68" t="str">
        <f>Supuestos!$A$38</f>
        <v>INVERSION 2027</v>
      </c>
      <c r="B237" s="68" t="s">
        <v>452</v>
      </c>
      <c r="C237" s="68" t="str">
        <f>Supuestos!$B$38</f>
        <v>MP</v>
      </c>
      <c r="D237" s="73">
        <f>EDATE(Supuestos!$H$38,F237-1)</f>
        <v>47453</v>
      </c>
      <c r="E237" s="159">
        <f>DATE(YEAR(D237),MONTH(D237),1)</f>
        <v>47453</v>
      </c>
      <c r="F237" s="68">
        <v>36</v>
      </c>
      <c r="G237" s="68" t="s">
        <v>359</v>
      </c>
      <c r="H237" s="291">
        <f>M237-I237</f>
        <v>44072.393788563313</v>
      </c>
      <c r="I237" s="291">
        <f>(Supuestos!$C$38-SUM($H$202:H236))*Supuestos!$F$38</f>
        <v>249.19172205151941</v>
      </c>
      <c r="J237" s="291">
        <v>0</v>
      </c>
      <c r="K237" s="291">
        <v>0</v>
      </c>
      <c r="L237" s="291">
        <v>0</v>
      </c>
      <c r="M237" s="291">
        <f>Supuestos!$G$38</f>
        <v>44321.58551061483</v>
      </c>
      <c r="N237" s="292">
        <f>SUM(J237:L237)</f>
        <v>0</v>
      </c>
    </row>
    <row r="238" spans="1:14" ht="13.8" x14ac:dyDescent="0.3">
      <c r="A238" s="18" t="s">
        <v>360</v>
      </c>
      <c r="B238" s="19"/>
      <c r="C238" s="19"/>
      <c r="D238" s="19"/>
      <c r="E238" s="19"/>
      <c r="F238" s="19"/>
      <c r="G238" s="19"/>
      <c r="H238" s="293">
        <f>SUM(H202:H237)</f>
        <v>1439999.9999999991</v>
      </c>
      <c r="I238" s="293">
        <f>SUM(I202:I237)</f>
        <v>155577.07838213447</v>
      </c>
      <c r="J238" s="293">
        <f>SUM(J202:J237)</f>
        <v>0</v>
      </c>
      <c r="K238" s="293">
        <f>SUM(K202:K237)</f>
        <v>0</v>
      </c>
      <c r="L238" s="293">
        <f>SUM(L202:L237)</f>
        <v>0</v>
      </c>
      <c r="M238" s="293">
        <f>SUM(M202:M237)</f>
        <v>1595577.0783821333</v>
      </c>
      <c r="N238" s="293">
        <f>SUM(N202:N237)</f>
        <v>0</v>
      </c>
    </row>
    <row r="241" spans="1:14" ht="13.8" x14ac:dyDescent="0.3">
      <c r="A241" s="12" t="s">
        <v>457</v>
      </c>
      <c r="B241" s="12"/>
      <c r="C241" s="12"/>
      <c r="D241" s="12"/>
      <c r="E241" s="12"/>
      <c r="F241" s="12"/>
      <c r="G241" s="12"/>
      <c r="H241" s="12"/>
      <c r="I241" s="12"/>
      <c r="J241" s="12"/>
      <c r="K241" s="12"/>
      <c r="L241" s="12"/>
      <c r="M241" s="12"/>
      <c r="N241" s="12"/>
    </row>
    <row r="242" spans="1:14" ht="13.8" x14ac:dyDescent="0.3">
      <c r="A242" s="158" t="s">
        <v>348</v>
      </c>
      <c r="B242" s="158" t="s">
        <v>349</v>
      </c>
      <c r="C242" s="158" t="s">
        <v>217</v>
      </c>
      <c r="D242" s="158" t="s">
        <v>350</v>
      </c>
      <c r="E242" s="158" t="s">
        <v>351</v>
      </c>
      <c r="F242" s="158" t="s">
        <v>352</v>
      </c>
      <c r="G242" s="158" t="s">
        <v>353</v>
      </c>
      <c r="H242" s="158" t="s">
        <v>68</v>
      </c>
      <c r="I242" s="158" t="s">
        <v>70</v>
      </c>
      <c r="J242" s="158" t="s">
        <v>354</v>
      </c>
      <c r="K242" s="158" t="s">
        <v>90</v>
      </c>
      <c r="L242" s="158" t="s">
        <v>355</v>
      </c>
      <c r="M242" s="158" t="s">
        <v>356</v>
      </c>
      <c r="N242" s="158" t="s">
        <v>357</v>
      </c>
    </row>
    <row r="243" spans="1:14" ht="13.8" x14ac:dyDescent="0.3">
      <c r="A243" s="68" t="str">
        <f>Supuestos!$A$39</f>
        <v>INVERSION 2028</v>
      </c>
      <c r="B243" s="68" t="s">
        <v>452</v>
      </c>
      <c r="C243" s="68" t="str">
        <f>Supuestos!$B$39</f>
        <v>MP</v>
      </c>
      <c r="D243" s="73">
        <f>EDATE(Supuestos!$H$39,F243-1)</f>
        <v>46753</v>
      </c>
      <c r="E243" s="159">
        <f>DATE(YEAR(D243),MONTH(D243),1)</f>
        <v>46753</v>
      </c>
      <c r="F243" s="68">
        <v>1</v>
      </c>
      <c r="G243" s="68" t="s">
        <v>359</v>
      </c>
      <c r="H243" s="291">
        <f>M243-I243</f>
        <v>14321.098060464032</v>
      </c>
      <c r="I243" s="291">
        <f>Supuestos!$C$39*Supuestos!$F$39</f>
        <v>3222.8628708210063</v>
      </c>
      <c r="J243" s="291">
        <v>0</v>
      </c>
      <c r="K243" s="291">
        <v>0</v>
      </c>
      <c r="L243" s="291">
        <v>0</v>
      </c>
      <c r="M243" s="291">
        <f>Supuestos!$G$39</f>
        <v>17543.960931285037</v>
      </c>
      <c r="N243" s="292">
        <f>SUM(J243:L243)</f>
        <v>0</v>
      </c>
    </row>
    <row r="244" spans="1:14" ht="13.8" x14ac:dyDescent="0.3">
      <c r="A244" s="68" t="str">
        <f>Supuestos!$A$39</f>
        <v>INVERSION 2028</v>
      </c>
      <c r="B244" s="68" t="s">
        <v>452</v>
      </c>
      <c r="C244" s="68" t="str">
        <f>Supuestos!$B$39</f>
        <v>MP</v>
      </c>
      <c r="D244" s="73">
        <f>EDATE(Supuestos!$H$39,F244-1)</f>
        <v>46784</v>
      </c>
      <c r="E244" s="159">
        <f>DATE(YEAR(D244),MONTH(D244),1)</f>
        <v>46784</v>
      </c>
      <c r="F244" s="68">
        <v>2</v>
      </c>
      <c r="G244" s="68" t="s">
        <v>359</v>
      </c>
      <c r="H244" s="291">
        <f>M244-I244</f>
        <v>14402.071631005183</v>
      </c>
      <c r="I244" s="291">
        <f>(Supuestos!$C$39-SUM($H$243:H243))*Supuestos!$F$39</f>
        <v>3141.889300279855</v>
      </c>
      <c r="J244" s="291">
        <v>0</v>
      </c>
      <c r="K244" s="291">
        <v>0</v>
      </c>
      <c r="L244" s="291">
        <v>0</v>
      </c>
      <c r="M244" s="291">
        <f>Supuestos!$G$39</f>
        <v>17543.960931285037</v>
      </c>
      <c r="N244" s="292">
        <f>SUM(J244:L244)</f>
        <v>0</v>
      </c>
    </row>
    <row r="245" spans="1:14" ht="13.8" x14ac:dyDescent="0.3">
      <c r="A245" s="68" t="str">
        <f>Supuestos!$A$39</f>
        <v>INVERSION 2028</v>
      </c>
      <c r="B245" s="68" t="s">
        <v>452</v>
      </c>
      <c r="C245" s="68" t="str">
        <f>Supuestos!$B$39</f>
        <v>MP</v>
      </c>
      <c r="D245" s="73">
        <f>EDATE(Supuestos!$H$39,F245-1)</f>
        <v>46813</v>
      </c>
      <c r="E245" s="159">
        <f>DATE(YEAR(D245),MONTH(D245),1)</f>
        <v>46813</v>
      </c>
      <c r="F245" s="68">
        <v>3</v>
      </c>
      <c r="G245" s="68" t="s">
        <v>359</v>
      </c>
      <c r="H245" s="291">
        <f>M245-I245</f>
        <v>14483.50303788671</v>
      </c>
      <c r="I245" s="291">
        <f>(Supuestos!$C$39-SUM($H$243:H244))*Supuestos!$F$39</f>
        <v>3060.4578933983266</v>
      </c>
      <c r="J245" s="291">
        <v>0</v>
      </c>
      <c r="K245" s="291">
        <v>0</v>
      </c>
      <c r="L245" s="291">
        <v>0</v>
      </c>
      <c r="M245" s="291">
        <f>Supuestos!$G$39</f>
        <v>17543.960931285037</v>
      </c>
      <c r="N245" s="292">
        <f>SUM(J245:L245)</f>
        <v>0</v>
      </c>
    </row>
    <row r="246" spans="1:14" ht="13.8" x14ac:dyDescent="0.3">
      <c r="A246" s="68" t="str">
        <f>Supuestos!$A$39</f>
        <v>INVERSION 2028</v>
      </c>
      <c r="B246" s="68" t="s">
        <v>452</v>
      </c>
      <c r="C246" s="68" t="str">
        <f>Supuestos!$B$39</f>
        <v>MP</v>
      </c>
      <c r="D246" s="73">
        <f>EDATE(Supuestos!$H$39,F246-1)</f>
        <v>46844</v>
      </c>
      <c r="E246" s="159">
        <f>DATE(YEAR(D246),MONTH(D246),1)</f>
        <v>46844</v>
      </c>
      <c r="F246" s="68">
        <v>4</v>
      </c>
      <c r="G246" s="68" t="s">
        <v>359</v>
      </c>
      <c r="H246" s="291">
        <f>M246-I246</f>
        <v>14565.394869781849</v>
      </c>
      <c r="I246" s="291">
        <f>(Supuestos!$C$39-SUM($H$243:H245))*Supuestos!$F$39</f>
        <v>2978.5660615031888</v>
      </c>
      <c r="J246" s="291">
        <v>0</v>
      </c>
      <c r="K246" s="291">
        <v>0</v>
      </c>
      <c r="L246" s="291">
        <v>0</v>
      </c>
      <c r="M246" s="291">
        <f>Supuestos!$G$39</f>
        <v>17543.960931285037</v>
      </c>
      <c r="N246" s="292">
        <f>SUM(J246:L246)</f>
        <v>0</v>
      </c>
    </row>
    <row r="247" spans="1:14" ht="13.8" x14ac:dyDescent="0.3">
      <c r="A247" s="68" t="str">
        <f>Supuestos!$A$39</f>
        <v>INVERSION 2028</v>
      </c>
      <c r="B247" s="68" t="s">
        <v>452</v>
      </c>
      <c r="C247" s="68" t="str">
        <f>Supuestos!$B$39</f>
        <v>MP</v>
      </c>
      <c r="D247" s="73">
        <f>EDATE(Supuestos!$H$39,F247-1)</f>
        <v>46874</v>
      </c>
      <c r="E247" s="159">
        <f>DATE(YEAR(D247),MONTH(D247),1)</f>
        <v>46874</v>
      </c>
      <c r="F247" s="68">
        <v>5</v>
      </c>
      <c r="G247" s="68" t="s">
        <v>359</v>
      </c>
      <c r="H247" s="291">
        <f>M247-I247</f>
        <v>14647.749730000562</v>
      </c>
      <c r="I247" s="291">
        <f>(Supuestos!$C$39-SUM($H$243:H246))*Supuestos!$F$39</f>
        <v>2896.2112012844755</v>
      </c>
      <c r="J247" s="291">
        <v>0</v>
      </c>
      <c r="K247" s="291">
        <v>0</v>
      </c>
      <c r="L247" s="291">
        <v>0</v>
      </c>
      <c r="M247" s="291">
        <f>Supuestos!$G$39</f>
        <v>17543.960931285037</v>
      </c>
      <c r="N247" s="292">
        <f>SUM(J247:L247)</f>
        <v>0</v>
      </c>
    </row>
    <row r="248" spans="1:14" ht="13.8" x14ac:dyDescent="0.3">
      <c r="A248" s="68" t="str">
        <f>Supuestos!$A$39</f>
        <v>INVERSION 2028</v>
      </c>
      <c r="B248" s="68" t="s">
        <v>452</v>
      </c>
      <c r="C248" s="68" t="str">
        <f>Supuestos!$B$39</f>
        <v>MP</v>
      </c>
      <c r="D248" s="73">
        <f>EDATE(Supuestos!$H$39,F248-1)</f>
        <v>46905</v>
      </c>
      <c r="E248" s="159">
        <f>DATE(YEAR(D248),MONTH(D248),1)</f>
        <v>46905</v>
      </c>
      <c r="F248" s="68">
        <v>6</v>
      </c>
      <c r="G248" s="68" t="s">
        <v>359</v>
      </c>
      <c r="H248" s="291">
        <f>M248-I248</f>
        <v>14730.570236572312</v>
      </c>
      <c r="I248" s="291">
        <f>(Supuestos!$C$39-SUM($H$243:H247))*Supuestos!$F$39</f>
        <v>2813.3906947127261</v>
      </c>
      <c r="J248" s="291">
        <v>0</v>
      </c>
      <c r="K248" s="291">
        <v>0</v>
      </c>
      <c r="L248" s="291">
        <v>0</v>
      </c>
      <c r="M248" s="291">
        <f>Supuestos!$G$39</f>
        <v>17543.960931285037</v>
      </c>
      <c r="N248" s="292">
        <f>SUM(J248:L248)</f>
        <v>0</v>
      </c>
    </row>
    <row r="249" spans="1:14" ht="13.8" x14ac:dyDescent="0.3">
      <c r="A249" s="68" t="str">
        <f>Supuestos!$A$39</f>
        <v>INVERSION 2028</v>
      </c>
      <c r="B249" s="68" t="s">
        <v>452</v>
      </c>
      <c r="C249" s="68" t="str">
        <f>Supuestos!$B$39</f>
        <v>MP</v>
      </c>
      <c r="D249" s="73">
        <f>EDATE(Supuestos!$H$39,F249-1)</f>
        <v>46935</v>
      </c>
      <c r="E249" s="159">
        <f>DATE(YEAR(D249),MONTH(D249),1)</f>
        <v>46935</v>
      </c>
      <c r="F249" s="68">
        <v>7</v>
      </c>
      <c r="G249" s="68" t="s">
        <v>359</v>
      </c>
      <c r="H249" s="291">
        <f>M249-I249</f>
        <v>14813.859022329276</v>
      </c>
      <c r="I249" s="291">
        <f>(Supuestos!$C$39-SUM($H$243:H248))*Supuestos!$F$39</f>
        <v>2730.1019089557612</v>
      </c>
      <c r="J249" s="291">
        <v>0</v>
      </c>
      <c r="K249" s="291">
        <v>0</v>
      </c>
      <c r="L249" s="291">
        <v>0</v>
      </c>
      <c r="M249" s="291">
        <f>Supuestos!$G$39</f>
        <v>17543.960931285037</v>
      </c>
      <c r="N249" s="292">
        <f>SUM(J249:L249)</f>
        <v>0</v>
      </c>
    </row>
    <row r="250" spans="1:14" ht="13.8" x14ac:dyDescent="0.3">
      <c r="A250" s="68" t="str">
        <f>Supuestos!$A$39</f>
        <v>INVERSION 2028</v>
      </c>
      <c r="B250" s="68" t="s">
        <v>452</v>
      </c>
      <c r="C250" s="68" t="str">
        <f>Supuestos!$B$39</f>
        <v>MP</v>
      </c>
      <c r="D250" s="73">
        <f>EDATE(Supuestos!$H$39,F250-1)</f>
        <v>46966</v>
      </c>
      <c r="E250" s="159">
        <f>DATE(YEAR(D250),MONTH(D250),1)</f>
        <v>46966</v>
      </c>
      <c r="F250" s="68">
        <v>8</v>
      </c>
      <c r="G250" s="68" t="s">
        <v>359</v>
      </c>
      <c r="H250" s="291">
        <f>M250-I250</f>
        <v>14897.61873499005</v>
      </c>
      <c r="I250" s="291">
        <f>(Supuestos!$C$39-SUM($H$243:H249))*Supuestos!$F$39</f>
        <v>2646.3421962949865</v>
      </c>
      <c r="J250" s="291">
        <v>0</v>
      </c>
      <c r="K250" s="291">
        <v>0</v>
      </c>
      <c r="L250" s="291">
        <v>0</v>
      </c>
      <c r="M250" s="291">
        <f>Supuestos!$G$39</f>
        <v>17543.960931285037</v>
      </c>
      <c r="N250" s="292">
        <f>SUM(J250:L250)</f>
        <v>0</v>
      </c>
    </row>
    <row r="251" spans="1:14" ht="13.8" x14ac:dyDescent="0.3">
      <c r="A251" s="68" t="str">
        <f>Supuestos!$A$39</f>
        <v>INVERSION 2028</v>
      </c>
      <c r="B251" s="68" t="s">
        <v>452</v>
      </c>
      <c r="C251" s="68" t="str">
        <f>Supuestos!$B$39</f>
        <v>MP</v>
      </c>
      <c r="D251" s="73">
        <f>EDATE(Supuestos!$H$39,F251-1)</f>
        <v>46997</v>
      </c>
      <c r="E251" s="159">
        <f>DATE(YEAR(D251),MONTH(D251),1)</f>
        <v>46997</v>
      </c>
      <c r="F251" s="68">
        <v>9</v>
      </c>
      <c r="G251" s="68" t="s">
        <v>359</v>
      </c>
      <c r="H251" s="291">
        <f>M251-I251</f>
        <v>14981.852037243818</v>
      </c>
      <c r="I251" s="291">
        <f>(Supuestos!$C$39-SUM($H$243:H250))*Supuestos!$F$39</f>
        <v>2562.1088940412201</v>
      </c>
      <c r="J251" s="291">
        <v>0</v>
      </c>
      <c r="K251" s="291">
        <v>0</v>
      </c>
      <c r="L251" s="291">
        <v>0</v>
      </c>
      <c r="M251" s="291">
        <f>Supuestos!$G$39</f>
        <v>17543.960931285037</v>
      </c>
      <c r="N251" s="292">
        <f>SUM(J251:L251)</f>
        <v>0</v>
      </c>
    </row>
    <row r="252" spans="1:14" ht="13.8" x14ac:dyDescent="0.3">
      <c r="A252" s="68" t="str">
        <f>Supuestos!$A$39</f>
        <v>INVERSION 2028</v>
      </c>
      <c r="B252" s="68" t="s">
        <v>452</v>
      </c>
      <c r="C252" s="68" t="str">
        <f>Supuestos!$B$39</f>
        <v>MP</v>
      </c>
      <c r="D252" s="73">
        <f>EDATE(Supuestos!$H$39,F252-1)</f>
        <v>47027</v>
      </c>
      <c r="E252" s="159">
        <f>DATE(YEAR(D252),MONTH(D252),1)</f>
        <v>47027</v>
      </c>
      <c r="F252" s="68">
        <v>10</v>
      </c>
      <c r="G252" s="68" t="s">
        <v>359</v>
      </c>
      <c r="H252" s="291">
        <f>M252-I252</f>
        <v>15066.561606834988</v>
      </c>
      <c r="I252" s="291">
        <f>(Supuestos!$C$39-SUM($H$243:H251))*Supuestos!$F$39</f>
        <v>2477.3993244500498</v>
      </c>
      <c r="J252" s="291">
        <v>0</v>
      </c>
      <c r="K252" s="291">
        <v>0</v>
      </c>
      <c r="L252" s="291">
        <v>0</v>
      </c>
      <c r="M252" s="291">
        <f>Supuestos!$G$39</f>
        <v>17543.960931285037</v>
      </c>
      <c r="N252" s="292">
        <f>SUM(J252:L252)</f>
        <v>0</v>
      </c>
    </row>
    <row r="253" spans="1:14" ht="13.8" x14ac:dyDescent="0.3">
      <c r="A253" s="68" t="str">
        <f>Supuestos!$A$39</f>
        <v>INVERSION 2028</v>
      </c>
      <c r="B253" s="68" t="s">
        <v>452</v>
      </c>
      <c r="C253" s="68" t="str">
        <f>Supuestos!$B$39</f>
        <v>MP</v>
      </c>
      <c r="D253" s="73">
        <f>EDATE(Supuestos!$H$39,F253-1)</f>
        <v>47058</v>
      </c>
      <c r="E253" s="159">
        <f>DATE(YEAR(D253),MONTH(D253),1)</f>
        <v>47058</v>
      </c>
      <c r="F253" s="68">
        <v>11</v>
      </c>
      <c r="G253" s="68" t="s">
        <v>359</v>
      </c>
      <c r="H253" s="291">
        <f>M253-I253</f>
        <v>15151.75013664833</v>
      </c>
      <c r="I253" s="291">
        <f>(Supuestos!$C$39-SUM($H$243:H252))*Supuestos!$F$39</f>
        <v>2392.2107946367059</v>
      </c>
      <c r="J253" s="291">
        <v>0</v>
      </c>
      <c r="K253" s="291">
        <v>0</v>
      </c>
      <c r="L253" s="291">
        <v>0</v>
      </c>
      <c r="M253" s="291">
        <f>Supuestos!$G$39</f>
        <v>17543.960931285037</v>
      </c>
      <c r="N253" s="292">
        <f>SUM(J253:L253)</f>
        <v>0</v>
      </c>
    </row>
    <row r="254" spans="1:14" ht="13.8" x14ac:dyDescent="0.3">
      <c r="A254" s="68" t="str">
        <f>Supuestos!$A$39</f>
        <v>INVERSION 2028</v>
      </c>
      <c r="B254" s="68" t="s">
        <v>452</v>
      </c>
      <c r="C254" s="68" t="str">
        <f>Supuestos!$B$39</f>
        <v>MP</v>
      </c>
      <c r="D254" s="73">
        <f>EDATE(Supuestos!$H$39,F254-1)</f>
        <v>47088</v>
      </c>
      <c r="E254" s="159">
        <f>DATE(YEAR(D254),MONTH(D254),1)</f>
        <v>47088</v>
      </c>
      <c r="F254" s="68">
        <v>12</v>
      </c>
      <c r="G254" s="68" t="s">
        <v>359</v>
      </c>
      <c r="H254" s="291">
        <f>M254-I254</f>
        <v>15237.420334794579</v>
      </c>
      <c r="I254" s="291">
        <f>(Supuestos!$C$39-SUM($H$243:H253))*Supuestos!$F$39</f>
        <v>2306.5405964904585</v>
      </c>
      <c r="J254" s="291">
        <v>0</v>
      </c>
      <c r="K254" s="291">
        <v>0</v>
      </c>
      <c r="L254" s="291">
        <v>0</v>
      </c>
      <c r="M254" s="291">
        <f>Supuestos!$G$39</f>
        <v>17543.960931285037</v>
      </c>
      <c r="N254" s="292">
        <f>SUM(J254:L254)</f>
        <v>0</v>
      </c>
    </row>
    <row r="255" spans="1:14" ht="13.8" x14ac:dyDescent="0.3">
      <c r="A255" s="68" t="str">
        <f>Supuestos!$A$39</f>
        <v>INVERSION 2028</v>
      </c>
      <c r="B255" s="68" t="s">
        <v>452</v>
      </c>
      <c r="C255" s="68" t="str">
        <f>Supuestos!$B$39</f>
        <v>MP</v>
      </c>
      <c r="D255" s="73">
        <f>EDATE(Supuestos!$H$39,F255-1)</f>
        <v>47119</v>
      </c>
      <c r="E255" s="159">
        <f>DATE(YEAR(D255),MONTH(D255),1)</f>
        <v>47119</v>
      </c>
      <c r="F255" s="68">
        <v>13</v>
      </c>
      <c r="G255" s="68" t="s">
        <v>359</v>
      </c>
      <c r="H255" s="291">
        <f>M255-I255</f>
        <v>15323.574924696513</v>
      </c>
      <c r="I255" s="291">
        <f>(Supuestos!$C$39-SUM($H$243:H254))*Supuestos!$F$39</f>
        <v>2220.3860065885247</v>
      </c>
      <c r="J255" s="291">
        <v>0</v>
      </c>
      <c r="K255" s="291">
        <v>0</v>
      </c>
      <c r="L255" s="291">
        <v>0</v>
      </c>
      <c r="M255" s="291">
        <f>Supuestos!$G$39</f>
        <v>17543.960931285037</v>
      </c>
      <c r="N255" s="292">
        <f>SUM(J255:L255)</f>
        <v>0</v>
      </c>
    </row>
    <row r="256" spans="1:14" ht="13.8" x14ac:dyDescent="0.3">
      <c r="A256" s="68" t="str">
        <f>Supuestos!$A$39</f>
        <v>INVERSION 2028</v>
      </c>
      <c r="B256" s="68" t="s">
        <v>452</v>
      </c>
      <c r="C256" s="68" t="str">
        <f>Supuestos!$B$39</f>
        <v>MP</v>
      </c>
      <c r="D256" s="73">
        <f>EDATE(Supuestos!$H$39,F256-1)</f>
        <v>47150</v>
      </c>
      <c r="E256" s="159">
        <f>DATE(YEAR(D256),MONTH(D256),1)</f>
        <v>47150</v>
      </c>
      <c r="F256" s="68">
        <v>14</v>
      </c>
      <c r="G256" s="68" t="s">
        <v>359</v>
      </c>
      <c r="H256" s="291">
        <f>M256-I256</f>
        <v>15410.216645175544</v>
      </c>
      <c r="I256" s="291">
        <f>(Supuestos!$C$39-SUM($H$243:H255))*Supuestos!$F$39</f>
        <v>2133.7442861094928</v>
      </c>
      <c r="J256" s="291">
        <v>0</v>
      </c>
      <c r="K256" s="291">
        <v>0</v>
      </c>
      <c r="L256" s="291">
        <v>0</v>
      </c>
      <c r="M256" s="291">
        <f>Supuestos!$G$39</f>
        <v>17543.960931285037</v>
      </c>
      <c r="N256" s="292">
        <f>SUM(J256:L256)</f>
        <v>0</v>
      </c>
    </row>
    <row r="257" spans="1:14" ht="13.8" x14ac:dyDescent="0.3">
      <c r="A257" s="68" t="str">
        <f>Supuestos!$A$39</f>
        <v>INVERSION 2028</v>
      </c>
      <c r="B257" s="68" t="s">
        <v>452</v>
      </c>
      <c r="C257" s="68" t="str">
        <f>Supuestos!$B$39</f>
        <v>MP</v>
      </c>
      <c r="D257" s="73">
        <f>EDATE(Supuestos!$H$39,F257-1)</f>
        <v>47178</v>
      </c>
      <c r="E257" s="159">
        <f>DATE(YEAR(D257),MONTH(D257),1)</f>
        <v>47178</v>
      </c>
      <c r="F257" s="68">
        <v>15</v>
      </c>
      <c r="G257" s="68" t="s">
        <v>359</v>
      </c>
      <c r="H257" s="291">
        <f>M257-I257</f>
        <v>15497.34825053878</v>
      </c>
      <c r="I257" s="291">
        <f>(Supuestos!$C$39-SUM($H$243:H256))*Supuestos!$F$39</f>
        <v>2046.6126807462574</v>
      </c>
      <c r="J257" s="291">
        <v>0</v>
      </c>
      <c r="K257" s="291">
        <v>0</v>
      </c>
      <c r="L257" s="291">
        <v>0</v>
      </c>
      <c r="M257" s="291">
        <f>Supuestos!$G$39</f>
        <v>17543.960931285037</v>
      </c>
      <c r="N257" s="292">
        <f>SUM(J257:L257)</f>
        <v>0</v>
      </c>
    </row>
    <row r="258" spans="1:14" ht="13.8" x14ac:dyDescent="0.3">
      <c r="A258" s="68" t="str">
        <f>Supuestos!$A$39</f>
        <v>INVERSION 2028</v>
      </c>
      <c r="B258" s="68" t="s">
        <v>452</v>
      </c>
      <c r="C258" s="68" t="str">
        <f>Supuestos!$B$39</f>
        <v>MP</v>
      </c>
      <c r="D258" s="73">
        <f>EDATE(Supuestos!$H$39,F258-1)</f>
        <v>47209</v>
      </c>
      <c r="E258" s="159">
        <f>DATE(YEAR(D258),MONTH(D258),1)</f>
        <v>47209</v>
      </c>
      <c r="F258" s="68">
        <v>16</v>
      </c>
      <c r="G258" s="68" t="s">
        <v>359</v>
      </c>
      <c r="H258" s="291">
        <f>M258-I258</f>
        <v>15584.972510666577</v>
      </c>
      <c r="I258" s="291">
        <f>(Supuestos!$C$39-SUM($H$243:H257))*Supuestos!$F$39</f>
        <v>1958.9884206184602</v>
      </c>
      <c r="J258" s="291">
        <v>0</v>
      </c>
      <c r="K258" s="291">
        <v>0</v>
      </c>
      <c r="L258" s="291">
        <v>0</v>
      </c>
      <c r="M258" s="291">
        <f>Supuestos!$G$39</f>
        <v>17543.960931285037</v>
      </c>
      <c r="N258" s="292">
        <f>SUM(J258:L258)</f>
        <v>0</v>
      </c>
    </row>
    <row r="259" spans="1:14" ht="13.8" x14ac:dyDescent="0.3">
      <c r="A259" s="68" t="str">
        <f>Supuestos!$A$39</f>
        <v>INVERSION 2028</v>
      </c>
      <c r="B259" s="68" t="s">
        <v>452</v>
      </c>
      <c r="C259" s="68" t="str">
        <f>Supuestos!$B$39</f>
        <v>MP</v>
      </c>
      <c r="D259" s="73">
        <f>EDATE(Supuestos!$H$39,F259-1)</f>
        <v>47239</v>
      </c>
      <c r="E259" s="159">
        <f>DATE(YEAR(D259),MONTH(D259),1)</f>
        <v>47239</v>
      </c>
      <c r="F259" s="68">
        <v>17</v>
      </c>
      <c r="G259" s="68" t="s">
        <v>359</v>
      </c>
      <c r="H259" s="291">
        <f>M259-I259</f>
        <v>15673.0922111006</v>
      </c>
      <c r="I259" s="291">
        <f>(Supuestos!$C$39-SUM($H$243:H258))*Supuestos!$F$39</f>
        <v>1870.8687201844366</v>
      </c>
      <c r="J259" s="291">
        <v>0</v>
      </c>
      <c r="K259" s="291">
        <v>0</v>
      </c>
      <c r="L259" s="291">
        <v>0</v>
      </c>
      <c r="M259" s="291">
        <f>Supuestos!$G$39</f>
        <v>17543.960931285037</v>
      </c>
      <c r="N259" s="292">
        <f>SUM(J259:L259)</f>
        <v>0</v>
      </c>
    </row>
    <row r="260" spans="1:14" ht="13.8" x14ac:dyDescent="0.3">
      <c r="A260" s="68" t="str">
        <f>Supuestos!$A$39</f>
        <v>INVERSION 2028</v>
      </c>
      <c r="B260" s="68" t="s">
        <v>452</v>
      </c>
      <c r="C260" s="68" t="str">
        <f>Supuestos!$B$39</f>
        <v>MP</v>
      </c>
      <c r="D260" s="73">
        <f>EDATE(Supuestos!$H$39,F260-1)</f>
        <v>47270</v>
      </c>
      <c r="E260" s="159">
        <f>DATE(YEAR(D260),MONTH(D260),1)</f>
        <v>47270</v>
      </c>
      <c r="F260" s="68">
        <v>18</v>
      </c>
      <c r="G260" s="68" t="s">
        <v>359</v>
      </c>
      <c r="H260" s="291">
        <f>M260-I260</f>
        <v>15761.710153132371</v>
      </c>
      <c r="I260" s="291">
        <f>(Supuestos!$C$39-SUM($H$243:H259))*Supuestos!$F$39</f>
        <v>1782.2507781526649</v>
      </c>
      <c r="J260" s="291">
        <v>0</v>
      </c>
      <c r="K260" s="291">
        <v>0</v>
      </c>
      <c r="L260" s="291">
        <v>0</v>
      </c>
      <c r="M260" s="291">
        <f>Supuestos!$G$39</f>
        <v>17543.960931285037</v>
      </c>
      <c r="N260" s="292">
        <f>SUM(J260:L260)</f>
        <v>0</v>
      </c>
    </row>
    <row r="261" spans="1:14" ht="13.8" x14ac:dyDescent="0.3">
      <c r="A261" s="68" t="str">
        <f>Supuestos!$A$39</f>
        <v>INVERSION 2028</v>
      </c>
      <c r="B261" s="68" t="s">
        <v>452</v>
      </c>
      <c r="C261" s="68" t="str">
        <f>Supuestos!$B$39</f>
        <v>MP</v>
      </c>
      <c r="D261" s="73">
        <f>EDATE(Supuestos!$H$39,F261-1)</f>
        <v>47300</v>
      </c>
      <c r="E261" s="159">
        <f>DATE(YEAR(D261),MONTH(D261),1)</f>
        <v>47300</v>
      </c>
      <c r="F261" s="68">
        <v>19</v>
      </c>
      <c r="G261" s="68" t="s">
        <v>359</v>
      </c>
      <c r="H261" s="291">
        <f>M261-I261</f>
        <v>15850.829153892324</v>
      </c>
      <c r="I261" s="291">
        <f>(Supuestos!$C$39-SUM($H$243:H260))*Supuestos!$F$39</f>
        <v>1693.1317773927126</v>
      </c>
      <c r="J261" s="291">
        <v>0</v>
      </c>
      <c r="K261" s="291">
        <v>0</v>
      </c>
      <c r="L261" s="291">
        <v>0</v>
      </c>
      <c r="M261" s="291">
        <f>Supuestos!$G$39</f>
        <v>17543.960931285037</v>
      </c>
      <c r="N261" s="292">
        <f>SUM(J261:L261)</f>
        <v>0</v>
      </c>
    </row>
    <row r="262" spans="1:14" ht="13.8" x14ac:dyDescent="0.3">
      <c r="A262" s="68" t="str">
        <f>Supuestos!$A$39</f>
        <v>INVERSION 2028</v>
      </c>
      <c r="B262" s="68" t="s">
        <v>452</v>
      </c>
      <c r="C262" s="68" t="str">
        <f>Supuestos!$B$39</f>
        <v>MP</v>
      </c>
      <c r="D262" s="73">
        <f>EDATE(Supuestos!$H$39,F262-1)</f>
        <v>47331</v>
      </c>
      <c r="E262" s="159">
        <f>DATE(YEAR(D262),MONTH(D262),1)</f>
        <v>47331</v>
      </c>
      <c r="F262" s="68">
        <v>20</v>
      </c>
      <c r="G262" s="68" t="s">
        <v>359</v>
      </c>
      <c r="H262" s="291">
        <f>M262-I262</f>
        <v>15940.452046439354</v>
      </c>
      <c r="I262" s="291">
        <f>(Supuestos!$C$39-SUM($H$243:H261))*Supuestos!$F$39</f>
        <v>1603.508884845683</v>
      </c>
      <c r="J262" s="291">
        <v>0</v>
      </c>
      <c r="K262" s="291">
        <v>0</v>
      </c>
      <c r="L262" s="291">
        <v>0</v>
      </c>
      <c r="M262" s="291">
        <f>Supuestos!$G$39</f>
        <v>17543.960931285037</v>
      </c>
      <c r="N262" s="292">
        <f>SUM(J262:L262)</f>
        <v>0</v>
      </c>
    </row>
    <row r="263" spans="1:14" ht="13.8" x14ac:dyDescent="0.3">
      <c r="A263" s="68" t="str">
        <f>Supuestos!$A$39</f>
        <v>INVERSION 2028</v>
      </c>
      <c r="B263" s="68" t="s">
        <v>452</v>
      </c>
      <c r="C263" s="68" t="str">
        <f>Supuestos!$B$39</f>
        <v>MP</v>
      </c>
      <c r="D263" s="73">
        <f>EDATE(Supuestos!$H$39,F263-1)</f>
        <v>47362</v>
      </c>
      <c r="E263" s="159">
        <f>DATE(YEAR(D263),MONTH(D263),1)</f>
        <v>47362</v>
      </c>
      <c r="F263" s="68">
        <v>21</v>
      </c>
      <c r="G263" s="68" t="s">
        <v>359</v>
      </c>
      <c r="H263" s="291">
        <f>M263-I263</f>
        <v>16030.581679850884</v>
      </c>
      <c r="I263" s="291">
        <f>(Supuestos!$C$39-SUM($H$243:H262))*Supuestos!$F$39</f>
        <v>1513.379251434153</v>
      </c>
      <c r="J263" s="291">
        <v>0</v>
      </c>
      <c r="K263" s="291">
        <v>0</v>
      </c>
      <c r="L263" s="291">
        <v>0</v>
      </c>
      <c r="M263" s="291">
        <f>Supuestos!$G$39</f>
        <v>17543.960931285037</v>
      </c>
      <c r="N263" s="292">
        <f>SUM(J263:L263)</f>
        <v>0</v>
      </c>
    </row>
    <row r="264" spans="1:14" ht="13.8" x14ac:dyDescent="0.3">
      <c r="A264" s="68" t="str">
        <f>Supuestos!$A$39</f>
        <v>INVERSION 2028</v>
      </c>
      <c r="B264" s="68" t="s">
        <v>452</v>
      </c>
      <c r="C264" s="68" t="str">
        <f>Supuestos!$B$39</f>
        <v>MP</v>
      </c>
      <c r="D264" s="73">
        <f>EDATE(Supuestos!$H$39,F264-1)</f>
        <v>47392</v>
      </c>
      <c r="E264" s="159">
        <f>DATE(YEAR(D264),MONTH(D264),1)</f>
        <v>47392</v>
      </c>
      <c r="F264" s="68">
        <v>22</v>
      </c>
      <c r="G264" s="68" t="s">
        <v>359</v>
      </c>
      <c r="H264" s="291">
        <f>M264-I264</f>
        <v>16121.220919313437</v>
      </c>
      <c r="I264" s="291">
        <f>(Supuestos!$C$39-SUM($H$243:H263))*Supuestos!$F$39</f>
        <v>1422.7400119716008</v>
      </c>
      <c r="J264" s="291">
        <v>0</v>
      </c>
      <c r="K264" s="291">
        <v>0</v>
      </c>
      <c r="L264" s="291">
        <v>0</v>
      </c>
      <c r="M264" s="291">
        <f>Supuestos!$G$39</f>
        <v>17543.960931285037</v>
      </c>
      <c r="N264" s="292">
        <f>SUM(J264:L264)</f>
        <v>0</v>
      </c>
    </row>
    <row r="265" spans="1:14" ht="13.8" x14ac:dyDescent="0.3">
      <c r="A265" s="68" t="str">
        <f>Supuestos!$A$39</f>
        <v>INVERSION 2028</v>
      </c>
      <c r="B265" s="68" t="s">
        <v>452</v>
      </c>
      <c r="C265" s="68" t="str">
        <f>Supuestos!$B$39</f>
        <v>MP</v>
      </c>
      <c r="D265" s="73">
        <f>EDATE(Supuestos!$H$39,F265-1)</f>
        <v>47423</v>
      </c>
      <c r="E265" s="159">
        <f>DATE(YEAR(D265),MONTH(D265),1)</f>
        <v>47423</v>
      </c>
      <c r="F265" s="68">
        <v>23</v>
      </c>
      <c r="G265" s="68" t="s">
        <v>359</v>
      </c>
      <c r="H265" s="291">
        <f>M265-I265</f>
        <v>16212.372646213713</v>
      </c>
      <c r="I265" s="291">
        <f>(Supuestos!$C$39-SUM($H$243:H264))*Supuestos!$F$39</f>
        <v>1331.5882850713233</v>
      </c>
      <c r="J265" s="291">
        <v>0</v>
      </c>
      <c r="K265" s="291">
        <v>0</v>
      </c>
      <c r="L265" s="291">
        <v>0</v>
      </c>
      <c r="M265" s="291">
        <f>Supuestos!$G$39</f>
        <v>17543.960931285037</v>
      </c>
      <c r="N265" s="292">
        <f>SUM(J265:L265)</f>
        <v>0</v>
      </c>
    </row>
    <row r="266" spans="1:14" ht="13.8" x14ac:dyDescent="0.3">
      <c r="A266" s="68" t="str">
        <f>Supuestos!$A$39</f>
        <v>INVERSION 2028</v>
      </c>
      <c r="B266" s="68" t="s">
        <v>452</v>
      </c>
      <c r="C266" s="68" t="str">
        <f>Supuestos!$B$39</f>
        <v>MP</v>
      </c>
      <c r="D266" s="73">
        <f>EDATE(Supuestos!$H$39,F266-1)</f>
        <v>47453</v>
      </c>
      <c r="E266" s="159">
        <f>DATE(YEAR(D266),MONTH(D266),1)</f>
        <v>47453</v>
      </c>
      <c r="F266" s="68">
        <v>24</v>
      </c>
      <c r="G266" s="68" t="s">
        <v>359</v>
      </c>
      <c r="H266" s="291">
        <f>M266-I266</f>
        <v>16304.039758230198</v>
      </c>
      <c r="I266" s="291">
        <f>(Supuestos!$C$39-SUM($H$243:H265))*Supuestos!$F$39</f>
        <v>1239.9211730548388</v>
      </c>
      <c r="J266" s="291">
        <v>0</v>
      </c>
      <c r="K266" s="291">
        <v>0</v>
      </c>
      <c r="L266" s="291">
        <v>0</v>
      </c>
      <c r="M266" s="291">
        <f>Supuestos!$G$39</f>
        <v>17543.960931285037</v>
      </c>
      <c r="N266" s="292">
        <f>SUM(J266:L266)</f>
        <v>0</v>
      </c>
    </row>
    <row r="267" spans="1:14" ht="13.8" x14ac:dyDescent="0.3">
      <c r="A267" s="68" t="str">
        <f>Supuestos!$A$39</f>
        <v>INVERSION 2028</v>
      </c>
      <c r="B267" s="68" t="s">
        <v>452</v>
      </c>
      <c r="C267" s="68" t="str">
        <f>Supuestos!$B$39</f>
        <v>MP</v>
      </c>
      <c r="D267" s="73">
        <f>EDATE(Supuestos!$H$39,F267-1)</f>
        <v>47484</v>
      </c>
      <c r="E267" s="159">
        <f>DATE(YEAR(D267),MONTH(D267),1)</f>
        <v>47484</v>
      </c>
      <c r="F267" s="68">
        <v>25</v>
      </c>
      <c r="G267" s="68" t="s">
        <v>359</v>
      </c>
      <c r="H267" s="291">
        <f>M267-I267</f>
        <v>16396.225169425266</v>
      </c>
      <c r="I267" s="291">
        <f>(Supuestos!$C$39-SUM($H$243:H266))*Supuestos!$F$39</f>
        <v>1147.7357618597694</v>
      </c>
      <c r="J267" s="291">
        <v>0</v>
      </c>
      <c r="K267" s="291">
        <v>0</v>
      </c>
      <c r="L267" s="291">
        <v>0</v>
      </c>
      <c r="M267" s="291">
        <f>Supuestos!$G$39</f>
        <v>17543.960931285037</v>
      </c>
      <c r="N267" s="292">
        <f>SUM(J267:L267)</f>
        <v>0</v>
      </c>
    </row>
    <row r="268" spans="1:14" ht="13.8" x14ac:dyDescent="0.3">
      <c r="A268" s="68" t="str">
        <f>Supuestos!$A$39</f>
        <v>INVERSION 2028</v>
      </c>
      <c r="B268" s="68" t="s">
        <v>452</v>
      </c>
      <c r="C268" s="68" t="str">
        <f>Supuestos!$B$39</f>
        <v>MP</v>
      </c>
      <c r="D268" s="73">
        <f>EDATE(Supuestos!$H$39,F268-1)</f>
        <v>47515</v>
      </c>
      <c r="E268" s="159">
        <f>DATE(YEAR(D268),MONTH(D268),1)</f>
        <v>47515</v>
      </c>
      <c r="F268" s="68">
        <v>26</v>
      </c>
      <c r="G268" s="68" t="s">
        <v>359</v>
      </c>
      <c r="H268" s="291">
        <f>M268-I268</f>
        <v>16488.931810337832</v>
      </c>
      <c r="I268" s="291">
        <f>(Supuestos!$C$39-SUM($H$243:H267))*Supuestos!$F$39</f>
        <v>1055.0291209472052</v>
      </c>
      <c r="J268" s="291">
        <v>0</v>
      </c>
      <c r="K268" s="291">
        <v>0</v>
      </c>
      <c r="L268" s="291">
        <v>0</v>
      </c>
      <c r="M268" s="291">
        <f>Supuestos!$G$39</f>
        <v>17543.960931285037</v>
      </c>
      <c r="N268" s="292">
        <f>SUM(J268:L268)</f>
        <v>0</v>
      </c>
    </row>
    <row r="269" spans="1:14" ht="13.8" x14ac:dyDescent="0.3">
      <c r="A269" s="68" t="str">
        <f>Supuestos!$A$39</f>
        <v>INVERSION 2028</v>
      </c>
      <c r="B269" s="68" t="s">
        <v>452</v>
      </c>
      <c r="C269" s="68" t="str">
        <f>Supuestos!$B$39</f>
        <v>MP</v>
      </c>
      <c r="D269" s="73">
        <f>EDATE(Supuestos!$H$39,F269-1)</f>
        <v>47543</v>
      </c>
      <c r="E269" s="159">
        <f>DATE(YEAR(D269),MONTH(D269),1)</f>
        <v>47543</v>
      </c>
      <c r="F269" s="68">
        <v>27</v>
      </c>
      <c r="G269" s="68" t="s">
        <v>359</v>
      </c>
      <c r="H269" s="291">
        <f>M269-I269</f>
        <v>16582.162628076494</v>
      </c>
      <c r="I269" s="291">
        <f>(Supuestos!$C$39-SUM($H$243:H268))*Supuestos!$F$39</f>
        <v>961.79830320854364</v>
      </c>
      <c r="J269" s="291">
        <v>0</v>
      </c>
      <c r="K269" s="291">
        <v>0</v>
      </c>
      <c r="L269" s="291">
        <v>0</v>
      </c>
      <c r="M269" s="291">
        <f>Supuestos!$G$39</f>
        <v>17543.960931285037</v>
      </c>
      <c r="N269" s="292">
        <f>SUM(J269:L269)</f>
        <v>0</v>
      </c>
    </row>
    <row r="270" spans="1:14" ht="13.8" x14ac:dyDescent="0.3">
      <c r="A270" s="68" t="str">
        <f>Supuestos!$A$39</f>
        <v>INVERSION 2028</v>
      </c>
      <c r="B270" s="68" t="s">
        <v>452</v>
      </c>
      <c r="C270" s="68" t="str">
        <f>Supuestos!$B$39</f>
        <v>MP</v>
      </c>
      <c r="D270" s="73">
        <f>EDATE(Supuestos!$H$39,F270-1)</f>
        <v>47574</v>
      </c>
      <c r="E270" s="159">
        <f>DATE(YEAR(D270),MONTH(D270),1)</f>
        <v>47574</v>
      </c>
      <c r="F270" s="68">
        <v>28</v>
      </c>
      <c r="G270" s="68" t="s">
        <v>359</v>
      </c>
      <c r="H270" s="291">
        <f>M270-I270</f>
        <v>16675.920586413238</v>
      </c>
      <c r="I270" s="291">
        <f>(Supuestos!$C$39-SUM($H$243:H269))*Supuestos!$F$39</f>
        <v>868.0403448718007</v>
      </c>
      <c r="J270" s="291">
        <v>0</v>
      </c>
      <c r="K270" s="291">
        <v>0</v>
      </c>
      <c r="L270" s="291">
        <v>0</v>
      </c>
      <c r="M270" s="291">
        <f>Supuestos!$G$39</f>
        <v>17543.960931285037</v>
      </c>
      <c r="N270" s="292">
        <f>SUM(J270:L270)</f>
        <v>0</v>
      </c>
    </row>
    <row r="271" spans="1:14" ht="13.8" x14ac:dyDescent="0.3">
      <c r="A271" s="68" t="str">
        <f>Supuestos!$A$39</f>
        <v>INVERSION 2028</v>
      </c>
      <c r="B271" s="68" t="s">
        <v>452</v>
      </c>
      <c r="C271" s="68" t="str">
        <f>Supuestos!$B$39</f>
        <v>MP</v>
      </c>
      <c r="D271" s="73">
        <f>EDATE(Supuestos!$H$39,F271-1)</f>
        <v>47604</v>
      </c>
      <c r="E271" s="159">
        <f>DATE(YEAR(D271),MONTH(D271),1)</f>
        <v>47604</v>
      </c>
      <c r="F271" s="68">
        <v>29</v>
      </c>
      <c r="G271" s="68" t="s">
        <v>359</v>
      </c>
      <c r="H271" s="291">
        <f>M271-I271</f>
        <v>16770.208665877642</v>
      </c>
      <c r="I271" s="291">
        <f>(Supuestos!$C$39-SUM($H$243:H270))*Supuestos!$F$39</f>
        <v>773.75226540739561</v>
      </c>
      <c r="J271" s="291">
        <v>0</v>
      </c>
      <c r="K271" s="291">
        <v>0</v>
      </c>
      <c r="L271" s="291">
        <v>0</v>
      </c>
      <c r="M271" s="291">
        <f>Supuestos!$G$39</f>
        <v>17543.960931285037</v>
      </c>
      <c r="N271" s="292">
        <f>SUM(J271:L271)</f>
        <v>0</v>
      </c>
    </row>
    <row r="272" spans="1:14" ht="13.8" x14ac:dyDescent="0.3">
      <c r="A272" s="68" t="str">
        <f>Supuestos!$A$39</f>
        <v>INVERSION 2028</v>
      </c>
      <c r="B272" s="68" t="s">
        <v>452</v>
      </c>
      <c r="C272" s="68" t="str">
        <f>Supuestos!$B$39</f>
        <v>MP</v>
      </c>
      <c r="D272" s="73">
        <f>EDATE(Supuestos!$H$39,F272-1)</f>
        <v>47635</v>
      </c>
      <c r="E272" s="159">
        <f>DATE(YEAR(D272),MONTH(D272),1)</f>
        <v>47635</v>
      </c>
      <c r="F272" s="68">
        <v>30</v>
      </c>
      <c r="G272" s="68" t="s">
        <v>359</v>
      </c>
      <c r="H272" s="291">
        <f>M272-I272</f>
        <v>16865.029863851636</v>
      </c>
      <c r="I272" s="291">
        <f>(Supuestos!$C$39-SUM($H$243:H271))*Supuestos!$F$39</f>
        <v>678.93106743339968</v>
      </c>
      <c r="J272" s="291">
        <v>0</v>
      </c>
      <c r="K272" s="291">
        <v>0</v>
      </c>
      <c r="L272" s="291">
        <v>0</v>
      </c>
      <c r="M272" s="291">
        <f>Supuestos!$G$39</f>
        <v>17543.960931285037</v>
      </c>
      <c r="N272" s="292">
        <f>SUM(J272:L272)</f>
        <v>0</v>
      </c>
    </row>
    <row r="273" spans="1:14" ht="13.8" x14ac:dyDescent="0.3">
      <c r="A273" s="68" t="str">
        <f>Supuestos!$A$39</f>
        <v>INVERSION 2028</v>
      </c>
      <c r="B273" s="68" t="s">
        <v>452</v>
      </c>
      <c r="C273" s="68" t="str">
        <f>Supuestos!$B$39</f>
        <v>MP</v>
      </c>
      <c r="D273" s="73">
        <f>EDATE(Supuestos!$H$39,F273-1)</f>
        <v>47665</v>
      </c>
      <c r="E273" s="159">
        <f>DATE(YEAR(D273),MONTH(D273),1)</f>
        <v>47665</v>
      </c>
      <c r="F273" s="68">
        <v>31</v>
      </c>
      <c r="G273" s="68" t="s">
        <v>359</v>
      </c>
      <c r="H273" s="291">
        <f>M273-I273</f>
        <v>16960.387194664785</v>
      </c>
      <c r="I273" s="291">
        <f>(Supuestos!$C$39-SUM($H$243:H272))*Supuestos!$F$39</f>
        <v>583.57373662025088</v>
      </c>
      <c r="J273" s="291">
        <v>0</v>
      </c>
      <c r="K273" s="291">
        <v>0</v>
      </c>
      <c r="L273" s="291">
        <v>0</v>
      </c>
      <c r="M273" s="291">
        <f>Supuestos!$G$39</f>
        <v>17543.960931285037</v>
      </c>
      <c r="N273" s="292">
        <f>SUM(J273:L273)</f>
        <v>0</v>
      </c>
    </row>
    <row r="274" spans="1:14" ht="13.8" x14ac:dyDescent="0.3">
      <c r="A274" s="68" t="str">
        <f>Supuestos!$A$39</f>
        <v>INVERSION 2028</v>
      </c>
      <c r="B274" s="68" t="s">
        <v>452</v>
      </c>
      <c r="C274" s="68" t="str">
        <f>Supuestos!$B$39</f>
        <v>MP</v>
      </c>
      <c r="D274" s="73">
        <f>EDATE(Supuestos!$H$39,F274-1)</f>
        <v>47696</v>
      </c>
      <c r="E274" s="159">
        <f>DATE(YEAR(D274),MONTH(D274),1)</f>
        <v>47696</v>
      </c>
      <c r="F274" s="68">
        <v>32</v>
      </c>
      <c r="G274" s="68" t="s">
        <v>359</v>
      </c>
      <c r="H274" s="291">
        <f>M274-I274</f>
        <v>17056.283689690106</v>
      </c>
      <c r="I274" s="291">
        <f>(Supuestos!$C$39-SUM($H$243:H273))*Supuestos!$F$39</f>
        <v>487.67724159492946</v>
      </c>
      <c r="J274" s="291">
        <v>0</v>
      </c>
      <c r="K274" s="291">
        <v>0</v>
      </c>
      <c r="L274" s="291">
        <v>0</v>
      </c>
      <c r="M274" s="291">
        <f>Supuestos!$G$39</f>
        <v>17543.960931285037</v>
      </c>
      <c r="N274" s="292">
        <f>SUM(J274:L274)</f>
        <v>0</v>
      </c>
    </row>
    <row r="275" spans="1:14" ht="13.8" x14ac:dyDescent="0.3">
      <c r="A275" s="68" t="str">
        <f>Supuestos!$A$39</f>
        <v>INVERSION 2028</v>
      </c>
      <c r="B275" s="68" t="s">
        <v>452</v>
      </c>
      <c r="C275" s="68" t="str">
        <f>Supuestos!$B$39</f>
        <v>MP</v>
      </c>
      <c r="D275" s="73">
        <f>EDATE(Supuestos!$H$39,F275-1)</f>
        <v>47727</v>
      </c>
      <c r="E275" s="159">
        <f>DATE(YEAR(D275),MONTH(D275),1)</f>
        <v>47727</v>
      </c>
      <c r="F275" s="68">
        <v>33</v>
      </c>
      <c r="G275" s="68" t="s">
        <v>359</v>
      </c>
      <c r="H275" s="291">
        <f>M275-I275</f>
        <v>17152.722397440444</v>
      </c>
      <c r="I275" s="291">
        <f>(Supuestos!$C$39-SUM($H$243:H274))*Supuestos!$F$39</f>
        <v>391.23853384459227</v>
      </c>
      <c r="J275" s="291">
        <v>0</v>
      </c>
      <c r="K275" s="291">
        <v>0</v>
      </c>
      <c r="L275" s="291">
        <v>0</v>
      </c>
      <c r="M275" s="291">
        <f>Supuestos!$G$39</f>
        <v>17543.960931285037</v>
      </c>
      <c r="N275" s="292">
        <f>SUM(J275:L275)</f>
        <v>0</v>
      </c>
    </row>
    <row r="276" spans="1:14" ht="13.8" x14ac:dyDescent="0.3">
      <c r="A276" s="68" t="str">
        <f>Supuestos!$A$39</f>
        <v>INVERSION 2028</v>
      </c>
      <c r="B276" s="68" t="s">
        <v>452</v>
      </c>
      <c r="C276" s="68" t="str">
        <f>Supuestos!$B$39</f>
        <v>MP</v>
      </c>
      <c r="D276" s="73">
        <f>EDATE(Supuestos!$H$39,F276-1)</f>
        <v>47757</v>
      </c>
      <c r="E276" s="159">
        <f>DATE(YEAR(D276),MONTH(D276),1)</f>
        <v>47757</v>
      </c>
      <c r="F276" s="68">
        <v>34</v>
      </c>
      <c r="G276" s="68" t="s">
        <v>359</v>
      </c>
      <c r="H276" s="291">
        <f>M276-I276</f>
        <v>17249.706383665376</v>
      </c>
      <c r="I276" s="291">
        <f>(Supuestos!$C$39-SUM($H$243:H275))*Supuestos!$F$39</f>
        <v>294.25454761966114</v>
      </c>
      <c r="J276" s="291">
        <v>0</v>
      </c>
      <c r="K276" s="291">
        <v>0</v>
      </c>
      <c r="L276" s="291">
        <v>0</v>
      </c>
      <c r="M276" s="291">
        <f>Supuestos!$G$39</f>
        <v>17543.960931285037</v>
      </c>
      <c r="N276" s="292">
        <f>SUM(J276:L276)</f>
        <v>0</v>
      </c>
    </row>
    <row r="277" spans="1:14" ht="13.8" x14ac:dyDescent="0.3">
      <c r="A277" s="68" t="str">
        <f>Supuestos!$A$39</f>
        <v>INVERSION 2028</v>
      </c>
      <c r="B277" s="68" t="s">
        <v>452</v>
      </c>
      <c r="C277" s="68" t="str">
        <f>Supuestos!$B$39</f>
        <v>MP</v>
      </c>
      <c r="D277" s="73">
        <f>EDATE(Supuestos!$H$39,F277-1)</f>
        <v>47788</v>
      </c>
      <c r="E277" s="159">
        <f>DATE(YEAR(D277),MONTH(D277),1)</f>
        <v>47788</v>
      </c>
      <c r="F277" s="68">
        <v>35</v>
      </c>
      <c r="G277" s="68" t="s">
        <v>359</v>
      </c>
      <c r="H277" s="291">
        <f>M277-I277</f>
        <v>17347.238731448673</v>
      </c>
      <c r="I277" s="291">
        <f>(Supuestos!$C$39-SUM($H$243:H276))*Supuestos!$F$39</f>
        <v>196.72219983636455</v>
      </c>
      <c r="J277" s="291">
        <v>0</v>
      </c>
      <c r="K277" s="291">
        <v>0</v>
      </c>
      <c r="L277" s="291">
        <v>0</v>
      </c>
      <c r="M277" s="291">
        <f>Supuestos!$G$39</f>
        <v>17543.960931285037</v>
      </c>
      <c r="N277" s="292">
        <f>SUM(J277:L277)</f>
        <v>0</v>
      </c>
    </row>
    <row r="278" spans="1:14" ht="13.8" x14ac:dyDescent="0.3">
      <c r="A278" s="68" t="str">
        <f>Supuestos!$A$39</f>
        <v>INVERSION 2028</v>
      </c>
      <c r="B278" s="68" t="s">
        <v>452</v>
      </c>
      <c r="C278" s="68" t="str">
        <f>Supuestos!$B$39</f>
        <v>MP</v>
      </c>
      <c r="D278" s="73">
        <f>EDATE(Supuestos!$H$39,F278-1)</f>
        <v>47818</v>
      </c>
      <c r="E278" s="159">
        <f>DATE(YEAR(D278),MONTH(D278),1)</f>
        <v>47818</v>
      </c>
      <c r="F278" s="68">
        <v>36</v>
      </c>
      <c r="G278" s="68" t="s">
        <v>359</v>
      </c>
      <c r="H278" s="291">
        <f>M278-I278</f>
        <v>17445.322541306312</v>
      </c>
      <c r="I278" s="291">
        <f>(Supuestos!$C$39-SUM($H$243:H277))*Supuestos!$F$39</f>
        <v>98.638389978726025</v>
      </c>
      <c r="J278" s="291">
        <v>0</v>
      </c>
      <c r="K278" s="291">
        <v>0</v>
      </c>
      <c r="L278" s="291">
        <v>0</v>
      </c>
      <c r="M278" s="291">
        <f>Supuestos!$G$39</f>
        <v>17543.960931285037</v>
      </c>
      <c r="N278" s="292">
        <f>SUM(J278:L278)</f>
        <v>0</v>
      </c>
    </row>
    <row r="279" spans="1:14" ht="13.8" x14ac:dyDescent="0.3">
      <c r="A279" s="18" t="s">
        <v>360</v>
      </c>
      <c r="B279" s="19"/>
      <c r="C279" s="19"/>
      <c r="D279" s="19"/>
      <c r="E279" s="19"/>
      <c r="F279" s="19"/>
      <c r="G279" s="19"/>
      <c r="H279" s="293">
        <f>SUM(H243:H278)</f>
        <v>569999.99999999965</v>
      </c>
      <c r="I279" s="293">
        <f>SUM(I243:I278)</f>
        <v>61582.593526261553</v>
      </c>
      <c r="J279" s="293">
        <f>SUM(J243:J278)</f>
        <v>0</v>
      </c>
      <c r="K279" s="293">
        <f>SUM(K243:K278)</f>
        <v>0</v>
      </c>
      <c r="L279" s="293">
        <f>SUM(L243:L278)</f>
        <v>0</v>
      </c>
      <c r="M279" s="293">
        <f>SUM(M243:M278)</f>
        <v>631582.59352626174</v>
      </c>
      <c r="N279" s="293">
        <f>SUM(N243:N278)</f>
        <v>0</v>
      </c>
    </row>
    <row r="282" spans="1:14" ht="13.8" x14ac:dyDescent="0.3">
      <c r="A282" s="12" t="s">
        <v>458</v>
      </c>
      <c r="B282" s="12"/>
      <c r="C282" s="12"/>
      <c r="D282" s="12"/>
      <c r="E282" s="12"/>
      <c r="F282" s="12"/>
      <c r="G282" s="12"/>
      <c r="H282" s="12"/>
      <c r="I282" s="12"/>
      <c r="J282" s="12"/>
      <c r="K282" s="12"/>
      <c r="L282" s="12"/>
      <c r="M282" s="12"/>
      <c r="N282" s="12"/>
    </row>
    <row r="283" spans="1:14" ht="13.8" x14ac:dyDescent="0.3">
      <c r="A283" s="158" t="s">
        <v>348</v>
      </c>
      <c r="B283" s="158" t="s">
        <v>349</v>
      </c>
      <c r="C283" s="158" t="s">
        <v>217</v>
      </c>
      <c r="D283" s="158" t="s">
        <v>350</v>
      </c>
      <c r="E283" s="158" t="s">
        <v>351</v>
      </c>
      <c r="F283" s="158" t="s">
        <v>352</v>
      </c>
      <c r="G283" s="158" t="s">
        <v>353</v>
      </c>
      <c r="H283" s="158" t="s">
        <v>68</v>
      </c>
      <c r="I283" s="158" t="s">
        <v>70</v>
      </c>
      <c r="J283" s="158" t="s">
        <v>354</v>
      </c>
      <c r="K283" s="158" t="s">
        <v>90</v>
      </c>
      <c r="L283" s="158" t="s">
        <v>355</v>
      </c>
      <c r="M283" s="158" t="s">
        <v>356</v>
      </c>
      <c r="N283" s="158" t="s">
        <v>357</v>
      </c>
    </row>
    <row r="284" spans="1:14" ht="13.8" x14ac:dyDescent="0.3">
      <c r="A284" s="68" t="str">
        <f>Supuestos!$A$40</f>
        <v>INVERSION 2030</v>
      </c>
      <c r="B284" s="68" t="s">
        <v>452</v>
      </c>
      <c r="C284" s="68" t="str">
        <f>Supuestos!$B$40</f>
        <v>MP</v>
      </c>
      <c r="D284" s="73">
        <f>EDATE(Supuestos!$H$40,F284-1)</f>
        <v>47484</v>
      </c>
      <c r="E284" s="159">
        <f>DATE(YEAR(D284),MONTH(D284),1)</f>
        <v>47484</v>
      </c>
      <c r="F284" s="68">
        <v>1</v>
      </c>
      <c r="G284" s="68" t="s">
        <v>359</v>
      </c>
      <c r="H284" s="291">
        <f>M284-I284</f>
        <v>5024.9466878821167</v>
      </c>
      <c r="I284" s="291">
        <f>Supuestos!$C$40*Supuestos!$F$40</f>
        <v>1130.8290774810548</v>
      </c>
      <c r="J284" s="291">
        <v>0</v>
      </c>
      <c r="K284" s="291">
        <v>0</v>
      </c>
      <c r="L284" s="291">
        <v>0</v>
      </c>
      <c r="M284" s="291">
        <f>Supuestos!$G$40</f>
        <v>6155.7757653631716</v>
      </c>
      <c r="N284" s="292">
        <f>SUM(J284:L284)</f>
        <v>0</v>
      </c>
    </row>
    <row r="285" spans="1:14" ht="13.8" x14ac:dyDescent="0.3">
      <c r="A285" s="68" t="str">
        <f>Supuestos!$A$40</f>
        <v>INVERSION 2030</v>
      </c>
      <c r="B285" s="68" t="s">
        <v>452</v>
      </c>
      <c r="C285" s="68" t="str">
        <f>Supuestos!$B$40</f>
        <v>MP</v>
      </c>
      <c r="D285" s="73">
        <f>EDATE(Supuestos!$H$40,F285-1)</f>
        <v>47515</v>
      </c>
      <c r="E285" s="159">
        <f>DATE(YEAR(D285),MONTH(D285),1)</f>
        <v>47515</v>
      </c>
      <c r="F285" s="68">
        <v>2</v>
      </c>
      <c r="G285" s="68" t="s">
        <v>359</v>
      </c>
      <c r="H285" s="291">
        <f>M285-I285</f>
        <v>5053.3584670193632</v>
      </c>
      <c r="I285" s="291">
        <f>(Supuestos!$C$40-SUM($H$284:H284))*Supuestos!$F$40</f>
        <v>1102.4172983438086</v>
      </c>
      <c r="J285" s="291">
        <v>0</v>
      </c>
      <c r="K285" s="291">
        <v>0</v>
      </c>
      <c r="L285" s="291">
        <v>0</v>
      </c>
      <c r="M285" s="291">
        <f>Supuestos!$G$40</f>
        <v>6155.7757653631716</v>
      </c>
      <c r="N285" s="292">
        <f>SUM(J285:L285)</f>
        <v>0</v>
      </c>
    </row>
    <row r="286" spans="1:14" ht="13.8" x14ac:dyDescent="0.3">
      <c r="A286" s="68" t="str">
        <f>Supuestos!$A$40</f>
        <v>INVERSION 2030</v>
      </c>
      <c r="B286" s="68" t="s">
        <v>452</v>
      </c>
      <c r="C286" s="68" t="str">
        <f>Supuestos!$B$40</f>
        <v>MP</v>
      </c>
      <c r="D286" s="73">
        <f>EDATE(Supuestos!$H$40,F286-1)</f>
        <v>47543</v>
      </c>
      <c r="E286" s="159">
        <f>DATE(YEAR(D286),MONTH(D286),1)</f>
        <v>47543</v>
      </c>
      <c r="F286" s="68">
        <v>3</v>
      </c>
      <c r="G286" s="68" t="s">
        <v>359</v>
      </c>
      <c r="H286" s="291">
        <f>M286-I286</f>
        <v>5081.9308904865657</v>
      </c>
      <c r="I286" s="291">
        <f>(Supuestos!$C$40-SUM($H$284:H285))*Supuestos!$F$40</f>
        <v>1073.8448748766057</v>
      </c>
      <c r="J286" s="291">
        <v>0</v>
      </c>
      <c r="K286" s="291">
        <v>0</v>
      </c>
      <c r="L286" s="291">
        <v>0</v>
      </c>
      <c r="M286" s="291">
        <f>Supuestos!$G$40</f>
        <v>6155.7757653631716</v>
      </c>
      <c r="N286" s="292">
        <f>SUM(J286:L286)</f>
        <v>0</v>
      </c>
    </row>
    <row r="287" spans="1:14" ht="13.8" x14ac:dyDescent="0.3">
      <c r="A287" s="68" t="str">
        <f>Supuestos!$A$40</f>
        <v>INVERSION 2030</v>
      </c>
      <c r="B287" s="68" t="s">
        <v>452</v>
      </c>
      <c r="C287" s="68" t="str">
        <f>Supuestos!$B$40</f>
        <v>MP</v>
      </c>
      <c r="D287" s="73">
        <f>EDATE(Supuestos!$H$40,F287-1)</f>
        <v>47574</v>
      </c>
      <c r="E287" s="159">
        <f>DATE(YEAR(D287),MONTH(D287),1)</f>
        <v>47574</v>
      </c>
      <c r="F287" s="68">
        <v>4</v>
      </c>
      <c r="G287" s="68" t="s">
        <v>359</v>
      </c>
      <c r="H287" s="291">
        <f>M287-I287</f>
        <v>5110.664866590123</v>
      </c>
      <c r="I287" s="291">
        <f>(Supuestos!$C$40-SUM($H$284:H286))*Supuestos!$F$40</f>
        <v>1045.1108987730488</v>
      </c>
      <c r="J287" s="291">
        <v>0</v>
      </c>
      <c r="K287" s="291">
        <v>0</v>
      </c>
      <c r="L287" s="291">
        <v>0</v>
      </c>
      <c r="M287" s="291">
        <f>Supuestos!$G$40</f>
        <v>6155.7757653631716</v>
      </c>
      <c r="N287" s="292">
        <f>SUM(J287:L287)</f>
        <v>0</v>
      </c>
    </row>
    <row r="288" spans="1:14" ht="13.8" x14ac:dyDescent="0.3">
      <c r="A288" s="68" t="str">
        <f>Supuestos!$A$40</f>
        <v>INVERSION 2030</v>
      </c>
      <c r="B288" s="68" t="s">
        <v>452</v>
      </c>
      <c r="C288" s="68" t="str">
        <f>Supuestos!$B$40</f>
        <v>MP</v>
      </c>
      <c r="D288" s="73">
        <f>EDATE(Supuestos!$H$40,F288-1)</f>
        <v>47604</v>
      </c>
      <c r="E288" s="159">
        <f>DATE(YEAR(D288),MONTH(D288),1)</f>
        <v>47604</v>
      </c>
      <c r="F288" s="68">
        <v>5</v>
      </c>
      <c r="G288" s="68" t="s">
        <v>359</v>
      </c>
      <c r="H288" s="291">
        <f>M288-I288</f>
        <v>5139.5613087721276</v>
      </c>
      <c r="I288" s="291">
        <f>(Supuestos!$C$40-SUM($H$284:H287))*Supuestos!$F$40</f>
        <v>1016.2144565910442</v>
      </c>
      <c r="J288" s="291">
        <v>0</v>
      </c>
      <c r="K288" s="291">
        <v>0</v>
      </c>
      <c r="L288" s="291">
        <v>0</v>
      </c>
      <c r="M288" s="291">
        <f>Supuestos!$G$40</f>
        <v>6155.7757653631716</v>
      </c>
      <c r="N288" s="292">
        <f>SUM(J288:L288)</f>
        <v>0</v>
      </c>
    </row>
    <row r="289" spans="1:14" ht="13.8" x14ac:dyDescent="0.3">
      <c r="A289" s="68" t="str">
        <f>Supuestos!$A$40</f>
        <v>INVERSION 2030</v>
      </c>
      <c r="B289" s="68" t="s">
        <v>452</v>
      </c>
      <c r="C289" s="68" t="str">
        <f>Supuestos!$B$40</f>
        <v>MP</v>
      </c>
      <c r="D289" s="73">
        <f>EDATE(Supuestos!$H$40,F289-1)</f>
        <v>47635</v>
      </c>
      <c r="E289" s="159">
        <f>DATE(YEAR(D289),MONTH(D289),1)</f>
        <v>47635</v>
      </c>
      <c r="F289" s="68">
        <v>6</v>
      </c>
      <c r="G289" s="68" t="s">
        <v>359</v>
      </c>
      <c r="H289" s="291">
        <f>M289-I289</f>
        <v>5168.6211356394078</v>
      </c>
      <c r="I289" s="291">
        <f>(Supuestos!$C$40-SUM($H$284:H288))*Supuestos!$F$40</f>
        <v>987.15462972376361</v>
      </c>
      <c r="J289" s="291">
        <v>0</v>
      </c>
      <c r="K289" s="291">
        <v>0</v>
      </c>
      <c r="L289" s="291">
        <v>0</v>
      </c>
      <c r="M289" s="291">
        <f>Supuestos!$G$40</f>
        <v>6155.7757653631716</v>
      </c>
      <c r="N289" s="292">
        <f>SUM(J289:L289)</f>
        <v>0</v>
      </c>
    </row>
    <row r="290" spans="1:14" ht="13.8" x14ac:dyDescent="0.3">
      <c r="A290" s="68" t="str">
        <f>Supuestos!$A$40</f>
        <v>INVERSION 2030</v>
      </c>
      <c r="B290" s="68" t="s">
        <v>452</v>
      </c>
      <c r="C290" s="68" t="str">
        <f>Supuestos!$B$40</f>
        <v>MP</v>
      </c>
      <c r="D290" s="73">
        <f>EDATE(Supuestos!$H$40,F290-1)</f>
        <v>47665</v>
      </c>
      <c r="E290" s="159">
        <f>DATE(YEAR(D290),MONTH(D290),1)</f>
        <v>47665</v>
      </c>
      <c r="F290" s="68">
        <v>7</v>
      </c>
      <c r="G290" s="68" t="s">
        <v>359</v>
      </c>
      <c r="H290" s="291">
        <f>M290-I290</f>
        <v>5197.8452709927287</v>
      </c>
      <c r="I290" s="291">
        <f>(Supuestos!$C$40-SUM($H$284:H289))*Supuestos!$F$40</f>
        <v>957.93049437044249</v>
      </c>
      <c r="J290" s="291">
        <v>0</v>
      </c>
      <c r="K290" s="291">
        <v>0</v>
      </c>
      <c r="L290" s="291">
        <v>0</v>
      </c>
      <c r="M290" s="291">
        <f>Supuestos!$G$40</f>
        <v>6155.7757653631716</v>
      </c>
      <c r="N290" s="292">
        <f>SUM(J290:L290)</f>
        <v>0</v>
      </c>
    </row>
    <row r="291" spans="1:14" ht="13.8" x14ac:dyDescent="0.3">
      <c r="A291" s="68" t="str">
        <f>Supuestos!$A$40</f>
        <v>INVERSION 2030</v>
      </c>
      <c r="B291" s="68" t="s">
        <v>452</v>
      </c>
      <c r="C291" s="68" t="str">
        <f>Supuestos!$B$40</f>
        <v>MP</v>
      </c>
      <c r="D291" s="73">
        <f>EDATE(Supuestos!$H$40,F291-1)</f>
        <v>47696</v>
      </c>
      <c r="E291" s="159">
        <f>DATE(YEAR(D291),MONTH(D291),1)</f>
        <v>47696</v>
      </c>
      <c r="F291" s="68">
        <v>8</v>
      </c>
      <c r="G291" s="68" t="s">
        <v>359</v>
      </c>
      <c r="H291" s="291">
        <f>M291-I291</f>
        <v>5227.234643856159</v>
      </c>
      <c r="I291" s="291">
        <f>(Supuestos!$C$40-SUM($H$284:H290))*Supuestos!$F$40</f>
        <v>928.54112150701269</v>
      </c>
      <c r="J291" s="291">
        <v>0</v>
      </c>
      <c r="K291" s="291">
        <v>0</v>
      </c>
      <c r="L291" s="291">
        <v>0</v>
      </c>
      <c r="M291" s="291">
        <f>Supuestos!$G$40</f>
        <v>6155.7757653631716</v>
      </c>
      <c r="N291" s="292">
        <f>SUM(J291:L291)</f>
        <v>0</v>
      </c>
    </row>
    <row r="292" spans="1:14" ht="13.8" x14ac:dyDescent="0.3">
      <c r="A292" s="68" t="str">
        <f>Supuestos!$A$40</f>
        <v>INVERSION 2030</v>
      </c>
      <c r="B292" s="68" t="s">
        <v>452</v>
      </c>
      <c r="C292" s="68" t="str">
        <f>Supuestos!$B$40</f>
        <v>MP</v>
      </c>
      <c r="D292" s="73">
        <f>EDATE(Supuestos!$H$40,F292-1)</f>
        <v>47727</v>
      </c>
      <c r="E292" s="159">
        <f>DATE(YEAR(D292),MONTH(D292),1)</f>
        <v>47727</v>
      </c>
      <c r="F292" s="68">
        <v>9</v>
      </c>
      <c r="G292" s="68" t="s">
        <v>359</v>
      </c>
      <c r="H292" s="291">
        <f>M292-I292</f>
        <v>5256.790188506603</v>
      </c>
      <c r="I292" s="291">
        <f>(Supuestos!$C$40-SUM($H$284:H291))*Supuestos!$F$40</f>
        <v>898.9855768565684</v>
      </c>
      <c r="J292" s="291">
        <v>0</v>
      </c>
      <c r="K292" s="291">
        <v>0</v>
      </c>
      <c r="L292" s="291">
        <v>0</v>
      </c>
      <c r="M292" s="291">
        <f>Supuestos!$G$40</f>
        <v>6155.7757653631716</v>
      </c>
      <c r="N292" s="292">
        <f>SUM(J292:L292)</f>
        <v>0</v>
      </c>
    </row>
    <row r="293" spans="1:14" ht="13.8" x14ac:dyDescent="0.3">
      <c r="A293" s="68" t="str">
        <f>Supuestos!$A$40</f>
        <v>INVERSION 2030</v>
      </c>
      <c r="B293" s="68" t="s">
        <v>452</v>
      </c>
      <c r="C293" s="68" t="str">
        <f>Supuestos!$B$40</f>
        <v>MP</v>
      </c>
      <c r="D293" s="73">
        <f>EDATE(Supuestos!$H$40,F293-1)</f>
        <v>47757</v>
      </c>
      <c r="E293" s="159">
        <f>DATE(YEAR(D293),MONTH(D293),1)</f>
        <v>47757</v>
      </c>
      <c r="F293" s="68">
        <v>10</v>
      </c>
      <c r="G293" s="68" t="s">
        <v>359</v>
      </c>
      <c r="H293" s="291">
        <f>M293-I293</f>
        <v>5286.5128445035052</v>
      </c>
      <c r="I293" s="291">
        <f>(Supuestos!$C$40-SUM($H$284:H292))*Supuestos!$F$40</f>
        <v>869.26292085966645</v>
      </c>
      <c r="J293" s="291">
        <v>0</v>
      </c>
      <c r="K293" s="291">
        <v>0</v>
      </c>
      <c r="L293" s="291">
        <v>0</v>
      </c>
      <c r="M293" s="291">
        <f>Supuestos!$G$40</f>
        <v>6155.7757653631716</v>
      </c>
      <c r="N293" s="292">
        <f>SUM(J293:L293)</f>
        <v>0</v>
      </c>
    </row>
    <row r="294" spans="1:14" ht="13.8" x14ac:dyDescent="0.3">
      <c r="A294" s="68" t="str">
        <f>Supuestos!$A$40</f>
        <v>INVERSION 2030</v>
      </c>
      <c r="B294" s="68" t="s">
        <v>452</v>
      </c>
      <c r="C294" s="68" t="str">
        <f>Supuestos!$B$40</f>
        <v>MP</v>
      </c>
      <c r="D294" s="73">
        <f>EDATE(Supuestos!$H$40,F294-1)</f>
        <v>47788</v>
      </c>
      <c r="E294" s="159">
        <f>DATE(YEAR(D294),MONTH(D294),1)</f>
        <v>47788</v>
      </c>
      <c r="F294" s="68">
        <v>11</v>
      </c>
      <c r="G294" s="68" t="s">
        <v>359</v>
      </c>
      <c r="H294" s="291">
        <f>M294-I294</f>
        <v>5316.4035567187129</v>
      </c>
      <c r="I294" s="291">
        <f>(Supuestos!$C$40-SUM($H$284:H293))*Supuestos!$F$40</f>
        <v>839.37220864445828</v>
      </c>
      <c r="J294" s="291">
        <v>0</v>
      </c>
      <c r="K294" s="291">
        <v>0</v>
      </c>
      <c r="L294" s="291">
        <v>0</v>
      </c>
      <c r="M294" s="291">
        <f>Supuestos!$G$40</f>
        <v>6155.7757653631716</v>
      </c>
      <c r="N294" s="292">
        <f>SUM(J294:L294)</f>
        <v>0</v>
      </c>
    </row>
    <row r="295" spans="1:14" ht="13.8" x14ac:dyDescent="0.3">
      <c r="A295" s="68" t="str">
        <f>Supuestos!$A$40</f>
        <v>INVERSION 2030</v>
      </c>
      <c r="B295" s="68" t="s">
        <v>452</v>
      </c>
      <c r="C295" s="68" t="str">
        <f>Supuestos!$B$40</f>
        <v>MP</v>
      </c>
      <c r="D295" s="73">
        <f>EDATE(Supuestos!$H$40,F295-1)</f>
        <v>47818</v>
      </c>
      <c r="E295" s="159">
        <f>DATE(YEAR(D295),MONTH(D295),1)</f>
        <v>47818</v>
      </c>
      <c r="F295" s="68">
        <v>12</v>
      </c>
      <c r="G295" s="68" t="s">
        <v>359</v>
      </c>
      <c r="H295" s="291">
        <f>M295-I295</f>
        <v>5346.4632753665192</v>
      </c>
      <c r="I295" s="291">
        <f>(Supuestos!$C$40-SUM($H$284:H294))*Supuestos!$F$40</f>
        <v>809.31248999665206</v>
      </c>
      <c r="J295" s="291">
        <v>0</v>
      </c>
      <c r="K295" s="291">
        <v>0</v>
      </c>
      <c r="L295" s="291">
        <v>0</v>
      </c>
      <c r="M295" s="291">
        <f>Supuestos!$G$40</f>
        <v>6155.7757653631716</v>
      </c>
      <c r="N295" s="292">
        <f>SUM(J295:L295)</f>
        <v>0</v>
      </c>
    </row>
    <row r="296" spans="1:14" ht="13.8" x14ac:dyDescent="0.3">
      <c r="A296" s="68" t="str">
        <f>Supuestos!$A$40</f>
        <v>INVERSION 2030</v>
      </c>
      <c r="B296" s="68" t="s">
        <v>452</v>
      </c>
      <c r="C296" s="68" t="str">
        <f>Supuestos!$B$40</f>
        <v>MP</v>
      </c>
      <c r="D296" s="73">
        <f>EDATE(Supuestos!$H$40,F296-1)</f>
        <v>47849</v>
      </c>
      <c r="E296" s="159">
        <f>DATE(YEAR(D296),MONTH(D296),1)</f>
        <v>47849</v>
      </c>
      <c r="F296" s="68">
        <v>13</v>
      </c>
      <c r="G296" s="68" t="s">
        <v>359</v>
      </c>
      <c r="H296" s="291">
        <f>M296-I296</f>
        <v>5376.6929560338649</v>
      </c>
      <c r="I296" s="291">
        <f>(Supuestos!$C$40-SUM($H$284:H295))*Supuestos!$F$40</f>
        <v>779.08280932930677</v>
      </c>
      <c r="J296" s="291">
        <v>0</v>
      </c>
      <c r="K296" s="291">
        <v>0</v>
      </c>
      <c r="L296" s="291">
        <v>0</v>
      </c>
      <c r="M296" s="291">
        <f>Supuestos!$G$40</f>
        <v>6155.7757653631716</v>
      </c>
      <c r="N296" s="292">
        <f>SUM(J296:L296)</f>
        <v>0</v>
      </c>
    </row>
    <row r="297" spans="1:14" ht="13.8" x14ac:dyDescent="0.3">
      <c r="A297" s="68" t="str">
        <f>Supuestos!$A$40</f>
        <v>INVERSION 2030</v>
      </c>
      <c r="B297" s="68" t="s">
        <v>452</v>
      </c>
      <c r="C297" s="68" t="str">
        <f>Supuestos!$B$40</f>
        <v>MP</v>
      </c>
      <c r="D297" s="73">
        <f>EDATE(Supuestos!$H$40,F297-1)</f>
        <v>47880</v>
      </c>
      <c r="E297" s="159">
        <f>DATE(YEAR(D297),MONTH(D297),1)</f>
        <v>47880</v>
      </c>
      <c r="F297" s="68">
        <v>14</v>
      </c>
      <c r="G297" s="68" t="s">
        <v>359</v>
      </c>
      <c r="H297" s="291">
        <f>M297-I297</f>
        <v>5407.0935597107182</v>
      </c>
      <c r="I297" s="291">
        <f>(Supuestos!$C$40-SUM($H$284:H296))*Supuestos!$F$40</f>
        <v>748.68220565245349</v>
      </c>
      <c r="J297" s="291">
        <v>0</v>
      </c>
      <c r="K297" s="291">
        <v>0</v>
      </c>
      <c r="L297" s="291">
        <v>0</v>
      </c>
      <c r="M297" s="291">
        <f>Supuestos!$G$40</f>
        <v>6155.7757653631716</v>
      </c>
      <c r="N297" s="292">
        <f>SUM(J297:L297)</f>
        <v>0</v>
      </c>
    </row>
    <row r="298" spans="1:14" ht="13.8" x14ac:dyDescent="0.3">
      <c r="A298" s="68" t="str">
        <f>Supuestos!$A$40</f>
        <v>INVERSION 2030</v>
      </c>
      <c r="B298" s="68" t="s">
        <v>452</v>
      </c>
      <c r="C298" s="68" t="str">
        <f>Supuestos!$B$40</f>
        <v>MP</v>
      </c>
      <c r="D298" s="73">
        <f>EDATE(Supuestos!$H$40,F298-1)</f>
        <v>47908</v>
      </c>
      <c r="E298" s="159">
        <f>DATE(YEAR(D298),MONTH(D298),1)</f>
        <v>47908</v>
      </c>
      <c r="F298" s="68">
        <v>15</v>
      </c>
      <c r="G298" s="68" t="s">
        <v>359</v>
      </c>
      <c r="H298" s="291">
        <f>M298-I298</f>
        <v>5437.6660528206248</v>
      </c>
      <c r="I298" s="291">
        <f>(Supuestos!$C$40-SUM($H$284:H297))*Supuestos!$F$40</f>
        <v>718.10971254254639</v>
      </c>
      <c r="J298" s="291">
        <v>0</v>
      </c>
      <c r="K298" s="291">
        <v>0</v>
      </c>
      <c r="L298" s="291">
        <v>0</v>
      </c>
      <c r="M298" s="291">
        <f>Supuestos!$G$40</f>
        <v>6155.7757653631716</v>
      </c>
      <c r="N298" s="292">
        <f>SUM(J298:L298)</f>
        <v>0</v>
      </c>
    </row>
    <row r="299" spans="1:14" ht="13.8" x14ac:dyDescent="0.3">
      <c r="A299" s="68" t="str">
        <f>Supuestos!$A$40</f>
        <v>INVERSION 2030</v>
      </c>
      <c r="B299" s="68" t="s">
        <v>452</v>
      </c>
      <c r="C299" s="68" t="str">
        <f>Supuestos!$B$40</f>
        <v>MP</v>
      </c>
      <c r="D299" s="73">
        <f>EDATE(Supuestos!$H$40,F299-1)</f>
        <v>47939</v>
      </c>
      <c r="E299" s="159">
        <f>DATE(YEAR(D299),MONTH(D299),1)</f>
        <v>47939</v>
      </c>
      <c r="F299" s="68">
        <v>16</v>
      </c>
      <c r="G299" s="68" t="s">
        <v>359</v>
      </c>
      <c r="H299" s="291">
        <f>M299-I299</f>
        <v>5468.4114072514312</v>
      </c>
      <c r="I299" s="291">
        <f>(Supuestos!$C$40-SUM($H$284:H298))*Supuestos!$F$40</f>
        <v>687.36435811174033</v>
      </c>
      <c r="J299" s="291">
        <v>0</v>
      </c>
      <c r="K299" s="291">
        <v>0</v>
      </c>
      <c r="L299" s="291">
        <v>0</v>
      </c>
      <c r="M299" s="291">
        <f>Supuestos!$G$40</f>
        <v>6155.7757653631716</v>
      </c>
      <c r="N299" s="292">
        <f>SUM(J299:L299)</f>
        <v>0</v>
      </c>
    </row>
    <row r="300" spans="1:14" ht="13.8" x14ac:dyDescent="0.3">
      <c r="A300" s="68" t="str">
        <f>Supuestos!$A$40</f>
        <v>INVERSION 2030</v>
      </c>
      <c r="B300" s="68" t="s">
        <v>452</v>
      </c>
      <c r="C300" s="68" t="str">
        <f>Supuestos!$B$40</f>
        <v>MP</v>
      </c>
      <c r="D300" s="73">
        <f>EDATE(Supuestos!$H$40,F300-1)</f>
        <v>47969</v>
      </c>
      <c r="E300" s="159">
        <f>DATE(YEAR(D300),MONTH(D300),1)</f>
        <v>47969</v>
      </c>
      <c r="F300" s="68">
        <v>17</v>
      </c>
      <c r="G300" s="68" t="s">
        <v>359</v>
      </c>
      <c r="H300" s="291">
        <f>M300-I300</f>
        <v>5499.3306003861762</v>
      </c>
      <c r="I300" s="291">
        <f>(Supuestos!$C$40-SUM($H$284:H299))*Supuestos!$F$40</f>
        <v>656.44516497699533</v>
      </c>
      <c r="J300" s="291">
        <v>0</v>
      </c>
      <c r="K300" s="291">
        <v>0</v>
      </c>
      <c r="L300" s="291">
        <v>0</v>
      </c>
      <c r="M300" s="291">
        <f>Supuestos!$G$40</f>
        <v>6155.7757653631716</v>
      </c>
      <c r="N300" s="292">
        <f>SUM(J300:L300)</f>
        <v>0</v>
      </c>
    </row>
    <row r="301" spans="1:14" ht="13.8" x14ac:dyDescent="0.3">
      <c r="A301" s="68" t="str">
        <f>Supuestos!$A$40</f>
        <v>INVERSION 2030</v>
      </c>
      <c r="B301" s="68" t="s">
        <v>452</v>
      </c>
      <c r="C301" s="68" t="str">
        <f>Supuestos!$B$40</f>
        <v>MP</v>
      </c>
      <c r="D301" s="73">
        <f>EDATE(Supuestos!$H$40,F301-1)</f>
        <v>48000</v>
      </c>
      <c r="E301" s="159">
        <f>DATE(YEAR(D301),MONTH(D301),1)</f>
        <v>48000</v>
      </c>
      <c r="F301" s="68">
        <v>18</v>
      </c>
      <c r="G301" s="68" t="s">
        <v>359</v>
      </c>
      <c r="H301" s="291">
        <f>M301-I301</f>
        <v>5530.4246151341667</v>
      </c>
      <c r="I301" s="291">
        <f>(Supuestos!$C$40-SUM($H$284:H300))*Supuestos!$F$40</f>
        <v>625.35115022900516</v>
      </c>
      <c r="J301" s="291">
        <v>0</v>
      </c>
      <c r="K301" s="291">
        <v>0</v>
      </c>
      <c r="L301" s="291">
        <v>0</v>
      </c>
      <c r="M301" s="291">
        <f>Supuestos!$G$40</f>
        <v>6155.7757653631716</v>
      </c>
      <c r="N301" s="292">
        <f>SUM(J301:L301)</f>
        <v>0</v>
      </c>
    </row>
    <row r="302" spans="1:14" ht="13.8" x14ac:dyDescent="0.3">
      <c r="A302" s="68" t="str">
        <f>Supuestos!$A$40</f>
        <v>INVERSION 2030</v>
      </c>
      <c r="B302" s="68" t="s">
        <v>452</v>
      </c>
      <c r="C302" s="68" t="str">
        <f>Supuestos!$B$40</f>
        <v>MP</v>
      </c>
      <c r="D302" s="73">
        <f>EDATE(Supuestos!$H$40,F302-1)</f>
        <v>48030</v>
      </c>
      <c r="E302" s="159">
        <f>DATE(YEAR(D302),MONTH(D302),1)</f>
        <v>48030</v>
      </c>
      <c r="F302" s="68">
        <v>19</v>
      </c>
      <c r="G302" s="68" t="s">
        <v>359</v>
      </c>
      <c r="H302" s="291">
        <f>M302-I302</f>
        <v>5561.6944399622198</v>
      </c>
      <c r="I302" s="291">
        <f>(Supuestos!$C$40-SUM($H$284:H301))*Supuestos!$F$40</f>
        <v>594.08132540095164</v>
      </c>
      <c r="J302" s="291">
        <v>0</v>
      </c>
      <c r="K302" s="291">
        <v>0</v>
      </c>
      <c r="L302" s="291">
        <v>0</v>
      </c>
      <c r="M302" s="291">
        <f>Supuestos!$G$40</f>
        <v>6155.7757653631716</v>
      </c>
      <c r="N302" s="292">
        <f>SUM(J302:L302)</f>
        <v>0</v>
      </c>
    </row>
    <row r="303" spans="1:14" ht="13.8" x14ac:dyDescent="0.3">
      <c r="A303" s="68" t="str">
        <f>Supuestos!$A$40</f>
        <v>INVERSION 2030</v>
      </c>
      <c r="B303" s="68" t="s">
        <v>452</v>
      </c>
      <c r="C303" s="68" t="str">
        <f>Supuestos!$B$40</f>
        <v>MP</v>
      </c>
      <c r="D303" s="73">
        <f>EDATE(Supuestos!$H$40,F303-1)</f>
        <v>48061</v>
      </c>
      <c r="E303" s="159">
        <f>DATE(YEAR(D303),MONTH(D303),1)</f>
        <v>48061</v>
      </c>
      <c r="F303" s="68">
        <v>20</v>
      </c>
      <c r="G303" s="68" t="s">
        <v>359</v>
      </c>
      <c r="H303" s="291">
        <f>M303-I303</f>
        <v>5593.1410689260902</v>
      </c>
      <c r="I303" s="291">
        <f>(Supuestos!$C$40-SUM($H$284:H302))*Supuestos!$F$40</f>
        <v>562.63469643708174</v>
      </c>
      <c r="J303" s="291">
        <v>0</v>
      </c>
      <c r="K303" s="291">
        <v>0</v>
      </c>
      <c r="L303" s="291">
        <v>0</v>
      </c>
      <c r="M303" s="291">
        <f>Supuestos!$G$40</f>
        <v>6155.7757653631716</v>
      </c>
      <c r="N303" s="292">
        <f>SUM(J303:L303)</f>
        <v>0</v>
      </c>
    </row>
    <row r="304" spans="1:14" ht="13.8" x14ac:dyDescent="0.3">
      <c r="A304" s="68" t="str">
        <f>Supuestos!$A$40</f>
        <v>INVERSION 2030</v>
      </c>
      <c r="B304" s="68" t="s">
        <v>452</v>
      </c>
      <c r="C304" s="68" t="str">
        <f>Supuestos!$B$40</f>
        <v>MP</v>
      </c>
      <c r="D304" s="73">
        <f>EDATE(Supuestos!$H$40,F304-1)</f>
        <v>48092</v>
      </c>
      <c r="E304" s="159">
        <f>DATE(YEAR(D304),MONTH(D304),1)</f>
        <v>48092</v>
      </c>
      <c r="F304" s="68">
        <v>21</v>
      </c>
      <c r="G304" s="68" t="s">
        <v>359</v>
      </c>
      <c r="H304" s="291">
        <f>M304-I304</f>
        <v>5624.7655017020652</v>
      </c>
      <c r="I304" s="291">
        <f>(Supuestos!$C$40-SUM($H$284:H303))*Supuestos!$F$40</f>
        <v>531.01026366110625</v>
      </c>
      <c r="J304" s="291">
        <v>0</v>
      </c>
      <c r="K304" s="291">
        <v>0</v>
      </c>
      <c r="L304" s="291">
        <v>0</v>
      </c>
      <c r="M304" s="291">
        <f>Supuestos!$G$40</f>
        <v>6155.7757653631716</v>
      </c>
      <c r="N304" s="292">
        <f>SUM(J304:L304)</f>
        <v>0</v>
      </c>
    </row>
    <row r="305" spans="1:14" ht="13.8" x14ac:dyDescent="0.3">
      <c r="A305" s="68" t="str">
        <f>Supuestos!$A$40</f>
        <v>INVERSION 2030</v>
      </c>
      <c r="B305" s="68" t="s">
        <v>452</v>
      </c>
      <c r="C305" s="68" t="str">
        <f>Supuestos!$B$40</f>
        <v>MP</v>
      </c>
      <c r="D305" s="73">
        <f>EDATE(Supuestos!$H$40,F305-1)</f>
        <v>48122</v>
      </c>
      <c r="E305" s="159">
        <f>DATE(YEAR(D305),MONTH(D305),1)</f>
        <v>48122</v>
      </c>
      <c r="F305" s="68">
        <v>22</v>
      </c>
      <c r="G305" s="68" t="s">
        <v>359</v>
      </c>
      <c r="H305" s="291">
        <f>M305-I305</f>
        <v>5656.56874361875</v>
      </c>
      <c r="I305" s="291">
        <f>(Supuestos!$C$40-SUM($H$284:H304))*Supuestos!$F$40</f>
        <v>499.2070217444213</v>
      </c>
      <c r="J305" s="291">
        <v>0</v>
      </c>
      <c r="K305" s="291">
        <v>0</v>
      </c>
      <c r="L305" s="291">
        <v>0</v>
      </c>
      <c r="M305" s="291">
        <f>Supuestos!$G$40</f>
        <v>6155.7757653631716</v>
      </c>
      <c r="N305" s="292">
        <f>SUM(J305:L305)</f>
        <v>0</v>
      </c>
    </row>
    <row r="306" spans="1:14" ht="13.8" x14ac:dyDescent="0.3">
      <c r="A306" s="68" t="str">
        <f>Supuestos!$A$40</f>
        <v>INVERSION 2030</v>
      </c>
      <c r="B306" s="68" t="s">
        <v>452</v>
      </c>
      <c r="C306" s="68" t="str">
        <f>Supuestos!$B$40</f>
        <v>MP</v>
      </c>
      <c r="D306" s="73">
        <f>EDATE(Supuestos!$H$40,F306-1)</f>
        <v>48153</v>
      </c>
      <c r="E306" s="159">
        <f>DATE(YEAR(D306),MONTH(D306),1)</f>
        <v>48153</v>
      </c>
      <c r="F306" s="68">
        <v>23</v>
      </c>
      <c r="G306" s="68" t="s">
        <v>359</v>
      </c>
      <c r="H306" s="291">
        <f>M306-I306</f>
        <v>5688.5518056890232</v>
      </c>
      <c r="I306" s="291">
        <f>(Supuestos!$C$40-SUM($H$284:H305))*Supuestos!$F$40</f>
        <v>467.22395967414849</v>
      </c>
      <c r="J306" s="291">
        <v>0</v>
      </c>
      <c r="K306" s="291">
        <v>0</v>
      </c>
      <c r="L306" s="291">
        <v>0</v>
      </c>
      <c r="M306" s="291">
        <f>Supuestos!$G$40</f>
        <v>6155.7757653631716</v>
      </c>
      <c r="N306" s="292">
        <f>SUM(J306:L306)</f>
        <v>0</v>
      </c>
    </row>
    <row r="307" spans="1:14" ht="13.8" x14ac:dyDescent="0.3">
      <c r="A307" s="68" t="str">
        <f>Supuestos!$A$40</f>
        <v>INVERSION 2030</v>
      </c>
      <c r="B307" s="68" t="s">
        <v>452</v>
      </c>
      <c r="C307" s="68" t="str">
        <f>Supuestos!$B$40</f>
        <v>MP</v>
      </c>
      <c r="D307" s="73">
        <f>EDATE(Supuestos!$H$40,F307-1)</f>
        <v>48183</v>
      </c>
      <c r="E307" s="159">
        <f>DATE(YEAR(D307),MONTH(D307),1)</f>
        <v>48183</v>
      </c>
      <c r="F307" s="68">
        <v>24</v>
      </c>
      <c r="G307" s="68" t="s">
        <v>359</v>
      </c>
      <c r="H307" s="291">
        <f>M307-I307</f>
        <v>5720.7157046421753</v>
      </c>
      <c r="I307" s="291">
        <f>(Supuestos!$C$40-SUM($H$284:H306))*Supuestos!$F$40</f>
        <v>435.06006072099592</v>
      </c>
      <c r="J307" s="291">
        <v>0</v>
      </c>
      <c r="K307" s="291">
        <v>0</v>
      </c>
      <c r="L307" s="291">
        <v>0</v>
      </c>
      <c r="M307" s="291">
        <f>Supuestos!$G$40</f>
        <v>6155.7757653631716</v>
      </c>
      <c r="N307" s="292">
        <f>SUM(J307:L307)</f>
        <v>0</v>
      </c>
    </row>
    <row r="308" spans="1:14" ht="13.8" x14ac:dyDescent="0.3">
      <c r="A308" s="68" t="str">
        <f>Supuestos!$A$40</f>
        <v>INVERSION 2030</v>
      </c>
      <c r="B308" s="68" t="s">
        <v>452</v>
      </c>
      <c r="C308" s="68" t="str">
        <f>Supuestos!$B$40</f>
        <v>MP</v>
      </c>
      <c r="D308" s="73">
        <f>EDATE(Supuestos!$H$40,F308-1)</f>
        <v>48214</v>
      </c>
      <c r="E308" s="159">
        <f>DATE(YEAR(D308),MONTH(D308),1)</f>
        <v>48214</v>
      </c>
      <c r="F308" s="68">
        <v>25</v>
      </c>
      <c r="G308" s="68" t="s">
        <v>359</v>
      </c>
      <c r="H308" s="291">
        <f>M308-I308</f>
        <v>5753.0614629562351</v>
      </c>
      <c r="I308" s="291">
        <f>(Supuestos!$C$40-SUM($H$284:H307))*Supuestos!$F$40</f>
        <v>402.71430240693644</v>
      </c>
      <c r="J308" s="291">
        <v>0</v>
      </c>
      <c r="K308" s="291">
        <v>0</v>
      </c>
      <c r="L308" s="291">
        <v>0</v>
      </c>
      <c r="M308" s="291">
        <f>Supuestos!$G$40</f>
        <v>6155.7757653631716</v>
      </c>
      <c r="N308" s="292">
        <f>SUM(J308:L308)</f>
        <v>0</v>
      </c>
    </row>
    <row r="309" spans="1:14" ht="13.8" x14ac:dyDescent="0.3">
      <c r="A309" s="68" t="str">
        <f>Supuestos!$A$40</f>
        <v>INVERSION 2030</v>
      </c>
      <c r="B309" s="68" t="s">
        <v>452</v>
      </c>
      <c r="C309" s="68" t="str">
        <f>Supuestos!$B$40</f>
        <v>MP</v>
      </c>
      <c r="D309" s="73">
        <f>EDATE(Supuestos!$H$40,F309-1)</f>
        <v>48245</v>
      </c>
      <c r="E309" s="159">
        <f>DATE(YEAR(D309),MONTH(D309),1)</f>
        <v>48245</v>
      </c>
      <c r="F309" s="68">
        <v>26</v>
      </c>
      <c r="G309" s="68" t="s">
        <v>359</v>
      </c>
      <c r="H309" s="291">
        <f>M309-I309</f>
        <v>5785.5901088904684</v>
      </c>
      <c r="I309" s="291">
        <f>(Supuestos!$C$40-SUM($H$284:H308))*Supuestos!$F$40</f>
        <v>370.18565647270344</v>
      </c>
      <c r="J309" s="291">
        <v>0</v>
      </c>
      <c r="K309" s="291">
        <v>0</v>
      </c>
      <c r="L309" s="291">
        <v>0</v>
      </c>
      <c r="M309" s="291">
        <f>Supuestos!$G$40</f>
        <v>6155.7757653631716</v>
      </c>
      <c r="N309" s="292">
        <f>SUM(J309:L309)</f>
        <v>0</v>
      </c>
    </row>
    <row r="310" spans="1:14" ht="13.8" x14ac:dyDescent="0.3">
      <c r="A310" s="68" t="str">
        <f>Supuestos!$A$40</f>
        <v>INVERSION 2030</v>
      </c>
      <c r="B310" s="68" t="s">
        <v>452</v>
      </c>
      <c r="C310" s="68" t="str">
        <f>Supuestos!$B$40</f>
        <v>MP</v>
      </c>
      <c r="D310" s="73">
        <f>EDATE(Supuestos!$H$40,F310-1)</f>
        <v>48274</v>
      </c>
      <c r="E310" s="159">
        <f>DATE(YEAR(D310),MONTH(D310),1)</f>
        <v>48274</v>
      </c>
      <c r="F310" s="68">
        <v>27</v>
      </c>
      <c r="G310" s="68" t="s">
        <v>359</v>
      </c>
      <c r="H310" s="291">
        <f>M310-I310</f>
        <v>5818.3026765180684</v>
      </c>
      <c r="I310" s="291">
        <f>(Supuestos!$C$40-SUM($H$284:H309))*Supuestos!$F$40</f>
        <v>337.47308884510284</v>
      </c>
      <c r="J310" s="291">
        <v>0</v>
      </c>
      <c r="K310" s="291">
        <v>0</v>
      </c>
      <c r="L310" s="291">
        <v>0</v>
      </c>
      <c r="M310" s="291">
        <f>Supuestos!$G$40</f>
        <v>6155.7757653631716</v>
      </c>
      <c r="N310" s="292">
        <f>SUM(J310:L310)</f>
        <v>0</v>
      </c>
    </row>
    <row r="311" spans="1:14" ht="13.8" x14ac:dyDescent="0.3">
      <c r="A311" s="68" t="str">
        <f>Supuestos!$A$40</f>
        <v>INVERSION 2030</v>
      </c>
      <c r="B311" s="68" t="s">
        <v>452</v>
      </c>
      <c r="C311" s="68" t="str">
        <f>Supuestos!$B$40</f>
        <v>MP</v>
      </c>
      <c r="D311" s="73">
        <f>EDATE(Supuestos!$H$40,F311-1)</f>
        <v>48305</v>
      </c>
      <c r="E311" s="159">
        <f>DATE(YEAR(D311),MONTH(D311),1)</f>
        <v>48305</v>
      </c>
      <c r="F311" s="68">
        <v>28</v>
      </c>
      <c r="G311" s="68" t="s">
        <v>359</v>
      </c>
      <c r="H311" s="291">
        <f>M311-I311</f>
        <v>5851.2002057590307</v>
      </c>
      <c r="I311" s="291">
        <f>(Supuestos!$C$40-SUM($H$284:H310))*Supuestos!$F$40</f>
        <v>304.57555960414044</v>
      </c>
      <c r="J311" s="291">
        <v>0</v>
      </c>
      <c r="K311" s="291">
        <v>0</v>
      </c>
      <c r="L311" s="291">
        <v>0</v>
      </c>
      <c r="M311" s="291">
        <f>Supuestos!$G$40</f>
        <v>6155.7757653631716</v>
      </c>
      <c r="N311" s="292">
        <f>SUM(J311:L311)</f>
        <v>0</v>
      </c>
    </row>
    <row r="312" spans="1:14" ht="13.8" x14ac:dyDescent="0.3">
      <c r="A312" s="68" t="str">
        <f>Supuestos!$A$40</f>
        <v>INVERSION 2030</v>
      </c>
      <c r="B312" s="68" t="s">
        <v>452</v>
      </c>
      <c r="C312" s="68" t="str">
        <f>Supuestos!$B$40</f>
        <v>MP</v>
      </c>
      <c r="D312" s="73">
        <f>EDATE(Supuestos!$H$40,F312-1)</f>
        <v>48335</v>
      </c>
      <c r="E312" s="159">
        <f>DATE(YEAR(D312),MONTH(D312),1)</f>
        <v>48335</v>
      </c>
      <c r="F312" s="68">
        <v>29</v>
      </c>
      <c r="G312" s="68" t="s">
        <v>359</v>
      </c>
      <c r="H312" s="291">
        <f>M312-I312</f>
        <v>5884.2837424132085</v>
      </c>
      <c r="I312" s="291">
        <f>(Supuestos!$C$40-SUM($H$284:H311))*Supuestos!$F$40</f>
        <v>271.49202294996326</v>
      </c>
      <c r="J312" s="291">
        <v>0</v>
      </c>
      <c r="K312" s="291">
        <v>0</v>
      </c>
      <c r="L312" s="291">
        <v>0</v>
      </c>
      <c r="M312" s="291">
        <f>Supuestos!$G$40</f>
        <v>6155.7757653631716</v>
      </c>
      <c r="N312" s="292">
        <f>SUM(J312:L312)</f>
        <v>0</v>
      </c>
    </row>
    <row r="313" spans="1:14" ht="13.8" x14ac:dyDescent="0.3">
      <c r="A313" s="68" t="str">
        <f>Supuestos!$A$40</f>
        <v>INVERSION 2030</v>
      </c>
      <c r="B313" s="68" t="s">
        <v>452</v>
      </c>
      <c r="C313" s="68" t="str">
        <f>Supuestos!$B$40</f>
        <v>MP</v>
      </c>
      <c r="D313" s="73">
        <f>EDATE(Supuestos!$H$40,F313-1)</f>
        <v>48366</v>
      </c>
      <c r="E313" s="159">
        <f>DATE(YEAR(D313),MONTH(D313),1)</f>
        <v>48366</v>
      </c>
      <c r="F313" s="68">
        <v>30</v>
      </c>
      <c r="G313" s="68" t="s">
        <v>359</v>
      </c>
      <c r="H313" s="291">
        <f>M313-I313</f>
        <v>5917.5543381935577</v>
      </c>
      <c r="I313" s="291">
        <f>(Supuestos!$C$40-SUM($H$284:H312))*Supuestos!$F$40</f>
        <v>238.22142716961372</v>
      </c>
      <c r="J313" s="291">
        <v>0</v>
      </c>
      <c r="K313" s="291">
        <v>0</v>
      </c>
      <c r="L313" s="291">
        <v>0</v>
      </c>
      <c r="M313" s="291">
        <f>Supuestos!$G$40</f>
        <v>6155.7757653631716</v>
      </c>
      <c r="N313" s="292">
        <f>SUM(J313:L313)</f>
        <v>0</v>
      </c>
    </row>
    <row r="314" spans="1:14" ht="13.8" x14ac:dyDescent="0.3">
      <c r="A314" s="68" t="str">
        <f>Supuestos!$A$40</f>
        <v>INVERSION 2030</v>
      </c>
      <c r="B314" s="68" t="s">
        <v>452</v>
      </c>
      <c r="C314" s="68" t="str">
        <f>Supuestos!$B$40</f>
        <v>MP</v>
      </c>
      <c r="D314" s="73">
        <f>EDATE(Supuestos!$H$40,F314-1)</f>
        <v>48396</v>
      </c>
      <c r="E314" s="159">
        <f>DATE(YEAR(D314),MONTH(D314),1)</f>
        <v>48396</v>
      </c>
      <c r="F314" s="68">
        <v>31</v>
      </c>
      <c r="G314" s="68" t="s">
        <v>359</v>
      </c>
      <c r="H314" s="291">
        <f>M314-I314</f>
        <v>5951.013050759575</v>
      </c>
      <c r="I314" s="291">
        <f>(Supuestos!$C$40-SUM($H$284:H313))*Supuestos!$F$40</f>
        <v>204.76271460359655</v>
      </c>
      <c r="J314" s="291">
        <v>0</v>
      </c>
      <c r="K314" s="291">
        <v>0</v>
      </c>
      <c r="L314" s="291">
        <v>0</v>
      </c>
      <c r="M314" s="291">
        <f>Supuestos!$G$40</f>
        <v>6155.7757653631716</v>
      </c>
      <c r="N314" s="292">
        <f>SUM(J314:L314)</f>
        <v>0</v>
      </c>
    </row>
    <row r="315" spans="1:14" ht="13.8" x14ac:dyDescent="0.3">
      <c r="A315" s="68" t="str">
        <f>Supuestos!$A$40</f>
        <v>INVERSION 2030</v>
      </c>
      <c r="B315" s="68" t="s">
        <v>452</v>
      </c>
      <c r="C315" s="68" t="str">
        <f>Supuestos!$B$40</f>
        <v>MP</v>
      </c>
      <c r="D315" s="73">
        <f>EDATE(Supuestos!$H$40,F315-1)</f>
        <v>48427</v>
      </c>
      <c r="E315" s="159">
        <f>DATE(YEAR(D315),MONTH(D315),1)</f>
        <v>48427</v>
      </c>
      <c r="F315" s="68">
        <v>32</v>
      </c>
      <c r="G315" s="68" t="s">
        <v>359</v>
      </c>
      <c r="H315" s="291">
        <f>M315-I315</f>
        <v>5984.660943750916</v>
      </c>
      <c r="I315" s="291">
        <f>(Supuestos!$C$40-SUM($H$284:H314))*Supuestos!$F$40</f>
        <v>171.11482161225578</v>
      </c>
      <c r="J315" s="291">
        <v>0</v>
      </c>
      <c r="K315" s="291">
        <v>0</v>
      </c>
      <c r="L315" s="291">
        <v>0</v>
      </c>
      <c r="M315" s="291">
        <f>Supuestos!$G$40</f>
        <v>6155.7757653631716</v>
      </c>
      <c r="N315" s="292">
        <f>SUM(J315:L315)</f>
        <v>0</v>
      </c>
    </row>
    <row r="316" spans="1:14" ht="13.8" x14ac:dyDescent="0.3">
      <c r="A316" s="68" t="str">
        <f>Supuestos!$A$40</f>
        <v>INVERSION 2030</v>
      </c>
      <c r="B316" s="68" t="s">
        <v>452</v>
      </c>
      <c r="C316" s="68" t="str">
        <f>Supuestos!$B$40</f>
        <v>MP</v>
      </c>
      <c r="D316" s="73">
        <f>EDATE(Supuestos!$H$40,F316-1)</f>
        <v>48458</v>
      </c>
      <c r="E316" s="159">
        <f>DATE(YEAR(D316),MONTH(D316),1)</f>
        <v>48458</v>
      </c>
      <c r="F316" s="68">
        <v>33</v>
      </c>
      <c r="G316" s="68" t="s">
        <v>359</v>
      </c>
      <c r="H316" s="291">
        <f>M316-I316</f>
        <v>6018.4990868212099</v>
      </c>
      <c r="I316" s="291">
        <f>(Supuestos!$C$40-SUM($H$284:H315))*Supuestos!$F$40</f>
        <v>137.27667854196213</v>
      </c>
      <c r="J316" s="291">
        <v>0</v>
      </c>
      <c r="K316" s="291">
        <v>0</v>
      </c>
      <c r="L316" s="291">
        <v>0</v>
      </c>
      <c r="M316" s="291">
        <f>Supuestos!$G$40</f>
        <v>6155.7757653631716</v>
      </c>
      <c r="N316" s="292">
        <f>SUM(J316:L316)</f>
        <v>0</v>
      </c>
    </row>
    <row r="317" spans="1:14" ht="13.8" x14ac:dyDescent="0.3">
      <c r="A317" s="68" t="str">
        <f>Supuestos!$A$40</f>
        <v>INVERSION 2030</v>
      </c>
      <c r="B317" s="68" t="s">
        <v>452</v>
      </c>
      <c r="C317" s="68" t="str">
        <f>Supuestos!$B$40</f>
        <v>MP</v>
      </c>
      <c r="D317" s="73">
        <f>EDATE(Supuestos!$H$40,F317-1)</f>
        <v>48488</v>
      </c>
      <c r="E317" s="159">
        <f>DATE(YEAR(D317),MONTH(D317),1)</f>
        <v>48488</v>
      </c>
      <c r="F317" s="68">
        <v>34</v>
      </c>
      <c r="G317" s="68" t="s">
        <v>359</v>
      </c>
      <c r="H317" s="291">
        <f>M317-I317</f>
        <v>6052.5285556720628</v>
      </c>
      <c r="I317" s="291">
        <f>(Supuestos!$C$40-SUM($H$284:H316))*Supuestos!$F$40</f>
        <v>103.24720969110908</v>
      </c>
      <c r="J317" s="291">
        <v>0</v>
      </c>
      <c r="K317" s="291">
        <v>0</v>
      </c>
      <c r="L317" s="291">
        <v>0</v>
      </c>
      <c r="M317" s="291">
        <f>Supuestos!$G$40</f>
        <v>6155.7757653631716</v>
      </c>
      <c r="N317" s="292">
        <f>SUM(J317:L317)</f>
        <v>0</v>
      </c>
    </row>
    <row r="318" spans="1:14" ht="13.8" x14ac:dyDescent="0.3">
      <c r="A318" s="68" t="str">
        <f>Supuestos!$A$40</f>
        <v>INVERSION 2030</v>
      </c>
      <c r="B318" s="68" t="s">
        <v>452</v>
      </c>
      <c r="C318" s="68" t="str">
        <f>Supuestos!$B$40</f>
        <v>MP</v>
      </c>
      <c r="D318" s="73">
        <f>EDATE(Supuestos!$H$40,F318-1)</f>
        <v>48519</v>
      </c>
      <c r="E318" s="159">
        <f>DATE(YEAR(D318),MONTH(D318),1)</f>
        <v>48519</v>
      </c>
      <c r="F318" s="68">
        <v>35</v>
      </c>
      <c r="G318" s="68" t="s">
        <v>359</v>
      </c>
      <c r="H318" s="291">
        <f>M318-I318</f>
        <v>6086.750432087254</v>
      </c>
      <c r="I318" s="291">
        <f>(Supuestos!$C$40-SUM($H$284:H317))*Supuestos!$F$40</f>
        <v>69.025333275917177</v>
      </c>
      <c r="J318" s="291">
        <v>0</v>
      </c>
      <c r="K318" s="291">
        <v>0</v>
      </c>
      <c r="L318" s="291">
        <v>0</v>
      </c>
      <c r="M318" s="291">
        <f>Supuestos!$G$40</f>
        <v>6155.7757653631716</v>
      </c>
      <c r="N318" s="292">
        <f>SUM(J318:L318)</f>
        <v>0</v>
      </c>
    </row>
    <row r="319" spans="1:14" ht="13.8" x14ac:dyDescent="0.3">
      <c r="A319" s="68" t="str">
        <f>Supuestos!$A$40</f>
        <v>INVERSION 2030</v>
      </c>
      <c r="B319" s="68" t="s">
        <v>452</v>
      </c>
      <c r="C319" s="68" t="str">
        <f>Supuestos!$B$40</f>
        <v>MP</v>
      </c>
      <c r="D319" s="73">
        <f>EDATE(Supuestos!$H$40,F319-1)</f>
        <v>48549</v>
      </c>
      <c r="E319" s="159">
        <f>DATE(YEAR(D319),MONTH(D319),1)</f>
        <v>48549</v>
      </c>
      <c r="F319" s="68">
        <v>36</v>
      </c>
      <c r="G319" s="68" t="s">
        <v>359</v>
      </c>
      <c r="H319" s="291">
        <f>M319-I319</f>
        <v>6121.1658039671274</v>
      </c>
      <c r="I319" s="291">
        <f>(Supuestos!$C$40-SUM($H$284:H318))*Supuestos!$F$40</f>
        <v>34.609961396043978</v>
      </c>
      <c r="J319" s="291">
        <v>0</v>
      </c>
      <c r="K319" s="291">
        <v>0</v>
      </c>
      <c r="L319" s="291">
        <v>0</v>
      </c>
      <c r="M319" s="291">
        <f>Supuestos!$G$40</f>
        <v>6155.7757653631716</v>
      </c>
      <c r="N319" s="292">
        <f>SUM(J319:L319)</f>
        <v>0</v>
      </c>
    </row>
    <row r="320" spans="1:14" ht="13.8" x14ac:dyDescent="0.3">
      <c r="A320" s="18" t="s">
        <v>360</v>
      </c>
      <c r="B320" s="19"/>
      <c r="C320" s="19"/>
      <c r="D320" s="19"/>
      <c r="E320" s="19"/>
      <c r="F320" s="19"/>
      <c r="G320" s="19"/>
      <c r="H320" s="293">
        <f>SUM(H284:H319)</f>
        <v>199999.99999999994</v>
      </c>
      <c r="I320" s="293">
        <f>SUM(I284:I319)</f>
        <v>21607.92755307422</v>
      </c>
      <c r="J320" s="293">
        <f>SUM(J284:J319)</f>
        <v>0</v>
      </c>
      <c r="K320" s="293">
        <f>SUM(K284:K319)</f>
        <v>0</v>
      </c>
      <c r="L320" s="293">
        <f>SUM(L284:L319)</f>
        <v>0</v>
      </c>
      <c r="M320" s="293">
        <f>SUM(M284:M319)</f>
        <v>221607.92755307438</v>
      </c>
      <c r="N320" s="293">
        <f>SUM(N284:N319)</f>
        <v>0</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A6A6"/>
  </sheetPr>
  <dimension ref="A1:BB41"/>
  <sheetViews>
    <sheetView showGridLines="0" zoomScale="83" zoomScaleNormal="83" workbookViewId="0">
      <selection activeCell="F30" sqref="F30"/>
    </sheetView>
  </sheetViews>
  <sheetFormatPr baseColWidth="10" defaultColWidth="11.5546875" defaultRowHeight="13.8" outlineLevelRow="1" outlineLevelCol="1" x14ac:dyDescent="0.25"/>
  <cols>
    <col min="1" max="1" width="30.44140625" style="78" customWidth="1"/>
    <col min="2" max="7" width="7.109375" style="78" customWidth="1" outlineLevel="1"/>
    <col min="8" max="8" width="9.21875" style="78" customWidth="1" outlineLevel="1"/>
    <col min="9" max="18" width="7.109375" style="78" customWidth="1" outlineLevel="1"/>
    <col min="19" max="54" width="7.109375" style="78" customWidth="1"/>
    <col min="55" max="16384" width="11.5546875" style="78"/>
  </cols>
  <sheetData>
    <row r="1" spans="1:29" ht="14.25" customHeight="1" outlineLevel="1" x14ac:dyDescent="0.25">
      <c r="F1" s="186"/>
    </row>
    <row r="2" spans="1:29" ht="14.25" customHeight="1" outlineLevel="1" x14ac:dyDescent="0.25">
      <c r="A2" s="187" t="s">
        <v>384</v>
      </c>
      <c r="B2" s="188"/>
      <c r="C2" s="187" t="s">
        <v>385</v>
      </c>
      <c r="D2" s="187">
        <v>100</v>
      </c>
      <c r="H2" s="189" t="s">
        <v>140</v>
      </c>
      <c r="I2" s="189" t="s">
        <v>386</v>
      </c>
      <c r="X2" s="190"/>
      <c r="Y2" s="190"/>
      <c r="Z2" s="190"/>
      <c r="AA2" s="190"/>
      <c r="AB2" s="190"/>
      <c r="AC2" s="190"/>
    </row>
    <row r="3" spans="1:29" ht="14.25" customHeight="1" outlineLevel="1" x14ac:dyDescent="0.25">
      <c r="A3" s="191" t="s">
        <v>387</v>
      </c>
      <c r="B3" s="191"/>
      <c r="C3" s="192">
        <v>0.55000000000000004</v>
      </c>
      <c r="D3" s="191">
        <f>D2*C3</f>
        <v>55.000000000000007</v>
      </c>
      <c r="H3" s="193" t="s">
        <v>388</v>
      </c>
      <c r="I3" s="194">
        <v>12462.31609</v>
      </c>
      <c r="X3" s="195"/>
      <c r="Y3" s="196"/>
      <c r="Z3" s="196"/>
      <c r="AA3" s="196"/>
      <c r="AB3" s="196"/>
      <c r="AC3" s="197"/>
    </row>
    <row r="4" spans="1:29" ht="14.25" customHeight="1" outlineLevel="1" x14ac:dyDescent="0.25">
      <c r="A4" s="198" t="s">
        <v>175</v>
      </c>
      <c r="B4" s="198"/>
      <c r="C4" s="199">
        <v>0.45</v>
      </c>
      <c r="D4" s="198">
        <f>C4*D2</f>
        <v>45</v>
      </c>
      <c r="H4" s="193" t="s">
        <v>389</v>
      </c>
      <c r="I4" s="194">
        <v>10499.20702</v>
      </c>
      <c r="X4" s="195"/>
      <c r="Y4" s="196"/>
      <c r="Z4" s="196"/>
      <c r="AA4" s="196"/>
      <c r="AB4" s="196"/>
      <c r="AC4" s="197"/>
    </row>
    <row r="5" spans="1:29" ht="14.25" customHeight="1" outlineLevel="1" x14ac:dyDescent="0.25">
      <c r="B5" s="200"/>
      <c r="H5" s="193" t="s">
        <v>390</v>
      </c>
      <c r="I5" s="194">
        <v>11314.83257</v>
      </c>
      <c r="X5" s="195"/>
      <c r="Y5" s="196"/>
      <c r="Z5" s="196"/>
      <c r="AA5" s="196"/>
      <c r="AB5" s="196"/>
      <c r="AC5" s="197"/>
    </row>
    <row r="6" spans="1:29" ht="14.25" customHeight="1" outlineLevel="1" x14ac:dyDescent="0.25">
      <c r="A6" s="201" t="s">
        <v>391</v>
      </c>
      <c r="B6" s="202" t="s">
        <v>392</v>
      </c>
      <c r="C6" s="202" t="s">
        <v>393</v>
      </c>
      <c r="D6" s="202"/>
      <c r="H6" s="193" t="s">
        <v>394</v>
      </c>
      <c r="I6" s="194">
        <v>10945.825150000001</v>
      </c>
      <c r="X6" s="195"/>
      <c r="Y6" s="196"/>
      <c r="Z6" s="196"/>
      <c r="AA6" s="196"/>
      <c r="AB6" s="196"/>
      <c r="AC6" s="197"/>
    </row>
    <row r="7" spans="1:29" ht="14.25" customHeight="1" outlineLevel="1" x14ac:dyDescent="0.25">
      <c r="A7" s="193" t="s">
        <v>395</v>
      </c>
      <c r="B7" s="203">
        <v>0.7</v>
      </c>
      <c r="C7" s="203">
        <v>0.3</v>
      </c>
      <c r="D7" s="203"/>
      <c r="H7" s="193" t="s">
        <v>396</v>
      </c>
      <c r="I7" s="194">
        <v>12393.37412</v>
      </c>
      <c r="X7" s="195"/>
      <c r="Y7" s="196"/>
      <c r="Z7" s="196"/>
      <c r="AA7" s="196"/>
      <c r="AB7" s="196"/>
      <c r="AC7" s="197"/>
    </row>
    <row r="8" spans="1:29" ht="14.25" customHeight="1" outlineLevel="1" x14ac:dyDescent="0.25">
      <c r="B8" s="204"/>
      <c r="C8" s="204"/>
      <c r="H8" s="193" t="s">
        <v>397</v>
      </c>
      <c r="I8" s="194">
        <v>9631.5746500000005</v>
      </c>
      <c r="X8" s="195"/>
      <c r="Y8" s="196"/>
      <c r="Z8" s="196"/>
      <c r="AA8" s="196"/>
      <c r="AB8" s="196"/>
      <c r="AC8" s="197"/>
    </row>
    <row r="9" spans="1:29" ht="14.25" customHeight="1" outlineLevel="1" x14ac:dyDescent="0.25">
      <c r="A9" s="187" t="s">
        <v>185</v>
      </c>
      <c r="B9" s="188"/>
      <c r="C9" s="187"/>
      <c r="D9" s="187"/>
      <c r="H9" s="193" t="s">
        <v>398</v>
      </c>
      <c r="I9" s="194">
        <v>12526.859666099501</v>
      </c>
      <c r="X9" s="190"/>
      <c r="Y9" s="197"/>
      <c r="Z9" s="197"/>
      <c r="AA9" s="197"/>
      <c r="AB9" s="197"/>
      <c r="AC9" s="197"/>
    </row>
    <row r="10" spans="1:29" ht="14.25" customHeight="1" outlineLevel="1" x14ac:dyDescent="0.25">
      <c r="A10" s="191" t="s">
        <v>190</v>
      </c>
      <c r="B10" s="205">
        <v>0.46</v>
      </c>
      <c r="C10" s="206">
        <f>D10/D2</f>
        <v>0.20699999999999999</v>
      </c>
      <c r="D10" s="191">
        <f>B10*D4</f>
        <v>20.7</v>
      </c>
      <c r="H10" s="193" t="s">
        <v>399</v>
      </c>
      <c r="I10" s="194">
        <f>11945.8745784745+750</f>
        <v>12695.874578474501</v>
      </c>
    </row>
    <row r="11" spans="1:29" ht="14.25" customHeight="1" outlineLevel="1" x14ac:dyDescent="0.25">
      <c r="A11" s="198" t="s">
        <v>192</v>
      </c>
      <c r="B11" s="207">
        <v>0.54</v>
      </c>
      <c r="C11" s="208">
        <f>D11/D2</f>
        <v>0.24299999999999999</v>
      </c>
      <c r="D11" s="198">
        <f>B11*D4</f>
        <v>24.3</v>
      </c>
      <c r="H11" s="193" t="s">
        <v>400</v>
      </c>
      <c r="I11" s="209">
        <v>12678.4534174738</v>
      </c>
      <c r="T11" s="196"/>
    </row>
    <row r="12" spans="1:29" ht="14.25" customHeight="1" outlineLevel="1" x14ac:dyDescent="0.25">
      <c r="H12" s="193" t="s">
        <v>401</v>
      </c>
      <c r="I12" s="209">
        <v>13019.536307349499</v>
      </c>
      <c r="K12" s="78" t="s">
        <v>402</v>
      </c>
      <c r="L12" s="78" t="s">
        <v>403</v>
      </c>
      <c r="M12" s="78" t="s">
        <v>404</v>
      </c>
      <c r="N12" s="78" t="s">
        <v>405</v>
      </c>
      <c r="O12" s="78" t="s">
        <v>406</v>
      </c>
      <c r="T12" s="196"/>
    </row>
    <row r="13" spans="1:29" ht="14.25" customHeight="1" outlineLevel="1" x14ac:dyDescent="0.25">
      <c r="A13" s="201" t="s">
        <v>407</v>
      </c>
      <c r="B13" s="202" t="s">
        <v>392</v>
      </c>
      <c r="C13" s="202" t="s">
        <v>393</v>
      </c>
      <c r="D13" s="202" t="s">
        <v>408</v>
      </c>
      <c r="E13" s="202" t="s">
        <v>409</v>
      </c>
      <c r="F13" s="202" t="s">
        <v>410</v>
      </c>
      <c r="H13" s="193" t="s">
        <v>411</v>
      </c>
      <c r="I13" s="209">
        <v>12209.2039886485</v>
      </c>
      <c r="K13" s="196">
        <v>8544.7890359229295</v>
      </c>
      <c r="L13" s="196">
        <v>12975.0061052076</v>
      </c>
      <c r="M13" s="196">
        <v>13937.711824137899</v>
      </c>
      <c r="N13" s="196">
        <v>23330.1750352169</v>
      </c>
      <c r="P13" s="197">
        <f>SUM(K13:O13)</f>
        <v>58787.682000485336</v>
      </c>
      <c r="R13" s="200"/>
      <c r="T13" s="196"/>
    </row>
    <row r="14" spans="1:29" ht="14.25" customHeight="1" outlineLevel="1" x14ac:dyDescent="0.25">
      <c r="A14" s="193" t="s">
        <v>379</v>
      </c>
      <c r="B14" s="210">
        <f>K13/$P$13</f>
        <v>0.14534999076596328</v>
      </c>
      <c r="C14" s="210">
        <f>L13/$P$13</f>
        <v>0.22070960554458469</v>
      </c>
      <c r="D14" s="210">
        <f>M13/$P$13</f>
        <v>0.23708558238480695</v>
      </c>
      <c r="E14" s="210">
        <f>N13/$P$13</f>
        <v>0.39685482130464494</v>
      </c>
      <c r="F14" s="210"/>
      <c r="H14" s="193" t="s">
        <v>412</v>
      </c>
      <c r="I14" s="209">
        <v>6641.4290850668904</v>
      </c>
      <c r="K14" s="196">
        <v>2904.9679153185898</v>
      </c>
      <c r="L14" s="196">
        <v>5957.9953967703204</v>
      </c>
      <c r="M14" s="196">
        <v>6138.7815967711804</v>
      </c>
      <c r="N14" s="196">
        <v>8805.2172136805802</v>
      </c>
      <c r="O14" s="196">
        <v>10846.6225713898</v>
      </c>
      <c r="P14" s="197">
        <f>SUM(K14:O14)</f>
        <v>34653.584693930476</v>
      </c>
      <c r="T14" s="196"/>
    </row>
    <row r="15" spans="1:29" ht="14.25" customHeight="1" outlineLevel="1" x14ac:dyDescent="0.25">
      <c r="A15" s="193" t="s">
        <v>379</v>
      </c>
      <c r="B15" s="210">
        <f>K14/$P$14</f>
        <v>8.3828785419344812E-2</v>
      </c>
      <c r="C15" s="210">
        <f>L14/$P$14</f>
        <v>0.17193013217515285</v>
      </c>
      <c r="D15" s="210">
        <f>M14/$P$14</f>
        <v>0.1771470874078542</v>
      </c>
      <c r="E15" s="210">
        <f>N14/$P$14</f>
        <v>0.25409253592234576</v>
      </c>
      <c r="F15" s="210">
        <f>O14/$P$14</f>
        <v>0.31300145907530225</v>
      </c>
      <c r="I15" s="211"/>
      <c r="L15" s="196"/>
      <c r="T15" s="196"/>
    </row>
    <row r="16" spans="1:29" ht="14.25" customHeight="1" outlineLevel="1" x14ac:dyDescent="0.25">
      <c r="K16" s="212"/>
      <c r="L16" s="212"/>
      <c r="M16" s="212"/>
      <c r="N16" s="212"/>
      <c r="O16" s="212"/>
      <c r="T16" s="196"/>
    </row>
    <row r="17" spans="1:54" ht="14.25" customHeight="1" outlineLevel="1" x14ac:dyDescent="0.25">
      <c r="A17" s="187" t="s">
        <v>179</v>
      </c>
      <c r="B17" s="213" t="s">
        <v>180</v>
      </c>
      <c r="C17" s="213" t="s">
        <v>181</v>
      </c>
      <c r="D17" s="213" t="s">
        <v>182</v>
      </c>
      <c r="K17" s="212"/>
      <c r="L17" s="212"/>
      <c r="M17" s="212"/>
      <c r="N17" s="212"/>
      <c r="O17" s="212"/>
      <c r="T17" s="196"/>
    </row>
    <row r="18" spans="1:54" ht="14.25" customHeight="1" outlineLevel="1" x14ac:dyDescent="0.25">
      <c r="A18" s="198" t="s">
        <v>413</v>
      </c>
      <c r="B18" s="207">
        <v>0.2</v>
      </c>
      <c r="C18" s="207">
        <v>0.5</v>
      </c>
      <c r="D18" s="207">
        <v>0.3</v>
      </c>
      <c r="F18" s="212"/>
      <c r="G18" s="212"/>
      <c r="H18" s="212"/>
      <c r="T18" s="197"/>
    </row>
    <row r="19" spans="1:54" ht="14.25" customHeight="1" outlineLevel="1" x14ac:dyDescent="0.25">
      <c r="T19" s="196"/>
    </row>
    <row r="20" spans="1:54" ht="14.25" customHeight="1" x14ac:dyDescent="0.25">
      <c r="B20" s="214">
        <f>B24/SUM($B$24:$E$24)</f>
        <v>0.16200106510732126</v>
      </c>
      <c r="C20" s="214">
        <f>C24/SUM($B$24:$E$24)</f>
        <v>0.30143748027246903</v>
      </c>
      <c r="D20" s="214">
        <f>D24/SUM($B$24:$E$24)</f>
        <v>0.15428662049837788</v>
      </c>
      <c r="E20" s="214">
        <f>E24/SUM($B$24:$E$24)</f>
        <v>0.38227483412183177</v>
      </c>
      <c r="F20" s="214">
        <f>F24/SUM($F$24:$I$24)</f>
        <v>0.11960584995316498</v>
      </c>
      <c r="G20" s="214">
        <f>G24/SUM($F$24:$I$24)</f>
        <v>0.18350904168952142</v>
      </c>
      <c r="H20" s="214">
        <f>H24/SUM($F$24:$I$24)</f>
        <v>0.23480129361778906</v>
      </c>
      <c r="I20" s="214">
        <f>I24/SUM($F$24:$I$24)</f>
        <v>0.46208381473952448</v>
      </c>
      <c r="J20" s="214">
        <f>J24/SUM($J$24:$N$24)</f>
        <v>9.5870814349452799E-2</v>
      </c>
      <c r="K20" s="214">
        <f>K24/SUM($J$24:$N$24)</f>
        <v>0.17592657242824322</v>
      </c>
      <c r="L20" s="214">
        <f>L24/SUM($J$24:$N$24)</f>
        <v>0.19579037350797818</v>
      </c>
      <c r="M20" s="214">
        <f>M24/SUM($J$24:$N$24)</f>
        <v>0.32337631872546446</v>
      </c>
      <c r="N20" s="214">
        <f>N24/SUM($J$24:$N$24)</f>
        <v>0.20903592098886128</v>
      </c>
      <c r="O20" s="214">
        <f>O24/SUM($O$24:$R$24)</f>
        <v>0.15172842113385485</v>
      </c>
      <c r="P20" s="214">
        <f>P24/SUM($O$24:$R$24)</f>
        <v>0.28331659340564846</v>
      </c>
      <c r="Q20" s="214">
        <f>Q24/SUM($O$24:$R$24)</f>
        <v>0.2614642689320027</v>
      </c>
      <c r="R20" s="214">
        <f>R24/SUM($O$24:$R$24)</f>
        <v>0.30349071652849408</v>
      </c>
      <c r="S20" s="214">
        <f>S24/SUM($S$24:$V$24)</f>
        <v>0.12893610219651699</v>
      </c>
      <c r="T20" s="214">
        <f>T24/SUM($S$24:$V$24)</f>
        <v>0.1545145659254113</v>
      </c>
      <c r="U20" s="214">
        <f>U24/SUM($S$24:$V$24)</f>
        <v>0.22459837541230268</v>
      </c>
      <c r="V20" s="214">
        <f>V24/SUM($S$24:$V$24)</f>
        <v>0.49195095646576914</v>
      </c>
      <c r="W20" s="214">
        <f>W24/SUM($W$24:$AA$24)</f>
        <v>8.1504450929837158E-2</v>
      </c>
      <c r="X20" s="214">
        <f>X24/SUM($W$24:$AA$24)</f>
        <v>0.19390921277870665</v>
      </c>
      <c r="Y20" s="214">
        <f>Y24/SUM($W$24:$AA$24)</f>
        <v>0.18968757314937296</v>
      </c>
      <c r="Z20" s="214">
        <f>Z24/SUM($W$24:$AA$24)</f>
        <v>0.21473155065639585</v>
      </c>
      <c r="AA20" s="214">
        <f>AA24/SUM($W$24:$AA$24)</f>
        <v>0.32016721248568736</v>
      </c>
      <c r="AB20" s="214">
        <f>AB24/SUM($AB$24:$AE$24)</f>
        <v>0.16102232592728227</v>
      </c>
      <c r="AC20" s="214">
        <f>AC24/SUM($AB$24:$AE$24)</f>
        <v>0.18241726904501346</v>
      </c>
      <c r="AD20" s="214">
        <f>AD24/SUM($AB$24:$AE$24)</f>
        <v>0.31246142536898253</v>
      </c>
      <c r="AE20" s="214">
        <f>AE24/SUM($AB$24:$AE$24)</f>
        <v>0.34409897965872172</v>
      </c>
      <c r="AF20" s="214">
        <f>AF24/SUM($AF$24:$AJ$24)</f>
        <v>8.3828785419344826E-2</v>
      </c>
      <c r="AG20" s="214">
        <f>AG24/SUM($AF$24:$AJ$24)</f>
        <v>0.17193013217515285</v>
      </c>
      <c r="AH20" s="214">
        <f>AH24/SUM($AF$24:$AJ$24)</f>
        <v>0.17714708740785423</v>
      </c>
      <c r="AI20" s="214">
        <f>AI24/SUM($AF$24:$AJ$24)</f>
        <v>0.25409253592234576</v>
      </c>
      <c r="AJ20" s="214">
        <f>AJ24/SUM($AF$24:$AJ$24)</f>
        <v>0.3130014590753023</v>
      </c>
      <c r="AK20" s="214">
        <f>AK24/SUM($AK$24:$AN$24)</f>
        <v>0.16299660881007413</v>
      </c>
      <c r="AL20" s="214">
        <f>AL24/SUM($AK$24:$AN$24)</f>
        <v>0.21615244405668835</v>
      </c>
      <c r="AM20" s="214">
        <f>AM24/SUM($AK$24:$AN$24)</f>
        <v>0.23219029347015541</v>
      </c>
      <c r="AN20" s="214">
        <f>AN24/SUM($AK$24:$AN$24)</f>
        <v>0.38866065366308217</v>
      </c>
      <c r="AO20" s="195"/>
    </row>
    <row r="21" spans="1:54" ht="14.25" customHeight="1" x14ac:dyDescent="0.25">
      <c r="A21" s="215" t="s">
        <v>414</v>
      </c>
      <c r="B21" s="5" t="s">
        <v>388</v>
      </c>
      <c r="C21" s="5"/>
      <c r="D21" s="5"/>
      <c r="E21" s="5"/>
      <c r="F21" s="5" t="s">
        <v>389</v>
      </c>
      <c r="G21" s="5"/>
      <c r="H21" s="5"/>
      <c r="I21" s="5"/>
      <c r="J21" s="5" t="s">
        <v>390</v>
      </c>
      <c r="K21" s="5"/>
      <c r="L21" s="5"/>
      <c r="M21" s="5"/>
      <c r="N21" s="5"/>
      <c r="O21" s="5" t="s">
        <v>394</v>
      </c>
      <c r="P21" s="5"/>
      <c r="Q21" s="5"/>
      <c r="R21" s="5"/>
      <c r="S21" s="4" t="s">
        <v>396</v>
      </c>
      <c r="T21" s="4"/>
      <c r="U21" s="4"/>
      <c r="V21" s="4"/>
      <c r="W21" s="5" t="s">
        <v>397</v>
      </c>
      <c r="X21" s="5"/>
      <c r="Y21" s="5"/>
      <c r="Z21" s="5"/>
      <c r="AA21" s="5"/>
      <c r="AB21" s="5" t="s">
        <v>398</v>
      </c>
      <c r="AC21" s="5"/>
      <c r="AD21" s="5"/>
      <c r="AE21" s="5"/>
      <c r="AF21" s="5" t="s">
        <v>399</v>
      </c>
      <c r="AG21" s="5"/>
      <c r="AH21" s="5"/>
      <c r="AI21" s="5"/>
      <c r="AJ21" s="5"/>
      <c r="AK21" s="5" t="s">
        <v>400</v>
      </c>
      <c r="AL21" s="5"/>
      <c r="AM21" s="5"/>
      <c r="AN21" s="5"/>
      <c r="AO21" s="5" t="s">
        <v>401</v>
      </c>
      <c r="AP21" s="5"/>
      <c r="AQ21" s="5"/>
      <c r="AR21" s="5"/>
      <c r="AS21" s="5" t="s">
        <v>411</v>
      </c>
      <c r="AT21" s="5"/>
      <c r="AU21" s="5"/>
      <c r="AV21" s="5"/>
      <c r="AW21" s="5"/>
      <c r="AX21" s="5" t="s">
        <v>412</v>
      </c>
      <c r="AY21" s="5"/>
      <c r="AZ21" s="5"/>
      <c r="BA21" s="5"/>
    </row>
    <row r="22" spans="1:54" ht="14.25" customHeight="1" x14ac:dyDescent="0.25">
      <c r="B22" s="216">
        <v>46027</v>
      </c>
      <c r="C22" s="217">
        <f t="shared" ref="C22:AH22" si="0">B22+7</f>
        <v>46034</v>
      </c>
      <c r="D22" s="217">
        <f t="shared" si="0"/>
        <v>46041</v>
      </c>
      <c r="E22" s="218">
        <f t="shared" si="0"/>
        <v>46048</v>
      </c>
      <c r="F22" s="216">
        <f t="shared" si="0"/>
        <v>46055</v>
      </c>
      <c r="G22" s="217">
        <f t="shared" si="0"/>
        <v>46062</v>
      </c>
      <c r="H22" s="217">
        <f t="shared" si="0"/>
        <v>46069</v>
      </c>
      <c r="I22" s="218">
        <f t="shared" si="0"/>
        <v>46076</v>
      </c>
      <c r="J22" s="216">
        <f t="shared" si="0"/>
        <v>46083</v>
      </c>
      <c r="K22" s="217">
        <f t="shared" si="0"/>
        <v>46090</v>
      </c>
      <c r="L22" s="217">
        <f t="shared" si="0"/>
        <v>46097</v>
      </c>
      <c r="M22" s="217">
        <f t="shared" si="0"/>
        <v>46104</v>
      </c>
      <c r="N22" s="218">
        <f t="shared" si="0"/>
        <v>46111</v>
      </c>
      <c r="O22" s="216">
        <f t="shared" si="0"/>
        <v>46118</v>
      </c>
      <c r="P22" s="217">
        <f t="shared" si="0"/>
        <v>46125</v>
      </c>
      <c r="Q22" s="217">
        <f t="shared" si="0"/>
        <v>46132</v>
      </c>
      <c r="R22" s="218">
        <f t="shared" si="0"/>
        <v>46139</v>
      </c>
      <c r="S22" s="216">
        <f t="shared" si="0"/>
        <v>46146</v>
      </c>
      <c r="T22" s="217">
        <f t="shared" si="0"/>
        <v>46153</v>
      </c>
      <c r="U22" s="217">
        <f t="shared" si="0"/>
        <v>46160</v>
      </c>
      <c r="V22" s="217">
        <f t="shared" si="0"/>
        <v>46167</v>
      </c>
      <c r="W22" s="216">
        <f t="shared" si="0"/>
        <v>46174</v>
      </c>
      <c r="X22" s="217">
        <f t="shared" si="0"/>
        <v>46181</v>
      </c>
      <c r="Y22" s="217">
        <f t="shared" si="0"/>
        <v>46188</v>
      </c>
      <c r="Z22" s="217">
        <f t="shared" si="0"/>
        <v>46195</v>
      </c>
      <c r="AA22" s="218">
        <f t="shared" si="0"/>
        <v>46202</v>
      </c>
      <c r="AB22" s="216">
        <f t="shared" si="0"/>
        <v>46209</v>
      </c>
      <c r="AC22" s="217">
        <f t="shared" si="0"/>
        <v>46216</v>
      </c>
      <c r="AD22" s="217">
        <f t="shared" si="0"/>
        <v>46223</v>
      </c>
      <c r="AE22" s="218">
        <f t="shared" si="0"/>
        <v>46230</v>
      </c>
      <c r="AF22" s="216">
        <f t="shared" si="0"/>
        <v>46237</v>
      </c>
      <c r="AG22" s="217">
        <f t="shared" si="0"/>
        <v>46244</v>
      </c>
      <c r="AH22" s="217">
        <f t="shared" si="0"/>
        <v>46251</v>
      </c>
      <c r="AI22" s="217">
        <f t="shared" ref="AI22:BA22" si="1">AH22+7</f>
        <v>46258</v>
      </c>
      <c r="AJ22" s="218">
        <f t="shared" si="1"/>
        <v>46265</v>
      </c>
      <c r="AK22" s="216">
        <f t="shared" si="1"/>
        <v>46272</v>
      </c>
      <c r="AL22" s="217">
        <f t="shared" si="1"/>
        <v>46279</v>
      </c>
      <c r="AM22" s="217">
        <f t="shared" si="1"/>
        <v>46286</v>
      </c>
      <c r="AN22" s="218">
        <f t="shared" si="1"/>
        <v>46293</v>
      </c>
      <c r="AO22" s="216">
        <f t="shared" si="1"/>
        <v>46300</v>
      </c>
      <c r="AP22" s="217">
        <f t="shared" si="1"/>
        <v>46307</v>
      </c>
      <c r="AQ22" s="217">
        <f t="shared" si="1"/>
        <v>46314</v>
      </c>
      <c r="AR22" s="218">
        <f t="shared" si="1"/>
        <v>46321</v>
      </c>
      <c r="AS22" s="216">
        <f t="shared" si="1"/>
        <v>46328</v>
      </c>
      <c r="AT22" s="217">
        <f t="shared" si="1"/>
        <v>46335</v>
      </c>
      <c r="AU22" s="217">
        <f t="shared" si="1"/>
        <v>46342</v>
      </c>
      <c r="AV22" s="217">
        <f t="shared" si="1"/>
        <v>46349</v>
      </c>
      <c r="AW22" s="218">
        <f t="shared" si="1"/>
        <v>46356</v>
      </c>
      <c r="AX22" s="216">
        <f t="shared" si="1"/>
        <v>46363</v>
      </c>
      <c r="AY22" s="217">
        <f t="shared" si="1"/>
        <v>46370</v>
      </c>
      <c r="AZ22" s="217">
        <f t="shared" si="1"/>
        <v>46377</v>
      </c>
      <c r="BA22" s="218">
        <f t="shared" si="1"/>
        <v>46384</v>
      </c>
      <c r="BB22" s="217"/>
    </row>
    <row r="23" spans="1:54" ht="14.25" customHeight="1" x14ac:dyDescent="0.25">
      <c r="A23" s="219"/>
      <c r="B23" s="219" t="s">
        <v>392</v>
      </c>
      <c r="C23" s="220" t="s">
        <v>393</v>
      </c>
      <c r="D23" s="220" t="s">
        <v>408</v>
      </c>
      <c r="E23" s="221" t="s">
        <v>409</v>
      </c>
      <c r="F23" s="219" t="s">
        <v>392</v>
      </c>
      <c r="G23" s="220" t="s">
        <v>393</v>
      </c>
      <c r="H23" s="220" t="s">
        <v>408</v>
      </c>
      <c r="I23" s="221" t="s">
        <v>409</v>
      </c>
      <c r="J23" s="219" t="s">
        <v>392</v>
      </c>
      <c r="K23" s="220" t="s">
        <v>393</v>
      </c>
      <c r="L23" s="220" t="s">
        <v>408</v>
      </c>
      <c r="M23" s="220" t="s">
        <v>409</v>
      </c>
      <c r="N23" s="221" t="s">
        <v>410</v>
      </c>
      <c r="O23" s="219" t="s">
        <v>392</v>
      </c>
      <c r="P23" s="220" t="s">
        <v>393</v>
      </c>
      <c r="Q23" s="220" t="s">
        <v>408</v>
      </c>
      <c r="R23" s="221" t="s">
        <v>409</v>
      </c>
      <c r="S23" s="219" t="s">
        <v>392</v>
      </c>
      <c r="T23" s="220" t="s">
        <v>393</v>
      </c>
      <c r="U23" s="220" t="s">
        <v>408</v>
      </c>
      <c r="V23" s="220" t="s">
        <v>409</v>
      </c>
      <c r="W23" s="219" t="s">
        <v>392</v>
      </c>
      <c r="X23" s="220" t="s">
        <v>393</v>
      </c>
      <c r="Y23" s="220" t="s">
        <v>408</v>
      </c>
      <c r="Z23" s="220" t="s">
        <v>409</v>
      </c>
      <c r="AA23" s="221" t="s">
        <v>410</v>
      </c>
      <c r="AB23" s="219" t="s">
        <v>392</v>
      </c>
      <c r="AC23" s="220" t="s">
        <v>393</v>
      </c>
      <c r="AD23" s="220" t="s">
        <v>408</v>
      </c>
      <c r="AE23" s="221" t="s">
        <v>409</v>
      </c>
      <c r="AF23" s="219" t="s">
        <v>392</v>
      </c>
      <c r="AG23" s="220" t="s">
        <v>393</v>
      </c>
      <c r="AH23" s="220" t="s">
        <v>408</v>
      </c>
      <c r="AI23" s="220" t="s">
        <v>409</v>
      </c>
      <c r="AJ23" s="221" t="s">
        <v>410</v>
      </c>
      <c r="AK23" s="219" t="s">
        <v>392</v>
      </c>
      <c r="AL23" s="220" t="s">
        <v>393</v>
      </c>
      <c r="AM23" s="220" t="s">
        <v>408</v>
      </c>
      <c r="AN23" s="221" t="s">
        <v>409</v>
      </c>
      <c r="AO23" s="219" t="s">
        <v>392</v>
      </c>
      <c r="AP23" s="220" t="s">
        <v>393</v>
      </c>
      <c r="AQ23" s="220" t="s">
        <v>408</v>
      </c>
      <c r="AR23" s="221" t="s">
        <v>409</v>
      </c>
      <c r="AS23" s="219" t="s">
        <v>392</v>
      </c>
      <c r="AT23" s="220" t="s">
        <v>393</v>
      </c>
      <c r="AU23" s="220" t="s">
        <v>408</v>
      </c>
      <c r="AV23" s="220" t="s">
        <v>409</v>
      </c>
      <c r="AW23" s="221" t="s">
        <v>410</v>
      </c>
      <c r="AX23" s="219" t="s">
        <v>392</v>
      </c>
      <c r="AY23" s="220" t="s">
        <v>393</v>
      </c>
      <c r="AZ23" s="220" t="s">
        <v>408</v>
      </c>
      <c r="BA23" s="221" t="s">
        <v>409</v>
      </c>
    </row>
    <row r="24" spans="1:54" ht="14.25" customHeight="1" x14ac:dyDescent="0.25">
      <c r="A24" s="222" t="s">
        <v>415</v>
      </c>
      <c r="B24" s="223">
        <f t="shared" ref="B24:AA24" si="2">B25+B27</f>
        <v>2018.9084800000021</v>
      </c>
      <c r="C24" s="224">
        <f t="shared" si="2"/>
        <v>3756.60916000001</v>
      </c>
      <c r="D24" s="224">
        <f t="shared" si="2"/>
        <v>1922.7686328380821</v>
      </c>
      <c r="E24" s="225">
        <f t="shared" si="2"/>
        <v>4764.0298154081802</v>
      </c>
      <c r="F24" s="223">
        <f t="shared" si="2"/>
        <v>1255.7665793304368</v>
      </c>
      <c r="G24" s="224">
        <f t="shared" si="2"/>
        <v>1926.6994185392591</v>
      </c>
      <c r="H24" s="224">
        <f t="shared" si="2"/>
        <v>2465.22739</v>
      </c>
      <c r="I24" s="225">
        <f t="shared" si="2"/>
        <v>4851.5136310358794</v>
      </c>
      <c r="J24" s="223">
        <f t="shared" si="2"/>
        <v>1088.5874626309699</v>
      </c>
      <c r="K24" s="224">
        <f t="shared" si="2"/>
        <v>1997.59918999914</v>
      </c>
      <c r="L24" s="224">
        <f t="shared" si="2"/>
        <v>2223.14734</v>
      </c>
      <c r="M24" s="224">
        <f t="shared" si="2"/>
        <v>3671.8516335238201</v>
      </c>
      <c r="N24" s="225">
        <f t="shared" si="2"/>
        <v>2373.5469899999989</v>
      </c>
      <c r="O24" s="223">
        <f t="shared" si="2"/>
        <v>1656.854038474411</v>
      </c>
      <c r="P24" s="224">
        <f t="shared" si="2"/>
        <v>3093.7792566683602</v>
      </c>
      <c r="Q24" s="224">
        <f t="shared" si="2"/>
        <v>2855.1548000000071</v>
      </c>
      <c r="R24" s="225">
        <f t="shared" si="2"/>
        <v>3314.0779793399597</v>
      </c>
      <c r="S24" s="223">
        <f t="shared" si="2"/>
        <v>1596.1558581180809</v>
      </c>
      <c r="T24" s="224">
        <f t="shared" si="2"/>
        <v>1912.8027399999992</v>
      </c>
      <c r="U24" s="224">
        <f t="shared" si="2"/>
        <v>2780.4005746331222</v>
      </c>
      <c r="V24" s="224">
        <f t="shared" si="2"/>
        <v>6090.0739800000101</v>
      </c>
      <c r="W24" s="223">
        <f t="shared" si="2"/>
        <v>864.18985930203098</v>
      </c>
      <c r="X24" s="224">
        <f t="shared" si="2"/>
        <v>2056.0150199999989</v>
      </c>
      <c r="Y24" s="224">
        <f t="shared" si="2"/>
        <v>2011.253070000012</v>
      </c>
      <c r="Z24" s="224">
        <f t="shared" si="2"/>
        <v>2276.7938000000022</v>
      </c>
      <c r="AA24" s="225">
        <f t="shared" si="2"/>
        <v>3394.7257499999996</v>
      </c>
      <c r="AB24" s="223">
        <v>2017.1040800000001</v>
      </c>
      <c r="AC24" s="224">
        <v>2285.11553</v>
      </c>
      <c r="AD24" s="224">
        <f>2935.62032/3*4</f>
        <v>3914.1604266666668</v>
      </c>
      <c r="AE24" s="225">
        <f>I9-SUM(AB24:AD24)</f>
        <v>4310.4796294328335</v>
      </c>
      <c r="AF24" s="223">
        <f>$I$10*B15</f>
        <v>1064.2797457498536</v>
      </c>
      <c r="AG24" s="224">
        <f>$I$10*C15</f>
        <v>2182.8033943562837</v>
      </c>
      <c r="AH24" s="224">
        <f>$I$10*D15</f>
        <v>2249.0372036721765</v>
      </c>
      <c r="AI24" s="224">
        <f>$I$10*E15</f>
        <v>3225.9269673966282</v>
      </c>
      <c r="AJ24" s="225">
        <f>$I$10*F15</f>
        <v>3973.8272672995568</v>
      </c>
      <c r="AK24" s="223">
        <f>AK25+AK27</f>
        <v>2110.1140649101908</v>
      </c>
      <c r="AL24" s="224">
        <f>$I$11*C14</f>
        <v>2798.2564526860342</v>
      </c>
      <c r="AM24" s="224">
        <f>$I$11*D14</f>
        <v>3005.8785122204217</v>
      </c>
      <c r="AN24" s="225">
        <f>$I$11*E14</f>
        <v>5031.5053654108297</v>
      </c>
      <c r="AO24" s="223">
        <f>$I$12*B14</f>
        <v>1892.3894820503733</v>
      </c>
      <c r="AP24" s="224">
        <f>$I$12*C14</f>
        <v>2873.5367227685065</v>
      </c>
      <c r="AQ24" s="224">
        <f>$I$12*D14</f>
        <v>3086.744347808095</v>
      </c>
      <c r="AR24" s="225">
        <f>$I$12*E14</f>
        <v>5166.8657547225221</v>
      </c>
      <c r="AS24" s="223">
        <f>$I$13*B15</f>
        <v>1023.4827413054239</v>
      </c>
      <c r="AT24" s="224">
        <f>$I$13*C15</f>
        <v>2099.1300555217399</v>
      </c>
      <c r="AU24" s="224">
        <f>$I$13*D15</f>
        <v>2162.8249261574379</v>
      </c>
      <c r="AV24" s="224">
        <f>$I$13*E15</f>
        <v>3102.2676030689163</v>
      </c>
      <c r="AW24" s="225">
        <f>$I$13*F15</f>
        <v>3821.4986625949805</v>
      </c>
      <c r="AX24" s="223">
        <f>$I$14*B14</f>
        <v>965.33165618727242</v>
      </c>
      <c r="AY24" s="224">
        <f>$I$14*C14</f>
        <v>1465.8271936174453</v>
      </c>
      <c r="AZ24" s="224">
        <f>$I$14*D14</f>
        <v>1574.5870825004793</v>
      </c>
      <c r="BA24" s="225">
        <f>$I$14*E14</f>
        <v>2635.6831527616923</v>
      </c>
    </row>
    <row r="25" spans="1:54" ht="14.25" customHeight="1" x14ac:dyDescent="0.25">
      <c r="A25" s="226" t="s">
        <v>387</v>
      </c>
      <c r="B25" s="227">
        <v>1039.5338200000001</v>
      </c>
      <c r="C25" s="228">
        <v>2642.5279300000102</v>
      </c>
      <c r="D25" s="228">
        <v>1276.8818213166201</v>
      </c>
      <c r="E25" s="229">
        <v>3222.9240054081802</v>
      </c>
      <c r="F25" s="227">
        <v>696.10222034239496</v>
      </c>
      <c r="G25" s="228">
        <v>1254.60956853926</v>
      </c>
      <c r="H25" s="228">
        <v>1393.63652</v>
      </c>
      <c r="I25" s="229">
        <v>2624.64393256209</v>
      </c>
      <c r="J25" s="227">
        <v>581.22400263096995</v>
      </c>
      <c r="K25" s="228">
        <v>1338.6261399991399</v>
      </c>
      <c r="L25" s="228">
        <v>1206.4190900000001</v>
      </c>
      <c r="M25" s="228">
        <v>2243.9054435238199</v>
      </c>
      <c r="N25" s="229">
        <v>1408.0134499999999</v>
      </c>
      <c r="O25" s="227">
        <v>1098.4310384744099</v>
      </c>
      <c r="P25" s="228">
        <v>2041.2324366683599</v>
      </c>
      <c r="Q25" s="228">
        <v>1915.61886000001</v>
      </c>
      <c r="R25" s="229">
        <v>1662.7022593399599</v>
      </c>
      <c r="S25" s="227">
        <v>1026.15434811808</v>
      </c>
      <c r="T25" s="228">
        <v>1119.2098000000001</v>
      </c>
      <c r="U25" s="228">
        <v>2095.9211561386801</v>
      </c>
      <c r="V25" s="228">
        <v>2888.71697000001</v>
      </c>
      <c r="W25" s="227">
        <v>573.82856000000004</v>
      </c>
      <c r="X25" s="228">
        <v>1439.8379399999999</v>
      </c>
      <c r="Y25" s="228">
        <v>1069.5545500000101</v>
      </c>
      <c r="Z25" s="228">
        <v>1426.5837300000001</v>
      </c>
      <c r="AA25" s="229">
        <v>2152.1814599999998</v>
      </c>
      <c r="AB25" s="227">
        <v>1406.45596</v>
      </c>
      <c r="AC25" s="228">
        <v>1415.34943</v>
      </c>
      <c r="AD25" s="228">
        <v>1380.00584152497</v>
      </c>
      <c r="AE25" s="229">
        <v>2006.14276</v>
      </c>
      <c r="AF25" s="227">
        <v>1177.1763699999999</v>
      </c>
      <c r="AG25" s="228">
        <v>2553.8271199999899</v>
      </c>
      <c r="AH25" s="228">
        <v>2323.2303784744599</v>
      </c>
      <c r="AI25" s="228">
        <v>3078.87059</v>
      </c>
      <c r="AJ25" s="229">
        <v>1375.4726599999999</v>
      </c>
      <c r="AK25" s="227">
        <v>1463.8033849101901</v>
      </c>
      <c r="AL25" s="230">
        <f t="shared" ref="AL25:BA25" si="3">AL24*$C$3</f>
        <v>1539.041048977319</v>
      </c>
      <c r="AM25" s="230">
        <f t="shared" si="3"/>
        <v>1653.2331817212321</v>
      </c>
      <c r="AN25" s="231">
        <f t="shared" si="3"/>
        <v>2767.3279509759564</v>
      </c>
      <c r="AO25" s="232">
        <f t="shared" si="3"/>
        <v>1040.8142151277054</v>
      </c>
      <c r="AP25" s="230">
        <f t="shared" si="3"/>
        <v>1580.4451975226787</v>
      </c>
      <c r="AQ25" s="230">
        <f t="shared" si="3"/>
        <v>1697.7093912944524</v>
      </c>
      <c r="AR25" s="231">
        <f t="shared" si="3"/>
        <v>2841.7761650973875</v>
      </c>
      <c r="AS25" s="232">
        <f t="shared" si="3"/>
        <v>562.91550771798325</v>
      </c>
      <c r="AT25" s="230">
        <f t="shared" si="3"/>
        <v>1154.521530536957</v>
      </c>
      <c r="AU25" s="230">
        <f t="shared" si="3"/>
        <v>1189.553709386591</v>
      </c>
      <c r="AV25" s="230">
        <f t="shared" si="3"/>
        <v>1706.247181687904</v>
      </c>
      <c r="AW25" s="231">
        <f t="shared" si="3"/>
        <v>2101.8242644272395</v>
      </c>
      <c r="AX25" s="232">
        <f t="shared" si="3"/>
        <v>530.93241090299989</v>
      </c>
      <c r="AY25" s="230">
        <f t="shared" si="3"/>
        <v>806.20495648959502</v>
      </c>
      <c r="AZ25" s="230">
        <f t="shared" si="3"/>
        <v>866.02289537526372</v>
      </c>
      <c r="BA25" s="231">
        <f t="shared" si="3"/>
        <v>1449.6257340189309</v>
      </c>
    </row>
    <row r="26" spans="1:54" ht="14.25" customHeight="1" x14ac:dyDescent="0.25">
      <c r="A26" s="233"/>
      <c r="B26" s="234">
        <f>B25*B7</f>
        <v>727.67367400000001</v>
      </c>
      <c r="C26" s="235">
        <f t="shared" ref="C26:AH26" si="4">B25*$C$7+C25*$B$7</f>
        <v>2161.6296970000071</v>
      </c>
      <c r="D26" s="235">
        <f t="shared" si="4"/>
        <v>1686.575653921637</v>
      </c>
      <c r="E26" s="235">
        <f t="shared" si="4"/>
        <v>2639.1113501807117</v>
      </c>
      <c r="F26" s="236">
        <f t="shared" si="4"/>
        <v>1454.1487558621304</v>
      </c>
      <c r="G26" s="237">
        <f t="shared" si="4"/>
        <v>1087.0573640802004</v>
      </c>
      <c r="H26" s="237">
        <f t="shared" si="4"/>
        <v>1351.928434561778</v>
      </c>
      <c r="I26" s="238">
        <f t="shared" si="4"/>
        <v>2255.3417087934631</v>
      </c>
      <c r="J26" s="236">
        <f t="shared" si="4"/>
        <v>1194.2499816103059</v>
      </c>
      <c r="K26" s="237">
        <f t="shared" si="4"/>
        <v>1111.4054987886889</v>
      </c>
      <c r="L26" s="237">
        <f t="shared" si="4"/>
        <v>1246.0812049997421</v>
      </c>
      <c r="M26" s="237">
        <f t="shared" si="4"/>
        <v>1932.659537466674</v>
      </c>
      <c r="N26" s="238">
        <f t="shared" si="4"/>
        <v>1658.7810480571459</v>
      </c>
      <c r="O26" s="235">
        <f t="shared" si="4"/>
        <v>1191.3057619320869</v>
      </c>
      <c r="P26" s="235">
        <f t="shared" si="4"/>
        <v>1758.3920172101748</v>
      </c>
      <c r="Q26" s="235">
        <f t="shared" si="4"/>
        <v>1953.3029330005149</v>
      </c>
      <c r="R26" s="235">
        <f t="shared" si="4"/>
        <v>1738.5772395379749</v>
      </c>
      <c r="S26" s="234">
        <f t="shared" si="4"/>
        <v>1217.1187214846439</v>
      </c>
      <c r="T26" s="235">
        <f t="shared" si="4"/>
        <v>1091.2931644354239</v>
      </c>
      <c r="U26" s="235">
        <f t="shared" si="4"/>
        <v>1802.907749297076</v>
      </c>
      <c r="V26" s="235">
        <f t="shared" si="4"/>
        <v>2650.8782258416109</v>
      </c>
      <c r="W26" s="234">
        <f t="shared" si="4"/>
        <v>1268.2950830000029</v>
      </c>
      <c r="X26" s="235">
        <f t="shared" si="4"/>
        <v>1180.0351259999998</v>
      </c>
      <c r="Y26" s="235">
        <f t="shared" si="4"/>
        <v>1180.639567000007</v>
      </c>
      <c r="Z26" s="235">
        <f t="shared" si="4"/>
        <v>1319.4749760000029</v>
      </c>
      <c r="AA26" s="239">
        <f t="shared" si="4"/>
        <v>1934.5021409999997</v>
      </c>
      <c r="AB26" s="234">
        <f t="shared" si="4"/>
        <v>1630.1736099999998</v>
      </c>
      <c r="AC26" s="235">
        <f t="shared" si="4"/>
        <v>1412.6813889999999</v>
      </c>
      <c r="AD26" s="235">
        <f t="shared" si="4"/>
        <v>1390.608918067479</v>
      </c>
      <c r="AE26" s="239">
        <f t="shared" si="4"/>
        <v>1818.3016844574909</v>
      </c>
      <c r="AF26" s="234">
        <f t="shared" si="4"/>
        <v>1425.8662869999998</v>
      </c>
      <c r="AG26" s="235">
        <f t="shared" si="4"/>
        <v>2140.831894999993</v>
      </c>
      <c r="AH26" s="235">
        <f t="shared" si="4"/>
        <v>2392.4094009321188</v>
      </c>
      <c r="AI26" s="235">
        <f t="shared" ref="AI26:BN26" si="5">AH25*$C$7+AI25*$B$7</f>
        <v>2852.1785265423377</v>
      </c>
      <c r="AJ26" s="239">
        <f t="shared" si="5"/>
        <v>1886.4920389999997</v>
      </c>
      <c r="AK26" s="234">
        <f t="shared" si="5"/>
        <v>1437.3041674371329</v>
      </c>
      <c r="AL26" s="235">
        <f t="shared" si="5"/>
        <v>1516.4697497571801</v>
      </c>
      <c r="AM26" s="235">
        <f t="shared" si="5"/>
        <v>1618.9755418980581</v>
      </c>
      <c r="AN26" s="239">
        <f t="shared" si="5"/>
        <v>2433.0995201995393</v>
      </c>
      <c r="AO26" s="234">
        <f t="shared" si="5"/>
        <v>1558.7683358821805</v>
      </c>
      <c r="AP26" s="235">
        <f t="shared" si="5"/>
        <v>1418.5559028041866</v>
      </c>
      <c r="AQ26" s="235">
        <f t="shared" si="5"/>
        <v>1662.5301331629203</v>
      </c>
      <c r="AR26" s="239">
        <f t="shared" si="5"/>
        <v>2498.5561329565066</v>
      </c>
      <c r="AS26" s="234">
        <f t="shared" si="5"/>
        <v>1246.5737049318045</v>
      </c>
      <c r="AT26" s="235">
        <f t="shared" si="5"/>
        <v>977.03972369126484</v>
      </c>
      <c r="AU26" s="235">
        <f t="shared" si="5"/>
        <v>1179.0440557317008</v>
      </c>
      <c r="AV26" s="235">
        <f t="shared" si="5"/>
        <v>1551.2391399975099</v>
      </c>
      <c r="AW26" s="239">
        <f t="shared" si="5"/>
        <v>1983.1511396054389</v>
      </c>
      <c r="AX26" s="234">
        <f t="shared" si="5"/>
        <v>1002.1999669602717</v>
      </c>
      <c r="AY26" s="235">
        <f t="shared" si="5"/>
        <v>723.62319281361636</v>
      </c>
      <c r="AZ26" s="235">
        <f t="shared" si="5"/>
        <v>848.07751370956305</v>
      </c>
      <c r="BA26" s="239">
        <f t="shared" si="5"/>
        <v>1274.5448824258306</v>
      </c>
    </row>
    <row r="27" spans="1:54" ht="14.25" customHeight="1" x14ac:dyDescent="0.25">
      <c r="A27" s="226" t="s">
        <v>416</v>
      </c>
      <c r="B27" s="227">
        <v>979.374660000002</v>
      </c>
      <c r="C27" s="228">
        <v>1114.08123</v>
      </c>
      <c r="D27" s="228">
        <v>645.88681152146205</v>
      </c>
      <c r="E27" s="229">
        <v>1541.10581</v>
      </c>
      <c r="F27" s="227">
        <v>559.66435898804195</v>
      </c>
      <c r="G27" s="228">
        <v>672.08984999999905</v>
      </c>
      <c r="H27" s="228">
        <v>1071.59087</v>
      </c>
      <c r="I27" s="229">
        <v>2226.8696984737899</v>
      </c>
      <c r="J27" s="227">
        <v>507.36345999999998</v>
      </c>
      <c r="K27" s="228">
        <v>658.97304999999994</v>
      </c>
      <c r="L27" s="228">
        <v>1016.72825</v>
      </c>
      <c r="M27" s="228">
        <v>1427.9461899999999</v>
      </c>
      <c r="N27" s="229">
        <v>965.53353999999899</v>
      </c>
      <c r="O27" s="227">
        <v>558.42300000000103</v>
      </c>
      <c r="P27" s="228">
        <v>1052.54682</v>
      </c>
      <c r="Q27" s="228">
        <v>939.53593999999703</v>
      </c>
      <c r="R27" s="229">
        <v>1651.37572</v>
      </c>
      <c r="S27" s="227">
        <v>570.00151000000096</v>
      </c>
      <c r="T27" s="228">
        <v>793.59293999999898</v>
      </c>
      <c r="U27" s="228">
        <v>684.47941849444203</v>
      </c>
      <c r="V27" s="228">
        <v>3201.3570100000002</v>
      </c>
      <c r="W27" s="227">
        <v>290.361299302031</v>
      </c>
      <c r="X27" s="228">
        <v>616.17707999999902</v>
      </c>
      <c r="Y27" s="228">
        <v>941.69852000000196</v>
      </c>
      <c r="Z27" s="228">
        <v>850.21007000000202</v>
      </c>
      <c r="AA27" s="229">
        <v>1242.54429</v>
      </c>
      <c r="AB27" s="227">
        <v>615.87386000000004</v>
      </c>
      <c r="AC27" s="228">
        <v>869.42829000000097</v>
      </c>
      <c r="AD27" s="228">
        <v>2388.7172845745399</v>
      </c>
      <c r="AE27" s="229">
        <v>1473.4833900000001</v>
      </c>
      <c r="AF27" s="227">
        <v>388.49491</v>
      </c>
      <c r="AG27" s="228">
        <v>1382.1379899999999</v>
      </c>
      <c r="AH27" s="228">
        <v>948.46597000000099</v>
      </c>
      <c r="AI27" s="228">
        <v>990.48</v>
      </c>
      <c r="AJ27" s="229">
        <v>669.26676148240904</v>
      </c>
      <c r="AK27" s="227">
        <v>646.31068000000096</v>
      </c>
      <c r="AL27" s="230">
        <f t="shared" ref="AL27:BA27" si="6">AL24*$C$4</f>
        <v>1259.2154037087155</v>
      </c>
      <c r="AM27" s="230">
        <f t="shared" si="6"/>
        <v>1352.6453304991899</v>
      </c>
      <c r="AN27" s="231">
        <f t="shared" si="6"/>
        <v>2264.1774144348733</v>
      </c>
      <c r="AO27" s="232">
        <f t="shared" si="6"/>
        <v>851.57526692266799</v>
      </c>
      <c r="AP27" s="230">
        <f t="shared" si="6"/>
        <v>1293.0915252458281</v>
      </c>
      <c r="AQ27" s="230">
        <f t="shared" si="6"/>
        <v>1389.0349565136428</v>
      </c>
      <c r="AR27" s="231">
        <f t="shared" si="6"/>
        <v>2325.089589625135</v>
      </c>
      <c r="AS27" s="232">
        <f t="shared" si="6"/>
        <v>460.5672335874408</v>
      </c>
      <c r="AT27" s="230">
        <f t="shared" si="6"/>
        <v>944.608524984783</v>
      </c>
      <c r="AU27" s="230">
        <f t="shared" si="6"/>
        <v>973.2712167708471</v>
      </c>
      <c r="AV27" s="230">
        <f t="shared" si="6"/>
        <v>1396.0204213810123</v>
      </c>
      <c r="AW27" s="231">
        <f t="shared" si="6"/>
        <v>1719.6743981677412</v>
      </c>
      <c r="AX27" s="232">
        <f t="shared" si="6"/>
        <v>434.39924528427258</v>
      </c>
      <c r="AY27" s="230">
        <f t="shared" si="6"/>
        <v>659.62223712785044</v>
      </c>
      <c r="AZ27" s="230">
        <f t="shared" si="6"/>
        <v>708.56418712521565</v>
      </c>
      <c r="BA27" s="231">
        <f t="shared" si="6"/>
        <v>1186.0574187427617</v>
      </c>
    </row>
    <row r="28" spans="1:54" ht="14.25" customHeight="1" x14ac:dyDescent="0.25">
      <c r="A28" s="240" t="s">
        <v>190</v>
      </c>
      <c r="B28" s="234"/>
      <c r="C28" s="235">
        <f t="shared" ref="C28:AH28" si="7">B27*$B$10</f>
        <v>450.51234360000092</v>
      </c>
      <c r="D28" s="235">
        <f t="shared" si="7"/>
        <v>512.47736580000003</v>
      </c>
      <c r="E28" s="239">
        <f t="shared" si="7"/>
        <v>297.10793329987257</v>
      </c>
      <c r="F28" s="234">
        <f t="shared" si="7"/>
        <v>708.90867260000005</v>
      </c>
      <c r="G28" s="235">
        <f t="shared" si="7"/>
        <v>257.44560513449932</v>
      </c>
      <c r="H28" s="235">
        <f t="shared" si="7"/>
        <v>309.16133099999956</v>
      </c>
      <c r="I28" s="239">
        <f t="shared" si="7"/>
        <v>492.9318002</v>
      </c>
      <c r="J28" s="234">
        <f t="shared" si="7"/>
        <v>1024.3600612979433</v>
      </c>
      <c r="K28" s="235">
        <f t="shared" si="7"/>
        <v>233.38719159999999</v>
      </c>
      <c r="L28" s="235">
        <f t="shared" si="7"/>
        <v>303.12760299999997</v>
      </c>
      <c r="M28" s="235">
        <f t="shared" si="7"/>
        <v>467.69499500000001</v>
      </c>
      <c r="N28" s="239">
        <f t="shared" si="7"/>
        <v>656.85524739999994</v>
      </c>
      <c r="O28" s="234">
        <f t="shared" si="7"/>
        <v>444.14542839999956</v>
      </c>
      <c r="P28" s="235">
        <f t="shared" si="7"/>
        <v>256.87458000000049</v>
      </c>
      <c r="Q28" s="235">
        <f t="shared" si="7"/>
        <v>484.17153720000005</v>
      </c>
      <c r="R28" s="239">
        <f t="shared" si="7"/>
        <v>432.18653239999867</v>
      </c>
      <c r="S28" s="234">
        <f t="shared" si="7"/>
        <v>759.63283120000006</v>
      </c>
      <c r="T28" s="235">
        <f t="shared" si="7"/>
        <v>262.20069460000047</v>
      </c>
      <c r="U28" s="235">
        <f t="shared" si="7"/>
        <v>365.05275239999952</v>
      </c>
      <c r="V28" s="235">
        <f t="shared" si="7"/>
        <v>314.86053250744334</v>
      </c>
      <c r="W28" s="234">
        <f t="shared" si="7"/>
        <v>1472.6242246000002</v>
      </c>
      <c r="X28" s="235">
        <f t="shared" si="7"/>
        <v>133.56619767893426</v>
      </c>
      <c r="Y28" s="235">
        <f t="shared" si="7"/>
        <v>283.44145679999957</v>
      </c>
      <c r="Z28" s="235">
        <f t="shared" si="7"/>
        <v>433.18131920000093</v>
      </c>
      <c r="AA28" s="239">
        <f t="shared" si="7"/>
        <v>391.09663220000095</v>
      </c>
      <c r="AB28" s="234">
        <f t="shared" si="7"/>
        <v>571.57037339999999</v>
      </c>
      <c r="AC28" s="235">
        <f t="shared" si="7"/>
        <v>283.30197560000005</v>
      </c>
      <c r="AD28" s="235">
        <f t="shared" si="7"/>
        <v>399.93701340000047</v>
      </c>
      <c r="AE28" s="239">
        <f t="shared" si="7"/>
        <v>1098.8099509042884</v>
      </c>
      <c r="AF28" s="234">
        <f t="shared" si="7"/>
        <v>677.80235940000011</v>
      </c>
      <c r="AG28" s="235">
        <f t="shared" si="7"/>
        <v>178.7076586</v>
      </c>
      <c r="AH28" s="235">
        <f t="shared" si="7"/>
        <v>635.78347540000004</v>
      </c>
      <c r="AI28" s="235">
        <f t="shared" ref="AI28:BA28" si="8">AH27*$B$10</f>
        <v>436.29434620000046</v>
      </c>
      <c r="AJ28" s="239">
        <f t="shared" si="8"/>
        <v>455.62080000000003</v>
      </c>
      <c r="AK28" s="234">
        <f t="shared" si="8"/>
        <v>307.86271028190816</v>
      </c>
      <c r="AL28" s="235">
        <f t="shared" si="8"/>
        <v>297.30291280000046</v>
      </c>
      <c r="AM28" s="235">
        <f t="shared" si="8"/>
        <v>579.23908570600918</v>
      </c>
      <c r="AN28" s="239">
        <f t="shared" si="8"/>
        <v>622.21685202962738</v>
      </c>
      <c r="AO28" s="234">
        <f t="shared" si="8"/>
        <v>1041.5216106400417</v>
      </c>
      <c r="AP28" s="235">
        <f t="shared" si="8"/>
        <v>391.72462278442731</v>
      </c>
      <c r="AQ28" s="235">
        <f t="shared" si="8"/>
        <v>594.82210161308092</v>
      </c>
      <c r="AR28" s="239">
        <f t="shared" si="8"/>
        <v>638.95607999627566</v>
      </c>
      <c r="AS28" s="234">
        <f t="shared" si="8"/>
        <v>1069.5412112275621</v>
      </c>
      <c r="AT28" s="235">
        <f t="shared" si="8"/>
        <v>211.86092745022279</v>
      </c>
      <c r="AU28" s="235">
        <f t="shared" si="8"/>
        <v>434.5199214930002</v>
      </c>
      <c r="AV28" s="235">
        <f t="shared" si="8"/>
        <v>447.70475971458967</v>
      </c>
      <c r="AW28" s="239">
        <f t="shared" si="8"/>
        <v>642.16939383526562</v>
      </c>
      <c r="AX28" s="234">
        <f t="shared" si="8"/>
        <v>791.05022315716099</v>
      </c>
      <c r="AY28" s="235">
        <f t="shared" si="8"/>
        <v>199.82365283076538</v>
      </c>
      <c r="AZ28" s="235">
        <f t="shared" si="8"/>
        <v>303.42622907881122</v>
      </c>
      <c r="BA28" s="239">
        <f t="shared" si="8"/>
        <v>325.93952607759923</v>
      </c>
    </row>
    <row r="29" spans="1:54" ht="14.25" customHeight="1" x14ac:dyDescent="0.25">
      <c r="A29" s="240" t="s">
        <v>381</v>
      </c>
      <c r="B29" s="234"/>
      <c r="C29" s="235"/>
      <c r="D29" s="235"/>
      <c r="E29" s="239"/>
      <c r="F29" s="234"/>
      <c r="G29" s="235">
        <f>(B$27*$B$11)*$B$18</f>
        <v>105.77246328000022</v>
      </c>
      <c r="H29" s="235">
        <f>(C$27*$B$11)*$B$18</f>
        <v>120.32077284000002</v>
      </c>
      <c r="I29" s="235">
        <f>(D$27*$B$11)*$B$18+(B$27*$B$11)*$C$18</f>
        <v>334.18693384431845</v>
      </c>
      <c r="J29" s="234">
        <f>(E$27*$B$11)*$B$18+(C$27*$B$11)*$C$18</f>
        <v>467.24135958000011</v>
      </c>
      <c r="K29" s="235">
        <f t="shared" ref="K29:BA29" si="9">(F$27*$B$11)*$B$18+(D$27*$B$11)*$C$18+(B$27*$B$11)*$D$18</f>
        <v>393.4918848015036</v>
      </c>
      <c r="L29" s="235">
        <f t="shared" si="9"/>
        <v>669.16543176000005</v>
      </c>
      <c r="M29" s="235">
        <f t="shared" si="9"/>
        <v>371.47485435324825</v>
      </c>
      <c r="N29" s="239">
        <f t="shared" si="9"/>
        <v>671.62532815516909</v>
      </c>
      <c r="O29" s="234">
        <f t="shared" si="9"/>
        <v>434.79041473606276</v>
      </c>
      <c r="P29" s="235">
        <f t="shared" si="9"/>
        <v>781.30246368792314</v>
      </c>
      <c r="Q29" s="235">
        <f t="shared" si="9"/>
        <v>420.39250614000002</v>
      </c>
      <c r="R29" s="239">
        <f t="shared" si="9"/>
        <v>692.89380317275391</v>
      </c>
      <c r="S29" s="234">
        <f t="shared" si="9"/>
        <v>460.98713033999991</v>
      </c>
      <c r="T29" s="235">
        <f t="shared" si="9"/>
        <v>552.60878940000009</v>
      </c>
      <c r="U29" s="235">
        <f t="shared" si="9"/>
        <v>539.07908885999984</v>
      </c>
      <c r="V29" s="235">
        <f t="shared" si="9"/>
        <v>483.57137429999995</v>
      </c>
      <c r="W29" s="234">
        <f t="shared" si="9"/>
        <v>618.95265263999988</v>
      </c>
      <c r="X29" s="235">
        <f t="shared" si="9"/>
        <v>405.69939287999955</v>
      </c>
      <c r="Y29" s="235">
        <f t="shared" si="9"/>
        <v>702.09206675999997</v>
      </c>
      <c r="Z29" s="235">
        <f t="shared" si="9"/>
        <v>380.02900717739954</v>
      </c>
      <c r="AA29" s="239">
        <f t="shared" si="9"/>
        <v>827.53951751999989</v>
      </c>
      <c r="AB29" s="234">
        <f t="shared" si="9"/>
        <v>308.50870793811885</v>
      </c>
      <c r="AC29" s="235">
        <f t="shared" si="9"/>
        <v>1059.4755736199998</v>
      </c>
      <c r="AD29" s="235">
        <f t="shared" si="9"/>
        <v>290.98665676764818</v>
      </c>
      <c r="AE29" s="239">
        <f t="shared" si="9"/>
        <v>776.81033477999995</v>
      </c>
      <c r="AF29" s="234">
        <f t="shared" si="9"/>
        <v>435.49191420692961</v>
      </c>
      <c r="AG29" s="235">
        <f t="shared" si="9"/>
        <v>395.89178274000039</v>
      </c>
      <c r="AH29" s="235">
        <f t="shared" si="9"/>
        <v>581.94037386000048</v>
      </c>
      <c r="AI29" s="235">
        <f t="shared" si="9"/>
        <v>562.00144027405076</v>
      </c>
      <c r="AJ29" s="239">
        <f t="shared" si="9"/>
        <v>595.17401940000036</v>
      </c>
      <c r="AK29" s="234">
        <f t="shared" si="9"/>
        <v>786.6826824351258</v>
      </c>
      <c r="AL29" s="235">
        <f t="shared" si="9"/>
        <v>687.95880120000015</v>
      </c>
      <c r="AM29" s="235">
        <f t="shared" si="9"/>
        <v>594.3001505610755</v>
      </c>
      <c r="AN29" s="239">
        <f t="shared" si="9"/>
        <v>718.8534064800001</v>
      </c>
      <c r="AO29" s="234">
        <f t="shared" si="9"/>
        <v>391.30279756010049</v>
      </c>
      <c r="AP29" s="235">
        <f t="shared" si="9"/>
        <v>561.13750782000022</v>
      </c>
      <c r="AQ29" s="235">
        <f t="shared" si="9"/>
        <v>470.34877634079191</v>
      </c>
      <c r="AR29" s="239">
        <f t="shared" si="9"/>
        <v>481.04733929391284</v>
      </c>
      <c r="AS29" s="234">
        <f t="shared" si="9"/>
        <v>692.94053512046992</v>
      </c>
      <c r="AT29" s="235">
        <f t="shared" si="9"/>
        <v>561.88669822242969</v>
      </c>
      <c r="AU29" s="235">
        <f t="shared" si="9"/>
        <v>954.97468202477717</v>
      </c>
      <c r="AV29" s="235">
        <f t="shared" si="9"/>
        <v>599.06964091346254</v>
      </c>
      <c r="AW29" s="239">
        <f t="shared" si="9"/>
        <v>967.04112863433784</v>
      </c>
      <c r="AX29" s="234">
        <f t="shared" si="9"/>
        <v>562.73589272759932</v>
      </c>
      <c r="AY29" s="235">
        <f t="shared" si="9"/>
        <v>939.27273698696729</v>
      </c>
      <c r="AZ29" s="235">
        <f t="shared" si="9"/>
        <v>454.49010743507063</v>
      </c>
      <c r="BA29" s="239">
        <f t="shared" si="9"/>
        <v>782.47902077431263</v>
      </c>
    </row>
    <row r="30" spans="1:54" ht="14.25" customHeight="1" x14ac:dyDescent="0.25">
      <c r="A30" s="241" t="s">
        <v>417</v>
      </c>
      <c r="B30" s="242">
        <f t="shared" ref="B30:AG30" si="10">SUM(B26:B26)+(SUM(B28:B29))</f>
        <v>727.67367400000001</v>
      </c>
      <c r="C30" s="243">
        <f t="shared" si="10"/>
        <v>2612.1420406000079</v>
      </c>
      <c r="D30" s="243">
        <f t="shared" si="10"/>
        <v>2199.0530197216372</v>
      </c>
      <c r="E30" s="244">
        <f t="shared" si="10"/>
        <v>2936.2192834805842</v>
      </c>
      <c r="F30" s="242">
        <f t="shared" si="10"/>
        <v>2163.0574284621307</v>
      </c>
      <c r="G30" s="243">
        <f t="shared" si="10"/>
        <v>1450.2754324947</v>
      </c>
      <c r="H30" s="243">
        <f t="shared" si="10"/>
        <v>1781.4105384017776</v>
      </c>
      <c r="I30" s="244">
        <f t="shared" si="10"/>
        <v>3082.4604428377816</v>
      </c>
      <c r="J30" s="242">
        <f t="shared" si="10"/>
        <v>2685.8514024882493</v>
      </c>
      <c r="K30" s="243">
        <f t="shared" si="10"/>
        <v>1738.2845751901925</v>
      </c>
      <c r="L30" s="243">
        <f t="shared" si="10"/>
        <v>2218.3742397597421</v>
      </c>
      <c r="M30" s="243">
        <f t="shared" si="10"/>
        <v>2771.8293868199225</v>
      </c>
      <c r="N30" s="244">
        <f t="shared" si="10"/>
        <v>2987.2616236123149</v>
      </c>
      <c r="O30" s="242">
        <f t="shared" si="10"/>
        <v>2070.2416050681491</v>
      </c>
      <c r="P30" s="243">
        <f t="shared" si="10"/>
        <v>2796.5690608980985</v>
      </c>
      <c r="Q30" s="243">
        <f t="shared" si="10"/>
        <v>2857.8669763405151</v>
      </c>
      <c r="R30" s="244">
        <f t="shared" si="10"/>
        <v>2863.6575751107275</v>
      </c>
      <c r="S30" s="242">
        <f t="shared" si="10"/>
        <v>2437.7386830246442</v>
      </c>
      <c r="T30" s="243">
        <f t="shared" si="10"/>
        <v>1906.1026484354245</v>
      </c>
      <c r="U30" s="243">
        <f t="shared" si="10"/>
        <v>2707.0395905570754</v>
      </c>
      <c r="V30" s="243">
        <f t="shared" si="10"/>
        <v>3449.3101326490541</v>
      </c>
      <c r="W30" s="242">
        <f t="shared" si="10"/>
        <v>3359.8719602400033</v>
      </c>
      <c r="X30" s="243">
        <f t="shared" si="10"/>
        <v>1719.3007165589336</v>
      </c>
      <c r="Y30" s="243">
        <f t="shared" si="10"/>
        <v>2166.1730905600066</v>
      </c>
      <c r="Z30" s="243">
        <f t="shared" si="10"/>
        <v>2132.6853023774033</v>
      </c>
      <c r="AA30" s="244">
        <f t="shared" si="10"/>
        <v>3153.1382907200004</v>
      </c>
      <c r="AB30" s="242">
        <f t="shared" si="10"/>
        <v>2510.2526913381189</v>
      </c>
      <c r="AC30" s="243">
        <f t="shared" si="10"/>
        <v>2755.4589382199997</v>
      </c>
      <c r="AD30" s="243">
        <f t="shared" si="10"/>
        <v>2081.5325882351276</v>
      </c>
      <c r="AE30" s="244">
        <f t="shared" si="10"/>
        <v>3693.9219701417792</v>
      </c>
      <c r="AF30" s="242">
        <f t="shared" si="10"/>
        <v>2539.1605606069297</v>
      </c>
      <c r="AG30" s="243">
        <f t="shared" si="10"/>
        <v>2715.4313363399933</v>
      </c>
      <c r="AH30" s="243">
        <f t="shared" ref="AH30:BM30" si="11">SUM(AH26:AH26)+(SUM(AH28:AH29))</f>
        <v>3610.1332501921192</v>
      </c>
      <c r="AI30" s="243">
        <f t="shared" si="11"/>
        <v>3850.4743130163888</v>
      </c>
      <c r="AJ30" s="244">
        <f t="shared" si="11"/>
        <v>2937.2868584000003</v>
      </c>
      <c r="AK30" s="242">
        <f t="shared" si="11"/>
        <v>2531.8495601541672</v>
      </c>
      <c r="AL30" s="243">
        <f t="shared" si="11"/>
        <v>2501.7314637571808</v>
      </c>
      <c r="AM30" s="243">
        <f t="shared" si="11"/>
        <v>2792.5147781651426</v>
      </c>
      <c r="AN30" s="244">
        <f t="shared" si="11"/>
        <v>3774.1697787091666</v>
      </c>
      <c r="AO30" s="242">
        <f t="shared" si="11"/>
        <v>2991.5927440823225</v>
      </c>
      <c r="AP30" s="243">
        <f t="shared" si="11"/>
        <v>2371.4180334086141</v>
      </c>
      <c r="AQ30" s="243">
        <f t="shared" si="11"/>
        <v>2727.7010111167929</v>
      </c>
      <c r="AR30" s="244">
        <f t="shared" si="11"/>
        <v>3618.5595522466951</v>
      </c>
      <c r="AS30" s="242">
        <f t="shared" si="11"/>
        <v>3009.0554512798367</v>
      </c>
      <c r="AT30" s="243">
        <f t="shared" si="11"/>
        <v>1750.7873493639172</v>
      </c>
      <c r="AU30" s="243">
        <f t="shared" si="11"/>
        <v>2568.5386592494779</v>
      </c>
      <c r="AV30" s="243">
        <f t="shared" si="11"/>
        <v>2598.0135406255622</v>
      </c>
      <c r="AW30" s="244">
        <f t="shared" si="11"/>
        <v>3592.3616620750422</v>
      </c>
      <c r="AX30" s="242">
        <f t="shared" si="11"/>
        <v>2355.9860828450319</v>
      </c>
      <c r="AY30" s="243">
        <f t="shared" si="11"/>
        <v>1862.7195826313491</v>
      </c>
      <c r="AZ30" s="243">
        <f t="shared" si="11"/>
        <v>1605.993850223445</v>
      </c>
      <c r="BA30" s="244">
        <f t="shared" si="11"/>
        <v>2382.9634292777423</v>
      </c>
    </row>
    <row r="31" spans="1:54" ht="14.25" customHeight="1" x14ac:dyDescent="0.25">
      <c r="B31" s="245"/>
      <c r="C31" s="246"/>
      <c r="D31" s="246"/>
      <c r="E31" s="247"/>
      <c r="F31" s="245"/>
      <c r="G31" s="246"/>
      <c r="H31" s="246"/>
      <c r="I31" s="247"/>
      <c r="J31" s="245"/>
      <c r="K31" s="246"/>
      <c r="L31" s="246"/>
      <c r="M31" s="246"/>
      <c r="N31" s="247"/>
      <c r="O31" s="245"/>
      <c r="P31" s="246"/>
      <c r="Q31" s="246"/>
      <c r="R31" s="247"/>
      <c r="S31" s="245"/>
      <c r="T31" s="246"/>
      <c r="U31" s="246"/>
      <c r="V31" s="246"/>
      <c r="W31" s="245"/>
      <c r="X31" s="246"/>
      <c r="Y31" s="246"/>
      <c r="Z31" s="246"/>
      <c r="AA31" s="247"/>
      <c r="AB31" s="245"/>
      <c r="AC31" s="246"/>
      <c r="AD31" s="246"/>
      <c r="AE31" s="247"/>
      <c r="AF31" s="245"/>
      <c r="AG31" s="246"/>
      <c r="AH31" s="246"/>
      <c r="AI31" s="246"/>
      <c r="AJ31" s="247"/>
      <c r="AK31" s="245"/>
      <c r="AL31" s="246"/>
      <c r="AM31" s="246"/>
      <c r="AN31" s="247"/>
      <c r="AO31" s="245"/>
      <c r="AP31" s="246"/>
      <c r="AQ31" s="246"/>
      <c r="AR31" s="247"/>
      <c r="AS31" s="245"/>
      <c r="AT31" s="246"/>
      <c r="AU31" s="246"/>
      <c r="AV31" s="246"/>
      <c r="AW31" s="247"/>
      <c r="AX31" s="245"/>
      <c r="AY31" s="246"/>
      <c r="AZ31" s="246"/>
      <c r="BA31" s="247"/>
    </row>
    <row r="32" spans="1:54" ht="14.25" customHeight="1" x14ac:dyDescent="0.25">
      <c r="A32" s="241" t="s">
        <v>418</v>
      </c>
      <c r="B32" s="242">
        <f t="shared" ref="B32:AG32" si="12">B30/$A$33</f>
        <v>207.90676400000001</v>
      </c>
      <c r="C32" s="243">
        <f t="shared" si="12"/>
        <v>746.32629731428801</v>
      </c>
      <c r="D32" s="243">
        <f t="shared" si="12"/>
        <v>628.30086277761063</v>
      </c>
      <c r="E32" s="244">
        <f t="shared" si="12"/>
        <v>838.91979528016691</v>
      </c>
      <c r="F32" s="242">
        <f t="shared" si="12"/>
        <v>618.01640813203733</v>
      </c>
      <c r="G32" s="243">
        <f t="shared" si="12"/>
        <v>414.36440928420001</v>
      </c>
      <c r="H32" s="243">
        <f t="shared" si="12"/>
        <v>508.97443954336501</v>
      </c>
      <c r="I32" s="244">
        <f t="shared" si="12"/>
        <v>880.70298366793759</v>
      </c>
      <c r="J32" s="242">
        <f t="shared" si="12"/>
        <v>767.38611499664262</v>
      </c>
      <c r="K32" s="243">
        <f t="shared" si="12"/>
        <v>496.65273576862643</v>
      </c>
      <c r="L32" s="243">
        <f t="shared" si="12"/>
        <v>633.82121135992634</v>
      </c>
      <c r="M32" s="243">
        <f t="shared" si="12"/>
        <v>791.95125337712068</v>
      </c>
      <c r="N32" s="244">
        <f t="shared" si="12"/>
        <v>853.50332103208996</v>
      </c>
      <c r="O32" s="242">
        <f t="shared" si="12"/>
        <v>591.49760144804259</v>
      </c>
      <c r="P32" s="243">
        <f t="shared" si="12"/>
        <v>799.019731685171</v>
      </c>
      <c r="Q32" s="243">
        <f t="shared" si="12"/>
        <v>816.53342181157575</v>
      </c>
      <c r="R32" s="244">
        <f t="shared" si="12"/>
        <v>818.18787860306497</v>
      </c>
      <c r="S32" s="242">
        <f t="shared" si="12"/>
        <v>696.49676657846976</v>
      </c>
      <c r="T32" s="243">
        <f t="shared" si="12"/>
        <v>544.60075669583557</v>
      </c>
      <c r="U32" s="243">
        <f t="shared" si="12"/>
        <v>773.43988301630725</v>
      </c>
      <c r="V32" s="243">
        <f t="shared" si="12"/>
        <v>985.51718075687256</v>
      </c>
      <c r="W32" s="242">
        <f t="shared" si="12"/>
        <v>959.96341721142949</v>
      </c>
      <c r="X32" s="243">
        <f t="shared" si="12"/>
        <v>491.22877615969531</v>
      </c>
      <c r="Y32" s="243">
        <f t="shared" si="12"/>
        <v>618.90659730285904</v>
      </c>
      <c r="Z32" s="243">
        <f t="shared" si="12"/>
        <v>609.33865782211524</v>
      </c>
      <c r="AA32" s="244">
        <f t="shared" si="12"/>
        <v>900.89665449142865</v>
      </c>
      <c r="AB32" s="242">
        <f t="shared" si="12"/>
        <v>717.21505466803399</v>
      </c>
      <c r="AC32" s="243">
        <f t="shared" si="12"/>
        <v>787.27398234857139</v>
      </c>
      <c r="AD32" s="243">
        <f t="shared" si="12"/>
        <v>594.72359663860789</v>
      </c>
      <c r="AE32" s="244">
        <f t="shared" si="12"/>
        <v>1055.4062771833655</v>
      </c>
      <c r="AF32" s="242">
        <f t="shared" si="12"/>
        <v>725.47444588769417</v>
      </c>
      <c r="AG32" s="243">
        <f t="shared" si="12"/>
        <v>775.83752466856947</v>
      </c>
      <c r="AH32" s="243">
        <f t="shared" ref="AH32:BA32" si="13">AH30/$A$33</f>
        <v>1031.4666429120341</v>
      </c>
      <c r="AI32" s="243">
        <f t="shared" si="13"/>
        <v>1100.1355180046826</v>
      </c>
      <c r="AJ32" s="244">
        <f t="shared" si="13"/>
        <v>839.22481668571436</v>
      </c>
      <c r="AK32" s="242">
        <f t="shared" si="13"/>
        <v>723.38558861547631</v>
      </c>
      <c r="AL32" s="243">
        <f t="shared" si="13"/>
        <v>714.78041821633735</v>
      </c>
      <c r="AM32" s="243">
        <f t="shared" si="13"/>
        <v>797.86136519004071</v>
      </c>
      <c r="AN32" s="244">
        <f t="shared" si="13"/>
        <v>1078.3342224883334</v>
      </c>
      <c r="AO32" s="242">
        <f t="shared" si="13"/>
        <v>854.74078402352075</v>
      </c>
      <c r="AP32" s="243">
        <f t="shared" si="13"/>
        <v>677.54800954531834</v>
      </c>
      <c r="AQ32" s="243">
        <f t="shared" si="13"/>
        <v>779.34314603336941</v>
      </c>
      <c r="AR32" s="244">
        <f t="shared" si="13"/>
        <v>1033.87415778477</v>
      </c>
      <c r="AS32" s="242">
        <f t="shared" si="13"/>
        <v>859.7301289370962</v>
      </c>
      <c r="AT32" s="243">
        <f t="shared" si="13"/>
        <v>500.22495696111918</v>
      </c>
      <c r="AU32" s="243">
        <f t="shared" si="13"/>
        <v>733.86818835699364</v>
      </c>
      <c r="AV32" s="243">
        <f t="shared" si="13"/>
        <v>742.2895830358749</v>
      </c>
      <c r="AW32" s="244">
        <f t="shared" si="13"/>
        <v>1026.389046307155</v>
      </c>
      <c r="AX32" s="242">
        <f t="shared" si="13"/>
        <v>673.1388808128662</v>
      </c>
      <c r="AY32" s="243">
        <f t="shared" si="13"/>
        <v>532.20559503752827</v>
      </c>
      <c r="AZ32" s="243">
        <f t="shared" si="13"/>
        <v>458.85538577812713</v>
      </c>
      <c r="BA32" s="244">
        <f t="shared" si="13"/>
        <v>680.84669407935496</v>
      </c>
    </row>
    <row r="33" spans="1:40" ht="14.25" customHeight="1" x14ac:dyDescent="0.25">
      <c r="A33" s="248">
        <v>3.5</v>
      </c>
      <c r="R33" s="196">
        <f>SUM(O32:R32)</f>
        <v>3025.2386335478541</v>
      </c>
      <c r="V33" s="196">
        <f>SUM(S32:V32)</f>
        <v>3000.0545870474853</v>
      </c>
    </row>
    <row r="34" spans="1:40" ht="14.25" customHeight="1" x14ac:dyDescent="0.25">
      <c r="AB34" s="196"/>
      <c r="AC34" s="196"/>
      <c r="AD34" s="196"/>
      <c r="AE34" s="196"/>
      <c r="AG34" s="196"/>
      <c r="AH34" s="196"/>
      <c r="AI34" s="196"/>
      <c r="AJ34" s="106"/>
      <c r="AK34" s="106"/>
      <c r="AL34" s="196"/>
      <c r="AM34" s="196"/>
      <c r="AN34" s="196"/>
    </row>
    <row r="35" spans="1:40" ht="14.25" customHeight="1" x14ac:dyDescent="0.25">
      <c r="A35" s="78" t="s">
        <v>419</v>
      </c>
      <c r="AB35" s="196"/>
      <c r="AC35" s="196"/>
      <c r="AD35" s="196"/>
      <c r="AE35" s="196"/>
      <c r="AH35" s="196"/>
      <c r="AI35" s="196"/>
      <c r="AJ35" s="106"/>
      <c r="AK35" s="106"/>
      <c r="AL35" s="196"/>
      <c r="AM35" s="196"/>
      <c r="AN35" s="196"/>
    </row>
    <row r="36" spans="1:40" ht="14.25" customHeight="1" x14ac:dyDescent="0.25">
      <c r="A36" s="78" t="s">
        <v>420</v>
      </c>
      <c r="AB36" s="196"/>
      <c r="AC36" s="196"/>
      <c r="AD36" s="196"/>
      <c r="AE36" s="196"/>
      <c r="AH36" s="196"/>
      <c r="AI36" s="196"/>
      <c r="AJ36" s="106"/>
      <c r="AK36" s="106"/>
      <c r="AL36" s="196"/>
      <c r="AM36" s="196"/>
      <c r="AN36" s="196"/>
    </row>
    <row r="37" spans="1:40" ht="14.25" customHeight="1" x14ac:dyDescent="0.25">
      <c r="A37" s="78" t="s">
        <v>421</v>
      </c>
      <c r="K37" s="196"/>
      <c r="L37" s="196"/>
      <c r="M37" s="196"/>
      <c r="N37" s="196"/>
      <c r="AC37" s="196"/>
      <c r="AD37" s="196"/>
      <c r="AE37" s="196"/>
      <c r="AI37" s="196"/>
      <c r="AJ37" s="196"/>
      <c r="AL37" s="196"/>
      <c r="AM37" s="196"/>
      <c r="AN37" s="196"/>
    </row>
    <row r="38" spans="1:40" ht="14.25" customHeight="1" x14ac:dyDescent="0.25">
      <c r="K38" s="196"/>
      <c r="L38" s="196"/>
      <c r="M38" s="196"/>
      <c r="N38" s="196"/>
    </row>
    <row r="39" spans="1:40" ht="14.25" customHeight="1" x14ac:dyDescent="0.25">
      <c r="AB39" s="196"/>
      <c r="AC39" s="196"/>
      <c r="AD39" s="196"/>
      <c r="AE39" s="196"/>
      <c r="AF39" s="196"/>
      <c r="AG39" s="196"/>
      <c r="AH39" s="196"/>
    </row>
    <row r="41" spans="1:40" ht="14.25" customHeight="1" x14ac:dyDescent="0.25">
      <c r="AB41" s="196"/>
      <c r="AC41" s="196"/>
      <c r="AD41" s="196"/>
      <c r="AE41" s="196"/>
      <c r="AF41" s="196"/>
      <c r="AG41" s="196"/>
      <c r="AH41" s="196"/>
    </row>
  </sheetData>
  <mergeCells count="12">
    <mergeCell ref="AS21:AW21"/>
    <mergeCell ref="AX21:BA21"/>
    <mergeCell ref="W21:AA21"/>
    <mergeCell ref="AB21:AE21"/>
    <mergeCell ref="AF21:AJ21"/>
    <mergeCell ref="AK21:AN21"/>
    <mergeCell ref="AO21:AR21"/>
    <mergeCell ref="B21:E21"/>
    <mergeCell ref="F21:I21"/>
    <mergeCell ref="J21:N21"/>
    <mergeCell ref="O21:R21"/>
    <mergeCell ref="S21:V21"/>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A6A6"/>
  </sheetPr>
  <dimension ref="A1:AF31"/>
  <sheetViews>
    <sheetView tabSelected="1" zoomScaleNormal="100" workbookViewId="0">
      <selection activeCell="K23" sqref="K23"/>
    </sheetView>
  </sheetViews>
  <sheetFormatPr baseColWidth="10" defaultColWidth="10.6640625" defaultRowHeight="13.2" x14ac:dyDescent="0.25"/>
  <cols>
    <col min="1" max="1" width="27" customWidth="1"/>
    <col min="2" max="2" width="10.77734375" customWidth="1"/>
    <col min="10" max="10" width="17.109375" customWidth="1"/>
    <col min="11" max="11" width="14.33203125" customWidth="1"/>
    <col min="12" max="12" width="12.6640625" customWidth="1"/>
    <col min="13" max="13" width="16.88671875" customWidth="1"/>
    <col min="14" max="15" width="12.6640625" customWidth="1"/>
    <col min="16" max="26" width="11.44140625" customWidth="1"/>
  </cols>
  <sheetData>
    <row r="1" spans="1:32" ht="13.5" customHeight="1" x14ac:dyDescent="0.25">
      <c r="L1" s="3"/>
      <c r="M1" s="3"/>
      <c r="N1" s="3"/>
      <c r="O1" s="3"/>
      <c r="P1" s="3"/>
      <c r="Q1" s="3"/>
      <c r="R1" s="3"/>
      <c r="S1" s="3"/>
      <c r="T1" s="3"/>
      <c r="U1" s="3"/>
      <c r="V1" s="3"/>
      <c r="W1" s="3"/>
      <c r="X1" s="3"/>
      <c r="Y1" s="3"/>
      <c r="Z1" s="3"/>
      <c r="AA1" s="3"/>
    </row>
    <row r="2" spans="1:32" ht="13.5" customHeight="1" x14ac:dyDescent="0.3">
      <c r="A2" s="250"/>
      <c r="B2" s="250"/>
      <c r="J2" s="2" t="s">
        <v>422</v>
      </c>
      <c r="K2" s="2"/>
      <c r="M2" s="251" t="s">
        <v>423</v>
      </c>
      <c r="N2" s="252">
        <v>2021</v>
      </c>
      <c r="O2" s="252">
        <v>2022</v>
      </c>
      <c r="P2" s="251">
        <v>2023</v>
      </c>
      <c r="Q2" s="251">
        <v>2024</v>
      </c>
      <c r="R2" s="251">
        <v>2025</v>
      </c>
    </row>
    <row r="3" spans="1:32" ht="14.25" customHeight="1" x14ac:dyDescent="0.3">
      <c r="A3" s="253" t="s">
        <v>424</v>
      </c>
      <c r="B3" s="253"/>
      <c r="C3" s="253"/>
      <c r="H3" s="254"/>
      <c r="J3" s="251" t="s">
        <v>58</v>
      </c>
      <c r="K3" s="255">
        <v>0.25</v>
      </c>
      <c r="M3" s="251" t="s">
        <v>425</v>
      </c>
      <c r="N3" s="256">
        <v>0.11</v>
      </c>
      <c r="O3" s="256">
        <v>0.125</v>
      </c>
      <c r="P3" s="256">
        <v>0.15</v>
      </c>
      <c r="Q3" s="256">
        <v>0.17</v>
      </c>
      <c r="R3" s="256">
        <f>+Q3</f>
        <v>0.17</v>
      </c>
    </row>
    <row r="4" spans="1:32" ht="13.5" customHeight="1" x14ac:dyDescent="0.3">
      <c r="A4" s="257"/>
      <c r="B4" s="257">
        <v>2022</v>
      </c>
      <c r="C4" s="257">
        <v>2023</v>
      </c>
      <c r="D4" s="257">
        <v>2024</v>
      </c>
      <c r="E4" s="253" t="s">
        <v>426</v>
      </c>
      <c r="F4" s="253" t="s">
        <v>427</v>
      </c>
      <c r="G4" s="253" t="s">
        <v>428</v>
      </c>
      <c r="H4" s="253" t="s">
        <v>429</v>
      </c>
      <c r="J4" s="2" t="s">
        <v>430</v>
      </c>
      <c r="K4" s="2"/>
      <c r="M4" s="251" t="s">
        <v>431</v>
      </c>
      <c r="N4" s="256">
        <f>100%-N3</f>
        <v>0.89</v>
      </c>
      <c r="O4" s="256">
        <f>100%-O3</f>
        <v>0.875</v>
      </c>
      <c r="P4" s="256">
        <f>100%-P3</f>
        <v>0.85</v>
      </c>
      <c r="Q4" s="256">
        <f>100%-Q3</f>
        <v>0.83</v>
      </c>
      <c r="R4" s="256">
        <f>100%-R3</f>
        <v>0.83</v>
      </c>
    </row>
    <row r="5" spans="1:32" x14ac:dyDescent="0.25">
      <c r="A5" s="251" t="s">
        <v>432</v>
      </c>
      <c r="B5" s="255"/>
      <c r="C5" s="255"/>
      <c r="D5" s="255">
        <v>1</v>
      </c>
      <c r="E5" s="258">
        <v>1</v>
      </c>
      <c r="F5" s="258">
        <v>1</v>
      </c>
      <c r="G5" s="258">
        <v>1</v>
      </c>
      <c r="H5" s="258">
        <v>1</v>
      </c>
      <c r="J5" s="251" t="s">
        <v>58</v>
      </c>
      <c r="K5" s="255">
        <v>9.5000000000000001E-2</v>
      </c>
    </row>
    <row r="6" spans="1:32" x14ac:dyDescent="0.25">
      <c r="A6" s="251" t="s">
        <v>433</v>
      </c>
      <c r="B6" s="255"/>
      <c r="C6" s="255"/>
      <c r="D6" s="255">
        <v>0</v>
      </c>
      <c r="E6" s="258">
        <v>0</v>
      </c>
      <c r="F6" s="258">
        <v>0</v>
      </c>
      <c r="G6" s="258">
        <v>0</v>
      </c>
      <c r="H6" s="258">
        <v>0</v>
      </c>
      <c r="N6" s="116"/>
      <c r="O6" s="116"/>
      <c r="P6" s="116"/>
      <c r="Q6" s="116"/>
    </row>
    <row r="7" spans="1:32" ht="13.5" customHeight="1" x14ac:dyDescent="0.25">
      <c r="C7" s="259"/>
      <c r="D7" s="249"/>
      <c r="E7" s="249"/>
      <c r="F7" s="249"/>
      <c r="G7" s="249"/>
      <c r="H7" s="249"/>
      <c r="N7" s="116"/>
      <c r="O7" s="116"/>
      <c r="P7" s="116"/>
      <c r="Q7" s="116"/>
      <c r="AF7" s="260"/>
    </row>
    <row r="8" spans="1:32" ht="13.5" customHeight="1" x14ac:dyDescent="0.3">
      <c r="A8" s="2" t="s">
        <v>434</v>
      </c>
      <c r="B8" s="2"/>
      <c r="C8" s="2"/>
      <c r="D8" s="2"/>
      <c r="E8" s="1"/>
      <c r="F8" s="1"/>
      <c r="G8" s="1"/>
      <c r="H8" s="249"/>
      <c r="N8" s="116"/>
      <c r="O8" s="116"/>
      <c r="P8" s="116"/>
      <c r="Q8" s="116"/>
      <c r="AF8" s="260"/>
    </row>
    <row r="9" spans="1:32" ht="13.5" customHeight="1" x14ac:dyDescent="0.3">
      <c r="A9" s="252"/>
      <c r="B9" s="261" t="s">
        <v>435</v>
      </c>
      <c r="C9" s="261" t="s">
        <v>436</v>
      </c>
      <c r="D9" s="261" t="s">
        <v>437</v>
      </c>
      <c r="E9" s="253" t="s">
        <v>426</v>
      </c>
      <c r="F9" s="253" t="s">
        <v>427</v>
      </c>
      <c r="G9" s="253" t="s">
        <v>428</v>
      </c>
      <c r="H9" s="253" t="s">
        <v>429</v>
      </c>
      <c r="N9" s="116"/>
      <c r="O9" s="116"/>
      <c r="P9" s="116"/>
      <c r="Q9" s="116"/>
      <c r="AF9" s="260"/>
    </row>
    <row r="10" spans="1:32" x14ac:dyDescent="0.25">
      <c r="A10" s="251" t="s">
        <v>438</v>
      </c>
      <c r="B10" s="255"/>
      <c r="C10" s="255"/>
      <c r="D10" s="255">
        <v>0.3</v>
      </c>
      <c r="E10" s="258">
        <v>0.3</v>
      </c>
      <c r="F10" s="258">
        <v>0.3</v>
      </c>
      <c r="G10" s="258">
        <v>0.3</v>
      </c>
      <c r="H10" s="258">
        <v>0.3</v>
      </c>
      <c r="N10" s="116"/>
      <c r="O10" s="116"/>
      <c r="P10" s="116"/>
      <c r="Q10" s="116"/>
      <c r="AF10" s="260"/>
    </row>
    <row r="11" spans="1:32" x14ac:dyDescent="0.25">
      <c r="A11" s="251" t="s">
        <v>439</v>
      </c>
      <c r="B11" s="255"/>
      <c r="C11" s="255"/>
      <c r="D11" s="255">
        <v>0.7</v>
      </c>
      <c r="E11" s="258">
        <v>0.7</v>
      </c>
      <c r="F11" s="258">
        <v>0.7</v>
      </c>
      <c r="G11" s="258">
        <v>0.7</v>
      </c>
      <c r="H11" s="258">
        <v>0.7</v>
      </c>
      <c r="N11" s="116"/>
      <c r="O11" s="116"/>
      <c r="P11" s="116"/>
      <c r="Q11" s="116"/>
      <c r="AF11" s="260"/>
    </row>
    <row r="12" spans="1:32" x14ac:dyDescent="0.25">
      <c r="A12" s="262"/>
      <c r="B12" s="263"/>
      <c r="C12" s="263"/>
      <c r="D12" s="263"/>
      <c r="E12" s="263"/>
      <c r="F12" s="263"/>
      <c r="G12" s="263"/>
      <c r="H12" s="263"/>
      <c r="N12" s="116"/>
      <c r="O12" s="116"/>
      <c r="P12" s="116"/>
      <c r="Q12" s="116"/>
      <c r="AF12" s="260"/>
    </row>
    <row r="13" spans="1:32" x14ac:dyDescent="0.25">
      <c r="A13" s="262"/>
      <c r="B13" s="263"/>
      <c r="C13" s="263"/>
      <c r="D13" s="263"/>
      <c r="E13" s="263"/>
      <c r="F13" s="263"/>
      <c r="G13" s="263"/>
      <c r="H13" s="263"/>
      <c r="N13" s="116"/>
      <c r="O13" s="116"/>
      <c r="P13" s="116"/>
      <c r="Q13" s="116"/>
      <c r="AF13" s="260"/>
    </row>
    <row r="14" spans="1:32" ht="14.25" customHeight="1" x14ac:dyDescent="0.3">
      <c r="A14" s="264" t="s">
        <v>440</v>
      </c>
      <c r="B14" s="265"/>
    </row>
    <row r="15" spans="1:32" ht="14.25" customHeight="1" x14ac:dyDescent="0.3">
      <c r="A15" s="266"/>
      <c r="B15" s="267" t="s">
        <v>435</v>
      </c>
      <c r="C15" s="267" t="s">
        <v>441</v>
      </c>
      <c r="D15" s="267" t="s">
        <v>442</v>
      </c>
      <c r="E15" s="253" t="s">
        <v>426</v>
      </c>
      <c r="F15" s="253" t="s">
        <v>427</v>
      </c>
      <c r="G15" s="253" t="s">
        <v>428</v>
      </c>
      <c r="H15" s="253" t="s">
        <v>429</v>
      </c>
    </row>
    <row r="16" spans="1:32" x14ac:dyDescent="0.25">
      <c r="A16" s="268" t="s">
        <v>443</v>
      </c>
      <c r="B16" s="269">
        <f t="shared" ref="B16:H16" si="0">75%*(B11-B18)</f>
        <v>0</v>
      </c>
      <c r="C16" s="269">
        <f t="shared" si="0"/>
        <v>0</v>
      </c>
      <c r="D16" s="269">
        <f t="shared" si="0"/>
        <v>0</v>
      </c>
      <c r="E16" s="269">
        <f t="shared" si="0"/>
        <v>0</v>
      </c>
      <c r="F16" s="269">
        <f t="shared" si="0"/>
        <v>0</v>
      </c>
      <c r="G16" s="269">
        <f t="shared" si="0"/>
        <v>0</v>
      </c>
      <c r="H16" s="269">
        <f t="shared" si="0"/>
        <v>0</v>
      </c>
      <c r="I16" s="270"/>
    </row>
    <row r="17" spans="1:32" x14ac:dyDescent="0.25">
      <c r="A17" s="271" t="s">
        <v>444</v>
      </c>
      <c r="B17" s="269">
        <f t="shared" ref="B17:H17" si="1">25%*(B11-B18)</f>
        <v>0</v>
      </c>
      <c r="C17" s="269">
        <f t="shared" si="1"/>
        <v>0</v>
      </c>
      <c r="D17" s="269">
        <f t="shared" si="1"/>
        <v>0</v>
      </c>
      <c r="E17" s="269">
        <f t="shared" si="1"/>
        <v>0</v>
      </c>
      <c r="F17" s="269">
        <f t="shared" si="1"/>
        <v>0</v>
      </c>
      <c r="G17" s="269">
        <f t="shared" si="1"/>
        <v>0</v>
      </c>
      <c r="H17" s="269">
        <f t="shared" si="1"/>
        <v>0</v>
      </c>
      <c r="I17" s="270"/>
    </row>
    <row r="18" spans="1:32" ht="13.5" customHeight="1" x14ac:dyDescent="0.3">
      <c r="A18" s="271" t="s">
        <v>445</v>
      </c>
      <c r="B18" s="269">
        <f t="shared" ref="B18:H18" si="2">+B5*B11</f>
        <v>0</v>
      </c>
      <c r="C18" s="269">
        <f t="shared" si="2"/>
        <v>0</v>
      </c>
      <c r="D18" s="269">
        <f t="shared" si="2"/>
        <v>0.7</v>
      </c>
      <c r="E18" s="269">
        <f t="shared" si="2"/>
        <v>0.7</v>
      </c>
      <c r="F18" s="269">
        <f t="shared" si="2"/>
        <v>0.7</v>
      </c>
      <c r="G18" s="269">
        <f t="shared" si="2"/>
        <v>0.7</v>
      </c>
      <c r="H18" s="269">
        <f t="shared" si="2"/>
        <v>0.7</v>
      </c>
      <c r="I18" s="270"/>
      <c r="R18" s="249"/>
      <c r="S18" s="249"/>
      <c r="T18" s="249"/>
      <c r="U18" s="249"/>
      <c r="V18" s="249"/>
      <c r="W18" s="249"/>
      <c r="X18" s="249"/>
      <c r="Y18" s="249"/>
      <c r="Z18" s="249"/>
      <c r="AA18" s="272"/>
    </row>
    <row r="19" spans="1:32" ht="13.5" customHeight="1" x14ac:dyDescent="0.25">
      <c r="A19" s="273" t="s">
        <v>174</v>
      </c>
      <c r="B19" s="274">
        <f t="shared" ref="B19:H19" si="3">+B10</f>
        <v>0</v>
      </c>
      <c r="C19" s="274">
        <f t="shared" si="3"/>
        <v>0</v>
      </c>
      <c r="D19" s="274">
        <f t="shared" si="3"/>
        <v>0.3</v>
      </c>
      <c r="E19" s="274">
        <f t="shared" si="3"/>
        <v>0.3</v>
      </c>
      <c r="F19" s="274">
        <f t="shared" si="3"/>
        <v>0.3</v>
      </c>
      <c r="G19" s="274">
        <f t="shared" si="3"/>
        <v>0.3</v>
      </c>
      <c r="H19" s="274">
        <f t="shared" si="3"/>
        <v>0.3</v>
      </c>
      <c r="I19" s="270"/>
      <c r="R19" s="249"/>
      <c r="S19" s="249"/>
      <c r="T19" s="249"/>
      <c r="U19" s="249"/>
      <c r="V19" s="249"/>
      <c r="W19" s="249"/>
      <c r="X19" s="249"/>
      <c r="Y19" s="249"/>
      <c r="Z19" s="249"/>
      <c r="AA19" s="275"/>
    </row>
    <row r="20" spans="1:32" ht="13.5" customHeight="1" x14ac:dyDescent="0.3">
      <c r="A20" s="272"/>
      <c r="B20" s="272"/>
      <c r="AD20" s="262"/>
      <c r="AE20" s="276"/>
    </row>
    <row r="21" spans="1:32" ht="13.5" customHeight="1" x14ac:dyDescent="0.3">
      <c r="A21" s="277"/>
      <c r="B21" s="278"/>
      <c r="C21" s="262"/>
      <c r="R21" s="279"/>
      <c r="S21" s="279"/>
      <c r="T21" s="279"/>
      <c r="U21" s="279"/>
      <c r="V21" s="279"/>
      <c r="W21" s="279"/>
      <c r="X21" s="279"/>
      <c r="Y21" s="279"/>
      <c r="Z21" s="280"/>
      <c r="AD21" s="262"/>
      <c r="AE21" s="281"/>
    </row>
    <row r="22" spans="1:32" ht="13.5" customHeight="1" x14ac:dyDescent="0.3">
      <c r="A22" s="282"/>
      <c r="B22" s="283">
        <v>2022</v>
      </c>
      <c r="C22" s="284">
        <v>2023</v>
      </c>
      <c r="D22" s="284">
        <v>2024</v>
      </c>
      <c r="E22" s="284">
        <v>2025</v>
      </c>
      <c r="F22" s="284">
        <v>2026</v>
      </c>
      <c r="G22" s="284">
        <v>2027</v>
      </c>
      <c r="R22" s="279"/>
      <c r="S22" s="279"/>
      <c r="T22" s="279"/>
      <c r="U22" s="279"/>
      <c r="V22" s="279"/>
      <c r="W22" s="279"/>
      <c r="X22" s="279"/>
      <c r="Y22" s="279"/>
      <c r="Z22" s="280"/>
      <c r="AF22">
        <f>+AE22/4</f>
        <v>0</v>
      </c>
    </row>
    <row r="23" spans="1:32" x14ac:dyDescent="0.25">
      <c r="A23" s="251" t="s">
        <v>446</v>
      </c>
      <c r="B23" s="256">
        <v>2.5000000000000001E-3</v>
      </c>
      <c r="C23" s="256">
        <v>2.5000000000000001E-3</v>
      </c>
      <c r="D23" s="285">
        <v>0.01</v>
      </c>
      <c r="E23" s="256">
        <v>0.01</v>
      </c>
      <c r="F23" s="256">
        <v>5.7000000000000002E-3</v>
      </c>
      <c r="G23" s="256">
        <v>6.0000000000000001E-3</v>
      </c>
    </row>
    <row r="24" spans="1:32" x14ac:dyDescent="0.25">
      <c r="A24" s="251" t="s">
        <v>447</v>
      </c>
      <c r="B24" s="256">
        <v>1.4E-2</v>
      </c>
      <c r="C24" s="256">
        <v>1.4999999999999999E-2</v>
      </c>
      <c r="D24" s="285">
        <v>1.4999999999999999E-2</v>
      </c>
      <c r="E24" s="256">
        <v>2.5000000000000001E-2</v>
      </c>
      <c r="F24" s="256">
        <v>1.7500000000000002E-2</v>
      </c>
      <c r="G24" s="256">
        <v>1.9E-2</v>
      </c>
    </row>
    <row r="26" spans="1:32" x14ac:dyDescent="0.25">
      <c r="A26" s="286"/>
      <c r="B26" s="259"/>
      <c r="C26" s="259"/>
      <c r="D26" s="259"/>
      <c r="E26" s="259"/>
      <c r="F26" s="259"/>
      <c r="G26" s="259"/>
      <c r="H26" s="259"/>
      <c r="I26" s="259"/>
      <c r="J26" s="287"/>
    </row>
    <row r="27" spans="1:32" hidden="1" x14ac:dyDescent="0.25">
      <c r="A27" s="288"/>
      <c r="B27" s="259"/>
      <c r="C27" s="259"/>
      <c r="D27" s="259"/>
      <c r="E27" s="259"/>
      <c r="F27" s="259"/>
      <c r="G27" s="259"/>
      <c r="H27" s="259"/>
      <c r="I27" s="259"/>
      <c r="J27" s="289"/>
    </row>
    <row r="28" spans="1:32" hidden="1" x14ac:dyDescent="0.25">
      <c r="A28" s="288"/>
      <c r="B28" s="259"/>
      <c r="C28" s="259"/>
      <c r="D28" s="259"/>
      <c r="E28" s="259"/>
      <c r="F28" s="259"/>
      <c r="G28" s="259"/>
      <c r="H28" s="259"/>
      <c r="I28" s="259"/>
      <c r="J28" s="289"/>
    </row>
    <row r="29" spans="1:32" hidden="1" x14ac:dyDescent="0.25">
      <c r="A29" s="288"/>
      <c r="B29" s="259"/>
      <c r="C29" s="259"/>
      <c r="D29" s="259"/>
      <c r="E29" s="259"/>
      <c r="F29" s="259"/>
      <c r="G29" s="259"/>
      <c r="H29" s="259"/>
      <c r="I29" s="259"/>
      <c r="J29" s="289"/>
    </row>
    <row r="30" spans="1:32" x14ac:dyDescent="0.25">
      <c r="A30" s="288"/>
      <c r="B30" s="259"/>
      <c r="C30" s="259"/>
      <c r="D30" s="289"/>
      <c r="E30" s="289"/>
      <c r="F30" s="259"/>
      <c r="G30" s="259"/>
      <c r="H30" s="259"/>
      <c r="I30" s="259"/>
      <c r="J30" s="289"/>
    </row>
    <row r="31" spans="1:32" x14ac:dyDescent="0.25">
      <c r="A31" s="288"/>
      <c r="B31" s="259"/>
      <c r="C31" s="259"/>
      <c r="D31" s="289"/>
      <c r="E31" s="289"/>
      <c r="F31" s="259"/>
      <c r="G31" s="259"/>
      <c r="H31" s="259"/>
      <c r="I31" s="259"/>
      <c r="J31" s="289"/>
    </row>
  </sheetData>
  <mergeCells count="5">
    <mergeCell ref="L1:AA1"/>
    <mergeCell ref="J2:K2"/>
    <mergeCell ref="J4:K4"/>
    <mergeCell ref="A8:D8"/>
    <mergeCell ref="E8:G8"/>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vt:lpstr>
      <vt:lpstr>Flujo Anual</vt:lpstr>
      <vt:lpstr>Flujo Mensual</vt:lpstr>
      <vt:lpstr>Motor Semanal</vt:lpstr>
      <vt:lpstr>Supuestos</vt:lpstr>
      <vt:lpstr>Inversiones</vt:lpstr>
      <vt:lpstr>Headcount</vt:lpstr>
      <vt:lpstr>Deuda Mensual</vt:lpstr>
      <vt:lpstr>Deuda Bancos</vt:lpstr>
      <vt:lpstr>Arch_Ferretería T1-26</vt:lpstr>
      <vt:lpstr>Arch_Contratistas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CSILVA</dc:creator>
  <dc:description/>
  <cp:lastModifiedBy>Michael Alejandro Aranda Villacorta</cp:lastModifiedBy>
  <cp:revision>1</cp:revision>
  <cp:lastPrinted>2015-12-10T17:49:49Z</cp:lastPrinted>
  <dcterms:created xsi:type="dcterms:W3CDTF">2011-09-26T22:22:27Z</dcterms:created>
  <dcterms:modified xsi:type="dcterms:W3CDTF">2026-10-10T15:33:47Z</dcterms:modified>
  <dc:language>en-US</dc:language>
</cp:coreProperties>
</file>